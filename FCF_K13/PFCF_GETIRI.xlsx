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_FCF" sheetId="1" state="visible" r:id="rId3"/>
    <sheet name="OKUBENI" sheetId="2" state="visible" r:id="rId4"/>
  </sheets>
  <definedNames>
    <definedName function="false" hidden="true" localSheetId="0" name="_xlnm._FilterDatabase" vbProcedure="false">P_FCF!$A$4:$U$635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4" authorId="0">
      <text>
        <r>
          <rPr>
            <sz val="10"/>
            <rFont val="Arial"/>
            <family val="2"/>
          </rPr>
          <t xml:space="preserve">P/FCF = Piyasa değeri / FCF TTM. Piyasa değeri bugünün, FCF Haziran 2026 satın alma gücünde (GEM v6.2: iki tarih yazılır, oran düzeltilmez).</t>
        </r>
      </text>
    </comment>
    <comment ref="R4" authorId="0">
      <text>
        <r>
          <rPr>
            <sz val="10"/>
            <rFont val="Arial"/>
            <family val="2"/>
          </rPr>
          <t xml:space="preserve">Evo fiyat serisinde son dönem bölünme/bedelsiz/temettü olayları düzeltilmemiş. Günlük ±%10 limit dışı sıçramalarda katsayı = önceki kapanış / olay günü açılış (yaklaşık). Getiri = Fiyat × katsayı / eski kapanış − 1.</t>
        </r>
      </text>
    </comment>
  </commentList>
</comments>
</file>

<file path=xl/sharedStrings.xml><?xml version="1.0" encoding="utf-8"?>
<sst xmlns="http://schemas.openxmlformats.org/spreadsheetml/2006/main" count="5113" uniqueCount="1406">
  <si>
    <t xml:space="preserve">P/FCF ve getiriler — BIST (FCF: FCF_MASTER, GEM v6.2)</t>
  </si>
  <si>
    <t xml:space="preserve">Piyasa değeri ve fiyat: Evo, 06.10.2026 ~16:40 (seans içi). FCF: TTM 2026/06, mn TL, Haziran 2026 satın alma gücü. P/FCF düzeltilmez; FCF ≤ 0 ise "anlamsız". Getiriler fiyat getirisi (temettü hariç), bölünme/bedelsiz sıçramaları düzeltildi.</t>
  </si>
  <si>
    <t xml:space="preserve">Kod</t>
  </si>
  <si>
    <t xml:space="preserve">Ünvan</t>
  </si>
  <si>
    <t xml:space="preserve">Kapsam</t>
  </si>
  <si>
    <t xml:space="preserve">Tip</t>
  </si>
  <si>
    <t xml:space="preserve">Sektör</t>
  </si>
  <si>
    <t xml:space="preserve">Güncel fiyat (TL)</t>
  </si>
  <si>
    <t xml:space="preserve">Fiyat zamanı</t>
  </si>
  <si>
    <t xml:space="preserve">Piyasa değeri (mn TL)</t>
  </si>
  <si>
    <t xml:space="preserve">FCF TTM 2026/06 (mn TL)</t>
  </si>
  <si>
    <t xml:space="preserve">FCF türü</t>
  </si>
  <si>
    <t xml:space="preserve">FCF statü</t>
  </si>
  <si>
    <t xml:space="preserve">FCF kaynağı</t>
  </si>
  <si>
    <t xml:space="preserve">P/FCF</t>
  </si>
  <si>
    <t xml:space="preserve">P/FCF notu</t>
  </si>
  <si>
    <t xml:space="preserve">Getiri 01.10.2025→bugün</t>
  </si>
  <si>
    <t xml:space="preserve">Getiri son 15 gün (21.09.2026→bugün)</t>
  </si>
  <si>
    <t xml:space="preserve">Kapanış 01.10.2025 (TL)</t>
  </si>
  <si>
    <t xml:space="preserve">Düzeltme katsayısı (01.10.2025→)</t>
  </si>
  <si>
    <t xml:space="preserve">Kapanış 21.09.2026 (TL)</t>
  </si>
  <si>
    <t xml:space="preserve">Düzeltme katsayısı (21.09.2026→)</t>
  </si>
  <si>
    <t xml:space="preserve">Sermaye hareketi sıçramaları (tarih ×katsayı)</t>
  </si>
  <si>
    <t xml:space="preserve">A1CAP</t>
  </si>
  <si>
    <t xml:space="preserve">A1 Capital Yatırım Menkul Değerler A.Ş.</t>
  </si>
  <si>
    <t xml:space="preserve">TIER 0,5</t>
  </si>
  <si>
    <t xml:space="preserve">06.10.2026 16:39</t>
  </si>
  <si>
    <t xml:space="preserve">A1YEN</t>
  </si>
  <si>
    <t xml:space="preserve">A1 Yenilenebilir Enerji Üretim A.Ş.</t>
  </si>
  <si>
    <t xml:space="preserve">STANDART</t>
  </si>
  <si>
    <t xml:space="preserve">Standart</t>
  </si>
  <si>
    <t xml:space="preserve">Enerji Üretim-Dağıtım</t>
  </si>
  <si>
    <t xml:space="preserve">FCF_STD</t>
  </si>
  <si>
    <t xml:space="preserve">KESİN</t>
  </si>
  <si>
    <t xml:space="preserve">EVO (belgeyle teyitli)</t>
  </si>
  <si>
    <t xml:space="preserve">05.05.2026 ×10.899</t>
  </si>
  <si>
    <t xml:space="preserve">AAGYO</t>
  </si>
  <si>
    <t xml:space="preserve">Ağaoğlu Avrasya Gayrimenkul Yatırım Ortaklığı A.Ş.</t>
  </si>
  <si>
    <t xml:space="preserve">TIER 0</t>
  </si>
  <si>
    <t xml:space="preserve">ACSEL</t>
  </si>
  <si>
    <t xml:space="preserve">Acıselsan Acıpayam Selüloz Sanayi ve Ticaret A.Ş.</t>
  </si>
  <si>
    <t xml:space="preserve">Kimya-Plastik</t>
  </si>
  <si>
    <t xml:space="preserve">EVO</t>
  </si>
  <si>
    <t xml:space="preserve">ADEL</t>
  </si>
  <si>
    <t xml:space="preserve">Adel Kalemcilik Ticaret ve Sanayi A.Ş.</t>
  </si>
  <si>
    <t xml:space="preserve">İmalat</t>
  </si>
  <si>
    <t xml:space="preserve">06.10.2026 16:37</t>
  </si>
  <si>
    <t xml:space="preserve">ADESE</t>
  </si>
  <si>
    <t xml:space="preserve">Adese Gayrimenkul Yatırım A.Ş</t>
  </si>
  <si>
    <t xml:space="preserve">ADGYO</t>
  </si>
  <si>
    <t xml:space="preserve">Adra Gayrimenkul Yatırım Ortaklığı A.Ş.</t>
  </si>
  <si>
    <t xml:space="preserve">AEFES</t>
  </si>
  <si>
    <t xml:space="preserve">Anadolu Efes Biracılık ve Malt Sanayii A.Ş.</t>
  </si>
  <si>
    <t xml:space="preserve">Gıda-İçecek</t>
  </si>
  <si>
    <t xml:space="preserve">AFYON</t>
  </si>
  <si>
    <t xml:space="preserve">Afyon Çimento Sanayi T.A.Ş.</t>
  </si>
  <si>
    <t xml:space="preserve">Taş-Toprak-Çimento</t>
  </si>
  <si>
    <t xml:space="preserve">BELGE</t>
  </si>
  <si>
    <t xml:space="preserve">AGESA</t>
  </si>
  <si>
    <t xml:space="preserve">Agesa Hayat ve Emeklilik A.Ş.</t>
  </si>
  <si>
    <t xml:space="preserve">TIER 0 — STANDART DIŞI</t>
  </si>
  <si>
    <t xml:space="preserve">AGHOL</t>
  </si>
  <si>
    <t xml:space="preserve">AG Anadolu Grubu Holding A.Ş.</t>
  </si>
  <si>
    <t xml:space="preserve">Holding</t>
  </si>
  <si>
    <t xml:space="preserve">06.10.2026 16:38</t>
  </si>
  <si>
    <t xml:space="preserve">AGROT</t>
  </si>
  <si>
    <t xml:space="preserve">Agrotech Yüksek Teknoloji ve Yatırım A.Ş.</t>
  </si>
  <si>
    <t xml:space="preserve">AGYO</t>
  </si>
  <si>
    <t xml:space="preserve">Atakule Gayrimenkul Yatırım Ortaklığı A.Ş.</t>
  </si>
  <si>
    <t xml:space="preserve">06.10.2026 16:12</t>
  </si>
  <si>
    <t xml:space="preserve">AHGAZ</t>
  </si>
  <si>
    <t xml:space="preserve">Ahlatcı Doğal Gaz Dağıtım Enerji ve Yatırım A.Ş.</t>
  </si>
  <si>
    <t xml:space="preserve">AHSGY</t>
  </si>
  <si>
    <t xml:space="preserve">AHES Gayrimenkul Yatırım Ortaklığı A.Ş.</t>
  </si>
  <si>
    <t xml:space="preserve">AKBNK</t>
  </si>
  <si>
    <t xml:space="preserve">Akbank T.A.Ş.</t>
  </si>
  <si>
    <t xml:space="preserve">06.10.2026 16:40</t>
  </si>
  <si>
    <t xml:space="preserve">AKCNS</t>
  </si>
  <si>
    <t xml:space="preserve">Akçansa Çimento Sanayi ve Ticaret A.Ş.</t>
  </si>
  <si>
    <t xml:space="preserve">AKENR</t>
  </si>
  <si>
    <t xml:space="preserve">Akenerji Elektrik Üretim A.Ş.</t>
  </si>
  <si>
    <t xml:space="preserve">AKFGY</t>
  </si>
  <si>
    <t xml:space="preserve">Akfen Gayrimenkul Yatırım Ortaklığı A.Ş.</t>
  </si>
  <si>
    <t xml:space="preserve">AKFIS</t>
  </si>
  <si>
    <t xml:space="preserve">Akfen İnşaat Turizm ve Ticaret A.Ş.</t>
  </si>
  <si>
    <t xml:space="preserve">İnşaat</t>
  </si>
  <si>
    <t xml:space="preserve">TÜRETİLMİŞ</t>
  </si>
  <si>
    <t xml:space="preserve">16.08.2026 ×6.128</t>
  </si>
  <si>
    <t xml:space="preserve">AKFYE</t>
  </si>
  <si>
    <t xml:space="preserve">Akfen Yenilenebilir Enerji A.Ş</t>
  </si>
  <si>
    <t xml:space="preserve">15.09.2026 ×5.923</t>
  </si>
  <si>
    <t xml:space="preserve">AKGRT</t>
  </si>
  <si>
    <t xml:space="preserve">Aksigorta A.Ş.</t>
  </si>
  <si>
    <t xml:space="preserve">AKHAN</t>
  </si>
  <si>
    <t xml:space="preserve">Akhan Un Fabrikası ve Tarım Ürünleri Gıda Sanayi Ticaret A.Ş.</t>
  </si>
  <si>
    <t xml:space="preserve">AKMGY</t>
  </si>
  <si>
    <t xml:space="preserve">Akmerkez Gayrimenkul Yatırım Ortaklığı A.Ş.</t>
  </si>
  <si>
    <t xml:space="preserve">AKSA</t>
  </si>
  <si>
    <t xml:space="preserve">Aksa Akrilik Kimya Sanayii A.Ş.</t>
  </si>
  <si>
    <t xml:space="preserve">AKSEN</t>
  </si>
  <si>
    <t xml:space="preserve">Aksa Enerji Üretim A.Ş.</t>
  </si>
  <si>
    <t xml:space="preserve">AKSGY</t>
  </si>
  <si>
    <t xml:space="preserve">Akiş Gayrimenkul Yatırım Ortaklığı A.Ş.</t>
  </si>
  <si>
    <t xml:space="preserve">AKSUE</t>
  </si>
  <si>
    <t xml:space="preserve">Aksu Enerji ve Ticaret A.Ş.</t>
  </si>
  <si>
    <t xml:space="preserve">AKYHO</t>
  </si>
  <si>
    <t xml:space="preserve">Akdeniz Yatırım Holding A.Ş.</t>
  </si>
  <si>
    <t xml:space="preserve">Destek-Hizmet</t>
  </si>
  <si>
    <t xml:space="preserve">06.10.2026 16:34</t>
  </si>
  <si>
    <t xml:space="preserve">ALARK</t>
  </si>
  <si>
    <t xml:space="preserve">Alarko Holding A.Ş.</t>
  </si>
  <si>
    <t xml:space="preserve">FCF_HLD</t>
  </si>
  <si>
    <t xml:space="preserve">ALBRK</t>
  </si>
  <si>
    <t xml:space="preserve">Albaraka Türk Katılım Bankası A.Ş.</t>
  </si>
  <si>
    <t xml:space="preserve">ALBTN</t>
  </si>
  <si>
    <t xml:space="preserve">Albayrak Hazır Beton Sanayi ve Ticaret A.Ş.</t>
  </si>
  <si>
    <t xml:space="preserve">NULL</t>
  </si>
  <si>
    <t xml:space="preserve">ALCAR</t>
  </si>
  <si>
    <t xml:space="preserve">Alarko Carrier Sanayi ve Ticaret A.Ş.</t>
  </si>
  <si>
    <t xml:space="preserve">Dayanıklı Tüketim</t>
  </si>
  <si>
    <t xml:space="preserve">06.10.2026 16:36</t>
  </si>
  <si>
    <t xml:space="preserve">ALCTL</t>
  </si>
  <si>
    <t xml:space="preserve">Alcatel Lucent Teletaş Telekomünikasyon A.Ş.</t>
  </si>
  <si>
    <t xml:space="preserve">Haberleşme</t>
  </si>
  <si>
    <t xml:space="preserve">ALFAS</t>
  </si>
  <si>
    <t xml:space="preserve">Alfa Solar Enerji Sanayi ve Ticaret A.Ş.</t>
  </si>
  <si>
    <t xml:space="preserve">Enerji Tekn.</t>
  </si>
  <si>
    <t xml:space="preserve">ALGYO</t>
  </si>
  <si>
    <t xml:space="preserve">Alarko Gayrimenkul Yatırım Ortaklığı A.Ş.</t>
  </si>
  <si>
    <t xml:space="preserve">ALKA</t>
  </si>
  <si>
    <t xml:space="preserve">Alkim Kağıt Sanayi ve Ticaret A.Ş.</t>
  </si>
  <si>
    <t xml:space="preserve">Kağıt</t>
  </si>
  <si>
    <t xml:space="preserve">ALKIM</t>
  </si>
  <si>
    <t xml:space="preserve">Alkim Alkali Kimya A.Ş.</t>
  </si>
  <si>
    <t xml:space="preserve">ALKLC</t>
  </si>
  <si>
    <t xml:space="preserve">Altınkılıç Gıda ve Süt Sanayi Ticaret A.Ş.</t>
  </si>
  <si>
    <t xml:space="preserve">ALTNY</t>
  </si>
  <si>
    <t xml:space="preserve">Altınay Savunma Teknolojileri A.Ş.</t>
  </si>
  <si>
    <t xml:space="preserve">Savunma</t>
  </si>
  <si>
    <t xml:space="preserve">ALVES</t>
  </si>
  <si>
    <t xml:space="preserve">Alves Kablo Sanayi ve Ticaret A.Ş</t>
  </si>
  <si>
    <t xml:space="preserve">06.10.2026 13:55</t>
  </si>
  <si>
    <t xml:space="preserve">ANELE</t>
  </si>
  <si>
    <t xml:space="preserve">Anel Elektrik Proje Taahhüt ve Ticaret A.Ş.</t>
  </si>
  <si>
    <t xml:space="preserve">06.10.2026 16:31</t>
  </si>
  <si>
    <t xml:space="preserve">ANGEN</t>
  </si>
  <si>
    <t xml:space="preserve">Anatolia Tanı ve Biyoteknoloji Ürünleri Araştırma Geliştirme Sanayi ve Ticaret A.Ş.</t>
  </si>
  <si>
    <t xml:space="preserve">İlaç-Sağlık</t>
  </si>
  <si>
    <t xml:space="preserve">ANHYT</t>
  </si>
  <si>
    <t xml:space="preserve">Anadolu Hayat Emeklilik A.Ş.</t>
  </si>
  <si>
    <t xml:space="preserve">ANSGR</t>
  </si>
  <si>
    <t xml:space="preserve">Anadolu Anonim Türk Sigorta Şirketi</t>
  </si>
  <si>
    <t xml:space="preserve">ARASE</t>
  </si>
  <si>
    <t xml:space="preserve">Doğu Aras Enerji Yatırımları A.Ş.</t>
  </si>
  <si>
    <t xml:space="preserve">KOŞULLU</t>
  </si>
  <si>
    <t xml:space="preserve">ARCLK</t>
  </si>
  <si>
    <t xml:space="preserve">Arçelik A.Ş.</t>
  </si>
  <si>
    <t xml:space="preserve">ARDYZ</t>
  </si>
  <si>
    <t xml:space="preserve">Ard Grup Bilişim Teknolojileri A.Ş</t>
  </si>
  <si>
    <t xml:space="preserve">Bilişim</t>
  </si>
  <si>
    <t xml:space="preserve">ARENA</t>
  </si>
  <si>
    <t xml:space="preserve">Arena Bilgisayar Sanayi ve Ticaret A.Ş.</t>
  </si>
  <si>
    <t xml:space="preserve">Teknoloji Ticaret</t>
  </si>
  <si>
    <t xml:space="preserve">ARFYE</t>
  </si>
  <si>
    <t xml:space="preserve">Arf Bio Yenilenebilir Enerji Üretim A.Ş.</t>
  </si>
  <si>
    <t xml:space="preserve">ARMGD</t>
  </si>
  <si>
    <t xml:space="preserve">Armada Gıda Ticaret Sanayi A.Ş.</t>
  </si>
  <si>
    <t xml:space="preserve">ARSAN</t>
  </si>
  <si>
    <t xml:space="preserve">Arsan Holding A.Ş.</t>
  </si>
  <si>
    <t xml:space="preserve">ARTMS</t>
  </si>
  <si>
    <t xml:space="preserve">Artemis Halı A.Ş</t>
  </si>
  <si>
    <t xml:space="preserve">Tekstil</t>
  </si>
  <si>
    <t xml:space="preserve">ARZUM</t>
  </si>
  <si>
    <t xml:space="preserve">Arzum Elektrikli Ev Aletleri Sanayi ve Ticaret A.Ş.</t>
  </si>
  <si>
    <t xml:space="preserve">ASELS</t>
  </si>
  <si>
    <t xml:space="preserve">Aselsan Elektronik Sanayi ve Ticaret A.Ş.</t>
  </si>
  <si>
    <t xml:space="preserve">ASGYO</t>
  </si>
  <si>
    <t xml:space="preserve">Asce Gayrimenkul Yatırım Ortaklığı A.Ş.</t>
  </si>
  <si>
    <t xml:space="preserve">ASTOR</t>
  </si>
  <si>
    <t xml:space="preserve">Astor Enerji A.Ş.</t>
  </si>
  <si>
    <t xml:space="preserve">ASUZU</t>
  </si>
  <si>
    <t xml:space="preserve">Anadolu Isuzu Otomotiv Sanayi ve Ticaret A.Ş.</t>
  </si>
  <si>
    <t xml:space="preserve">Otomotiv</t>
  </si>
  <si>
    <t xml:space="preserve">ATAGY</t>
  </si>
  <si>
    <t xml:space="preserve">Ata Gayrimenkul Yatırım Ortaklığı A.Ş.</t>
  </si>
  <si>
    <t xml:space="preserve">06.10.2026 16:23</t>
  </si>
  <si>
    <t xml:space="preserve">ATAKP</t>
  </si>
  <si>
    <t xml:space="preserve">Atakey Patates Gıda Sanayi ve Ticaret AŞ</t>
  </si>
  <si>
    <t xml:space="preserve">ATATP</t>
  </si>
  <si>
    <t xml:space="preserve">ATP Yazılım ve Teknoloji A.Ş.</t>
  </si>
  <si>
    <t xml:space="preserve">ATATR</t>
  </si>
  <si>
    <t xml:space="preserve">Ata Turizm İşletmecilik Taşımacılık Madencilik Kuyumculuk Sanayi ve Dış Ticaret A.Ş.</t>
  </si>
  <si>
    <t xml:space="preserve">Turizm</t>
  </si>
  <si>
    <t xml:space="preserve">ATEKS</t>
  </si>
  <si>
    <t xml:space="preserve">Akın Tekstil A.Ş.</t>
  </si>
  <si>
    <t xml:space="preserve">ATLAS</t>
  </si>
  <si>
    <t xml:space="preserve">Atlas Menkul Kıymetler Yatırım Ortaklığı A.Ş.</t>
  </si>
  <si>
    <t xml:space="preserve">ATSYH</t>
  </si>
  <si>
    <t xml:space="preserve">Atlantis Yatırım Holding A.Ş.</t>
  </si>
  <si>
    <t xml:space="preserve">AVGYO</t>
  </si>
  <si>
    <t xml:space="preserve">Avrasya Gayrimenkul Yatırım Ortaklığı A.Ş.</t>
  </si>
  <si>
    <t xml:space="preserve">AVHOL</t>
  </si>
  <si>
    <t xml:space="preserve">Avrupa Yatırım Holding A.Ş.</t>
  </si>
  <si>
    <t xml:space="preserve">AVOD</t>
  </si>
  <si>
    <t xml:space="preserve">A.V.O.D. Kurutulmuş Gıda ve Tarım Ürünleri A.Ş.</t>
  </si>
  <si>
    <t xml:space="preserve">AVPGY</t>
  </si>
  <si>
    <t xml:space="preserve">Avrupakent Gayrimenkul Yatırım Ortaklığı A.Ş.</t>
  </si>
  <si>
    <t xml:space="preserve">06.10.2026 16:33</t>
  </si>
  <si>
    <t xml:space="preserve">AVTUR</t>
  </si>
  <si>
    <t xml:space="preserve">Avrasya Petrol ve Turistik Tesisler Yatırımlar A.Ş.</t>
  </si>
  <si>
    <t xml:space="preserve">Toptan-Perakende</t>
  </si>
  <si>
    <t xml:space="preserve">AYCES</t>
  </si>
  <si>
    <t xml:space="preserve">Altın Yunus Çeşme Turistik Tesisler A.Ş.</t>
  </si>
  <si>
    <t xml:space="preserve">06.10.2026 16:35</t>
  </si>
  <si>
    <t xml:space="preserve">AYDEM</t>
  </si>
  <si>
    <t xml:space="preserve">Aydem Yenilenebilir Enerji A.Ş.</t>
  </si>
  <si>
    <t xml:space="preserve">AYEN</t>
  </si>
  <si>
    <t xml:space="preserve">Ayen Enerji A.Ş.</t>
  </si>
  <si>
    <t xml:space="preserve">AYES</t>
  </si>
  <si>
    <t xml:space="preserve">Ayes Çelik Hasır ve Çit Sanayi A.Ş.</t>
  </si>
  <si>
    <t xml:space="preserve">27.09.2026 ×3.556</t>
  </si>
  <si>
    <t xml:space="preserve">AYGAZ</t>
  </si>
  <si>
    <t xml:space="preserve">Aygaz A.Ş.</t>
  </si>
  <si>
    <t xml:space="preserve">AZTEK</t>
  </si>
  <si>
    <t xml:space="preserve">Aztek Teknoloji Ürünleri Ticaret A.Ş.</t>
  </si>
  <si>
    <t xml:space="preserve">BAGFS</t>
  </si>
  <si>
    <t xml:space="preserve">Bagfaş Bandırma Gübre Fabrikaları A.Ş.</t>
  </si>
  <si>
    <t xml:space="preserve">BAHKM</t>
  </si>
  <si>
    <t xml:space="preserve">Bahadır Kimya Sanayi ve Ticaret A.Ş.</t>
  </si>
  <si>
    <t xml:space="preserve">BAKAB</t>
  </si>
  <si>
    <t xml:space="preserve">Bak Ambalaj Sanayi ve Ticaret A.Ş.</t>
  </si>
  <si>
    <t xml:space="preserve">Ambalaj</t>
  </si>
  <si>
    <t xml:space="preserve">BALAT</t>
  </si>
  <si>
    <t xml:space="preserve">Balatacılar Balatacılık Sanayi ve Ticaret A.Ş.</t>
  </si>
  <si>
    <t xml:space="preserve">Oto Yan San.</t>
  </si>
  <si>
    <t xml:space="preserve">BALSU</t>
  </si>
  <si>
    <t xml:space="preserve">Balsu Gıda Sanayi ve Ticaret A.Ş.</t>
  </si>
  <si>
    <t xml:space="preserve">BANVT</t>
  </si>
  <si>
    <t xml:space="preserve">Banvit Bandırma Vitaminli Yem Sanayii A.Ş.</t>
  </si>
  <si>
    <t xml:space="preserve">BARMA</t>
  </si>
  <si>
    <t xml:space="preserve">Barem Ambalaj Sanayi ve Ticaret A.Ş.</t>
  </si>
  <si>
    <t xml:space="preserve">BASCM</t>
  </si>
  <si>
    <t xml:space="preserve">Baştaş Başkent Çimento Sanayi ve Ticaret A.Ş.</t>
  </si>
  <si>
    <t xml:space="preserve">BASGZ</t>
  </si>
  <si>
    <t xml:space="preserve">Başkent Doğalgaz Dağıtım Gayrimenkul Yatırım Ortaklığı A.Ş.</t>
  </si>
  <si>
    <t xml:space="preserve">BAYRK</t>
  </si>
  <si>
    <t xml:space="preserve">Bayrak Ebt Taban Sanayi ve Ticaret A.Ş.</t>
  </si>
  <si>
    <t xml:space="preserve">BEGYO</t>
  </si>
  <si>
    <t xml:space="preserve">Batı Ege Gayrimenkul Yatırım Ortaklığı A.Ş.</t>
  </si>
  <si>
    <t xml:space="preserve">BERA</t>
  </si>
  <si>
    <t xml:space="preserve">Bera Holding A.Ş.</t>
  </si>
  <si>
    <t xml:space="preserve">BESLR</t>
  </si>
  <si>
    <t xml:space="preserve">Besler Gıda ve Kimya Sanayi ve Ticaret A.Ş.</t>
  </si>
  <si>
    <t xml:space="preserve">BESTE</t>
  </si>
  <si>
    <t xml:space="preserve">Best Brands Grup Enerji Yatırım A.Ş.</t>
  </si>
  <si>
    <t xml:space="preserve">BETAE</t>
  </si>
  <si>
    <t xml:space="preserve">Beta Enerji ve Teknoloji A.Ş.</t>
  </si>
  <si>
    <t xml:space="preserve">BEYAZ</t>
  </si>
  <si>
    <t xml:space="preserve">Beyaz Filo Oto Kiralama A.Ş.</t>
  </si>
  <si>
    <t xml:space="preserve">BFREN</t>
  </si>
  <si>
    <t xml:space="preserve">Bosch Fren Sistemleri Sanayi ve Ticaret A.Ş.</t>
  </si>
  <si>
    <t xml:space="preserve">BIENY</t>
  </si>
  <si>
    <t xml:space="preserve">Bien Yapı Ürünleri Sanayi Turizm ve Ticaret A.Ş.</t>
  </si>
  <si>
    <t xml:space="preserve">Cam-Seramik</t>
  </si>
  <si>
    <t xml:space="preserve">BIGCH</t>
  </si>
  <si>
    <t xml:space="preserve">Büyük Şefler Gıda Turizm Tekstil Danışmanlık Organizasyon Eğitim Sanayi ve Ticaret A.Ş.</t>
  </si>
  <si>
    <t xml:space="preserve">BIGEN</t>
  </si>
  <si>
    <t xml:space="preserve">Birleşim Grup Enerji Yatırımları A.Ş.</t>
  </si>
  <si>
    <t xml:space="preserve">BIGTK</t>
  </si>
  <si>
    <t xml:space="preserve">Big Medya Teknoloji A.Ş.</t>
  </si>
  <si>
    <t xml:space="preserve">BIMAS</t>
  </si>
  <si>
    <t xml:space="preserve">Bim Birleşik Mağazalar A.Ş.</t>
  </si>
  <si>
    <t xml:space="preserve">Gıda Perakende</t>
  </si>
  <si>
    <t xml:space="preserve">10.05.2026 ×1.997</t>
  </si>
  <si>
    <t xml:space="preserve">BINBN</t>
  </si>
  <si>
    <t xml:space="preserve">Bin Ulaşım ve Akıllı Şehir Teknolojileri A.Ş.</t>
  </si>
  <si>
    <t xml:space="preserve">Ulaştırma</t>
  </si>
  <si>
    <t xml:space="preserve">BINHO</t>
  </si>
  <si>
    <t xml:space="preserve">1000 Yatırımlar Holding A.Ş.</t>
  </si>
  <si>
    <t xml:space="preserve">BIOEN</t>
  </si>
  <si>
    <t xml:space="preserve">Biotrend Çevre ve Enerji Yatırımları A.Ş.</t>
  </si>
  <si>
    <t xml:space="preserve">BIZIM</t>
  </si>
  <si>
    <t xml:space="preserve">Bizim Toptan Satış Mağazaları A.Ş.</t>
  </si>
  <si>
    <t xml:space="preserve">BJKAS</t>
  </si>
  <si>
    <t xml:space="preserve">Beşiktaş Futbol Yatırımları Sanayi ve Ticaret A.Ş.</t>
  </si>
  <si>
    <t xml:space="preserve">Spor</t>
  </si>
  <si>
    <t xml:space="preserve">BKRGY</t>
  </si>
  <si>
    <t xml:space="preserve">Bakırcı Gayrimenkul Yatırım Ortaklığı A.Ş.</t>
  </si>
  <si>
    <t xml:space="preserve">BLCYT</t>
  </si>
  <si>
    <t xml:space="preserve">Bilici Yatırım Sanayi ve Ticaret A.Ş.</t>
  </si>
  <si>
    <t xml:space="preserve">30.08.2026 ×9.991</t>
  </si>
  <si>
    <t xml:space="preserve">BLUME</t>
  </si>
  <si>
    <t xml:space="preserve">Blume Metal Kimya A.Ş.</t>
  </si>
  <si>
    <t xml:space="preserve">BMSCH</t>
  </si>
  <si>
    <t xml:space="preserve">Bms Çelik Hasır Sanayi ve Ticaret A.Ş.</t>
  </si>
  <si>
    <t xml:space="preserve">Ana Metal</t>
  </si>
  <si>
    <t xml:space="preserve">BMSTL</t>
  </si>
  <si>
    <t xml:space="preserve">BMS Birleşik Metal Sanayi ve Ticaret A.Ş.</t>
  </si>
  <si>
    <t xml:space="preserve">28.06.2026 ×2.008</t>
  </si>
  <si>
    <t xml:space="preserve">BNTAS</t>
  </si>
  <si>
    <t xml:space="preserve">Bantaş Bandırma Ambalaj Sanayi Ticaret A.Ş.</t>
  </si>
  <si>
    <t xml:space="preserve">BOBET</t>
  </si>
  <si>
    <t xml:space="preserve">Boğaziçi Beton Sanayi ve Ticaret A.Ş.</t>
  </si>
  <si>
    <t xml:space="preserve">BORLS</t>
  </si>
  <si>
    <t xml:space="preserve">Borlease Otomotiv A.Ş.</t>
  </si>
  <si>
    <t xml:space="preserve">Servis-Araç Kiralama</t>
  </si>
  <si>
    <t xml:space="preserve">BORSK</t>
  </si>
  <si>
    <t xml:space="preserve">Bor Şeker A.Ş.</t>
  </si>
  <si>
    <t xml:space="preserve">BOSSA</t>
  </si>
  <si>
    <t xml:space="preserve">Bossa Ticaret ve Sanayi İşletmeleri T.A.Ş.</t>
  </si>
  <si>
    <t xml:space="preserve">BRISA</t>
  </si>
  <si>
    <t xml:space="preserve">Brisa Bridgestone Sabancı Lastik Sanayi ve Ticaret A.Ş.</t>
  </si>
  <si>
    <t xml:space="preserve">BRKO</t>
  </si>
  <si>
    <t xml:space="preserve">Birko Birleşik Koyunlulular Mensucat Ticaret ve Sanayi A.Ş.</t>
  </si>
  <si>
    <t xml:space="preserve">BRKSN</t>
  </si>
  <si>
    <t xml:space="preserve">Berkosan Yalıtım ve Tecrit Maddeleri Üretim ve Ticaret A.Ş.</t>
  </si>
  <si>
    <t xml:space="preserve">BRKVY</t>
  </si>
  <si>
    <t xml:space="preserve">Birikim Varlık Yönetim A.Ş</t>
  </si>
  <si>
    <t xml:space="preserve">BRLSM</t>
  </si>
  <si>
    <t xml:space="preserve">Birleşim Mühendislik Isıtma Soğutma Havalandırma Sanayi ve Ticaret A.Ş</t>
  </si>
  <si>
    <t xml:space="preserve">BRMEN</t>
  </si>
  <si>
    <t xml:space="preserve">Birlik Mensucat Ticaret ve Sanayi İşletmesi A.Ş.</t>
  </si>
  <si>
    <t xml:space="preserve">BRSAN</t>
  </si>
  <si>
    <t xml:space="preserve">Borusan Birleşik Boru Fabrikaları Sanayi ve Ticaret A.Ş.</t>
  </si>
  <si>
    <t xml:space="preserve">BRYAT</t>
  </si>
  <si>
    <t xml:space="preserve">Borusan Yatırım ve Pazarlama A.Ş.</t>
  </si>
  <si>
    <t xml:space="preserve">BSOKE</t>
  </si>
  <si>
    <t xml:space="preserve">Batısöke Söke Çimento Sanayii T.A.Ş.</t>
  </si>
  <si>
    <t xml:space="preserve">BTCIM</t>
  </si>
  <si>
    <t xml:space="preserve">Batıçim Batı Anadolu Çimento Sanayii A.Ş.</t>
  </si>
  <si>
    <t xml:space="preserve">BUCIM</t>
  </si>
  <si>
    <t xml:space="preserve">Bursa Çimento Fabrikası A.Ş.</t>
  </si>
  <si>
    <t xml:space="preserve">BULGS</t>
  </si>
  <si>
    <t xml:space="preserve">Bulls Girişim Sermayesi Yatırım Ortaklığı A.Ş.</t>
  </si>
  <si>
    <t xml:space="preserve">BURCE</t>
  </si>
  <si>
    <t xml:space="preserve">Burçelik Bursa Çelik Döküm Sanayii A.Ş.</t>
  </si>
  <si>
    <t xml:space="preserve">BURVA</t>
  </si>
  <si>
    <t xml:space="preserve">Burçelik Vana Sanayi ve Ticaret A.Ş.</t>
  </si>
  <si>
    <t xml:space="preserve">06.10.2026 16:30</t>
  </si>
  <si>
    <t xml:space="preserve">BVSAN</t>
  </si>
  <si>
    <t xml:space="preserve">Bülbüloğlu Vinç Sanayi ve Ticaret A.Ş.</t>
  </si>
  <si>
    <t xml:space="preserve">BYDNR</t>
  </si>
  <si>
    <t xml:space="preserve">Baydöner Restoranları A.Ş.</t>
  </si>
  <si>
    <t xml:space="preserve">CANTE</t>
  </si>
  <si>
    <t xml:space="preserve">Çan2 Termik A.Ş.</t>
  </si>
  <si>
    <t xml:space="preserve">CASA</t>
  </si>
  <si>
    <t xml:space="preserve">Casa Emtia Petrol Kimyevi ve Türevleri Sanayi Ticaret A.Ş.</t>
  </si>
  <si>
    <t xml:space="preserve">CATES</t>
  </si>
  <si>
    <t xml:space="preserve">Çates Elektrik Üretim A.Ş.</t>
  </si>
  <si>
    <t xml:space="preserve">CCOLA</t>
  </si>
  <si>
    <t xml:space="preserve">Coca-Cola İçecek A.Ş.</t>
  </si>
  <si>
    <t xml:space="preserve">CELHA</t>
  </si>
  <si>
    <t xml:space="preserve">Çelik Halat ve Tel Sanayii A.Ş.</t>
  </si>
  <si>
    <t xml:space="preserve">CEMAS</t>
  </si>
  <si>
    <t xml:space="preserve">Çemaş Döküm Sanayi A.Ş.</t>
  </si>
  <si>
    <t xml:space="preserve">CEMTS</t>
  </si>
  <si>
    <t xml:space="preserve">Çemtaş Çelik Makina Sanayi ve Ticaret A.Ş.</t>
  </si>
  <si>
    <t xml:space="preserve">CEMZY</t>
  </si>
  <si>
    <t xml:space="preserve">Cem Zeytin A.Ş.</t>
  </si>
  <si>
    <t xml:space="preserve">Tarım</t>
  </si>
  <si>
    <t xml:space="preserve">26.04.2026 ×5.696</t>
  </si>
  <si>
    <t xml:space="preserve">CEOEM</t>
  </si>
  <si>
    <t xml:space="preserve">Ceo Event Medya A.Ş.</t>
  </si>
  <si>
    <t xml:space="preserve">CGCAM</t>
  </si>
  <si>
    <t xml:space="preserve">Çağdaş Cam Sanayi ve Ticaret A.Ş.</t>
  </si>
  <si>
    <t xml:space="preserve">CIMSA</t>
  </si>
  <si>
    <t xml:space="preserve">Çimsa Çimento Sanayi ve Ticaret A.Ş.</t>
  </si>
  <si>
    <t xml:space="preserve">CITAS</t>
  </si>
  <si>
    <t xml:space="preserve">Çitlekçi Mağazacılık Gıda A.Ş.</t>
  </si>
  <si>
    <t xml:space="preserve">CLEBI</t>
  </si>
  <si>
    <t xml:space="preserve">Çelebi Hava Servisi A.Ş.</t>
  </si>
  <si>
    <t xml:space="preserve">CMBTN</t>
  </si>
  <si>
    <t xml:space="preserve">Çimbeton Hazırbeton ve Prefabrik Yapı Elemanları Sanayi ve Ticaret A.Ş.</t>
  </si>
  <si>
    <t xml:space="preserve">CMENT</t>
  </si>
  <si>
    <t xml:space="preserve">Çimentaş İzmir Çimento Fabrikası T.A.Ş.</t>
  </si>
  <si>
    <t xml:space="preserve">CONSE</t>
  </si>
  <si>
    <t xml:space="preserve">Consus Enerji İşletmeciliği ve Hizmetleri A.Ş.</t>
  </si>
  <si>
    <t xml:space="preserve">COSMO</t>
  </si>
  <si>
    <t xml:space="preserve">Cosmos Yatırım Holding A.Ş.</t>
  </si>
  <si>
    <t xml:space="preserve">CRDFA</t>
  </si>
  <si>
    <t xml:space="preserve">Creditwest Faktoring A.Ş.</t>
  </si>
  <si>
    <t xml:space="preserve">CRFSA</t>
  </si>
  <si>
    <t xml:space="preserve">Carrefoursa Carrefour Sabancı Ticaret Merkezi A.Ş.</t>
  </si>
  <si>
    <t xml:space="preserve">CUSAN</t>
  </si>
  <si>
    <t xml:space="preserve">Çuhadaroğlu Metal Sanayi ve Pazarlama A.Ş.</t>
  </si>
  <si>
    <t xml:space="preserve">CVKMD</t>
  </si>
  <si>
    <t xml:space="preserve">CVK Maden İşletmeleri Sanayi ve Ticaret A.Ş.</t>
  </si>
  <si>
    <t xml:space="preserve">Madencilik</t>
  </si>
  <si>
    <t xml:space="preserve">02.08.2026 ×2.574</t>
  </si>
  <si>
    <t xml:space="preserve">CWENE</t>
  </si>
  <si>
    <t xml:space="preserve">CW Enerji Mühendislik Ticaret ve Sanayi A.Ş.</t>
  </si>
  <si>
    <t xml:space="preserve">DAGI</t>
  </si>
  <si>
    <t xml:space="preserve">Dagi Giyim Sanayi ve Ticaret A.Ş.</t>
  </si>
  <si>
    <t xml:space="preserve">DAPGM</t>
  </si>
  <si>
    <t xml:space="preserve">DAP Gayrimenkul Geliştirme A.Ş.</t>
  </si>
  <si>
    <t xml:space="preserve">DARDL</t>
  </si>
  <si>
    <t xml:space="preserve">Dardanel Önentaş Gıda Sanayi A.Ş.</t>
  </si>
  <si>
    <t xml:space="preserve">DCTTR</t>
  </si>
  <si>
    <t xml:space="preserve">DCT Trading Dış Ticaret A.Ş.</t>
  </si>
  <si>
    <t xml:space="preserve">DENGE</t>
  </si>
  <si>
    <t xml:space="preserve">Denge Yatırım Holding A.Ş.</t>
  </si>
  <si>
    <t xml:space="preserve">DERHL</t>
  </si>
  <si>
    <t xml:space="preserve">Derlüks Yatırım Holding A.Ş.</t>
  </si>
  <si>
    <t xml:space="preserve">04.08.2026 ×5.014</t>
  </si>
  <si>
    <t xml:space="preserve">DERIM</t>
  </si>
  <si>
    <t xml:space="preserve">Derimod Konfeksiyon Ayakkabı Deri Sanayi ve Ticaret A.Ş.</t>
  </si>
  <si>
    <t xml:space="preserve">DESA</t>
  </si>
  <si>
    <t xml:space="preserve">Desa Deri Sanayi ve Ticaret A.Ş.</t>
  </si>
  <si>
    <t xml:space="preserve">DESPC</t>
  </si>
  <si>
    <t xml:space="preserve">Despec Bilgisayar Pazarlama ve Ticaret A.Ş.</t>
  </si>
  <si>
    <t xml:space="preserve">DEVA</t>
  </si>
  <si>
    <t xml:space="preserve">Deva Holding A.Ş.</t>
  </si>
  <si>
    <t xml:space="preserve">DGATE</t>
  </si>
  <si>
    <t xml:space="preserve">Datagate Bilgisayar Malzemeleri Ticaret A.Ş.</t>
  </si>
  <si>
    <t xml:space="preserve">DGGYO</t>
  </si>
  <si>
    <t xml:space="preserve">Doğuş Gayrimenkul Yatırım Ortaklığı A.Ş.</t>
  </si>
  <si>
    <t xml:space="preserve">DGNMO</t>
  </si>
  <si>
    <t xml:space="preserve">Doğanlar Mobilya Grubu İmalat Sanayi ve Ticaret A.Ş.</t>
  </si>
  <si>
    <t xml:space="preserve">Mobilya</t>
  </si>
  <si>
    <t xml:space="preserve">DIRIT</t>
  </si>
  <si>
    <t xml:space="preserve">Diriteks Diriliş Tekstil Sanayi ve Ticaret A.Ş.</t>
  </si>
  <si>
    <t xml:space="preserve">DITAS</t>
  </si>
  <si>
    <t xml:space="preserve">Ditaş Doğan Yedek Parça İmalat ve Teknik A.Ş.</t>
  </si>
  <si>
    <t xml:space="preserve">DMRGD</t>
  </si>
  <si>
    <t xml:space="preserve">DMR Unlu Mamuller Üretim Gıda Toptan Perakende İhracat A.Ş.</t>
  </si>
  <si>
    <t xml:space="preserve">DMSAS</t>
  </si>
  <si>
    <t xml:space="preserve">Demisaş Döküm Emaye Mamülleri Sanayi A.Ş.</t>
  </si>
  <si>
    <t xml:space="preserve">DNISI</t>
  </si>
  <si>
    <t xml:space="preserve">Dinamik Isı Makina Yalıtım Malzemeleri Sanayi ve Ticaret A.Ş.</t>
  </si>
  <si>
    <t xml:space="preserve">16.08.2026 ×4.334</t>
  </si>
  <si>
    <t xml:space="preserve">DOAS</t>
  </si>
  <si>
    <t xml:space="preserve">Doğuş Otomotiv Servis ve Ticaret A.Ş.</t>
  </si>
  <si>
    <t xml:space="preserve">DOCO</t>
  </si>
  <si>
    <t xml:space="preserve">Do &amp; Co Aktiengesellschaft</t>
  </si>
  <si>
    <t xml:space="preserve">DOFER</t>
  </si>
  <si>
    <t xml:space="preserve">Dofer Yapı Malzemeleri Sanayi ve Ticaret A.Ş.</t>
  </si>
  <si>
    <t xml:space="preserve">DOFRB</t>
  </si>
  <si>
    <t xml:space="preserve">Dof Robotik Sanayi A.Ş.</t>
  </si>
  <si>
    <t xml:space="preserve">DOGUB</t>
  </si>
  <si>
    <t xml:space="preserve">Doğusan Boru Sanayii ve Ticaret A.Ş.</t>
  </si>
  <si>
    <t xml:space="preserve">DOHOL</t>
  </si>
  <si>
    <t xml:space="preserve">Doğan Şirketler Grubu Holding A.Ş.</t>
  </si>
  <si>
    <t xml:space="preserve">DOKTA</t>
  </si>
  <si>
    <t xml:space="preserve">Döktaş Dökümcülük Ticaret ve Sanayi A.Ş.</t>
  </si>
  <si>
    <t xml:space="preserve">DSTKF</t>
  </si>
  <si>
    <t xml:space="preserve">Destek Finans Faktoring A.Ş.</t>
  </si>
  <si>
    <t xml:space="preserve">06.10.2026 16:19</t>
  </si>
  <si>
    <t xml:space="preserve">DUNYH</t>
  </si>
  <si>
    <t xml:space="preserve">Dünya Holding A.Ş.</t>
  </si>
  <si>
    <t xml:space="preserve">DURDO</t>
  </si>
  <si>
    <t xml:space="preserve">Duran Doğan Basım ve Ambalaj Sanayi A.Ş.</t>
  </si>
  <si>
    <t xml:space="preserve">DURKN</t>
  </si>
  <si>
    <t xml:space="preserve">Durukan Şekerleme Sanayi ve Ticaret A.Ş.</t>
  </si>
  <si>
    <t xml:space="preserve">DYOBY</t>
  </si>
  <si>
    <t xml:space="preserve">Dyo Boya Fabrikaları Sanayi ve Ticaret A.Ş.</t>
  </si>
  <si>
    <t xml:space="preserve">DZGYO</t>
  </si>
  <si>
    <t xml:space="preserve">Deniz Gayrimenkul Yatırım Ortaklığı A.Ş.</t>
  </si>
  <si>
    <t xml:space="preserve">EBEBK</t>
  </si>
  <si>
    <t xml:space="preserve">Ebebek Mağazacılık A.Ş.</t>
  </si>
  <si>
    <t xml:space="preserve">ECILC</t>
  </si>
  <si>
    <t xml:space="preserve">Eis Eczacıbaşı İlaç, Sınai ve Finansal Yatırımlar Sanayi ve Ticaret A.Ş.</t>
  </si>
  <si>
    <t xml:space="preserve">ECOGR</t>
  </si>
  <si>
    <t xml:space="preserve">Ecogreen Enerji Holding A.Ş.</t>
  </si>
  <si>
    <t xml:space="preserve">ECZYT</t>
  </si>
  <si>
    <t xml:space="preserve">Eczacıbaşı Yatırım Holding Ortaklığı A.Ş.</t>
  </si>
  <si>
    <t xml:space="preserve">EDATA</t>
  </si>
  <si>
    <t xml:space="preserve">E-Data Teknoloji Pazarlama A.Ş.</t>
  </si>
  <si>
    <t xml:space="preserve">EDIP</t>
  </si>
  <si>
    <t xml:space="preserve">Edip Gayrimenkul Yatırım Sanayi ve Ticaret A.Ş.</t>
  </si>
  <si>
    <t xml:space="preserve">EFOR</t>
  </si>
  <si>
    <t xml:space="preserve">Efor Yatırım Sanayi Ticaret A.Ş.</t>
  </si>
  <si>
    <t xml:space="preserve">EGEEN</t>
  </si>
  <si>
    <t xml:space="preserve">Ege Endüstri ve Ticaret A.Ş.</t>
  </si>
  <si>
    <t xml:space="preserve">EGEGY</t>
  </si>
  <si>
    <t xml:space="preserve">Egeyapı Avrupa Gayrimenkul Yatırım Ortaklığı A.Ş.</t>
  </si>
  <si>
    <t xml:space="preserve">EGEPO</t>
  </si>
  <si>
    <t xml:space="preserve">Nasmed Özel Sağlık Hizmetleri Ticaret A.Ş.</t>
  </si>
  <si>
    <t xml:space="preserve">EGGUB</t>
  </si>
  <si>
    <t xml:space="preserve">Ege Gübre Sanayii A.Ş.</t>
  </si>
  <si>
    <t xml:space="preserve">EGPRO</t>
  </si>
  <si>
    <t xml:space="preserve">Ege Profil Ticaret ve Sanayi A.Ş.</t>
  </si>
  <si>
    <t xml:space="preserve">EGSER</t>
  </si>
  <si>
    <t xml:space="preserve">Ege Seramik Sanayi ve Ticaret A.Ş.</t>
  </si>
  <si>
    <t xml:space="preserve">EKDMR</t>
  </si>
  <si>
    <t xml:space="preserve">Ekinciler Demir ve Çelik Sanayi A.Ş.</t>
  </si>
  <si>
    <t xml:space="preserve">EKGYO</t>
  </si>
  <si>
    <t xml:space="preserve">Emlak Konut Gayrimenkul Yatırım Ortaklığı A.Ş.</t>
  </si>
  <si>
    <t xml:space="preserve">EKIM</t>
  </si>
  <si>
    <t xml:space="preserve">Ekim Turizm Ticaret ve Sanayi A.Ş.</t>
  </si>
  <si>
    <t xml:space="preserve">EKIZ</t>
  </si>
  <si>
    <t xml:space="preserve">Ekiz Kimya Sanayi ve Ticaret A.Ş.</t>
  </si>
  <si>
    <t xml:space="preserve">EKOS</t>
  </si>
  <si>
    <t xml:space="preserve">Ekos Teknoloji ve Elektrik A.Ş.</t>
  </si>
  <si>
    <t xml:space="preserve">EKSUN</t>
  </si>
  <si>
    <t xml:space="preserve">Eksun Gıda Tarım Sanayi ve Ticaret A.Ş</t>
  </si>
  <si>
    <t xml:space="preserve">ELITE</t>
  </si>
  <si>
    <t xml:space="preserve">Elite Naturel Organik Gıda Sanayi ve Ticaret A.Ş.</t>
  </si>
  <si>
    <t xml:space="preserve">EMKEL</t>
  </si>
  <si>
    <t xml:space="preserve">Emek Elektrik Endüstrisi A.Ş.</t>
  </si>
  <si>
    <t xml:space="preserve">EMNIS</t>
  </si>
  <si>
    <t xml:space="preserve">Eminiş Ambalaj Sanayi ve Ticaret A.Ş.</t>
  </si>
  <si>
    <t xml:space="preserve">EMPAE</t>
  </si>
  <si>
    <t xml:space="preserve">Empa Elektronik Sanayi ve Ticaret A.Ş.</t>
  </si>
  <si>
    <t xml:space="preserve">ENDAE</t>
  </si>
  <si>
    <t xml:space="preserve">Enda Enerji Holding A.Ş.</t>
  </si>
  <si>
    <t xml:space="preserve">ENERY</t>
  </si>
  <si>
    <t xml:space="preserve">Enerya Enerji A.Ş.</t>
  </si>
  <si>
    <t xml:space="preserve">ENJSA</t>
  </si>
  <si>
    <t xml:space="preserve">Enerjisa Enerji A.Ş.</t>
  </si>
  <si>
    <t xml:space="preserve">ENKAI</t>
  </si>
  <si>
    <t xml:space="preserve">Enka İnşaat ve Sanayi A.Ş.</t>
  </si>
  <si>
    <t xml:space="preserve">ENPRA</t>
  </si>
  <si>
    <t xml:space="preserve">Enpara Bank A.Ş.</t>
  </si>
  <si>
    <t xml:space="preserve">ENSRI</t>
  </si>
  <si>
    <t xml:space="preserve">Ensari Sınai Yatırımlar A.Ş.</t>
  </si>
  <si>
    <t xml:space="preserve">ENTRA</t>
  </si>
  <si>
    <t xml:space="preserve">IC Enterra Yenilenebilir Enerji A.Ş.</t>
  </si>
  <si>
    <t xml:space="preserve">24.05.2026 ×2.150</t>
  </si>
  <si>
    <t xml:space="preserve">EPLAS</t>
  </si>
  <si>
    <t xml:space="preserve">Egeplast Ege Plastik Ticaret ve Sanayi A.Ş.</t>
  </si>
  <si>
    <t xml:space="preserve">ERBOS</t>
  </si>
  <si>
    <t xml:space="preserve">Erbosan Erciyas Boru Sanayii ve Ticaret A.Ş.</t>
  </si>
  <si>
    <t xml:space="preserve">ERCB</t>
  </si>
  <si>
    <t xml:space="preserve">Erciyas Çelik Boru Sanayi A.Ş.</t>
  </si>
  <si>
    <t xml:space="preserve">EREGL</t>
  </si>
  <si>
    <t xml:space="preserve">Ereğli Demir ve Çelik Fabrikaları T.A.Ş.</t>
  </si>
  <si>
    <t xml:space="preserve">ERSU</t>
  </si>
  <si>
    <t xml:space="preserve">Ersu Meyve ve Gıda Sanayi A.Ş.</t>
  </si>
  <si>
    <t xml:space="preserve">ESCAR</t>
  </si>
  <si>
    <t xml:space="preserve">Escar Turizm Taşımacılık Ticaret A.Ş.</t>
  </si>
  <si>
    <t xml:space="preserve">ESCOM</t>
  </si>
  <si>
    <t xml:space="preserve">Escort Teknoloji Yatırım A.Ş.</t>
  </si>
  <si>
    <t xml:space="preserve">ESEN</t>
  </si>
  <si>
    <t xml:space="preserve">Esenboğa Elektrik Üretim A.Ş.</t>
  </si>
  <si>
    <t xml:space="preserve">ETILR</t>
  </si>
  <si>
    <t xml:space="preserve">Etiler Gıda ve Ticari Yatırımlar Sanayi ve Ticaret A.Ş.</t>
  </si>
  <si>
    <t xml:space="preserve">ETYAT</t>
  </si>
  <si>
    <t xml:space="preserve">Euro Trend Yatırım Ortaklığı A.Ş.</t>
  </si>
  <si>
    <t xml:space="preserve">19.04.2026 ×2.929</t>
  </si>
  <si>
    <t xml:space="preserve">EUHOL</t>
  </si>
  <si>
    <t xml:space="preserve">Euro Yatırım Holding A.Ş.</t>
  </si>
  <si>
    <t xml:space="preserve">EUKYO</t>
  </si>
  <si>
    <t xml:space="preserve">Euro Kapital Yatırım Ortaklığı A.Ş.</t>
  </si>
  <si>
    <t xml:space="preserve">19.04.2026 ×3.064</t>
  </si>
  <si>
    <t xml:space="preserve">EUPWR</t>
  </si>
  <si>
    <t xml:space="preserve">Europower Enerji ve Otomasyon Teknolojileri Sanayi Ticaret A.Ş.</t>
  </si>
  <si>
    <t xml:space="preserve">EUREN</t>
  </si>
  <si>
    <t xml:space="preserve">Europen Endüstri İnşaat Sanayi ve Ticaret A.Ş.</t>
  </si>
  <si>
    <t xml:space="preserve">EUYO</t>
  </si>
  <si>
    <t xml:space="preserve">Euro Menkul Kıymet Yatırım Ortaklığı A.Ş.</t>
  </si>
  <si>
    <t xml:space="preserve">19.04.2026 ×3.055</t>
  </si>
  <si>
    <t xml:space="preserve">EYGYO</t>
  </si>
  <si>
    <t xml:space="preserve">EYG Gayrimenkul Yatırım Ortaklığı A.Ş.</t>
  </si>
  <si>
    <t xml:space="preserve">FADE</t>
  </si>
  <si>
    <t xml:space="preserve">Fade Gıda Yatırım Sanayi Ticaret A.Ş.</t>
  </si>
  <si>
    <t xml:space="preserve">FENER</t>
  </si>
  <si>
    <t xml:space="preserve">Fenerbahçe Futbol A.Ş.</t>
  </si>
  <si>
    <t xml:space="preserve">FLAP</t>
  </si>
  <si>
    <t xml:space="preserve">Flap Kongre Toplantı Hizmetleri Otomotiv ve Turizm A.Ş.</t>
  </si>
  <si>
    <t xml:space="preserve">FMIZP</t>
  </si>
  <si>
    <t xml:space="preserve">Federal-Mogul İzmit Piston ve Pim Üretim Tesisleri A.Ş.</t>
  </si>
  <si>
    <t xml:space="preserve">FONET</t>
  </si>
  <si>
    <t xml:space="preserve">Fonet Bilgi Teknolojileri A.Ş.</t>
  </si>
  <si>
    <t xml:space="preserve">FORMT</t>
  </si>
  <si>
    <t xml:space="preserve">Formet Metal ve Cam Sanayi A.Ş.</t>
  </si>
  <si>
    <t xml:space="preserve">Metal Eşya-Makine</t>
  </si>
  <si>
    <t xml:space="preserve">FORTE</t>
  </si>
  <si>
    <t xml:space="preserve">Forte Bilgi İletişim Teknolojileri ve Savunma Sanayi A.Ş.</t>
  </si>
  <si>
    <t xml:space="preserve">FRIGO</t>
  </si>
  <si>
    <t xml:space="preserve">Frigo-Pak Gıda Maddeleri Sanayi ve Ticaret A.Ş.</t>
  </si>
  <si>
    <t xml:space="preserve">10.05.2026 ×2.889</t>
  </si>
  <si>
    <t xml:space="preserve">FRMPL</t>
  </si>
  <si>
    <t xml:space="preserve">Formül Plastik ve Metal Sanayi A.Ş.</t>
  </si>
  <si>
    <t xml:space="preserve">FROTO</t>
  </si>
  <si>
    <t xml:space="preserve">Ford Otomotiv Sanayi A.Ş.</t>
  </si>
  <si>
    <t xml:space="preserve">FZLGY</t>
  </si>
  <si>
    <t xml:space="preserve">Fuzul Gayrimenkul Yatırım Ortaklığı AŞ</t>
  </si>
  <si>
    <t xml:space="preserve">GARAN</t>
  </si>
  <si>
    <t xml:space="preserve">Türkiye Garanti Bankası A.Ş.</t>
  </si>
  <si>
    <t xml:space="preserve">GARFA</t>
  </si>
  <si>
    <t xml:space="preserve">Garanti Faktoring A.Ş.</t>
  </si>
  <si>
    <t xml:space="preserve">GATEG</t>
  </si>
  <si>
    <t xml:space="preserve">Gate Group Teknoloji Medya ve Siber Güvenlik Hizmetleri A.Ş.</t>
  </si>
  <si>
    <t xml:space="preserve">GEDIK</t>
  </si>
  <si>
    <t xml:space="preserve">Gedik Yatırım Menkul Değerler A.Ş.</t>
  </si>
  <si>
    <t xml:space="preserve">GEDZA</t>
  </si>
  <si>
    <t xml:space="preserve">Gediz Ambalaj Sanayi ve Ticaret A.Ş.</t>
  </si>
  <si>
    <t xml:space="preserve">GENIL</t>
  </si>
  <si>
    <t xml:space="preserve">Gen İlaç ve Sağlık Ürünleri Sanayi ve Ticaret A.Ş.</t>
  </si>
  <si>
    <t xml:space="preserve">GENKM</t>
  </si>
  <si>
    <t xml:space="preserve">Gentaş Kimya Sanayi ve Ticaret Pazarlama A.Ş.</t>
  </si>
  <si>
    <t xml:space="preserve">GENTS</t>
  </si>
  <si>
    <t xml:space="preserve">Gentaş Dekoratif Yüzeyler Sanayi ve Ticaret A.Ş.</t>
  </si>
  <si>
    <t xml:space="preserve">GEREL</t>
  </si>
  <si>
    <t xml:space="preserve">Gersan Elektrik Ticaret ve Sanayi A.Ş.</t>
  </si>
  <si>
    <t xml:space="preserve">GESAN</t>
  </si>
  <si>
    <t xml:space="preserve">Girişim Elektrik Sanayi Taahhüt ve Ticaret A.Ş.</t>
  </si>
  <si>
    <t xml:space="preserve">GIPTA</t>
  </si>
  <si>
    <t xml:space="preserve">Gıpta Ofis Kırtasiye ve Promosyon Ürünleri İmalat Sanayi A.Ş.</t>
  </si>
  <si>
    <t xml:space="preserve">GLBMD</t>
  </si>
  <si>
    <t xml:space="preserve">Global Menkul Değerler A.Ş.</t>
  </si>
  <si>
    <t xml:space="preserve">GLCVY</t>
  </si>
  <si>
    <t xml:space="preserve">Gelecek Varlık Yönetimi A.Ş.</t>
  </si>
  <si>
    <t xml:space="preserve">GLRMK</t>
  </si>
  <si>
    <t xml:space="preserve">Gülermak Ağır Sanayi İnşaat ve Taahhüt A.Ş.</t>
  </si>
  <si>
    <t xml:space="preserve">GLRYH</t>
  </si>
  <si>
    <t xml:space="preserve">Güler Yatırım Holding A.Ş.</t>
  </si>
  <si>
    <t xml:space="preserve">GLYHO</t>
  </si>
  <si>
    <t xml:space="preserve">Global Yatırım Holding A.Ş.</t>
  </si>
  <si>
    <t xml:space="preserve">GMTAS</t>
  </si>
  <si>
    <t xml:space="preserve">Gimat Mağazacılık Sanayi ve Ticaret A.Ş.</t>
  </si>
  <si>
    <t xml:space="preserve">GOKNR</t>
  </si>
  <si>
    <t xml:space="preserve">Göknur Gıda Maddeleri Enerji İmalat İthalat İhracat Ticaret ve Sanayi AŞ</t>
  </si>
  <si>
    <t xml:space="preserve">GOLDA</t>
  </si>
  <si>
    <t xml:space="preserve">Golda Gıda Sanayi ve Ticaret A.Ş.</t>
  </si>
  <si>
    <t xml:space="preserve">GOLTS</t>
  </si>
  <si>
    <t xml:space="preserve">Göltaş Göller Bölgesi Çimento Sanayi ve Ticaret A.Ş.</t>
  </si>
  <si>
    <t xml:space="preserve">GOODY</t>
  </si>
  <si>
    <t xml:space="preserve">Goodyear Lastikleri T.A.Ş.</t>
  </si>
  <si>
    <t xml:space="preserve">28.06.2026 ×5.630</t>
  </si>
  <si>
    <t xml:space="preserve">GOZDE</t>
  </si>
  <si>
    <t xml:space="preserve">Gözde Girişim Sermayesi Yatırım Ortaklığı A.Ş.</t>
  </si>
  <si>
    <t xml:space="preserve">GRNYO</t>
  </si>
  <si>
    <t xml:space="preserve">Garanti Yatırım Ortaklığı A.Ş.</t>
  </si>
  <si>
    <t xml:space="preserve">GRSEL</t>
  </si>
  <si>
    <t xml:space="preserve">GÜR-SEL Turizm Taşımacılık ve Servis Ticaret A.Ş.</t>
  </si>
  <si>
    <t xml:space="preserve">GRTHO</t>
  </si>
  <si>
    <t xml:space="preserve">Graintürk Holding A.Ş.</t>
  </si>
  <si>
    <t xml:space="preserve">GSDDE</t>
  </si>
  <si>
    <t xml:space="preserve">Gsd Denizcilik Gayrimenkul İnşaat Sanayi ve Ticaret A.Ş.</t>
  </si>
  <si>
    <t xml:space="preserve">GSDHO</t>
  </si>
  <si>
    <t xml:space="preserve">Gsd Holding A.Ş.</t>
  </si>
  <si>
    <t xml:space="preserve">GSRAY</t>
  </si>
  <si>
    <t xml:space="preserve">Galatasaray Sportif Sınai ve Ticari Yatırımlar A.Ş.</t>
  </si>
  <si>
    <t xml:space="preserve">GUBRF</t>
  </si>
  <si>
    <t xml:space="preserve">Gübre Fabrikaları T.A.Ş.</t>
  </si>
  <si>
    <t xml:space="preserve">GUNDG</t>
  </si>
  <si>
    <t xml:space="preserve">Gündoğdu Gıda Süt Ürünleri Sanayi ve Dış Ticaret A.Ş.</t>
  </si>
  <si>
    <t xml:space="preserve">06.10.2026 16:17</t>
  </si>
  <si>
    <t xml:space="preserve">GWIND</t>
  </si>
  <si>
    <t xml:space="preserve">Galata Wind Enerji A.Ş.</t>
  </si>
  <si>
    <t xml:space="preserve">GZNMI</t>
  </si>
  <si>
    <t xml:space="preserve">Gezinomi Seyahat Turizm Ticaret A.Ş.</t>
  </si>
  <si>
    <t xml:space="preserve">HALKB</t>
  </si>
  <si>
    <t xml:space="preserve">Türkiye Halk Bankası A.Ş.</t>
  </si>
  <si>
    <t xml:space="preserve">HATEK</t>
  </si>
  <si>
    <t xml:space="preserve">Hateks Hatay Tekstil İşletmeleri A.Ş.</t>
  </si>
  <si>
    <t xml:space="preserve">HATSN</t>
  </si>
  <si>
    <t xml:space="preserve">Hat-San Gemi İnşaa Bakım Onarım Deniz Nakliyat Sanayi ve Ticaret A.Ş.</t>
  </si>
  <si>
    <t xml:space="preserve">HDFGS</t>
  </si>
  <si>
    <t xml:space="preserve">Hedef Girişim Sermayesi Yatırım Ortaklığı A.Ş.</t>
  </si>
  <si>
    <t xml:space="preserve">HEDEF</t>
  </si>
  <si>
    <t xml:space="preserve">Hedef Holding A.Ş.</t>
  </si>
  <si>
    <t xml:space="preserve">31.05.2026 ×1.567</t>
  </si>
  <si>
    <t xml:space="preserve">HEKTS</t>
  </si>
  <si>
    <t xml:space="preserve">Hektaş Ticaret T.A.Ş.</t>
  </si>
  <si>
    <t xml:space="preserve">HKTM</t>
  </si>
  <si>
    <t xml:space="preserve">Hidropar Hareket Kontrol Teknolojileri Merkezi Sanayi ve Ticaret A.Ş.</t>
  </si>
  <si>
    <t xml:space="preserve">HLGYO</t>
  </si>
  <si>
    <t xml:space="preserve">Halk Gayrimenkul Yatırım Ortaklığı A.Ş.</t>
  </si>
  <si>
    <t xml:space="preserve">HOROZ</t>
  </si>
  <si>
    <t xml:space="preserve">Horoz Lojistik Kargo Hizmetleri ve Ticaret A.Ş.</t>
  </si>
  <si>
    <t xml:space="preserve">HRKET</t>
  </si>
  <si>
    <t xml:space="preserve">Hareket Proje Taşımacılığı ve Yük Mühendisliği A.Ş.</t>
  </si>
  <si>
    <t xml:space="preserve">15.09.2026 ×13.802</t>
  </si>
  <si>
    <t xml:space="preserve">HTTBT</t>
  </si>
  <si>
    <t xml:space="preserve">Hitit Bilgisayar Hizmetleri A.Ş.</t>
  </si>
  <si>
    <t xml:space="preserve">HUBVC</t>
  </si>
  <si>
    <t xml:space="preserve">Hub Girişim Sermayesi Yatırım Ortaklığı A.Ş.</t>
  </si>
  <si>
    <t xml:space="preserve">HUNER</t>
  </si>
  <si>
    <t xml:space="preserve">Hun Yenilenebilir Enerji Üretim A.Ş.</t>
  </si>
  <si>
    <t xml:space="preserve">HURGZ</t>
  </si>
  <si>
    <t xml:space="preserve">Hürriyet Gazetecilik ve Matbaacılık A.Ş.</t>
  </si>
  <si>
    <t xml:space="preserve">ICBCT</t>
  </si>
  <si>
    <t xml:space="preserve">Icbc Turkey Bank A.Ş.</t>
  </si>
  <si>
    <t xml:space="preserve">ICUGS</t>
  </si>
  <si>
    <t xml:space="preserve">ICU Girişim Sermayesi Yatırım Ortaklığı A.Ş.</t>
  </si>
  <si>
    <t xml:space="preserve">IDGYO</t>
  </si>
  <si>
    <t xml:space="preserve">İdealist Gayrimenkul Yatırım Ortaklığı A.Ş.</t>
  </si>
  <si>
    <t xml:space="preserve">06.10.2026 16:32</t>
  </si>
  <si>
    <t xml:space="preserve">IEYHO</t>
  </si>
  <si>
    <t xml:space="preserve">Işıklar Enerji ve Yapı Holding A.Ş.</t>
  </si>
  <si>
    <t xml:space="preserve">IHAAS</t>
  </si>
  <si>
    <t xml:space="preserve">İhlas Haber Ajansı A.Ş.</t>
  </si>
  <si>
    <t xml:space="preserve">IHEVA</t>
  </si>
  <si>
    <t xml:space="preserve">İhlas Ev Aletleri İmalat Sanayi ve Ticaret A.Ş.</t>
  </si>
  <si>
    <t xml:space="preserve">06.10.2026 16:20</t>
  </si>
  <si>
    <t xml:space="preserve">IHGZT</t>
  </si>
  <si>
    <t xml:space="preserve">İhlas Gazetecilik A.Ş.</t>
  </si>
  <si>
    <t xml:space="preserve">IHLAS</t>
  </si>
  <si>
    <t xml:space="preserve">İhlas Holding A.Ş.</t>
  </si>
  <si>
    <t xml:space="preserve">07.06.2026 ×1.304</t>
  </si>
  <si>
    <t xml:space="preserve">IHLGM</t>
  </si>
  <si>
    <t xml:space="preserve">İhlas Gayrimenkul Proje Geliştirme ve Ticaret A.Ş.</t>
  </si>
  <si>
    <t xml:space="preserve">IHYAY</t>
  </si>
  <si>
    <t xml:space="preserve">İhlas Yayın Holding A.Ş.</t>
  </si>
  <si>
    <t xml:space="preserve">IMASM</t>
  </si>
  <si>
    <t xml:space="preserve">İmaş Makina Sanayi A.Ş.</t>
  </si>
  <si>
    <t xml:space="preserve">INDES</t>
  </si>
  <si>
    <t xml:space="preserve">İndeks Bilgisayar Sistemleri Mühendislik Sanayi ve Ticaret A.Ş.</t>
  </si>
  <si>
    <t xml:space="preserve">INFO</t>
  </si>
  <si>
    <t xml:space="preserve">İnfo Yatırım Menkul Değerler A.Ş.</t>
  </si>
  <si>
    <t xml:space="preserve">13.09.2026 ×2.029</t>
  </si>
  <si>
    <t xml:space="preserve">INGRM</t>
  </si>
  <si>
    <t xml:space="preserve">Ingram Micro Bilişim Sistemleri A.Ş.</t>
  </si>
  <si>
    <t xml:space="preserve">INTEK</t>
  </si>
  <si>
    <t xml:space="preserve">İnnosa Teknoloji A.Ş.</t>
  </si>
  <si>
    <t xml:space="preserve">INTEM</t>
  </si>
  <si>
    <t xml:space="preserve">İntema İnşaat ve Tesisat Malzemeleri Yatırım ve Pazarlama A.Ş.</t>
  </si>
  <si>
    <t xml:space="preserve">INTET</t>
  </si>
  <si>
    <t xml:space="preserve">İntetra Teknoloji ve Bilişim Hizmetleri A.Ş.</t>
  </si>
  <si>
    <t xml:space="preserve">INVEO</t>
  </si>
  <si>
    <t xml:space="preserve">Inveo Yatırım Holding A.Ş.</t>
  </si>
  <si>
    <t xml:space="preserve">INVES</t>
  </si>
  <si>
    <t xml:space="preserve">Investco Holding A.Ş.</t>
  </si>
  <si>
    <t xml:space="preserve">ISATR</t>
  </si>
  <si>
    <t xml:space="preserve">Türkiye İş Bankası A.Ş.</t>
  </si>
  <si>
    <t xml:space="preserve">06.10.2026 07:00</t>
  </si>
  <si>
    <t xml:space="preserve">ISBIR</t>
  </si>
  <si>
    <t xml:space="preserve">İşbir Holding A.Ş.</t>
  </si>
  <si>
    <t xml:space="preserve">ISBTR</t>
  </si>
  <si>
    <t xml:space="preserve">ISCTR</t>
  </si>
  <si>
    <t xml:space="preserve">ISDMR</t>
  </si>
  <si>
    <t xml:space="preserve">İskenderun Demir ve Çelik A.Ş.</t>
  </si>
  <si>
    <t xml:space="preserve">ISFIN</t>
  </si>
  <si>
    <t xml:space="preserve">İş Finansal Kiralama A.Ş.</t>
  </si>
  <si>
    <t xml:space="preserve">ISGSY</t>
  </si>
  <si>
    <t xml:space="preserve">İş Girişim Sermayesi Yatırım Ortaklığı A.Ş.</t>
  </si>
  <si>
    <t xml:space="preserve">29.06.2026 ×5.835</t>
  </si>
  <si>
    <t xml:space="preserve">ISGYO</t>
  </si>
  <si>
    <t xml:space="preserve">İş Gayrimenkul Yatırım Ortaklığı A.Ş.</t>
  </si>
  <si>
    <t xml:space="preserve">ISKPL</t>
  </si>
  <si>
    <t xml:space="preserve">Işık Plastik Sanayi ve Dış Ticaret Pazarlama A.Ş.</t>
  </si>
  <si>
    <t xml:space="preserve">ISKUR</t>
  </si>
  <si>
    <t xml:space="preserve">ISMEN</t>
  </si>
  <si>
    <t xml:space="preserve">İş Yatırım Menkul Değerler A.Ş.</t>
  </si>
  <si>
    <t xml:space="preserve">ISSEN</t>
  </si>
  <si>
    <t xml:space="preserve">İşbir Sentetik Dokuma Sanayi A.Ş.</t>
  </si>
  <si>
    <t xml:space="preserve">ISVEA</t>
  </si>
  <si>
    <t xml:space="preserve">İsvea Seramik ve Banyo Ürünleri Sanayi A.Ş.</t>
  </si>
  <si>
    <t xml:space="preserve">ISYAT</t>
  </si>
  <si>
    <t xml:space="preserve">İş Yatırım Ortaklığı A.Ş.</t>
  </si>
  <si>
    <t xml:space="preserve">IZENR</t>
  </si>
  <si>
    <t xml:space="preserve">İzdemir Enerji Elektrik Üretim A.Ş.</t>
  </si>
  <si>
    <t xml:space="preserve">IZFAS</t>
  </si>
  <si>
    <t xml:space="preserve">İzmir Fırça Sanayi ve Ticaret A.Ş.</t>
  </si>
  <si>
    <t xml:space="preserve">IZINV</t>
  </si>
  <si>
    <t xml:space="preserve">İZ Yatırım Holding A.Ş</t>
  </si>
  <si>
    <t xml:space="preserve">IZMDC</t>
  </si>
  <si>
    <t xml:space="preserve">İzmir Demir Çelik Sanayi A.Ş.</t>
  </si>
  <si>
    <t xml:space="preserve">JANTS</t>
  </si>
  <si>
    <t xml:space="preserve">Jantsa Jant Sanayi ve Ticaret A.Ş.</t>
  </si>
  <si>
    <t xml:space="preserve">KAPLM</t>
  </si>
  <si>
    <t xml:space="preserve">Kaplamin Ambalaj Sanayi ve Ticaret A.Ş.</t>
  </si>
  <si>
    <t xml:space="preserve">KARCL</t>
  </si>
  <si>
    <t xml:space="preserve">Kardemir Çelik Sanayi A.Ş.</t>
  </si>
  <si>
    <t xml:space="preserve">KAREL</t>
  </si>
  <si>
    <t xml:space="preserve">Karel Elektronik Sanayi ve Ticaret A.Ş.</t>
  </si>
  <si>
    <t xml:space="preserve">KARSN</t>
  </si>
  <si>
    <t xml:space="preserve">Karsan Otomotiv Sanayii ve Ticaret A.Ş.</t>
  </si>
  <si>
    <t xml:space="preserve">KARTN</t>
  </si>
  <si>
    <t xml:space="preserve">Kartonsan Karton Sanayi ve Ticaret A.Ş.</t>
  </si>
  <si>
    <t xml:space="preserve">KATMR</t>
  </si>
  <si>
    <t xml:space="preserve">Katmerciler Araç Üstü Ekipman Sanayi ve Ticaret A.Ş.</t>
  </si>
  <si>
    <t xml:space="preserve">KAYSE</t>
  </si>
  <si>
    <t xml:space="preserve">Kayseri Şeker Fabrikası A.Ş.</t>
  </si>
  <si>
    <t xml:space="preserve">KBORU</t>
  </si>
  <si>
    <t xml:space="preserve">Kuzey Boru A.Ş.</t>
  </si>
  <si>
    <t xml:space="preserve">KCAER</t>
  </si>
  <si>
    <t xml:space="preserve">Kocaer Çelik Sanayi ve Ticaret A.Ş.</t>
  </si>
  <si>
    <t xml:space="preserve">KCHOL</t>
  </si>
  <si>
    <t xml:space="preserve">Koç Holding A.Ş.</t>
  </si>
  <si>
    <t xml:space="preserve">KENT</t>
  </si>
  <si>
    <t xml:space="preserve">Kent Gıda Maddeleri Sanayii ve Ticaret A.Ş.</t>
  </si>
  <si>
    <t xml:space="preserve">KERVN</t>
  </si>
  <si>
    <t xml:space="preserve">Kervansaray Yatırım Holding A.Ş.</t>
  </si>
  <si>
    <t xml:space="preserve">KFEIN</t>
  </si>
  <si>
    <t xml:space="preserve">Kafein Yazılım Hizmetleri Ticaret A.Ş.</t>
  </si>
  <si>
    <t xml:space="preserve">KGYO</t>
  </si>
  <si>
    <t xml:space="preserve">Koray Gayrimenkul Yatırım Ortaklığı A.Ş.</t>
  </si>
  <si>
    <t xml:space="preserve">KIMMR</t>
  </si>
  <si>
    <t xml:space="preserve">Ersan Alışveriş Hizmetleri ve Gıda Sanayi Ticaret A.Ş.</t>
  </si>
  <si>
    <t xml:space="preserve">KLGYO</t>
  </si>
  <si>
    <t xml:space="preserve">Kiler Gayrimenkul Yatırım Ortaklığı A.Ş.</t>
  </si>
  <si>
    <t xml:space="preserve">KLKIM</t>
  </si>
  <si>
    <t xml:space="preserve">Kalekim Kimyevi Maddeler Sanayi ve Ticaret A.Ş.</t>
  </si>
  <si>
    <t xml:space="preserve">KLMSN</t>
  </si>
  <si>
    <t xml:space="preserve">Klimasan Klima Sanayi ve Ticaret A.Ş.</t>
  </si>
  <si>
    <t xml:space="preserve">KLNMA</t>
  </si>
  <si>
    <t xml:space="preserve">Türkiye Kalkınma ve Yatırım Bankası A.Ş.</t>
  </si>
  <si>
    <t xml:space="preserve">KLRHO</t>
  </si>
  <si>
    <t xml:space="preserve">Kiler Holding A.Ş.</t>
  </si>
  <si>
    <t xml:space="preserve">27.09.2026 ×2.000</t>
  </si>
  <si>
    <t xml:space="preserve">KLSER</t>
  </si>
  <si>
    <t xml:space="preserve">Kaleseramik, Çanakkale Kalebodur Seramik Sanayi AŞ</t>
  </si>
  <si>
    <t xml:space="preserve">KLSYN</t>
  </si>
  <si>
    <t xml:space="preserve">Koleksiyon Mobilya Sanayi A.Ş.</t>
  </si>
  <si>
    <t xml:space="preserve">KLYPV</t>
  </si>
  <si>
    <t xml:space="preserve">Kalyon Güneş Teknolojileri Üretim A.Ş.</t>
  </si>
  <si>
    <t xml:space="preserve">KMPUR</t>
  </si>
  <si>
    <t xml:space="preserve">Kimteks Poliüretan Sanayi ve Ticaret A.Ş.</t>
  </si>
  <si>
    <t xml:space="preserve">KNFRT</t>
  </si>
  <si>
    <t xml:space="preserve">Konfrut Tarım A.Ş.</t>
  </si>
  <si>
    <t xml:space="preserve">KOCMT</t>
  </si>
  <si>
    <t xml:space="preserve">Koç Metalurji A.Ş.</t>
  </si>
  <si>
    <t xml:space="preserve">KONKA</t>
  </si>
  <si>
    <t xml:space="preserve">Konya Kağıt Sanayi ve Ticaret A.Ş.</t>
  </si>
  <si>
    <t xml:space="preserve">KONTR</t>
  </si>
  <si>
    <t xml:space="preserve">Kontrolmatik Teknoloji Enerji ve Mühendislik A.Ş.</t>
  </si>
  <si>
    <t xml:space="preserve">KONYA</t>
  </si>
  <si>
    <t xml:space="preserve">Konya Çimento Sanayii A.Ş.</t>
  </si>
  <si>
    <t xml:space="preserve">KOPOL</t>
  </si>
  <si>
    <t xml:space="preserve">Koza Polyester Sanayi ve Ticaret A.Ş.</t>
  </si>
  <si>
    <t xml:space="preserve">KORDS</t>
  </si>
  <si>
    <t xml:space="preserve">Kordsa Teknik Tekstil A.Ş.</t>
  </si>
  <si>
    <t xml:space="preserve">08.09.2026 ×18.810</t>
  </si>
  <si>
    <t xml:space="preserve">KOTON</t>
  </si>
  <si>
    <t xml:space="preserve">Koton Mağazacılık Tekstil Sanayi ve Ticaret A.Ş.</t>
  </si>
  <si>
    <t xml:space="preserve">Giyim Perakende</t>
  </si>
  <si>
    <t xml:space="preserve">KPEKS</t>
  </si>
  <si>
    <t xml:space="preserve">Kapeks Kimya Sanayi A.Ş.</t>
  </si>
  <si>
    <t xml:space="preserve">KRDMA</t>
  </si>
  <si>
    <t xml:space="preserve">Kardemir Karabük Demir Çelik Sanayi ve Ticaret A.Ş.</t>
  </si>
  <si>
    <t xml:space="preserve">KRDMB</t>
  </si>
  <si>
    <t xml:space="preserve">KRDMD</t>
  </si>
  <si>
    <t xml:space="preserve">KRGYO</t>
  </si>
  <si>
    <t xml:space="preserve">Körfez Gayrimenkul Yatırım Ortaklığı A.Ş.</t>
  </si>
  <si>
    <t xml:space="preserve">KRONT</t>
  </si>
  <si>
    <t xml:space="preserve">Kron Teknoloji A.Ş.</t>
  </si>
  <si>
    <t xml:space="preserve">KRPLS</t>
  </si>
  <si>
    <t xml:space="preserve">Koroplast Temizlik Ambalaj Ürünleri Sanayi ve Dış Ticaret A.Ş.</t>
  </si>
  <si>
    <t xml:space="preserve">KRSTL</t>
  </si>
  <si>
    <t xml:space="preserve">Kristal Kola ve Meşrubat Sanayi Ticaret A.Ş.</t>
  </si>
  <si>
    <t xml:space="preserve">KRTEK</t>
  </si>
  <si>
    <t xml:space="preserve">Karsu Tekstil Sanayii ve Ticaret A.Ş.</t>
  </si>
  <si>
    <t xml:space="preserve">28.07.2026 ×3.461</t>
  </si>
  <si>
    <t xml:space="preserve">KRVGD</t>
  </si>
  <si>
    <t xml:space="preserve">Kervan Gıda Sanayi ve Ticaret A.Ş.</t>
  </si>
  <si>
    <t xml:space="preserve">KSTUR</t>
  </si>
  <si>
    <t xml:space="preserve">Kuştur Kuşadası Turizm Endüstri A.Ş.</t>
  </si>
  <si>
    <t xml:space="preserve">KTLEV</t>
  </si>
  <si>
    <t xml:space="preserve">Katılımevim Tasarruf Finansman A.Ş.</t>
  </si>
  <si>
    <t xml:space="preserve">28.07.2026 ×3.348</t>
  </si>
  <si>
    <t xml:space="preserve">KTSKR</t>
  </si>
  <si>
    <t xml:space="preserve">Kütahya Şeker Fabrikası A.Ş</t>
  </si>
  <si>
    <t xml:space="preserve">KUTPO</t>
  </si>
  <si>
    <t xml:space="preserve">Kütahya Porselen Sanayi A.Ş.</t>
  </si>
  <si>
    <t xml:space="preserve">KUVVA</t>
  </si>
  <si>
    <t xml:space="preserve">Kuvva Gıda Ticaret ve Sanayi Yatırımları A.Ş.</t>
  </si>
  <si>
    <t xml:space="preserve">06.10.2026 16:10</t>
  </si>
  <si>
    <t xml:space="preserve">KUYAS</t>
  </si>
  <si>
    <t xml:space="preserve">Kuyaş Yatırım A.Ş.</t>
  </si>
  <si>
    <t xml:space="preserve">KZBGY</t>
  </si>
  <si>
    <t xml:space="preserve">Kızılbük Gayrimenkul Yatırım Ortaklığı A.Ş.</t>
  </si>
  <si>
    <t xml:space="preserve">KZGYO</t>
  </si>
  <si>
    <t xml:space="preserve">Kuzugrup Gayrimenkul Yatırım Ortaklığı A.Ş.</t>
  </si>
  <si>
    <t xml:space="preserve">LIDER</t>
  </si>
  <si>
    <t xml:space="preserve">LDR Turizm A.Ş.</t>
  </si>
  <si>
    <t xml:space="preserve">LIDFA</t>
  </si>
  <si>
    <t xml:space="preserve">Lider Faktoring A.Ş.</t>
  </si>
  <si>
    <t xml:space="preserve">13.09.2026 ×1.521</t>
  </si>
  <si>
    <t xml:space="preserve">LILAK</t>
  </si>
  <si>
    <t xml:space="preserve">Lila Kağıt Sanayi ve Ticaret A.Ş.</t>
  </si>
  <si>
    <t xml:space="preserve">LINK</t>
  </si>
  <si>
    <t xml:space="preserve">Link Bilgisayar Sistemleri Yazılımı ve Donanımı Sanayi ve Ticaret A.Ş.</t>
  </si>
  <si>
    <t xml:space="preserve">LKMNH</t>
  </si>
  <si>
    <t xml:space="preserve">Lokman Hekim Engürüsağ Sağlık, Turizm, Eğitim Hizmetleri ve İnşaat Taahhüt A.Ş.</t>
  </si>
  <si>
    <t xml:space="preserve">LMKDC</t>
  </si>
  <si>
    <t xml:space="preserve">Limak Doğu Anadolu Çimento Sanayi ve Ticaret A.Ş.</t>
  </si>
  <si>
    <t xml:space="preserve">LOGO</t>
  </si>
  <si>
    <t xml:space="preserve">Logo Yazılım Sanayi ve Ticaret A.Ş.</t>
  </si>
  <si>
    <t xml:space="preserve">LRSHO</t>
  </si>
  <si>
    <t xml:space="preserve">Loras Holding A.Ş.</t>
  </si>
  <si>
    <t xml:space="preserve">LUKSK</t>
  </si>
  <si>
    <t xml:space="preserve">Lüks Kadife Ticaret ve Sanayii A.Ş.</t>
  </si>
  <si>
    <t xml:space="preserve">LXGYO</t>
  </si>
  <si>
    <t xml:space="preserve">Luxera Gayrimenkul Yatırım Ortaklığı A.Ş.</t>
  </si>
  <si>
    <t xml:space="preserve">LYDHO</t>
  </si>
  <si>
    <t xml:space="preserve">Lydia Holding A.Ş.</t>
  </si>
  <si>
    <t xml:space="preserve">LYDYE</t>
  </si>
  <si>
    <t xml:space="preserve">Lydia Yeşil Enerji Kaynakları A.Ş.</t>
  </si>
  <si>
    <t xml:space="preserve">MAALT</t>
  </si>
  <si>
    <t xml:space="preserve">Marmaris Altınyunus Turistik Tesisler A.Ş.</t>
  </si>
  <si>
    <t xml:space="preserve">MACKO</t>
  </si>
  <si>
    <t xml:space="preserve">Mackolik İnternet Hizmetleri Ticaret A.Ş.</t>
  </si>
  <si>
    <t xml:space="preserve">MAGEN</t>
  </si>
  <si>
    <t xml:space="preserve">Margün Enerji Üretim Sanayi ve Ticaret A.Ş.</t>
  </si>
  <si>
    <t xml:space="preserve">MAKIM</t>
  </si>
  <si>
    <t xml:space="preserve">Makim Makina Teknolojileri San. Tic. A.Ş</t>
  </si>
  <si>
    <t xml:space="preserve">MAKTK</t>
  </si>
  <si>
    <t xml:space="preserve">Makina Takım Endüstrisi A.Ş.</t>
  </si>
  <si>
    <t xml:space="preserve">MANAS</t>
  </si>
  <si>
    <t xml:space="preserve">Manas Enerji Yönetimi Sanayi ve Ticaret A.Ş.</t>
  </si>
  <si>
    <t xml:space="preserve">MARBL</t>
  </si>
  <si>
    <t xml:space="preserve">Tureks Turunç Madencilik İç ve Dış Ticaret A.Ş.</t>
  </si>
  <si>
    <t xml:space="preserve">MARMR</t>
  </si>
  <si>
    <t xml:space="preserve">Marmara Holding A.Ş.</t>
  </si>
  <si>
    <t xml:space="preserve">MARTI</t>
  </si>
  <si>
    <t xml:space="preserve">Martı Otel İşletmeleri A.Ş.</t>
  </si>
  <si>
    <t xml:space="preserve">MASFN</t>
  </si>
  <si>
    <t xml:space="preserve">Masfen Enerji A.Ş.</t>
  </si>
  <si>
    <t xml:space="preserve">MAVI</t>
  </si>
  <si>
    <t xml:space="preserve">Mavi Giyim Sanayi ve Ticaret A.Ş.</t>
  </si>
  <si>
    <t xml:space="preserve">MCARD</t>
  </si>
  <si>
    <t xml:space="preserve">Metropal Kurumsal Hizmetler A.Ş.</t>
  </si>
  <si>
    <t xml:space="preserve">MEDTR</t>
  </si>
  <si>
    <t xml:space="preserve">Meditera Tıbbi Malzeme Sanayi ve Ticaret A.Ş.</t>
  </si>
  <si>
    <t xml:space="preserve">MEGAP</t>
  </si>
  <si>
    <t xml:space="preserve">Mega Polietilen Köpük Sanayi A.Ş.</t>
  </si>
  <si>
    <t xml:space="preserve">MEGMT</t>
  </si>
  <si>
    <t xml:space="preserve">Mega Metal Sanayi ve Ticaret A.Ş.</t>
  </si>
  <si>
    <t xml:space="preserve">15.09.2026 ×9.605</t>
  </si>
  <si>
    <t xml:space="preserve">MEKAG</t>
  </si>
  <si>
    <t xml:space="preserve">Meka Global Makine İmalat Sanayi ve Ticaret A.Ş.</t>
  </si>
  <si>
    <t xml:space="preserve">MEPET</t>
  </si>
  <si>
    <t xml:space="preserve">Mepet Metro Petrol ve Tesisleri Sanayi Ticaret A.Ş.</t>
  </si>
  <si>
    <t xml:space="preserve">MERCN</t>
  </si>
  <si>
    <t xml:space="preserve">Mercan Kimya Sanayi ve Ticaret A.Ş.</t>
  </si>
  <si>
    <t xml:space="preserve">MERIT</t>
  </si>
  <si>
    <t xml:space="preserve">Merit Turizm Yatırım ve İşletme A.Ş.</t>
  </si>
  <si>
    <t xml:space="preserve">MERKO</t>
  </si>
  <si>
    <t xml:space="preserve">Merko Gıda Sanayi ve Ticaret A.Ş.</t>
  </si>
  <si>
    <t xml:space="preserve">03.05.2026 ×7.202</t>
  </si>
  <si>
    <t xml:space="preserve">METEN</t>
  </si>
  <si>
    <t xml:space="preserve">Metgün Enerji Yatırımları A.Ş.</t>
  </si>
  <si>
    <t xml:space="preserve">METRO</t>
  </si>
  <si>
    <t xml:space="preserve">Metro Ticari ve Mali Yatırımlar Holding A.Ş.</t>
  </si>
  <si>
    <t xml:space="preserve">MEYSU</t>
  </si>
  <si>
    <t xml:space="preserve">Meysu Gıda Sanayi ve Ticaret A.Ş.</t>
  </si>
  <si>
    <t xml:space="preserve">MGROS</t>
  </si>
  <si>
    <t xml:space="preserve">Migros Ticaret A.Ş.</t>
  </si>
  <si>
    <t xml:space="preserve">MHRGY</t>
  </si>
  <si>
    <t xml:space="preserve">MHR Gayrimenkul Yatırım Ortaklığı A.Ş.</t>
  </si>
  <si>
    <t xml:space="preserve">06.09.2026 ×1.495</t>
  </si>
  <si>
    <t xml:space="preserve">MIATK</t>
  </si>
  <si>
    <t xml:space="preserve">Mia Teknoloji A.Ş.</t>
  </si>
  <si>
    <t xml:space="preserve">MMCAS</t>
  </si>
  <si>
    <t xml:space="preserve">Mmc Sanayi ve Ticari Yatırımlar A.Ş.</t>
  </si>
  <si>
    <t xml:space="preserve">MNDRS</t>
  </si>
  <si>
    <t xml:space="preserve">Menderes Tekstil Sanayi ve Ticaret A.Ş.</t>
  </si>
  <si>
    <t xml:space="preserve">MNDTR</t>
  </si>
  <si>
    <t xml:space="preserve">Mondi Turkey Oluklu Mukavva Kağıt ve Ambalaj Sanayi A.Ş.</t>
  </si>
  <si>
    <t xml:space="preserve">MOBTL</t>
  </si>
  <si>
    <t xml:space="preserve">Mobiltel İletişim Hizmetleri Sanayi ve Ticaret A.Ş.</t>
  </si>
  <si>
    <t xml:space="preserve">MOGAN</t>
  </si>
  <si>
    <t xml:space="preserve">Mogan Enerji Yatırım Holding A.Ş</t>
  </si>
  <si>
    <t xml:space="preserve">MOPAS</t>
  </si>
  <si>
    <t xml:space="preserve">Mopaş Marketcilik Gıda Sanayi ve Ticaret A.Ş.</t>
  </si>
  <si>
    <t xml:space="preserve">MPARK</t>
  </si>
  <si>
    <t xml:space="preserve">Mlp Sağlık Hizmetleri A.Ş.</t>
  </si>
  <si>
    <t xml:space="preserve">MRGYO</t>
  </si>
  <si>
    <t xml:space="preserve">Martı Gayrimenkul Yatırım Ortaklığı A.Ş.</t>
  </si>
  <si>
    <t xml:space="preserve">MRSHL</t>
  </si>
  <si>
    <t xml:space="preserve">Marshall Boya ve Vernik Sanayii A.Ş.</t>
  </si>
  <si>
    <t xml:space="preserve">MSGYO</t>
  </si>
  <si>
    <t xml:space="preserve">Mistral Gayrimenkul Yatırım Ortaklığı A.Ş.</t>
  </si>
  <si>
    <t xml:space="preserve">MTRKS</t>
  </si>
  <si>
    <t xml:space="preserve">Matriks Finansal Teknolojiler A.Ş.</t>
  </si>
  <si>
    <t xml:space="preserve">MTRYO</t>
  </si>
  <si>
    <t xml:space="preserve">Metro Yatırım Ortaklığı A.Ş.</t>
  </si>
  <si>
    <t xml:space="preserve">MZHLD</t>
  </si>
  <si>
    <t xml:space="preserve">Mazhar Zorlu Holding A.Ş.</t>
  </si>
  <si>
    <t xml:space="preserve">NATEN</t>
  </si>
  <si>
    <t xml:space="preserve">Naturel Yenilenebilir Enerji Ticaret A.Ş.</t>
  </si>
  <si>
    <t xml:space="preserve">NETAS</t>
  </si>
  <si>
    <t xml:space="preserve">Netaş Telekomünikasyon A.Ş.</t>
  </si>
  <si>
    <t xml:space="preserve">NETCD</t>
  </si>
  <si>
    <t xml:space="preserve">Netcad Yazılım A.Ş.</t>
  </si>
  <si>
    <t xml:space="preserve">NETGL</t>
  </si>
  <si>
    <t xml:space="preserve">FCF kapsamı</t>
  </si>
  <si>
    <t xml:space="preserve">NIBAS</t>
  </si>
  <si>
    <t xml:space="preserve">Niğbaş Niğde Beton Sanayi ve Ticaret A.Ş.</t>
  </si>
  <si>
    <t xml:space="preserve">NTGAZ</t>
  </si>
  <si>
    <t xml:space="preserve">Naturelgaz Sanayi ve Ticaret A.Ş.</t>
  </si>
  <si>
    <t xml:space="preserve">NTHOL</t>
  </si>
  <si>
    <t xml:space="preserve">Net Holding A.Ş.</t>
  </si>
  <si>
    <t xml:space="preserve">NUGYO</t>
  </si>
  <si>
    <t xml:space="preserve">Nurol Gayrimenkul Yatırım Ortaklığı A.Ş.</t>
  </si>
  <si>
    <t xml:space="preserve">NUHCM</t>
  </si>
  <si>
    <t xml:space="preserve">Nuh Çimento Sanayi A.Ş.</t>
  </si>
  <si>
    <t xml:space="preserve">16.03.2026 ×1.116</t>
  </si>
  <si>
    <t xml:space="preserve">OBAMS</t>
  </si>
  <si>
    <t xml:space="preserve">Oba Makarnacılık Sanayi ve Ticaret A.Ş</t>
  </si>
  <si>
    <t xml:space="preserve">OBASE</t>
  </si>
  <si>
    <t xml:space="preserve">Obase Bilgisayar ve Danışmanlık Hizmetleri Ticaret A.Ş.</t>
  </si>
  <si>
    <t xml:space="preserve">ODAS</t>
  </si>
  <si>
    <t xml:space="preserve">Odaş Elektrik Üretim Sanayi Ticaret A.Ş.</t>
  </si>
  <si>
    <t xml:space="preserve">ODINE</t>
  </si>
  <si>
    <t xml:space="preserve">Odine Solutions Teknoloji Ticaret ve Sanayi A.Ş.</t>
  </si>
  <si>
    <t xml:space="preserve">OFSYM</t>
  </si>
  <si>
    <t xml:space="preserve">Ofis Yem Gıda Sanayi ve Ticaret A.Ş.</t>
  </si>
  <si>
    <t xml:space="preserve">ONCSM</t>
  </si>
  <si>
    <t xml:space="preserve">Oncosem Onkolojik Sistemler Sanayi ve Ticaret A.Ş.</t>
  </si>
  <si>
    <t xml:space="preserve">ONRYT</t>
  </si>
  <si>
    <t xml:space="preserve">Onur Yüksek Teknoloji A.Ş.</t>
  </si>
  <si>
    <t xml:space="preserve">08.09.2026 ×4.013</t>
  </si>
  <si>
    <t xml:space="preserve">ORCAY</t>
  </si>
  <si>
    <t xml:space="preserve">Orçay Ortaköy Çay Sanayi ve Ticaret A.Ş.</t>
  </si>
  <si>
    <t xml:space="preserve">ORGE</t>
  </si>
  <si>
    <t xml:space="preserve">Orge Enerji Elektrik Taahhüt A.Ş.</t>
  </si>
  <si>
    <t xml:space="preserve">16.08.2026 ×4.809</t>
  </si>
  <si>
    <t xml:space="preserve">ORMA</t>
  </si>
  <si>
    <t xml:space="preserve">Orma Orman Mahsulleri Entegre Sanayi ve Ticaret A.Ş.</t>
  </si>
  <si>
    <t xml:space="preserve">ORZAX</t>
  </si>
  <si>
    <t xml:space="preserve">Orzaks İlaç ve Kimya Sanayi Ticaret A.Ş.</t>
  </si>
  <si>
    <t xml:space="preserve">OSMEN</t>
  </si>
  <si>
    <t xml:space="preserve">Osmanlı Yatırım Menkul Değerler A.Ş.</t>
  </si>
  <si>
    <t xml:space="preserve">OSTIM</t>
  </si>
  <si>
    <t xml:space="preserve">Ostim Endüstriyel Yatırımlar ve İşletme A.Ş.</t>
  </si>
  <si>
    <t xml:space="preserve">21.06.2026 ×1.340</t>
  </si>
  <si>
    <t xml:space="preserve">OTKAR</t>
  </si>
  <si>
    <t xml:space="preserve">Otokar Otomotiv ve Savunma Sanayi A.Ş.</t>
  </si>
  <si>
    <t xml:space="preserve">OTTO</t>
  </si>
  <si>
    <t xml:space="preserve">Otto Holding A.Ş.</t>
  </si>
  <si>
    <t xml:space="preserve">OYAKC</t>
  </si>
  <si>
    <t xml:space="preserve">Oyak Çimento Fabrikaları A.Ş.</t>
  </si>
  <si>
    <t xml:space="preserve">OYAYO</t>
  </si>
  <si>
    <t xml:space="preserve">Oyak Yatırım Ortaklığı A.Ş.</t>
  </si>
  <si>
    <t xml:space="preserve">OYLUM</t>
  </si>
  <si>
    <t xml:space="preserve">Oylum Sınai Yatırımlar A.Ş.</t>
  </si>
  <si>
    <t xml:space="preserve">06.10.2026 16:13</t>
  </si>
  <si>
    <t xml:space="preserve">OYYAT</t>
  </si>
  <si>
    <t xml:space="preserve">Oyak Yatırım Menkul Değerler A.Ş.</t>
  </si>
  <si>
    <t xml:space="preserve">OZATD</t>
  </si>
  <si>
    <t xml:space="preserve">Özata Denizcilik Sanayi ve Ticaret A.Ş.</t>
  </si>
  <si>
    <t xml:space="preserve">OZGYO</t>
  </si>
  <si>
    <t xml:space="preserve">Özderici Gayrimenkul Yatırım Ortaklığı A.Ş.</t>
  </si>
  <si>
    <t xml:space="preserve">OZKGY</t>
  </si>
  <si>
    <t xml:space="preserve">Özak Gayrimenkul Yatırım Ortaklığı A.Ş.</t>
  </si>
  <si>
    <t xml:space="preserve">OZRDN</t>
  </si>
  <si>
    <t xml:space="preserve">Özerden Ambalaj Sanayi A.Ş.</t>
  </si>
  <si>
    <t xml:space="preserve">OZSUB</t>
  </si>
  <si>
    <t xml:space="preserve">Özsu Balık Üretim A.Ş.</t>
  </si>
  <si>
    <t xml:space="preserve">OZYSR</t>
  </si>
  <si>
    <t xml:space="preserve">Özyaşar Tel ve Galvanizleme Sanayi A.Ş.</t>
  </si>
  <si>
    <t xml:space="preserve">19.04.2026 ×4.015</t>
  </si>
  <si>
    <t xml:space="preserve">PAGYO</t>
  </si>
  <si>
    <t xml:space="preserve">Panora Gayrimenkul Yatırım Ortaklığı A.Ş.</t>
  </si>
  <si>
    <t xml:space="preserve">PAHOL</t>
  </si>
  <si>
    <t xml:space="preserve">Pasifik Holding A.Ş.</t>
  </si>
  <si>
    <t xml:space="preserve">PAMEL</t>
  </si>
  <si>
    <t xml:space="preserve">Pamukova Yenilenebilir Elektrik Üretimi A.Ş.</t>
  </si>
  <si>
    <t xml:space="preserve">PAPIL</t>
  </si>
  <si>
    <t xml:space="preserve">Papilon Savunma-Güvenlik Sistemleri Bilişim Mühendislik Hizmetleri İthalat İhracat Sanayi ve Ticaret A.Ş.</t>
  </si>
  <si>
    <t xml:space="preserve">PARSN</t>
  </si>
  <si>
    <t xml:space="preserve">Parsan Makina Parçaları Sanayii A.Ş.</t>
  </si>
  <si>
    <t xml:space="preserve">PASEU</t>
  </si>
  <si>
    <t xml:space="preserve">Pasifik Eurasia Lojistik Dış Ticaret A.Ş.</t>
  </si>
  <si>
    <t xml:space="preserve">PATEK</t>
  </si>
  <si>
    <t xml:space="preserve">Pasifik Donanım ve Yazılım Bilgi Teknolojileri A.Ş.</t>
  </si>
  <si>
    <t xml:space="preserve">PCILT</t>
  </si>
  <si>
    <t xml:space="preserve">PC İletişim ve Medya Hizmetleri Sanayi Ticaret A.Ş.</t>
  </si>
  <si>
    <t xml:space="preserve">PEKGY</t>
  </si>
  <si>
    <t xml:space="preserve">Peker Gayrimenkul Yatırım Ortaklığı A.Ş.</t>
  </si>
  <si>
    <t xml:space="preserve">PENGD</t>
  </si>
  <si>
    <t xml:space="preserve">Penguen Gıda Sanayi A.Ş.</t>
  </si>
  <si>
    <t xml:space="preserve">PENTA</t>
  </si>
  <si>
    <t xml:space="preserve">Penta Teknoloji Ürünleri Dağıtım Ticaret A.Ş.</t>
  </si>
  <si>
    <t xml:space="preserve">PETKM</t>
  </si>
  <si>
    <t xml:space="preserve">Petkim Petrokimya Holding A.Ş.</t>
  </si>
  <si>
    <t xml:space="preserve">PETUN</t>
  </si>
  <si>
    <t xml:space="preserve">Pınar Entegre Et ve Un Sanayii A.Ş.</t>
  </si>
  <si>
    <t xml:space="preserve">PGSUS</t>
  </si>
  <si>
    <t xml:space="preserve">Pegasus Hava Taşımacılığı A.Ş.</t>
  </si>
  <si>
    <t xml:space="preserve">PINSU</t>
  </si>
  <si>
    <t xml:space="preserve">Pınar Su Sanayi ve Ticaret A.Ş.</t>
  </si>
  <si>
    <t xml:space="preserve">PKART</t>
  </si>
  <si>
    <t xml:space="preserve">Plastikkart Akıllı Kart İletişim Sistemleri Sanayi ve Ticaret A.Ş.</t>
  </si>
  <si>
    <t xml:space="preserve">PKENT</t>
  </si>
  <si>
    <t xml:space="preserve">Petrokent Turizm A.Ş.</t>
  </si>
  <si>
    <t xml:space="preserve">PLTUR</t>
  </si>
  <si>
    <t xml:space="preserve">Platform Turizm Taşımacılık Gıda İnşaat Temizlik Hizmetleri Sanayi ve Ticaret A.Ş.</t>
  </si>
  <si>
    <t xml:space="preserve">PNLSN</t>
  </si>
  <si>
    <t xml:space="preserve">PANELSAN ÇATI CEPHE SİSTEMLERİ SANAYİ VE TİCARET A.Ş.</t>
  </si>
  <si>
    <t xml:space="preserve">PNSUT</t>
  </si>
  <si>
    <t xml:space="preserve">Pınar Süt Mamülleri Sanayi A.Ş.</t>
  </si>
  <si>
    <t xml:space="preserve">POLHO</t>
  </si>
  <si>
    <t xml:space="preserve">Polisan Holding A.Ş.</t>
  </si>
  <si>
    <t xml:space="preserve">POLTK</t>
  </si>
  <si>
    <t xml:space="preserve">Politeknik Metal Sanayi ve Ticaret A.Ş.</t>
  </si>
  <si>
    <t xml:space="preserve">PRDGS</t>
  </si>
  <si>
    <t xml:space="preserve">Pardus Girişim Sermayesi Yatırım Ortaklığı A.Ş</t>
  </si>
  <si>
    <t xml:space="preserve">PRKAB</t>
  </si>
  <si>
    <t xml:space="preserve">Türk Prysmian Kablo ve Sistemleri A.Ş.</t>
  </si>
  <si>
    <t xml:space="preserve">PRKME</t>
  </si>
  <si>
    <t xml:space="preserve">Park Elektrik Üretim Madencilik Sanayi ve Ticaret A.Ş.</t>
  </si>
  <si>
    <t xml:space="preserve">PRZMA</t>
  </si>
  <si>
    <t xml:space="preserve">Prizma Pres Matbaacılık Yayıncılık Sanayi ve Ticaret A.Ş.</t>
  </si>
  <si>
    <t xml:space="preserve">PSDTC</t>
  </si>
  <si>
    <t xml:space="preserve">Pergamon Status Dış Ticaret A.Ş.</t>
  </si>
  <si>
    <t xml:space="preserve">PSGYO</t>
  </si>
  <si>
    <t xml:space="preserve">Pasifik Gayrimenkul Yatırım Ortaklığı A.Ş.</t>
  </si>
  <si>
    <t xml:space="preserve">QNBFK</t>
  </si>
  <si>
    <t xml:space="preserve">QNB Finansal Kiralama A.Ş.</t>
  </si>
  <si>
    <t xml:space="preserve">QNBTR</t>
  </si>
  <si>
    <t xml:space="preserve">QNB Bank A.Ş.</t>
  </si>
  <si>
    <t xml:space="preserve">QUAGR</t>
  </si>
  <si>
    <t xml:space="preserve">QUA Granite Hayal Yapı ve Ürünleri Sanayi Ticaret A.Ş.</t>
  </si>
  <si>
    <t xml:space="preserve">QUICK</t>
  </si>
  <si>
    <t xml:space="preserve">Quick Sigorta A.Ş.</t>
  </si>
  <si>
    <t xml:space="preserve">RALYH</t>
  </si>
  <si>
    <t xml:space="preserve">Ral Yatırım Holding A.Ş.</t>
  </si>
  <si>
    <t xml:space="preserve">RAYSG</t>
  </si>
  <si>
    <t xml:space="preserve">Ray Sigorta A.Ş.</t>
  </si>
  <si>
    <t xml:space="preserve">REEDR</t>
  </si>
  <si>
    <t xml:space="preserve">Reeder Teknoloji Sanayi ve Ticaret A.Ş.</t>
  </si>
  <si>
    <t xml:space="preserve">RGYAS</t>
  </si>
  <si>
    <t xml:space="preserve">Rönesans Gayrimenkul Yatırım A.Ş.</t>
  </si>
  <si>
    <t xml:space="preserve">RNPOL</t>
  </si>
  <si>
    <t xml:space="preserve">Rainbow Polikarbonat Sanayi Ticaret A.Ş.</t>
  </si>
  <si>
    <t xml:space="preserve">RODRG</t>
  </si>
  <si>
    <t xml:space="preserve">Rodrigo Tekstil Sanayi ve Ticaret A.Ş.</t>
  </si>
  <si>
    <t xml:space="preserve">RTALB</t>
  </si>
  <si>
    <t xml:space="preserve">RTA Laboratuvarları Biyolojik Ürünler İlaç ve Makina Sanayi Ticaret A.Ş.</t>
  </si>
  <si>
    <t xml:space="preserve">RUBNS</t>
  </si>
  <si>
    <t xml:space="preserve">Rubenis Tekstil Sanayi Ticaret A.Ş.</t>
  </si>
  <si>
    <t xml:space="preserve">RUZYE</t>
  </si>
  <si>
    <t xml:space="preserve">Ruzy Madencilik ve Enerji Yatırımları Sanayi ve Ticaret A.Ş.</t>
  </si>
  <si>
    <t xml:space="preserve">RYGYO</t>
  </si>
  <si>
    <t xml:space="preserve">Reysaş Gayrimenkul Yatırım Ortaklığı A.Ş.</t>
  </si>
  <si>
    <t xml:space="preserve">RYSAS</t>
  </si>
  <si>
    <t xml:space="preserve">Reysaş Taşımacılık ve Lojistik Ticaret A.Ş.</t>
  </si>
  <si>
    <t xml:space="preserve">SAFKR</t>
  </si>
  <si>
    <t xml:space="preserve">Safkar Ege Soğutmacılık Klima Soğuk Hava Tesisleri İhracat İthalat Sanayi ve Ticaret A.Ş.</t>
  </si>
  <si>
    <t xml:space="preserve">SAHOL</t>
  </si>
  <si>
    <t xml:space="preserve">Hacı Ömer Sabancı Holding A.Ş.</t>
  </si>
  <si>
    <t xml:space="preserve">SAMAT</t>
  </si>
  <si>
    <t xml:space="preserve">Saray Matbaacılık Kağıtçılık Kırtasiyecilik Ticaret ve Sanayi A.Ş.</t>
  </si>
  <si>
    <t xml:space="preserve">SANEL</t>
  </si>
  <si>
    <t xml:space="preserve">San-El Mühendislik Elektrik Taahhüt Sanayi ve Ticaret A.Ş.</t>
  </si>
  <si>
    <t xml:space="preserve">SANFM</t>
  </si>
  <si>
    <t xml:space="preserve">Sanifoam Endüstri ve Tüketim Ürünleri Sanayi Ticaret A.Ş.</t>
  </si>
  <si>
    <t xml:space="preserve">SANKO</t>
  </si>
  <si>
    <t xml:space="preserve">Sanko Pazarlama İthalat İhracat A.Ş.</t>
  </si>
  <si>
    <t xml:space="preserve">SARAE</t>
  </si>
  <si>
    <t xml:space="preserve">Şa-Ra Enerji İnşaat Ticaret ve Sanayi A.Ş.</t>
  </si>
  <si>
    <t xml:space="preserve">SARKY</t>
  </si>
  <si>
    <t xml:space="preserve">Sarkuysan Elektrolit Bakır Sanayi ve Ticaret A.Ş.</t>
  </si>
  <si>
    <t xml:space="preserve">SASA</t>
  </si>
  <si>
    <t xml:space="preserve">Sasa Polyester Sanayi A.Ş.</t>
  </si>
  <si>
    <t xml:space="preserve">SAYAS</t>
  </si>
  <si>
    <t xml:space="preserve">Say Yenilenebilir Enerji Ekipmanları Sanayi ve Ticaret A.Ş</t>
  </si>
  <si>
    <t xml:space="preserve">SDTTR</t>
  </si>
  <si>
    <t xml:space="preserve">SDT Uzay ve Savunma Teknolojileri A.Ş.</t>
  </si>
  <si>
    <t xml:space="preserve">23.08.2026 ×10.927</t>
  </si>
  <si>
    <t xml:space="preserve">SEGMN</t>
  </si>
  <si>
    <t xml:space="preserve">Seğmen Kardeşler Gıda Üretim ve Ambalaj Sanayi A.Ş.</t>
  </si>
  <si>
    <t xml:space="preserve">SEGYO</t>
  </si>
  <si>
    <t xml:space="preserve">Şeker Gayrimenkul Yatırım Ortaklığı A.Ş.</t>
  </si>
  <si>
    <t xml:space="preserve">SEKFK</t>
  </si>
  <si>
    <t xml:space="preserve">Şeker Finansal Kiralama A.Ş.</t>
  </si>
  <si>
    <t xml:space="preserve">19.07.2026 ×1.816</t>
  </si>
  <si>
    <t xml:space="preserve">SEKUR</t>
  </si>
  <si>
    <t xml:space="preserve">Sekuro Plastik Ambalaj Sanayi A.Ş.</t>
  </si>
  <si>
    <t xml:space="preserve">SELEC</t>
  </si>
  <si>
    <t xml:space="preserve">Selçuk Ecza Deposu Ticaret ve Sanayi A.Ş.</t>
  </si>
  <si>
    <t xml:space="preserve">SELVA</t>
  </si>
  <si>
    <t xml:space="preserve">Selva Gıda Sanayi A.Ş.</t>
  </si>
  <si>
    <t xml:space="preserve">SERNT</t>
  </si>
  <si>
    <t xml:space="preserve">Seranit Granit Seramik Sanayi ve Ticaret AŞ</t>
  </si>
  <si>
    <t xml:space="preserve">SEYKM</t>
  </si>
  <si>
    <t xml:space="preserve">Seyitler Kimya Sanayi A.Ş.</t>
  </si>
  <si>
    <t xml:space="preserve">SILVR</t>
  </si>
  <si>
    <t xml:space="preserve">Silverline Endüstri ve Ticaret A.Ş.</t>
  </si>
  <si>
    <t xml:space="preserve">SISE</t>
  </si>
  <si>
    <t xml:space="preserve">Türkiye Şişe ve Cam Fabrikaları A.Ş.</t>
  </si>
  <si>
    <t xml:space="preserve">SKBNK</t>
  </si>
  <si>
    <t xml:space="preserve">Şekerbank T.A.Ş.</t>
  </si>
  <si>
    <t xml:space="preserve">SKTAS</t>
  </si>
  <si>
    <t xml:space="preserve">Söktaş Tekstil Sanayi ve Ticaret A.Ş.</t>
  </si>
  <si>
    <t xml:space="preserve">SKYLP</t>
  </si>
  <si>
    <t xml:space="preserve">Skyalp Finansal Teknolojiler ve Danışmanlık A.Ş.</t>
  </si>
  <si>
    <t xml:space="preserve">SKYMD</t>
  </si>
  <si>
    <t xml:space="preserve">Şeker Yatırım Menkul Değerler A.Ş.</t>
  </si>
  <si>
    <t xml:space="preserve">SMART</t>
  </si>
  <si>
    <t xml:space="preserve">Smartiks Yazılım A.Ş.</t>
  </si>
  <si>
    <t xml:space="preserve">SMRTG</t>
  </si>
  <si>
    <t xml:space="preserve">Smart Güneş Enerjisi Teknolojileri Araştırma Geliştirme Üretim Sanayi ve Ticaret A.Ş.</t>
  </si>
  <si>
    <t xml:space="preserve">SMRVA</t>
  </si>
  <si>
    <t xml:space="preserve">Sümer Varlık Yönetim A.Ş.</t>
  </si>
  <si>
    <t xml:space="preserve">26.04.2026 ×5.085</t>
  </si>
  <si>
    <t xml:space="preserve">SNGYO</t>
  </si>
  <si>
    <t xml:space="preserve">Sinpaş Gayrimenkul Yatırım Ortaklığı A.Ş.</t>
  </si>
  <si>
    <t xml:space="preserve">SNICA</t>
  </si>
  <si>
    <t xml:space="preserve">Sanica Isı Sanayi A.Ş.</t>
  </si>
  <si>
    <t xml:space="preserve">SNPAM</t>
  </si>
  <si>
    <t xml:space="preserve">Sönmez Pamuklu Sanayii A.Ş.</t>
  </si>
  <si>
    <t xml:space="preserve">SODSN</t>
  </si>
  <si>
    <t xml:space="preserve">Sodaş Sodyum Sanayii A.Ş.</t>
  </si>
  <si>
    <t xml:space="preserve">SOHOE</t>
  </si>
  <si>
    <t xml:space="preserve">Soho Giyim ve Enerji A.Ş.</t>
  </si>
  <si>
    <t xml:space="preserve">SOKE</t>
  </si>
  <si>
    <t xml:space="preserve">Söke Değirmencilik Sanayi ve Ticaret A.Ş.</t>
  </si>
  <si>
    <t xml:space="preserve">SOKM</t>
  </si>
  <si>
    <t xml:space="preserve">Şok Marketler Ticaret A.Ş.</t>
  </si>
  <si>
    <t xml:space="preserve">SONME</t>
  </si>
  <si>
    <t xml:space="preserve">Sönmez Filament Sentetik İplik ve Elyaf Sanayi A.Ş.</t>
  </si>
  <si>
    <t xml:space="preserve">06.10.2026 16:25</t>
  </si>
  <si>
    <t xml:space="preserve">SRVGY</t>
  </si>
  <si>
    <t xml:space="preserve">Servet Gayrimenkul Yatırım Ortaklığı A.Ş.</t>
  </si>
  <si>
    <t xml:space="preserve">SSAAT</t>
  </si>
  <si>
    <t xml:space="preserve">Saat ve Saat Sanayi ve Ticaret A.Ş.</t>
  </si>
  <si>
    <t xml:space="preserve">SUMAS</t>
  </si>
  <si>
    <t xml:space="preserve">Sumaş Suni Tahta ve Mobilya Sanayi A.Ş.</t>
  </si>
  <si>
    <t xml:space="preserve">SUNTK</t>
  </si>
  <si>
    <t xml:space="preserve">Sun Tekstil Sanayi ve Ticaret A.Ş.</t>
  </si>
  <si>
    <t xml:space="preserve">SURGY</t>
  </si>
  <si>
    <t xml:space="preserve">Sur Tatil Evleri Gayrimenkul Yatırım Ortaklığı A.Ş.</t>
  </si>
  <si>
    <t xml:space="preserve">SUWEN</t>
  </si>
  <si>
    <t xml:space="preserve">Suwen Tekstil Sanayi Pazarlama A.Ş.</t>
  </si>
  <si>
    <t xml:space="preserve">SVGYO</t>
  </si>
  <si>
    <t xml:space="preserve">Savur Gayrimenkul Yatırım Ortaklığı A.Ş.</t>
  </si>
  <si>
    <t xml:space="preserve">TABGD</t>
  </si>
  <si>
    <t xml:space="preserve">TAB Gıda Sanayi ve Ticaret A.Ş.</t>
  </si>
  <si>
    <t xml:space="preserve">TARKM</t>
  </si>
  <si>
    <t xml:space="preserve">Tarkim Bitki Koruma Sanayi ve Ticaret A.Ş.</t>
  </si>
  <si>
    <t xml:space="preserve">TATEN</t>
  </si>
  <si>
    <t xml:space="preserve">Tatlıpınar Enerji Üretim A.Ş.</t>
  </si>
  <si>
    <t xml:space="preserve">TATGD</t>
  </si>
  <si>
    <t xml:space="preserve">Tat Gıda Sanayi A.Ş.</t>
  </si>
  <si>
    <t xml:space="preserve">TAVHL</t>
  </si>
  <si>
    <t xml:space="preserve">Tav Havalimanları Holding A.Ş.</t>
  </si>
  <si>
    <t xml:space="preserve">TBORG</t>
  </si>
  <si>
    <t xml:space="preserve">Türk Tuborg Bira ve Malt Sanayii A.Ş.</t>
  </si>
  <si>
    <t xml:space="preserve">TCELL</t>
  </si>
  <si>
    <t xml:space="preserve">Turkcell İletişim Hizmetleri A.Ş.</t>
  </si>
  <si>
    <t xml:space="preserve">TCKRC</t>
  </si>
  <si>
    <t xml:space="preserve">Kıraç Galvaniz Telekominikasyon Metal Makine İnşaat Elektrik Sanayi ve Ticaret A.Ş.</t>
  </si>
  <si>
    <t xml:space="preserve">TDGYO</t>
  </si>
  <si>
    <t xml:space="preserve">Trend Gayrimenkul Yatırım Ortaklığı A.Ş.</t>
  </si>
  <si>
    <t xml:space="preserve">TEHOL</t>
  </si>
  <si>
    <t xml:space="preserve">Tera Yatırım Teknoloji Holding A.Ş.</t>
  </si>
  <si>
    <t xml:space="preserve">TEKTU</t>
  </si>
  <si>
    <t xml:space="preserve">Tek-Art İnşaat Ticaret Turizm Sanayi ve Yatırımlar A.Ş.</t>
  </si>
  <si>
    <t xml:space="preserve">TERA</t>
  </si>
  <si>
    <t xml:space="preserve">Tera Yatırım Menkul Değerler A.Ş.</t>
  </si>
  <si>
    <t xml:space="preserve">TEZOL</t>
  </si>
  <si>
    <t xml:space="preserve">Europap Tezol Kağıt Sanayi ve Ticaret A.Ş.</t>
  </si>
  <si>
    <t xml:space="preserve">TGSAS</t>
  </si>
  <si>
    <t xml:space="preserve">TGS Dış Ticaret A.Ş.</t>
  </si>
  <si>
    <t xml:space="preserve">THYAO</t>
  </si>
  <si>
    <t xml:space="preserve">Türk Hava Yolları A.O.</t>
  </si>
  <si>
    <t xml:space="preserve">TKFEN</t>
  </si>
  <si>
    <t xml:space="preserve">Tekfen Holding A.Ş.</t>
  </si>
  <si>
    <t xml:space="preserve">TKNKA</t>
  </si>
  <si>
    <t xml:space="preserve">Teknika Plast Teknik Kalıp Plastik Sanayi ve Ticaret A.Ş.</t>
  </si>
  <si>
    <t xml:space="preserve">TKNSA</t>
  </si>
  <si>
    <t xml:space="preserve">Teknosa İç ve Dış Ticaret A.Ş.</t>
  </si>
  <si>
    <t xml:space="preserve">TLMAN</t>
  </si>
  <si>
    <t xml:space="preserve">Trabzon Liman İşletmeciliği A.Ş.</t>
  </si>
  <si>
    <t xml:space="preserve">TMPOL</t>
  </si>
  <si>
    <t xml:space="preserve">Temapol Polimer Plastik ve İnşaat Sanayi Ticaret A.Ş.</t>
  </si>
  <si>
    <t xml:space="preserve">TMSN</t>
  </si>
  <si>
    <t xml:space="preserve">Tümosan Motor ve Traktör Sanayi A.Ş.</t>
  </si>
  <si>
    <t xml:space="preserve">TNZTP</t>
  </si>
  <si>
    <t xml:space="preserve">Tapdi Oksijen Özel Sağlık ve Eğitim Hizmetleri Sanayi Ticaret A.Ş.</t>
  </si>
  <si>
    <t xml:space="preserve">TOASO</t>
  </si>
  <si>
    <t xml:space="preserve">Tofaş Türk Otomobil Fabrikası A.Ş.</t>
  </si>
  <si>
    <t xml:space="preserve">TRALT</t>
  </si>
  <si>
    <t xml:space="preserve">Türk Altın İşletmeleri A.Ş.</t>
  </si>
  <si>
    <t xml:space="preserve">TRCAS</t>
  </si>
  <si>
    <t xml:space="preserve">Turcas Holding A.Ş.</t>
  </si>
  <si>
    <t xml:space="preserve">TRENJ</t>
  </si>
  <si>
    <t xml:space="preserve">TR Doğal Enerji Kaynakları Araştırma ve Üretim A.Ş.</t>
  </si>
  <si>
    <t xml:space="preserve">TRGYO</t>
  </si>
  <si>
    <t xml:space="preserve">Torunlar Gayrimenkul Yatırım Ortaklığı A.Ş.</t>
  </si>
  <si>
    <t xml:space="preserve">TRHOL</t>
  </si>
  <si>
    <t xml:space="preserve">Tera Finansal Yatırımlar Holding A.Ş.</t>
  </si>
  <si>
    <t xml:space="preserve">06.10.2026 16:16</t>
  </si>
  <si>
    <t xml:space="preserve">TRILC</t>
  </si>
  <si>
    <t xml:space="preserve">Türk İlaç ve Serum Sanayi A.Ş.</t>
  </si>
  <si>
    <t xml:space="preserve">21.04.2026 ×6.347</t>
  </si>
  <si>
    <t xml:space="preserve">TRMET</t>
  </si>
  <si>
    <t xml:space="preserve">TR Anadolu Metal Madencilik İşletmeleri A.Ş.</t>
  </si>
  <si>
    <t xml:space="preserve">TSGYO</t>
  </si>
  <si>
    <t xml:space="preserve">TSKB Gayrimenkul Yatırım Ortaklığı A.Ş.</t>
  </si>
  <si>
    <t xml:space="preserve">TSKB</t>
  </si>
  <si>
    <t xml:space="preserve">Türkiye Sınai Kalkınma Bankası A.Ş.</t>
  </si>
  <si>
    <t xml:space="preserve">TSPOR</t>
  </si>
  <si>
    <t xml:space="preserve">Trabzonspor Sportif Yatırım ve Futbol İşletmeciliği Ticaret A.Ş.</t>
  </si>
  <si>
    <t xml:space="preserve">TTKOM</t>
  </si>
  <si>
    <t xml:space="preserve">Türk Telekomünikasyon A.Ş.</t>
  </si>
  <si>
    <t xml:space="preserve">TTRAK</t>
  </si>
  <si>
    <t xml:space="preserve">Türk Traktör ve Ziraat Makineleri A.Ş.</t>
  </si>
  <si>
    <t xml:space="preserve">TUCLK</t>
  </si>
  <si>
    <t xml:space="preserve">Tuğçelik Alüminyum ve Metal Mamülleri Sanayi ve Ticaret A.Ş.</t>
  </si>
  <si>
    <t xml:space="preserve">TUKAS</t>
  </si>
  <si>
    <t xml:space="preserve">Tukaş Gıda Sanayi ve Ticaret A.Ş.</t>
  </si>
  <si>
    <t xml:space="preserve">TUPRS</t>
  </si>
  <si>
    <t xml:space="preserve">TÜPRAŞ - Türkiye Petrol Rafinerileri A.Ş.</t>
  </si>
  <si>
    <t xml:space="preserve">TUREX</t>
  </si>
  <si>
    <t xml:space="preserve">Tureks Turizm Taşımacılık A.Ş.</t>
  </si>
  <si>
    <t xml:space="preserve">TURGG</t>
  </si>
  <si>
    <t xml:space="preserve">Türker Proje Gayrimenkul ve Yatırım Geliştirme A.Ş.</t>
  </si>
  <si>
    <t xml:space="preserve">TURSG</t>
  </si>
  <si>
    <t xml:space="preserve">Türkiye Sigorta A.Ş.</t>
  </si>
  <si>
    <t xml:space="preserve">09.06.2026 ×1.998</t>
  </si>
  <si>
    <t xml:space="preserve">UCAYM</t>
  </si>
  <si>
    <t xml:space="preserve">Üçay Mühendislik Enerji ve İklimlendirme Teknolojileri A.Ş.</t>
  </si>
  <si>
    <t xml:space="preserve">UFUK</t>
  </si>
  <si>
    <t xml:space="preserve">Ufuk Yatırım Yönetim ve Gayrimenkul A.Ş.</t>
  </si>
  <si>
    <t xml:space="preserve">ULAS</t>
  </si>
  <si>
    <t xml:space="preserve">Ulaşlar Turizm Yatırımları ve Dayanıklı Tüketim Malları Ticaret Pazarlama A.Ş.</t>
  </si>
  <si>
    <t xml:space="preserve">ULKER</t>
  </si>
  <si>
    <t xml:space="preserve">Ülker Bisküvi Sanayi A.Ş.</t>
  </si>
  <si>
    <t xml:space="preserve">ULUFA</t>
  </si>
  <si>
    <t xml:space="preserve">Ulusal Faktoring A.Ş.</t>
  </si>
  <si>
    <t xml:space="preserve">07.06.2026 ×2.010</t>
  </si>
  <si>
    <t xml:space="preserve">ULUSE</t>
  </si>
  <si>
    <t xml:space="preserve">Ulusoy Elektrik İmalat Taahhüt ve Ticaret A.Ş.</t>
  </si>
  <si>
    <t xml:space="preserve">ULUUN</t>
  </si>
  <si>
    <t xml:space="preserve">Ulusoy Un Sanayi ve Ticaret A.Ş.</t>
  </si>
  <si>
    <t xml:space="preserve">UMPAS</t>
  </si>
  <si>
    <t xml:space="preserve">06.10.2026 07:30</t>
  </si>
  <si>
    <t xml:space="preserve">UNLU</t>
  </si>
  <si>
    <t xml:space="preserve">Ünlü Yatırım Holding A.Ş.</t>
  </si>
  <si>
    <t xml:space="preserve">USAK</t>
  </si>
  <si>
    <t xml:space="preserve">Uşak Seramik Sanayi A.Ş.</t>
  </si>
  <si>
    <t xml:space="preserve">USHOL</t>
  </si>
  <si>
    <t xml:space="preserve">US Yatırım Holding A.Ş.</t>
  </si>
  <si>
    <t xml:space="preserve">VAKBN</t>
  </si>
  <si>
    <t xml:space="preserve">Türkiye Vakıflar Bankası T.A.O.</t>
  </si>
  <si>
    <t xml:space="preserve">VAKFA</t>
  </si>
  <si>
    <t xml:space="preserve">Vakıf Faktoring A.Ş.</t>
  </si>
  <si>
    <t xml:space="preserve">VAKFN</t>
  </si>
  <si>
    <t xml:space="preserve">Vakıf Finansal Kiralama A.Ş.</t>
  </si>
  <si>
    <t xml:space="preserve">19.07.2026 ×1.192</t>
  </si>
  <si>
    <t xml:space="preserve">VAKKO</t>
  </si>
  <si>
    <t xml:space="preserve">Vakko Tekstil ve Hazır Giyim Sanayi İşletmeleri A.Ş.</t>
  </si>
  <si>
    <t xml:space="preserve">VANGD</t>
  </si>
  <si>
    <t xml:space="preserve">Vanet Gıda Sanayi İç ve Dış Ticaret A.Ş.</t>
  </si>
  <si>
    <t xml:space="preserve">VBTYZ</t>
  </si>
  <si>
    <t xml:space="preserve">VBT Yazılım A.Ş.</t>
  </si>
  <si>
    <t xml:space="preserve">VERTU</t>
  </si>
  <si>
    <t xml:space="preserve">Verusatürk Girişim Sermayesi Yatırım Ortaklığı A.Ş.</t>
  </si>
  <si>
    <t xml:space="preserve">VERUS</t>
  </si>
  <si>
    <t xml:space="preserve">Verusa Holding A.Ş.</t>
  </si>
  <si>
    <t xml:space="preserve">VESBE</t>
  </si>
  <si>
    <t xml:space="preserve">Vestel Beyaz Eşya Sanayi ve Ticaret A.Ş.</t>
  </si>
  <si>
    <t xml:space="preserve">VESTL</t>
  </si>
  <si>
    <t xml:space="preserve">Vestel Elektronik Sanayi ve Ticaret A.Ş.</t>
  </si>
  <si>
    <t xml:space="preserve">VEYAS</t>
  </si>
  <si>
    <t xml:space="preserve">Türker Vangölü Enerji Yatırım A.Ş.</t>
  </si>
  <si>
    <t xml:space="preserve">VKFYO</t>
  </si>
  <si>
    <t xml:space="preserve">Vakıf Menkul Kıymet Yatırım Ortaklığı A.Ş.</t>
  </si>
  <si>
    <t xml:space="preserve">VKGYO</t>
  </si>
  <si>
    <t xml:space="preserve">Vakıf Gayrimenkul Yatırım Ortaklığı A.Ş.</t>
  </si>
  <si>
    <t xml:space="preserve">04.08.2026 ×1.275</t>
  </si>
  <si>
    <t xml:space="preserve">VKING</t>
  </si>
  <si>
    <t xml:space="preserve">Viking Kağıt ve Selülöz A.Ş.</t>
  </si>
  <si>
    <t xml:space="preserve">VRGYO</t>
  </si>
  <si>
    <t xml:space="preserve">Vera Konsept Gayrimenkul Yatırım Ortaklığı A.Ş.</t>
  </si>
  <si>
    <t xml:space="preserve">VSNMD</t>
  </si>
  <si>
    <t xml:space="preserve">Vişne Madencilik Üretim Sanayi ve Ticaret A.Ş.</t>
  </si>
  <si>
    <t xml:space="preserve">09.08.2026 ×1.545</t>
  </si>
  <si>
    <t xml:space="preserve">YAPRK</t>
  </si>
  <si>
    <t xml:space="preserve">Yaprak Süt ve Besi Çiftlikleri Sanayi ve Ticaret A.Ş.</t>
  </si>
  <si>
    <t xml:space="preserve">YATAS</t>
  </si>
  <si>
    <t xml:space="preserve">Yataş Yatak ve Yorgan Sanayi ve Ticaret A.Ş.</t>
  </si>
  <si>
    <t xml:space="preserve">YAYLA</t>
  </si>
  <si>
    <t xml:space="preserve">Yayla Enerji Üretim Turizm ve İnşaat Ticaret A.Ş.</t>
  </si>
  <si>
    <t xml:space="preserve">YBTAS</t>
  </si>
  <si>
    <t xml:space="preserve">Yibitaş Yozgat İşçi Birliği İnşaat Malzemeleri Ticaret ve Sanayi A.Ş.</t>
  </si>
  <si>
    <t xml:space="preserve">YEOTK</t>
  </si>
  <si>
    <t xml:space="preserve">YEO Teknoloji Enerji ve Endüstri A.Ş.</t>
  </si>
  <si>
    <t xml:space="preserve">27.07.2026 ×2.382</t>
  </si>
  <si>
    <t xml:space="preserve">YESIL</t>
  </si>
  <si>
    <t xml:space="preserve">Yeşil Yatırım Holding A.Ş.</t>
  </si>
  <si>
    <t xml:space="preserve">YGGYO</t>
  </si>
  <si>
    <t xml:space="preserve">Yeni Gimat Gayrimenkul Yatırım Ortaklığı A.Ş.</t>
  </si>
  <si>
    <t xml:space="preserve">YIGIT</t>
  </si>
  <si>
    <t xml:space="preserve">Yiğit Akü Malzemeleri Nakliyat Turizm İnşaat Sanayi ve Ticaret A.Ş.</t>
  </si>
  <si>
    <t xml:space="preserve">YKBNK</t>
  </si>
  <si>
    <t xml:space="preserve">Yapı ve Kredi Bankası A.Ş.</t>
  </si>
  <si>
    <t xml:space="preserve">YKSLN</t>
  </si>
  <si>
    <t xml:space="preserve">Yükselen Çelik A.Ş.</t>
  </si>
  <si>
    <t xml:space="preserve">YONGA</t>
  </si>
  <si>
    <t xml:space="preserve">Yonga Mobilya Sanayi ve Ticaret A.Ş.</t>
  </si>
  <si>
    <t xml:space="preserve">YUNSA</t>
  </si>
  <si>
    <t xml:space="preserve">Yünsa Yünlü Sanayi ve Ticaret A.Ş.</t>
  </si>
  <si>
    <t xml:space="preserve">YYAPI</t>
  </si>
  <si>
    <t xml:space="preserve">Yeşil Yapı Endüstrisi A.Ş.</t>
  </si>
  <si>
    <t xml:space="preserve">YYLGD</t>
  </si>
  <si>
    <t xml:space="preserve">Yayla Agro Gıda Sanayi ve Ticaret A.Ş.</t>
  </si>
  <si>
    <t xml:space="preserve">ZEDUR</t>
  </si>
  <si>
    <t xml:space="preserve">Zedur Enerji Elektrik Üretim A.Ş.</t>
  </si>
  <si>
    <t xml:space="preserve">ZERGY</t>
  </si>
  <si>
    <t xml:space="preserve">Zeray Gayrimenkul Yatırım Ortaklığı A.Ş.</t>
  </si>
  <si>
    <t xml:space="preserve">ZGYO</t>
  </si>
  <si>
    <t xml:space="preserve">Z Gayrimenkul Yatırım Ortaklığı A.Ş.</t>
  </si>
  <si>
    <t xml:space="preserve">ZOREN</t>
  </si>
  <si>
    <t xml:space="preserve">Zorlu Enerji Elektrik Üretim A.Ş.</t>
  </si>
  <si>
    <t xml:space="preserve">ZRGYO</t>
  </si>
  <si>
    <t xml:space="preserve">Ziraat Gayrimenkul Yatırım Ortaklığı A.Ş.</t>
  </si>
  <si>
    <t xml:space="preserve">Fiyat / piyasa değeri</t>
  </si>
  <si>
    <t xml:space="preserve">Evo hisse_senetleri.son_fiyat ve piyasa_degeri, 06.10.2026 seans içi (~16:40 TSİ). Seans kapanışı değil.</t>
  </si>
  <si>
    <t xml:space="preserve">FCF</t>
  </si>
  <si>
    <t xml:space="preserve">FCF_MASTER.xlsx, 2026/06 TTM FCF (ana tanım: STD ya da HLD). Statü ve kaynak yanında. KOŞULLU satırlarda P/FCF gösterilir ama yorum yapılmamalı.</t>
  </si>
  <si>
    <t xml:space="preserve">Piyasa değeri / FCF TTM. FCF ≤ 0 → anlamsız. GEM v6.2: piyasa değeri tarihi (06.10.2026) ile finansal baz tarihi (30.06.2026) farklı; aradaki enflasyon farkı oranı yükseltir, oran düzeltilmedi. Evo'da TÜFE serisi bulunmadığından fark yüzdesi verilemedi.</t>
  </si>
  <si>
    <t xml:space="preserve">Getiri 01.10.2025</t>
  </si>
  <si>
    <t xml:space="preserve">01.10.2025 kapanışından bugünkü fiyata fiyat getirisi (temettü hariç).</t>
  </si>
  <si>
    <t xml:space="preserve">Getiri son 15 gün</t>
  </si>
  <si>
    <t xml:space="preserve">15 takvim günü: 21.09.2026 kapanışından bugünkü fiyata.</t>
  </si>
  <si>
    <t xml:space="preserve">Düzeltme</t>
  </si>
  <si>
    <t xml:space="preserve">Evo günlük fiyat serisinde 2026 Mart sonrası bazı bölünme/bedelsiz olayları düzeltilmemiş (45 olay; ör. A1YEN, BIMAS, KORDS). Günlük ±%10 limitin dışındaki sıçramalar sermaye hareketi sayıldı; katsayı = önceki kapanış / olay günü açılışı. Açılış baz fiyata çok yakın olduğu için hata genelde birkaç puandır; bu satırlar "Sermaye hareketi" sütununda listeli. Daha küçük olaylar (±%15 içinde kalan bedelsiz/temettü) yakalanmamış olabilir.</t>
  </si>
  <si>
    <t xml:space="preserve">İşlem gören tüm hisseler. FCF yalnız FCF çalışmasının kapsamındaki (finansal olmayan) şirketlerde var.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</si>
</sst>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#,##0"/>
    <numFmt numFmtId="167" formatCode="#,##0.0;[RED]\-#,##0.0"/>
    <numFmt numFmtId="168" formatCode="0.0\x"/>
    <numFmt numFmtId="169" formatCode="0.0%;[RED]\-0.0%"/>
    <numFmt numFmtId="170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20"/>
    <col collapsed="false" customWidth="true" hidden="false" outlineLevel="0" max="13" min="13" style="0" width="9"/>
    <col collapsed="false" customWidth="true" hidden="false" outlineLevel="0" max="14" min="14" style="0" width="28"/>
    <col collapsed="false" customWidth="true" hidden="false" outlineLevel="0" max="15" min="15" style="0" width="13"/>
    <col collapsed="false" customWidth="true" hidden="false" outlineLevel="0" max="16" min="16" style="0" width="15"/>
    <col collapsed="false" customWidth="true" hidden="false" outlineLevel="0" max="20" min="17" style="0" width="12"/>
    <col collapsed="false" customWidth="true" hidden="false" outlineLevel="0" max="21" min="21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customFormat="false" ht="15" hidden="false" customHeight="false" outlineLevel="0" collapsed="false">
      <c r="A5" s="4" t="s">
        <v>23</v>
      </c>
      <c r="B5" s="4" t="s">
        <v>24</v>
      </c>
      <c r="C5" s="4" t="s">
        <v>25</v>
      </c>
      <c r="D5" s="4"/>
      <c r="E5" s="4"/>
      <c r="F5" s="5" t="n">
        <v>4.4</v>
      </c>
      <c r="G5" s="4" t="s">
        <v>26</v>
      </c>
      <c r="H5" s="6" t="n">
        <v>2970</v>
      </c>
      <c r="I5" s="7"/>
      <c r="J5" s="4"/>
      <c r="K5" s="4"/>
      <c r="L5" s="4"/>
      <c r="M5" s="8" t="str">
        <f aca="false">IF(OR(H5="",I5=""),"",IF(I5&gt;0,H5/I5,""))</f>
        <v/>
      </c>
      <c r="N5" s="4" t="str">
        <f aca="false">IF(I5="",IF(K5="NULL","FCF yok (NULL)","FCF kapsamı dışı"),IF(I5&lt;=0,"anlamsız (FCF ≤ 0)",IF(OR(K5="KOŞULLU"),"FCF KOŞULLU — yorum yapılmaz","")))</f>
        <v>FCF kapsamı dışı</v>
      </c>
      <c r="O5" s="9" t="n">
        <f aca="false">IF(Q5="","",F5*R5/Q5-1)</f>
        <v>-0.609236234458259</v>
      </c>
      <c r="P5" s="9" t="n">
        <f aca="false">IF(S5="","",F5*T5/S5-1)</f>
        <v>-0.0658174097664542</v>
      </c>
      <c r="Q5" s="5" t="n">
        <v>11.26</v>
      </c>
      <c r="R5" s="10" t="n">
        <v>1</v>
      </c>
      <c r="S5" s="5" t="n">
        <v>4.71</v>
      </c>
      <c r="T5" s="10" t="n">
        <v>1</v>
      </c>
      <c r="U5" s="4"/>
    </row>
    <row r="6" customFormat="false" ht="15" hidden="false" customHeight="false" outlineLevel="0" collapsed="false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5" t="n">
        <v>1.76</v>
      </c>
      <c r="G6" s="4" t="s">
        <v>26</v>
      </c>
      <c r="H6" s="6" t="n">
        <v>1056</v>
      </c>
      <c r="I6" s="7" t="n">
        <v>-217.232</v>
      </c>
      <c r="J6" s="4" t="s">
        <v>32</v>
      </c>
      <c r="K6" s="4" t="s">
        <v>33</v>
      </c>
      <c r="L6" s="4" t="s">
        <v>34</v>
      </c>
      <c r="M6" s="8" t="str">
        <f aca="false">IF(OR(H6="",I6=""),"",IF(I6&gt;0,H6/I6,""))</f>
        <v/>
      </c>
      <c r="N6" s="4" t="str">
        <f aca="false">IF(I6="",IF(K6="NULL","FCF yok (NULL)","FCF kapsamı dışı"),IF(I6&lt;=0,"anlamsız (FCF ≤ 0)",IF(OR(K6="KOŞULLU"),"FCF KOŞULLU — yorum yapılmaz","")))</f>
        <v>anlamsız (FCF ≤ 0)</v>
      </c>
      <c r="O6" s="9" t="n">
        <f aca="false">IF(Q6="","",F6*R6/Q6-1)</f>
        <v>-0.376399938374965</v>
      </c>
      <c r="P6" s="9" t="n">
        <f aca="false">IF(S6="","",F6*T6/S6-1)</f>
        <v>0</v>
      </c>
      <c r="Q6" s="5" t="n">
        <v>30.76</v>
      </c>
      <c r="R6" s="10" t="n">
        <v>10.8988283497648</v>
      </c>
      <c r="S6" s="5" t="n">
        <v>1.76</v>
      </c>
      <c r="T6" s="10" t="n">
        <v>1</v>
      </c>
      <c r="U6" s="4" t="s">
        <v>35</v>
      </c>
    </row>
    <row r="7" customFormat="false" ht="15" hidden="false" customHeight="false" outlineLevel="0" collapsed="false">
      <c r="A7" s="4" t="s">
        <v>36</v>
      </c>
      <c r="B7" s="4" t="s">
        <v>37</v>
      </c>
      <c r="C7" s="4" t="s">
        <v>38</v>
      </c>
      <c r="D7" s="4"/>
      <c r="E7" s="4"/>
      <c r="F7" s="5" t="n">
        <v>8.86</v>
      </c>
      <c r="G7" s="4" t="s">
        <v>26</v>
      </c>
      <c r="H7" s="6" t="n">
        <v>6210.86</v>
      </c>
      <c r="I7" s="7"/>
      <c r="J7" s="4"/>
      <c r="K7" s="4"/>
      <c r="L7" s="4"/>
      <c r="M7" s="8" t="str">
        <f aca="false">IF(OR(H7="",I7=""),"",IF(I7&gt;0,H7/I7,""))</f>
        <v/>
      </c>
      <c r="N7" s="4" t="str">
        <f aca="false">IF(I7="",IF(K7="NULL","FCF yok (NULL)","FCF kapsamı dışı"),IF(I7&lt;=0,"anlamsız (FCF ≤ 0)",IF(OR(K7="KOŞULLU"),"FCF KOŞULLU — yorum yapılmaz","")))</f>
        <v>FCF kapsamı dışı</v>
      </c>
      <c r="O7" s="9" t="str">
        <f aca="false">IF(Q7="","",F7*R7/Q7-1)</f>
        <v/>
      </c>
      <c r="P7" s="9" t="n">
        <f aca="false">IF(S7="","",F7*T7/S7-1)</f>
        <v>0.0460448642266822</v>
      </c>
      <c r="Q7" s="5"/>
      <c r="R7" s="10" t="n">
        <v>1</v>
      </c>
      <c r="S7" s="5" t="n">
        <v>8.47</v>
      </c>
      <c r="T7" s="10" t="n">
        <v>1</v>
      </c>
      <c r="U7" s="4"/>
    </row>
    <row r="8" customFormat="false" ht="15" hidden="false" customHeight="false" outlineLevel="0" collapsed="false">
      <c r="A8" s="4" t="s">
        <v>39</v>
      </c>
      <c r="B8" s="4" t="s">
        <v>40</v>
      </c>
      <c r="C8" s="4" t="s">
        <v>29</v>
      </c>
      <c r="D8" s="4" t="s">
        <v>30</v>
      </c>
      <c r="E8" s="4" t="s">
        <v>41</v>
      </c>
      <c r="F8" s="5" t="n">
        <v>88.35</v>
      </c>
      <c r="G8" s="4" t="s">
        <v>26</v>
      </c>
      <c r="H8" s="6" t="n">
        <v>947.262195</v>
      </c>
      <c r="I8" s="7" t="n">
        <v>125.771</v>
      </c>
      <c r="J8" s="4" t="s">
        <v>32</v>
      </c>
      <c r="K8" s="4" t="s">
        <v>33</v>
      </c>
      <c r="L8" s="4" t="s">
        <v>42</v>
      </c>
      <c r="M8" s="8" t="n">
        <f aca="false">IF(OR(H8="",I8=""),"",IF(I8&gt;0,H8/I8,""))</f>
        <v>7.53164238974008</v>
      </c>
      <c r="N8" s="4" t="str">
        <f aca="false">IF(I8="",IF(K8="NULL","FCF yok (NULL)","FCF kapsamı dışı"),IF(I8&lt;=0,"anlamsız (FCF ≤ 0)",IF(OR(K8="KOŞULLU"),"FCF KOŞULLU — yorum yapılmaz","")))</f>
        <v/>
      </c>
      <c r="O8" s="9" t="n">
        <f aca="false">IF(Q8="","",F8*R8/Q8-1)</f>
        <v>-0.210455764075067</v>
      </c>
      <c r="P8" s="9" t="n">
        <f aca="false">IF(S8="","",F8*T8/S8-1)</f>
        <v>-0.044864864864865</v>
      </c>
      <c r="Q8" s="5" t="n">
        <v>111.9</v>
      </c>
      <c r="R8" s="10" t="n">
        <v>1</v>
      </c>
      <c r="S8" s="5" t="n">
        <v>92.5</v>
      </c>
      <c r="T8" s="10" t="n">
        <v>1</v>
      </c>
      <c r="U8" s="4"/>
    </row>
    <row r="9" customFormat="false" ht="15" hidden="false" customHeight="false" outlineLevel="0" collapsed="false">
      <c r="A9" s="4" t="s">
        <v>43</v>
      </c>
      <c r="B9" s="4" t="s">
        <v>44</v>
      </c>
      <c r="C9" s="4" t="s">
        <v>29</v>
      </c>
      <c r="D9" s="4" t="s">
        <v>30</v>
      </c>
      <c r="E9" s="4" t="s">
        <v>45</v>
      </c>
      <c r="F9" s="5" t="n">
        <v>24.64</v>
      </c>
      <c r="G9" s="4" t="s">
        <v>46</v>
      </c>
      <c r="H9" s="6" t="n">
        <v>6403.32</v>
      </c>
      <c r="I9" s="7" t="n">
        <v>-406.0259744</v>
      </c>
      <c r="J9" s="4" t="s">
        <v>32</v>
      </c>
      <c r="K9" s="4" t="s">
        <v>33</v>
      </c>
      <c r="L9" s="4" t="s">
        <v>34</v>
      </c>
      <c r="M9" s="8" t="str">
        <f aca="false">IF(OR(H9="",I9=""),"",IF(I9&gt;0,H9/I9,""))</f>
        <v/>
      </c>
      <c r="N9" s="4" t="str">
        <f aca="false">IF(I9="",IF(K9="NULL","FCF yok (NULL)","FCF kapsamı dışı"),IF(I9&lt;=0,"anlamsız (FCF ≤ 0)",IF(OR(K9="KOŞULLU"),"FCF KOŞULLU — yorum yapılmaz","")))</f>
        <v>anlamsız (FCF ≤ 0)</v>
      </c>
      <c r="O9" s="9" t="n">
        <f aca="false">IF(Q9="","",F9*R9/Q9-1)</f>
        <v>-0.215786123488224</v>
      </c>
      <c r="P9" s="9" t="n">
        <f aca="false">IF(S9="","",F9*T9/S9-1)</f>
        <v>-0.106598984771573</v>
      </c>
      <c r="Q9" s="5" t="n">
        <v>31.42</v>
      </c>
      <c r="R9" s="10" t="n">
        <v>1</v>
      </c>
      <c r="S9" s="5" t="n">
        <v>27.58</v>
      </c>
      <c r="T9" s="10" t="n">
        <v>1</v>
      </c>
      <c r="U9" s="4"/>
    </row>
    <row r="10" customFormat="false" ht="15" hidden="false" customHeight="false" outlineLevel="0" collapsed="false">
      <c r="A10" s="4" t="s">
        <v>47</v>
      </c>
      <c r="B10" s="4" t="s">
        <v>48</v>
      </c>
      <c r="C10" s="4" t="s">
        <v>29</v>
      </c>
      <c r="D10" s="4"/>
      <c r="E10" s="4"/>
      <c r="F10" s="5" t="n">
        <v>0.63</v>
      </c>
      <c r="G10" s="4" t="s">
        <v>26</v>
      </c>
      <c r="H10" s="6" t="n">
        <v>3175.2</v>
      </c>
      <c r="I10" s="7"/>
      <c r="J10" s="4"/>
      <c r="K10" s="4"/>
      <c r="L10" s="4"/>
      <c r="M10" s="8" t="str">
        <f aca="false">IF(OR(H10="",I10=""),"",IF(I10&gt;0,H10/I10,""))</f>
        <v/>
      </c>
      <c r="N10" s="4" t="str">
        <f aca="false">IF(I10="",IF(K10="NULL","FCF yok (NULL)","FCF kapsamı dışı"),IF(I10&lt;=0,"anlamsız (FCF ≤ 0)",IF(OR(K10="KOŞULLU"),"FCF KOŞULLU — yorum yapılmaz","")))</f>
        <v>FCF kapsamı dışı</v>
      </c>
      <c r="O10" s="9" t="n">
        <f aca="false">IF(Q10="","",F10*R10/Q10-1)</f>
        <v>-0.809667673716012</v>
      </c>
      <c r="P10" s="9" t="n">
        <f aca="false">IF(S10="","",F10*T10/S10-1)</f>
        <v>-0.125</v>
      </c>
      <c r="Q10" s="5" t="n">
        <v>3.31</v>
      </c>
      <c r="R10" s="10" t="n">
        <v>1</v>
      </c>
      <c r="S10" s="5" t="n">
        <v>0.72</v>
      </c>
      <c r="T10" s="10" t="n">
        <v>1</v>
      </c>
      <c r="U10" s="4"/>
    </row>
    <row r="11" customFormat="false" ht="15" hidden="false" customHeight="false" outlineLevel="0" collapsed="false">
      <c r="A11" s="4" t="s">
        <v>49</v>
      </c>
      <c r="B11" s="4" t="s">
        <v>50</v>
      </c>
      <c r="C11" s="4" t="s">
        <v>38</v>
      </c>
      <c r="D11" s="4"/>
      <c r="E11" s="4"/>
      <c r="F11" s="5" t="n">
        <v>45.78</v>
      </c>
      <c r="G11" s="4" t="s">
        <v>26</v>
      </c>
      <c r="H11" s="6" t="n">
        <v>24989.21598852</v>
      </c>
      <c r="I11" s="7"/>
      <c r="J11" s="4"/>
      <c r="K11" s="4"/>
      <c r="L11" s="4"/>
      <c r="M11" s="8" t="str">
        <f aca="false">IF(OR(H11="",I11=""),"",IF(I11&gt;0,H11/I11,""))</f>
        <v/>
      </c>
      <c r="N11" s="4" t="str">
        <f aca="false">IF(I11="",IF(K11="NULL","FCF yok (NULL)","FCF kapsamı dışı"),IF(I11&lt;=0,"anlamsız (FCF ≤ 0)",IF(OR(K11="KOŞULLU"),"FCF KOŞULLU — yorum yapılmaz","")))</f>
        <v>FCF kapsamı dışı</v>
      </c>
      <c r="O11" s="9" t="n">
        <f aca="false">IF(Q11="","",F11*R11/Q11-1)</f>
        <v>-0.0814606741573034</v>
      </c>
      <c r="P11" s="9" t="n">
        <f aca="false">IF(S11="","",F11*T11/S11-1)</f>
        <v>-0.0729040097205347</v>
      </c>
      <c r="Q11" s="5" t="n">
        <v>49.84</v>
      </c>
      <c r="R11" s="10" t="n">
        <v>1</v>
      </c>
      <c r="S11" s="5" t="n">
        <v>49.38</v>
      </c>
      <c r="T11" s="10" t="n">
        <v>1</v>
      </c>
      <c r="U11" s="4"/>
    </row>
    <row r="12" customFormat="false" ht="15" hidden="false" customHeight="false" outlineLevel="0" collapsed="false">
      <c r="A12" s="4" t="s">
        <v>51</v>
      </c>
      <c r="B12" s="4" t="s">
        <v>52</v>
      </c>
      <c r="C12" s="4" t="s">
        <v>29</v>
      </c>
      <c r="D12" s="4" t="s">
        <v>30</v>
      </c>
      <c r="E12" s="4" t="s">
        <v>53</v>
      </c>
      <c r="F12" s="5" t="n">
        <v>18.72</v>
      </c>
      <c r="G12" s="4" t="s">
        <v>26</v>
      </c>
      <c r="H12" s="6" t="n">
        <v>110842.1052336</v>
      </c>
      <c r="I12" s="7" t="n">
        <v>21096.081</v>
      </c>
      <c r="J12" s="4" t="s">
        <v>32</v>
      </c>
      <c r="K12" s="4" t="s">
        <v>33</v>
      </c>
      <c r="L12" s="4" t="s">
        <v>42</v>
      </c>
      <c r="M12" s="8" t="n">
        <f aca="false">IF(OR(H12="",I12=""),"",IF(I12&gt;0,H12/I12,""))</f>
        <v>5.25415622141383</v>
      </c>
      <c r="N12" s="4" t="str">
        <f aca="false">IF(I12="",IF(K12="NULL","FCF yok (NULL)","FCF kapsamı dışı"),IF(I12&lt;=0,"anlamsız (FCF ≤ 0)",IF(OR(K12="KOŞULLU"),"FCF KOŞULLU — yorum yapılmaz","")))</f>
        <v/>
      </c>
      <c r="O12" s="9" t="n">
        <f aca="false">IF(Q12="","",F12*R12/Q12-1)</f>
        <v>0.333333333333333</v>
      </c>
      <c r="P12" s="9" t="n">
        <f aca="false">IF(S12="","",F12*T12/S12-1)</f>
        <v>-0.025</v>
      </c>
      <c r="Q12" s="5" t="n">
        <v>14.04</v>
      </c>
      <c r="R12" s="10" t="n">
        <v>1</v>
      </c>
      <c r="S12" s="5" t="n">
        <v>19.2</v>
      </c>
      <c r="T12" s="10" t="n">
        <v>1</v>
      </c>
      <c r="U12" s="4"/>
    </row>
    <row r="13" customFormat="false" ht="15" hidden="false" customHeight="false" outlineLevel="0" collapsed="false">
      <c r="A13" s="4" t="s">
        <v>54</v>
      </c>
      <c r="B13" s="4" t="s">
        <v>55</v>
      </c>
      <c r="C13" s="4" t="s">
        <v>29</v>
      </c>
      <c r="D13" s="4" t="s">
        <v>30</v>
      </c>
      <c r="E13" s="4" t="s">
        <v>56</v>
      </c>
      <c r="F13" s="5" t="n">
        <v>11.27</v>
      </c>
      <c r="G13" s="4" t="s">
        <v>26</v>
      </c>
      <c r="H13" s="6" t="n">
        <v>4508</v>
      </c>
      <c r="I13" s="7" t="n">
        <v>613.8387088</v>
      </c>
      <c r="J13" s="4" t="s">
        <v>32</v>
      </c>
      <c r="K13" s="4" t="s">
        <v>33</v>
      </c>
      <c r="L13" s="4" t="s">
        <v>57</v>
      </c>
      <c r="M13" s="8" t="n">
        <f aca="false">IF(OR(H13="",I13=""),"",IF(I13&gt;0,H13/I13,""))</f>
        <v>7.34394872036131</v>
      </c>
      <c r="N13" s="4" t="str">
        <f aca="false">IF(I13="",IF(K13="NULL","FCF yok (NULL)","FCF kapsamı dışı"),IF(I13&lt;=0,"anlamsız (FCF ≤ 0)",IF(OR(K13="KOŞULLU"),"FCF KOŞULLU — yorum yapılmaz","")))</f>
        <v/>
      </c>
      <c r="O13" s="9" t="n">
        <f aca="false">IF(Q13="","",F13*R13/Q13-1)</f>
        <v>-0.0550494028539353</v>
      </c>
      <c r="P13" s="9" t="n">
        <f aca="false">IF(S13="","",F13*T13/S13-1)</f>
        <v>-0.00265486725663722</v>
      </c>
      <c r="Q13" s="5" t="n">
        <v>11.9265494238933</v>
      </c>
      <c r="R13" s="10" t="n">
        <v>1</v>
      </c>
      <c r="S13" s="5" t="n">
        <v>11.3</v>
      </c>
      <c r="T13" s="10" t="n">
        <v>1</v>
      </c>
      <c r="U13" s="4"/>
    </row>
    <row r="14" customFormat="false" ht="15" hidden="false" customHeight="false" outlineLevel="0" collapsed="false">
      <c r="A14" s="4" t="s">
        <v>58</v>
      </c>
      <c r="B14" s="4" t="s">
        <v>59</v>
      </c>
      <c r="C14" s="4" t="s">
        <v>60</v>
      </c>
      <c r="D14" s="4"/>
      <c r="E14" s="4"/>
      <c r="F14" s="5" t="n">
        <v>235.8</v>
      </c>
      <c r="G14" s="4" t="s">
        <v>26</v>
      </c>
      <c r="H14" s="6" t="n">
        <v>42444</v>
      </c>
      <c r="I14" s="7"/>
      <c r="J14" s="4"/>
      <c r="K14" s="4"/>
      <c r="L14" s="4"/>
      <c r="M14" s="8" t="str">
        <f aca="false">IF(OR(H14="",I14=""),"",IF(I14&gt;0,H14/I14,""))</f>
        <v/>
      </c>
      <c r="N14" s="4" t="str">
        <f aca="false">IF(I14="",IF(K14="NULL","FCF yok (NULL)","FCF kapsamı dışı"),IF(I14&lt;=0,"anlamsız (FCF ≤ 0)",IF(OR(K14="KOŞULLU"),"FCF KOŞULLU — yorum yapılmaz","")))</f>
        <v>FCF kapsamı dışı</v>
      </c>
      <c r="O14" s="9" t="n">
        <f aca="false">IF(Q14="","",F14*R14/Q14-1)</f>
        <v>0.336266706443197</v>
      </c>
      <c r="P14" s="9" t="n">
        <f aca="false">IF(S14="","",F14*T14/S14-1)</f>
        <v>-0.0256198347107438</v>
      </c>
      <c r="Q14" s="5" t="n">
        <v>176.461778822313</v>
      </c>
      <c r="R14" s="10" t="n">
        <v>1</v>
      </c>
      <c r="S14" s="5" t="n">
        <v>242</v>
      </c>
      <c r="T14" s="10" t="n">
        <v>1</v>
      </c>
      <c r="U14" s="4"/>
    </row>
    <row r="15" customFormat="false" ht="15" hidden="false" customHeight="false" outlineLevel="0" collapsed="false">
      <c r="A15" s="4" t="s">
        <v>61</v>
      </c>
      <c r="B15" s="4" t="s">
        <v>62</v>
      </c>
      <c r="C15" s="4" t="s">
        <v>29</v>
      </c>
      <c r="D15" s="4" t="s">
        <v>63</v>
      </c>
      <c r="E15" s="4" t="s">
        <v>63</v>
      </c>
      <c r="F15" s="5" t="n">
        <v>32.22</v>
      </c>
      <c r="G15" s="4" t="s">
        <v>64</v>
      </c>
      <c r="H15" s="6" t="n">
        <v>78466.82166738</v>
      </c>
      <c r="I15" s="7" t="n">
        <v>31408.843</v>
      </c>
      <c r="J15" s="4" t="s">
        <v>32</v>
      </c>
      <c r="K15" s="4" t="s">
        <v>33</v>
      </c>
      <c r="L15" s="4" t="s">
        <v>42</v>
      </c>
      <c r="M15" s="8" t="n">
        <f aca="false">IF(OR(H15="",I15=""),"",IF(I15&gt;0,H15/I15,""))</f>
        <v>2.49823980040844</v>
      </c>
      <c r="N15" s="4" t="str">
        <f aca="false">IF(I15="",IF(K15="NULL","FCF yok (NULL)","FCF kapsamı dışı"),IF(I15&lt;=0,"anlamsız (FCF ≤ 0)",IF(OR(K15="KOŞULLU"),"FCF KOŞULLU — yorum yapılmaz","")))</f>
        <v/>
      </c>
      <c r="O15" s="9" t="n">
        <f aca="false">IF(Q15="","",F15*R15/Q15-1)</f>
        <v>0.220454545454545</v>
      </c>
      <c r="P15" s="9" t="n">
        <f aca="false">IF(S15="","",F15*T15/S15-1)</f>
        <v>-0.052910052910053</v>
      </c>
      <c r="Q15" s="5" t="n">
        <v>26.4</v>
      </c>
      <c r="R15" s="10" t="n">
        <v>1</v>
      </c>
      <c r="S15" s="5" t="n">
        <v>34.02</v>
      </c>
      <c r="T15" s="10" t="n">
        <v>1</v>
      </c>
      <c r="U15" s="4"/>
    </row>
    <row r="16" customFormat="false" ht="15" hidden="false" customHeight="false" outlineLevel="0" collapsed="false">
      <c r="A16" s="4" t="s">
        <v>65</v>
      </c>
      <c r="B16" s="4" t="s">
        <v>66</v>
      </c>
      <c r="C16" s="4" t="s">
        <v>29</v>
      </c>
      <c r="D16" s="4" t="s">
        <v>30</v>
      </c>
      <c r="E16" s="4" t="s">
        <v>53</v>
      </c>
      <c r="F16" s="5" t="n">
        <v>1.39</v>
      </c>
      <c r="G16" s="4" t="s">
        <v>26</v>
      </c>
      <c r="H16" s="6" t="n">
        <v>3336</v>
      </c>
      <c r="I16" s="7" t="n">
        <v>-1104.7329728</v>
      </c>
      <c r="J16" s="4" t="s">
        <v>32</v>
      </c>
      <c r="K16" s="4" t="s">
        <v>33</v>
      </c>
      <c r="L16" s="4" t="s">
        <v>57</v>
      </c>
      <c r="M16" s="8" t="str">
        <f aca="false">IF(OR(H16="",I16=""),"",IF(I16&gt;0,H16/I16,""))</f>
        <v/>
      </c>
      <c r="N16" s="4" t="str">
        <f aca="false">IF(I16="",IF(K16="NULL","FCF yok (NULL)","FCF kapsamı dışı"),IF(I16&lt;=0,"anlamsız (FCF ≤ 0)",IF(OR(K16="KOŞULLU"),"FCF KOŞULLU — yorum yapılmaz","")))</f>
        <v>anlamsız (FCF ≤ 0)</v>
      </c>
      <c r="O16" s="9" t="n">
        <f aca="false">IF(Q16="","",F16*R16/Q16-1)</f>
        <v>-0.647208121827411</v>
      </c>
      <c r="P16" s="9" t="n">
        <f aca="false">IF(S16="","",F16*T16/S16-1)</f>
        <v>-0.120253164556962</v>
      </c>
      <c r="Q16" s="5" t="n">
        <v>3.94</v>
      </c>
      <c r="R16" s="10" t="n">
        <v>1</v>
      </c>
      <c r="S16" s="5" t="n">
        <v>1.58</v>
      </c>
      <c r="T16" s="10" t="n">
        <v>1</v>
      </c>
      <c r="U16" s="4"/>
    </row>
    <row r="17" customFormat="false" ht="15" hidden="false" customHeight="false" outlineLevel="0" collapsed="false">
      <c r="A17" s="4" t="s">
        <v>67</v>
      </c>
      <c r="B17" s="4" t="s">
        <v>68</v>
      </c>
      <c r="C17" s="4" t="s">
        <v>38</v>
      </c>
      <c r="D17" s="4"/>
      <c r="E17" s="4"/>
      <c r="F17" s="5" t="n">
        <v>6.67</v>
      </c>
      <c r="G17" s="4" t="s">
        <v>69</v>
      </c>
      <c r="H17" s="6" t="n">
        <v>1756.4778</v>
      </c>
      <c r="I17" s="7"/>
      <c r="J17" s="4"/>
      <c r="K17" s="4"/>
      <c r="L17" s="4"/>
      <c r="M17" s="8" t="str">
        <f aca="false">IF(OR(H17="",I17=""),"",IF(I17&gt;0,H17/I17,""))</f>
        <v/>
      </c>
      <c r="N17" s="4" t="str">
        <f aca="false">IF(I17="",IF(K17="NULL","FCF yok (NULL)","FCF kapsamı dışı"),IF(I17&lt;=0,"anlamsız (FCF ≤ 0)",IF(OR(K17="KOŞULLU"),"FCF KOŞULLU — yorum yapılmaz","")))</f>
        <v>FCF kapsamı dışı</v>
      </c>
      <c r="O17" s="9" t="n">
        <f aca="false">IF(Q17="","",F17*R17/Q17-1)</f>
        <v>-0.134889753566796</v>
      </c>
      <c r="P17" s="9" t="n">
        <f aca="false">IF(S17="","",F17*T17/S17-1)</f>
        <v>-0.0761772853185595</v>
      </c>
      <c r="Q17" s="5" t="n">
        <v>7.71</v>
      </c>
      <c r="R17" s="10" t="n">
        <v>1</v>
      </c>
      <c r="S17" s="5" t="n">
        <v>7.22</v>
      </c>
      <c r="T17" s="10" t="n">
        <v>1</v>
      </c>
      <c r="U17" s="4"/>
    </row>
    <row r="18" customFormat="false" ht="15" hidden="false" customHeight="false" outlineLevel="0" collapsed="false">
      <c r="A18" s="4" t="s">
        <v>70</v>
      </c>
      <c r="B18" s="4" t="s">
        <v>71</v>
      </c>
      <c r="C18" s="4" t="s">
        <v>29</v>
      </c>
      <c r="D18" s="4" t="s">
        <v>30</v>
      </c>
      <c r="E18" s="4" t="s">
        <v>31</v>
      </c>
      <c r="F18" s="5" t="n">
        <v>47.14</v>
      </c>
      <c r="G18" s="4" t="s">
        <v>26</v>
      </c>
      <c r="H18" s="6" t="n">
        <v>122564</v>
      </c>
      <c r="I18" s="7" t="n">
        <v>17163.476</v>
      </c>
      <c r="J18" s="4" t="s">
        <v>32</v>
      </c>
      <c r="K18" s="4" t="s">
        <v>33</v>
      </c>
      <c r="L18" s="4" t="s">
        <v>42</v>
      </c>
      <c r="M18" s="8" t="n">
        <f aca="false">IF(OR(H18="",I18=""),"",IF(I18&gt;0,H18/I18,""))</f>
        <v>7.14097773667758</v>
      </c>
      <c r="N18" s="4" t="str">
        <f aca="false">IF(I18="",IF(K18="NULL","FCF yok (NULL)","FCF kapsamı dışı"),IF(I18&lt;=0,"anlamsız (FCF ≤ 0)",IF(OR(K18="KOŞULLU"),"FCF KOŞULLU — yorum yapılmaz","")))</f>
        <v/>
      </c>
      <c r="O18" s="9" t="n">
        <f aca="false">IF(Q18="","",F18*R18/Q18-1)</f>
        <v>0.618818681318681</v>
      </c>
      <c r="P18" s="9" t="n">
        <f aca="false">IF(S18="","",F18*T18/S18-1)</f>
        <v>0.133173076923077</v>
      </c>
      <c r="Q18" s="5" t="n">
        <v>29.12</v>
      </c>
      <c r="R18" s="10" t="n">
        <v>1</v>
      </c>
      <c r="S18" s="5" t="n">
        <v>41.6</v>
      </c>
      <c r="T18" s="10" t="n">
        <v>1</v>
      </c>
      <c r="U18" s="4"/>
    </row>
    <row r="19" customFormat="false" ht="15" hidden="false" customHeight="false" outlineLevel="0" collapsed="false">
      <c r="A19" s="4" t="s">
        <v>72</v>
      </c>
      <c r="B19" s="4" t="s">
        <v>73</v>
      </c>
      <c r="C19" s="4" t="s">
        <v>38</v>
      </c>
      <c r="D19" s="4"/>
      <c r="E19" s="4"/>
      <c r="F19" s="5" t="n">
        <v>6.66</v>
      </c>
      <c r="G19" s="4" t="s">
        <v>26</v>
      </c>
      <c r="H19" s="6" t="n">
        <v>4805.19</v>
      </c>
      <c r="I19" s="7"/>
      <c r="J19" s="4"/>
      <c r="K19" s="4"/>
      <c r="L19" s="4"/>
      <c r="M19" s="8" t="str">
        <f aca="false">IF(OR(H19="",I19=""),"",IF(I19&gt;0,H19/I19,""))</f>
        <v/>
      </c>
      <c r="N19" s="4" t="str">
        <f aca="false">IF(I19="",IF(K19="NULL","FCF yok (NULL)","FCF kapsamı dışı"),IF(I19&lt;=0,"anlamsız (FCF ≤ 0)",IF(OR(K19="KOŞULLU"),"FCF KOŞULLU — yorum yapılmaz","")))</f>
        <v>FCF kapsamı dışı</v>
      </c>
      <c r="O19" s="9" t="n">
        <f aca="false">IF(Q19="","",F19*R19/Q19-1)</f>
        <v>-0.413215859030837</v>
      </c>
      <c r="P19" s="9" t="n">
        <f aca="false">IF(S19="","",F19*T19/S19-1)</f>
        <v>-0.454991816693944</v>
      </c>
      <c r="Q19" s="5" t="n">
        <v>11.35</v>
      </c>
      <c r="R19" s="10" t="n">
        <v>1</v>
      </c>
      <c r="S19" s="5" t="n">
        <v>12.22</v>
      </c>
      <c r="T19" s="10" t="n">
        <v>1</v>
      </c>
      <c r="U19" s="4"/>
    </row>
    <row r="20" customFormat="false" ht="15" hidden="false" customHeight="false" outlineLevel="0" collapsed="false">
      <c r="A20" s="4" t="s">
        <v>74</v>
      </c>
      <c r="B20" s="4" t="s">
        <v>75</v>
      </c>
      <c r="C20" s="4" t="s">
        <v>60</v>
      </c>
      <c r="D20" s="4"/>
      <c r="E20" s="4"/>
      <c r="F20" s="5" t="n">
        <v>69.2</v>
      </c>
      <c r="G20" s="4" t="s">
        <v>76</v>
      </c>
      <c r="H20" s="6" t="n">
        <v>359840</v>
      </c>
      <c r="I20" s="7"/>
      <c r="J20" s="4"/>
      <c r="K20" s="4"/>
      <c r="L20" s="4"/>
      <c r="M20" s="8" t="str">
        <f aca="false">IF(OR(H20="",I20=""),"",IF(I20&gt;0,H20/I20,""))</f>
        <v/>
      </c>
      <c r="N20" s="4" t="str">
        <f aca="false">IF(I20="",IF(K20="NULL","FCF yok (NULL)","FCF kapsamı dışı"),IF(I20&lt;=0,"anlamsız (FCF ≤ 0)",IF(OR(K20="KOŞULLU"),"FCF KOŞULLU — yorum yapılmaz","")))</f>
        <v>FCF kapsamı dışı</v>
      </c>
      <c r="O20" s="9" t="n">
        <f aca="false">IF(Q20="","",F20*R20/Q20-1)</f>
        <v>0.111562379077621</v>
      </c>
      <c r="P20" s="9" t="n">
        <f aca="false">IF(S20="","",F20*T20/S20-1)</f>
        <v>-0.0448585231193926</v>
      </c>
      <c r="Q20" s="5" t="n">
        <v>62.254715796897</v>
      </c>
      <c r="R20" s="10" t="n">
        <v>1</v>
      </c>
      <c r="S20" s="5" t="n">
        <v>72.45</v>
      </c>
      <c r="T20" s="10" t="n">
        <v>1</v>
      </c>
      <c r="U20" s="4"/>
    </row>
    <row r="21" customFormat="false" ht="15" hidden="false" customHeight="false" outlineLevel="0" collapsed="false">
      <c r="A21" s="4" t="s">
        <v>77</v>
      </c>
      <c r="B21" s="4" t="s">
        <v>78</v>
      </c>
      <c r="C21" s="4" t="s">
        <v>29</v>
      </c>
      <c r="D21" s="4" t="s">
        <v>30</v>
      </c>
      <c r="E21" s="4" t="s">
        <v>56</v>
      </c>
      <c r="F21" s="5" t="n">
        <v>207.3</v>
      </c>
      <c r="G21" s="4" t="s">
        <v>26</v>
      </c>
      <c r="H21" s="6" t="n">
        <v>39686.9771964</v>
      </c>
      <c r="I21" s="7" t="n">
        <v>1162.379</v>
      </c>
      <c r="J21" s="4" t="s">
        <v>32</v>
      </c>
      <c r="K21" s="4" t="s">
        <v>33</v>
      </c>
      <c r="L21" s="4" t="s">
        <v>42</v>
      </c>
      <c r="M21" s="8" t="n">
        <f aca="false">IF(OR(H21="",I21=""),"",IF(I21&gt;0,H21/I21,""))</f>
        <v>34.1428890201905</v>
      </c>
      <c r="N21" s="4" t="str">
        <f aca="false">IF(I21="",IF(K21="NULL","FCF yok (NULL)","FCF kapsamı dışı"),IF(I21&lt;=0,"anlamsız (FCF ≤ 0)",IF(OR(K21="KOŞULLU"),"FCF KOŞULLU — yorum yapılmaz","")))</f>
        <v/>
      </c>
      <c r="O21" s="9" t="n">
        <f aca="false">IF(Q21="","",F21*R21/Q21-1)</f>
        <v>0.519794721407625</v>
      </c>
      <c r="P21" s="9" t="n">
        <f aca="false">IF(S21="","",F21*T21/S21-1)</f>
        <v>0.0625320348539211</v>
      </c>
      <c r="Q21" s="5" t="n">
        <v>136.4</v>
      </c>
      <c r="R21" s="10" t="n">
        <v>1</v>
      </c>
      <c r="S21" s="5" t="n">
        <v>195.1</v>
      </c>
      <c r="T21" s="10" t="n">
        <v>1</v>
      </c>
      <c r="U21" s="4"/>
    </row>
    <row r="22" customFormat="false" ht="15" hidden="false" customHeight="false" outlineLevel="0" collapsed="false">
      <c r="A22" s="4" t="s">
        <v>79</v>
      </c>
      <c r="B22" s="4" t="s">
        <v>80</v>
      </c>
      <c r="C22" s="4" t="s">
        <v>29</v>
      </c>
      <c r="D22" s="4" t="s">
        <v>30</v>
      </c>
      <c r="E22" s="4" t="s">
        <v>31</v>
      </c>
      <c r="F22" s="5" t="n">
        <v>8.08</v>
      </c>
      <c r="G22" s="4" t="s">
        <v>26</v>
      </c>
      <c r="H22" s="6" t="n">
        <v>5891.64512</v>
      </c>
      <c r="I22" s="7" t="n">
        <v>-197.344</v>
      </c>
      <c r="J22" s="4" t="s">
        <v>32</v>
      </c>
      <c r="K22" s="4" t="s">
        <v>33</v>
      </c>
      <c r="L22" s="4" t="s">
        <v>42</v>
      </c>
      <c r="M22" s="8" t="str">
        <f aca="false">IF(OR(H22="",I22=""),"",IF(I22&gt;0,H22/I22,""))</f>
        <v/>
      </c>
      <c r="N22" s="4" t="str">
        <f aca="false">IF(I22="",IF(K22="NULL","FCF yok (NULL)","FCF kapsamı dışı"),IF(I22&lt;=0,"anlamsız (FCF ≤ 0)",IF(OR(K22="KOŞULLU"),"FCF KOŞULLU — yorum yapılmaz","")))</f>
        <v>anlamsız (FCF ≤ 0)</v>
      </c>
      <c r="O22" s="9" t="n">
        <f aca="false">IF(Q22="","",F22*R22/Q22-1)</f>
        <v>-0.245564892623716</v>
      </c>
      <c r="P22" s="9" t="n">
        <f aca="false">IF(S22="","",F22*T22/S22-1)</f>
        <v>-0.108167770419426</v>
      </c>
      <c r="Q22" s="5" t="n">
        <v>10.71</v>
      </c>
      <c r="R22" s="10" t="n">
        <v>1</v>
      </c>
      <c r="S22" s="5" t="n">
        <v>9.06</v>
      </c>
      <c r="T22" s="10" t="n">
        <v>1</v>
      </c>
      <c r="U22" s="4"/>
    </row>
    <row r="23" customFormat="false" ht="15" hidden="false" customHeight="false" outlineLevel="0" collapsed="false">
      <c r="A23" s="4" t="s">
        <v>81</v>
      </c>
      <c r="B23" s="4" t="s">
        <v>82</v>
      </c>
      <c r="C23" s="4" t="s">
        <v>38</v>
      </c>
      <c r="D23" s="4"/>
      <c r="E23" s="4"/>
      <c r="F23" s="5" t="n">
        <v>2.52</v>
      </c>
      <c r="G23" s="4" t="s">
        <v>26</v>
      </c>
      <c r="H23" s="6" t="n">
        <v>9828</v>
      </c>
      <c r="I23" s="7"/>
      <c r="J23" s="4"/>
      <c r="K23" s="4"/>
      <c r="L23" s="4"/>
      <c r="M23" s="8" t="str">
        <f aca="false">IF(OR(H23="",I23=""),"",IF(I23&gt;0,H23/I23,""))</f>
        <v/>
      </c>
      <c r="N23" s="4" t="str">
        <f aca="false">IF(I23="",IF(K23="NULL","FCF yok (NULL)","FCF kapsamı dışı"),IF(I23&lt;=0,"anlamsız (FCF ≤ 0)",IF(OR(K23="KOŞULLU"),"FCF KOŞULLU — yorum yapılmaz","")))</f>
        <v>FCF kapsamı dışı</v>
      </c>
      <c r="O23" s="9" t="n">
        <f aca="false">IF(Q23="","",F23*R23/Q23-1)</f>
        <v>-0.0631970260223048</v>
      </c>
      <c r="P23" s="9" t="n">
        <f aca="false">IF(S23="","",F23*T23/S23-1)</f>
        <v>0.05</v>
      </c>
      <c r="Q23" s="5" t="n">
        <v>2.69</v>
      </c>
      <c r="R23" s="10" t="n">
        <v>1</v>
      </c>
      <c r="S23" s="5" t="n">
        <v>2.4</v>
      </c>
      <c r="T23" s="10" t="n">
        <v>1</v>
      </c>
      <c r="U23" s="4"/>
    </row>
    <row r="24" customFormat="false" ht="15" hidden="false" customHeight="false" outlineLevel="0" collapsed="false">
      <c r="A24" s="4" t="s">
        <v>83</v>
      </c>
      <c r="B24" s="4" t="s">
        <v>84</v>
      </c>
      <c r="C24" s="4" t="s">
        <v>29</v>
      </c>
      <c r="D24" s="4" t="s">
        <v>30</v>
      </c>
      <c r="E24" s="4" t="s">
        <v>85</v>
      </c>
      <c r="F24" s="5" t="n">
        <v>17.39</v>
      </c>
      <c r="G24" s="4" t="s">
        <v>26</v>
      </c>
      <c r="H24" s="6" t="n">
        <v>66421.18269852</v>
      </c>
      <c r="I24" s="7" t="n">
        <v>4528.311</v>
      </c>
      <c r="J24" s="4" t="s">
        <v>32</v>
      </c>
      <c r="K24" s="4" t="s">
        <v>86</v>
      </c>
      <c r="L24" s="4" t="s">
        <v>42</v>
      </c>
      <c r="M24" s="8" t="n">
        <f aca="false">IF(OR(H24="",I24=""),"",IF(I24&gt;0,H24/I24,""))</f>
        <v>14.6679816599434</v>
      </c>
      <c r="N24" s="4" t="str">
        <f aca="false">IF(I24="",IF(K24="NULL","FCF yok (NULL)","FCF kapsamı dışı"),IF(I24&lt;=0,"anlamsız (FCF ≤ 0)",IF(OR(K24="KOŞULLU"),"FCF KOŞULLU — yorum yapılmaz","")))</f>
        <v/>
      </c>
      <c r="O24" s="9" t="n">
        <f aca="false">IF(Q24="","",F24*R24/Q24-1)</f>
        <v>3.64915899380153</v>
      </c>
      <c r="P24" s="9" t="n">
        <f aca="false">IF(S24="","",F24*T24/S24-1)</f>
        <v>0.216083916083916</v>
      </c>
      <c r="Q24" s="5" t="n">
        <v>22.92</v>
      </c>
      <c r="R24" s="10" t="n">
        <v>6.12758620689655</v>
      </c>
      <c r="S24" s="5" t="n">
        <v>14.3</v>
      </c>
      <c r="T24" s="10" t="n">
        <v>1</v>
      </c>
      <c r="U24" s="4" t="s">
        <v>87</v>
      </c>
    </row>
    <row r="25" customFormat="false" ht="15" hidden="false" customHeight="false" outlineLevel="0" collapsed="false">
      <c r="A25" s="4" t="s">
        <v>88</v>
      </c>
      <c r="B25" s="4" t="s">
        <v>89</v>
      </c>
      <c r="C25" s="4" t="s">
        <v>29</v>
      </c>
      <c r="D25" s="4" t="s">
        <v>30</v>
      </c>
      <c r="E25" s="4" t="s">
        <v>31</v>
      </c>
      <c r="F25" s="5" t="n">
        <v>3.6</v>
      </c>
      <c r="G25" s="4" t="s">
        <v>26</v>
      </c>
      <c r="H25" s="6" t="n">
        <v>25854.3888336</v>
      </c>
      <c r="I25" s="7" t="n">
        <v>1203.46</v>
      </c>
      <c r="J25" s="4" t="s">
        <v>32</v>
      </c>
      <c r="K25" s="4" t="s">
        <v>33</v>
      </c>
      <c r="L25" s="4" t="s">
        <v>42</v>
      </c>
      <c r="M25" s="8" t="n">
        <f aca="false">IF(OR(H25="",I25=""),"",IF(I25&gt;0,H25/I25,""))</f>
        <v>21.4833802815216</v>
      </c>
      <c r="N25" s="4" t="str">
        <f aca="false">IF(I25="",IF(K25="NULL","FCF yok (NULL)","FCF kapsamı dışı"),IF(I25&lt;=0,"anlamsız (FCF ≤ 0)",IF(OR(K25="KOŞULLU"),"FCF KOŞULLU — yorum yapılmaz","")))</f>
        <v/>
      </c>
      <c r="O25" s="9" t="n">
        <f aca="false">IF(Q25="","",F25*R25/Q25-1)</f>
        <v>0.267650916291151</v>
      </c>
      <c r="P25" s="9" t="n">
        <f aca="false">IF(S25="","",F25*T25/S25-1)</f>
        <v>0.0315186246418338</v>
      </c>
      <c r="Q25" s="5" t="n">
        <v>16.82</v>
      </c>
      <c r="R25" s="10" t="n">
        <v>5.92274678111588</v>
      </c>
      <c r="S25" s="5" t="n">
        <v>3.49</v>
      </c>
      <c r="T25" s="10" t="n">
        <v>1</v>
      </c>
      <c r="U25" s="4" t="s">
        <v>90</v>
      </c>
    </row>
    <row r="26" customFormat="false" ht="15" hidden="false" customHeight="false" outlineLevel="0" collapsed="false">
      <c r="A26" s="4" t="s">
        <v>91</v>
      </c>
      <c r="B26" s="4" t="s">
        <v>92</v>
      </c>
      <c r="C26" s="4" t="s">
        <v>60</v>
      </c>
      <c r="D26" s="4"/>
      <c r="E26" s="4"/>
      <c r="F26" s="5" t="n">
        <v>5.19</v>
      </c>
      <c r="G26" s="4" t="s">
        <v>26</v>
      </c>
      <c r="H26" s="6" t="n">
        <v>8366.28</v>
      </c>
      <c r="I26" s="7"/>
      <c r="J26" s="4"/>
      <c r="K26" s="4"/>
      <c r="L26" s="4"/>
      <c r="M26" s="8" t="str">
        <f aca="false">IF(OR(H26="",I26=""),"",IF(I26&gt;0,H26/I26,""))</f>
        <v/>
      </c>
      <c r="N26" s="4" t="str">
        <f aca="false">IF(I26="",IF(K26="NULL","FCF yok (NULL)","FCF kapsamı dışı"),IF(I26&lt;=0,"anlamsız (FCF ≤ 0)",IF(OR(K26="KOŞULLU"),"FCF KOŞULLU — yorum yapılmaz","")))</f>
        <v>FCF kapsamı dışı</v>
      </c>
      <c r="O26" s="9" t="n">
        <f aca="false">IF(Q26="","",F26*R26/Q26-1)</f>
        <v>-0.158833063209076</v>
      </c>
      <c r="P26" s="9" t="n">
        <f aca="false">IF(S26="","",F26*T26/S26-1)</f>
        <v>-0.0529197080291971</v>
      </c>
      <c r="Q26" s="5" t="n">
        <v>6.17</v>
      </c>
      <c r="R26" s="10" t="n">
        <v>1</v>
      </c>
      <c r="S26" s="5" t="n">
        <v>5.48</v>
      </c>
      <c r="T26" s="10" t="n">
        <v>1</v>
      </c>
      <c r="U26" s="4"/>
    </row>
    <row r="27" customFormat="false" ht="15" hidden="false" customHeight="false" outlineLevel="0" collapsed="false">
      <c r="A27" s="4" t="s">
        <v>93</v>
      </c>
      <c r="B27" s="4" t="s">
        <v>94</v>
      </c>
      <c r="C27" s="4" t="s">
        <v>29</v>
      </c>
      <c r="D27" s="4" t="s">
        <v>30</v>
      </c>
      <c r="E27" s="4" t="s">
        <v>53</v>
      </c>
      <c r="F27" s="5" t="n">
        <v>28.42</v>
      </c>
      <c r="G27" s="4" t="s">
        <v>26</v>
      </c>
      <c r="H27" s="6" t="n">
        <v>7768.607</v>
      </c>
      <c r="I27" s="7" t="n">
        <v>-667.6639216</v>
      </c>
      <c r="J27" s="4" t="s">
        <v>32</v>
      </c>
      <c r="K27" s="4" t="s">
        <v>33</v>
      </c>
      <c r="L27" s="4" t="s">
        <v>57</v>
      </c>
      <c r="M27" s="8" t="str">
        <f aca="false">IF(OR(H27="",I27=""),"",IF(I27&gt;0,H27/I27,""))</f>
        <v/>
      </c>
      <c r="N27" s="4" t="str">
        <f aca="false">IF(I27="",IF(K27="NULL","FCF yok (NULL)","FCF kapsamı dışı"),IF(I27&lt;=0,"anlamsız (FCF ≤ 0)",IF(OR(K27="KOŞULLU"),"FCF KOŞULLU — yorum yapılmaz","")))</f>
        <v>anlamsız (FCF ≤ 0)</v>
      </c>
      <c r="O27" s="9" t="str">
        <f aca="false">IF(Q27="","",F27*R27/Q27-1)</f>
        <v/>
      </c>
      <c r="P27" s="9" t="n">
        <f aca="false">IF(S27="","",F27*T27/S27-1)</f>
        <v>0.0456217807211186</v>
      </c>
      <c r="Q27" s="5"/>
      <c r="R27" s="10" t="n">
        <v>1</v>
      </c>
      <c r="S27" s="5" t="n">
        <v>27.18</v>
      </c>
      <c r="T27" s="10" t="n">
        <v>1</v>
      </c>
      <c r="U27" s="4"/>
    </row>
    <row r="28" customFormat="false" ht="15" hidden="false" customHeight="false" outlineLevel="0" collapsed="false">
      <c r="A28" s="4" t="s">
        <v>95</v>
      </c>
      <c r="B28" s="4" t="s">
        <v>96</v>
      </c>
      <c r="C28" s="4" t="s">
        <v>38</v>
      </c>
      <c r="D28" s="4"/>
      <c r="E28" s="4"/>
      <c r="F28" s="5" t="n">
        <v>212.8</v>
      </c>
      <c r="G28" s="4" t="s">
        <v>26</v>
      </c>
      <c r="H28" s="6" t="n">
        <v>7929.7792</v>
      </c>
      <c r="I28" s="7"/>
      <c r="J28" s="4"/>
      <c r="K28" s="4"/>
      <c r="L28" s="4"/>
      <c r="M28" s="8" t="str">
        <f aca="false">IF(OR(H28="",I28=""),"",IF(I28&gt;0,H28/I28,""))</f>
        <v/>
      </c>
      <c r="N28" s="4" t="str">
        <f aca="false">IF(I28="",IF(K28="NULL","FCF yok (NULL)","FCF kapsamı dışı"),IF(I28&lt;=0,"anlamsız (FCF ≤ 0)",IF(OR(K28="KOŞULLU"),"FCF KOŞULLU — yorum yapılmaz","")))</f>
        <v>FCF kapsamı dışı</v>
      </c>
      <c r="O28" s="9" t="n">
        <f aca="false">IF(Q28="","",F28*R28/Q28-1)</f>
        <v>-0.121387283236994</v>
      </c>
      <c r="P28" s="9" t="n">
        <f aca="false">IF(S28="","",F28*T28/S28-1)</f>
        <v>-0.0687089715536104</v>
      </c>
      <c r="Q28" s="5" t="n">
        <v>242.2</v>
      </c>
      <c r="R28" s="10" t="n">
        <v>1</v>
      </c>
      <c r="S28" s="5" t="n">
        <v>228.5</v>
      </c>
      <c r="T28" s="10" t="n">
        <v>1</v>
      </c>
      <c r="U28" s="4"/>
    </row>
    <row r="29" customFormat="false" ht="15" hidden="false" customHeight="false" outlineLevel="0" collapsed="false">
      <c r="A29" s="4" t="s">
        <v>97</v>
      </c>
      <c r="B29" s="4" t="s">
        <v>98</v>
      </c>
      <c r="C29" s="4" t="s">
        <v>29</v>
      </c>
      <c r="D29" s="4" t="s">
        <v>30</v>
      </c>
      <c r="E29" s="4" t="s">
        <v>41</v>
      </c>
      <c r="F29" s="5" t="n">
        <v>10.43</v>
      </c>
      <c r="G29" s="4" t="s">
        <v>26</v>
      </c>
      <c r="H29" s="6" t="n">
        <v>40520.55</v>
      </c>
      <c r="I29" s="7" t="n">
        <v>2764.66</v>
      </c>
      <c r="J29" s="4" t="s">
        <v>32</v>
      </c>
      <c r="K29" s="4" t="s">
        <v>33</v>
      </c>
      <c r="L29" s="4" t="s">
        <v>42</v>
      </c>
      <c r="M29" s="8" t="n">
        <f aca="false">IF(OR(H29="",I29=""),"",IF(I29&gt;0,H29/I29,""))</f>
        <v>14.6566123863332</v>
      </c>
      <c r="N29" s="4" t="str">
        <f aca="false">IF(I29="",IF(K29="NULL","FCF yok (NULL)","FCF kapsamı dışı"),IF(I29&lt;=0,"anlamsız (FCF ≤ 0)",IF(OR(K29="KOŞULLU"),"FCF KOŞULLU — yorum yapılmaz","")))</f>
        <v/>
      </c>
      <c r="O29" s="9" t="n">
        <f aca="false">IF(Q29="","",F29*R29/Q29-1)</f>
        <v>-0.0441100101112232</v>
      </c>
      <c r="P29" s="9" t="n">
        <f aca="false">IF(S29="","",F29*T29/S29-1)</f>
        <v>-0.0297674418604651</v>
      </c>
      <c r="Q29" s="5" t="n">
        <v>10.9112974404237</v>
      </c>
      <c r="R29" s="10" t="n">
        <v>1</v>
      </c>
      <c r="S29" s="5" t="n">
        <v>10.75</v>
      </c>
      <c r="T29" s="10" t="n">
        <v>1</v>
      </c>
      <c r="U29" s="4"/>
    </row>
    <row r="30" customFormat="false" ht="15" hidden="false" customHeight="false" outlineLevel="0" collapsed="false">
      <c r="A30" s="4" t="s">
        <v>99</v>
      </c>
      <c r="B30" s="4" t="s">
        <v>100</v>
      </c>
      <c r="C30" s="4" t="s">
        <v>29</v>
      </c>
      <c r="D30" s="4" t="s">
        <v>30</v>
      </c>
      <c r="E30" s="4" t="s">
        <v>31</v>
      </c>
      <c r="F30" s="5" t="n">
        <v>71.95</v>
      </c>
      <c r="G30" s="4" t="s">
        <v>26</v>
      </c>
      <c r="H30" s="6" t="n">
        <v>88235.0360802</v>
      </c>
      <c r="I30" s="7" t="n">
        <v>-9675.055</v>
      </c>
      <c r="J30" s="4" t="s">
        <v>32</v>
      </c>
      <c r="K30" s="4" t="s">
        <v>33</v>
      </c>
      <c r="L30" s="4" t="s">
        <v>42</v>
      </c>
      <c r="M30" s="8" t="str">
        <f aca="false">IF(OR(H30="",I30=""),"",IF(I30&gt;0,H30/I30,""))</f>
        <v/>
      </c>
      <c r="N30" s="4" t="str">
        <f aca="false">IF(I30="",IF(K30="NULL","FCF yok (NULL)","FCF kapsamı dışı"),IF(I30&lt;=0,"anlamsız (FCF ≤ 0)",IF(OR(K30="KOŞULLU"),"FCF KOŞULLU — yorum yapılmaz","")))</f>
        <v>anlamsız (FCF ≤ 0)</v>
      </c>
      <c r="O30" s="9" t="n">
        <f aca="false">IF(Q30="","",F30*R30/Q30-1)</f>
        <v>0.863024339720352</v>
      </c>
      <c r="P30" s="9" t="n">
        <f aca="false">IF(S30="","",F30*T30/S30-1)</f>
        <v>0.0706845238095237</v>
      </c>
      <c r="Q30" s="5" t="n">
        <v>38.62</v>
      </c>
      <c r="R30" s="10" t="n">
        <v>1</v>
      </c>
      <c r="S30" s="5" t="n">
        <v>67.2</v>
      </c>
      <c r="T30" s="10" t="n">
        <v>1</v>
      </c>
      <c r="U30" s="4"/>
    </row>
    <row r="31" customFormat="false" ht="15" hidden="false" customHeight="false" outlineLevel="0" collapsed="false">
      <c r="A31" s="4" t="s">
        <v>101</v>
      </c>
      <c r="B31" s="4" t="s">
        <v>102</v>
      </c>
      <c r="C31" s="4" t="s">
        <v>38</v>
      </c>
      <c r="D31" s="4"/>
      <c r="E31" s="4"/>
      <c r="F31" s="5" t="n">
        <v>9.48</v>
      </c>
      <c r="G31" s="4" t="s">
        <v>46</v>
      </c>
      <c r="H31" s="6" t="n">
        <v>22894.2</v>
      </c>
      <c r="I31" s="7"/>
      <c r="J31" s="4"/>
      <c r="K31" s="4"/>
      <c r="L31" s="4"/>
      <c r="M31" s="8" t="str">
        <f aca="false">IF(OR(H31="",I31=""),"",IF(I31&gt;0,H31/I31,""))</f>
        <v/>
      </c>
      <c r="N31" s="4" t="str">
        <f aca="false">IF(I31="",IF(K31="NULL","FCF yok (NULL)","FCF kapsamı dışı"),IF(I31&lt;=0,"anlamsız (FCF ≤ 0)",IF(OR(K31="KOŞULLU"),"FCF KOŞULLU — yorum yapılmaz","")))</f>
        <v>FCF kapsamı dışı</v>
      </c>
      <c r="O31" s="9" t="n">
        <f aca="false">IF(Q31="","",F31*R31/Q31-1)</f>
        <v>0.168927250308262</v>
      </c>
      <c r="P31" s="9" t="n">
        <f aca="false">IF(S31="","",F31*T31/S31-1)</f>
        <v>-0.00105374077976816</v>
      </c>
      <c r="Q31" s="5" t="n">
        <v>8.11</v>
      </c>
      <c r="R31" s="10" t="n">
        <v>1</v>
      </c>
      <c r="S31" s="5" t="n">
        <v>9.49</v>
      </c>
      <c r="T31" s="10" t="n">
        <v>1</v>
      </c>
      <c r="U31" s="4"/>
    </row>
    <row r="32" customFormat="false" ht="15" hidden="false" customHeight="false" outlineLevel="0" collapsed="false">
      <c r="A32" s="4" t="s">
        <v>103</v>
      </c>
      <c r="B32" s="4" t="s">
        <v>104</v>
      </c>
      <c r="C32" s="4" t="s">
        <v>29</v>
      </c>
      <c r="D32" s="4" t="s">
        <v>30</v>
      </c>
      <c r="E32" s="4" t="s">
        <v>31</v>
      </c>
      <c r="F32" s="5" t="n">
        <v>16.93</v>
      </c>
      <c r="G32" s="4" t="s">
        <v>26</v>
      </c>
      <c r="H32" s="6" t="n">
        <v>1117.38</v>
      </c>
      <c r="I32" s="7" t="n">
        <v>-28.768</v>
      </c>
      <c r="J32" s="4" t="s">
        <v>32</v>
      </c>
      <c r="K32" s="4" t="s">
        <v>33</v>
      </c>
      <c r="L32" s="4" t="s">
        <v>42</v>
      </c>
      <c r="M32" s="8" t="str">
        <f aca="false">IF(OR(H32="",I32=""),"",IF(I32&gt;0,H32/I32,""))</f>
        <v/>
      </c>
      <c r="N32" s="4" t="str">
        <f aca="false">IF(I32="",IF(K32="NULL","FCF yok (NULL)","FCF kapsamı dışı"),IF(I32&lt;=0,"anlamsız (FCF ≤ 0)",IF(OR(K32="KOŞULLU"),"FCF KOŞULLU — yorum yapılmaz","")))</f>
        <v>anlamsız (FCF ≤ 0)</v>
      </c>
      <c r="O32" s="9" t="n">
        <f aca="false">IF(Q32="","",F32*R32/Q32-1)</f>
        <v>-0.060488346281909</v>
      </c>
      <c r="P32" s="9" t="n">
        <f aca="false">IF(S32="","",F32*T32/S32-1)</f>
        <v>-0.0168408826945412</v>
      </c>
      <c r="Q32" s="5" t="n">
        <v>18.02</v>
      </c>
      <c r="R32" s="10" t="n">
        <v>1</v>
      </c>
      <c r="S32" s="5" t="n">
        <v>17.22</v>
      </c>
      <c r="T32" s="10" t="n">
        <v>1</v>
      </c>
      <c r="U32" s="4"/>
    </row>
    <row r="33" customFormat="false" ht="15" hidden="false" customHeight="false" outlineLevel="0" collapsed="false">
      <c r="A33" s="4" t="s">
        <v>105</v>
      </c>
      <c r="B33" s="4" t="s">
        <v>106</v>
      </c>
      <c r="C33" s="4" t="s">
        <v>29</v>
      </c>
      <c r="D33" s="4" t="s">
        <v>30</v>
      </c>
      <c r="E33" s="4" t="s">
        <v>107</v>
      </c>
      <c r="F33" s="5" t="n">
        <v>1.58</v>
      </c>
      <c r="G33" s="4" t="s">
        <v>108</v>
      </c>
      <c r="H33" s="6" t="n">
        <v>392.1402</v>
      </c>
      <c r="I33" s="7" t="n">
        <v>3.25100000000001</v>
      </c>
      <c r="J33" s="4" t="s">
        <v>32</v>
      </c>
      <c r="K33" s="4" t="s">
        <v>33</v>
      </c>
      <c r="L33" s="4" t="s">
        <v>42</v>
      </c>
      <c r="M33" s="8" t="n">
        <f aca="false">IF(OR(H33="",I33=""),"",IF(I33&gt;0,H33/I33,""))</f>
        <v>120.621408797293</v>
      </c>
      <c r="N33" s="4" t="str">
        <f aca="false">IF(I33="",IF(K33="NULL","FCF yok (NULL)","FCF kapsamı dışı"),IF(I33&lt;=0,"anlamsız (FCF ≤ 0)",IF(OR(K33="KOŞULLU"),"FCF KOŞULLU — yorum yapılmaz","")))</f>
        <v/>
      </c>
      <c r="O33" s="9" t="n">
        <f aca="false">IF(Q33="","",F33*R33/Q33-1)</f>
        <v>-0.53935860058309</v>
      </c>
      <c r="P33" s="9" t="n">
        <f aca="false">IF(S33="","",F33*T33/S33-1)</f>
        <v>-0.0705882352941176</v>
      </c>
      <c r="Q33" s="5" t="n">
        <v>3.43</v>
      </c>
      <c r="R33" s="10" t="n">
        <v>1</v>
      </c>
      <c r="S33" s="5" t="n">
        <v>1.7</v>
      </c>
      <c r="T33" s="10" t="n">
        <v>1</v>
      </c>
      <c r="U33" s="4"/>
    </row>
    <row r="34" customFormat="false" ht="15" hidden="false" customHeight="false" outlineLevel="0" collapsed="false">
      <c r="A34" s="4" t="s">
        <v>109</v>
      </c>
      <c r="B34" s="4" t="s">
        <v>110</v>
      </c>
      <c r="C34" s="4" t="s">
        <v>29</v>
      </c>
      <c r="D34" s="4" t="s">
        <v>63</v>
      </c>
      <c r="E34" s="4" t="s">
        <v>63</v>
      </c>
      <c r="F34" s="5" t="n">
        <v>105.2</v>
      </c>
      <c r="G34" s="4" t="s">
        <v>64</v>
      </c>
      <c r="H34" s="6" t="n">
        <v>43868.4</v>
      </c>
      <c r="I34" s="7" t="n">
        <v>-3331.831</v>
      </c>
      <c r="J34" s="4" t="s">
        <v>111</v>
      </c>
      <c r="K34" s="4" t="s">
        <v>33</v>
      </c>
      <c r="L34" s="4" t="s">
        <v>42</v>
      </c>
      <c r="M34" s="8" t="str">
        <f aca="false">IF(OR(H34="",I34=""),"",IF(I34&gt;0,H34/I34,""))</f>
        <v/>
      </c>
      <c r="N34" s="4" t="str">
        <f aca="false">IF(I34="",IF(K34="NULL","FCF yok (NULL)","FCF kapsamı dışı"),IF(I34&lt;=0,"anlamsız (FCF ≤ 0)",IF(OR(K34="KOŞULLU"),"FCF KOŞULLU — yorum yapılmaz","")))</f>
        <v>anlamsız (FCF ≤ 0)</v>
      </c>
      <c r="O34" s="9" t="n">
        <f aca="false">IF(Q34="","",F34*R34/Q34-1)</f>
        <v>0.270531400966184</v>
      </c>
      <c r="P34" s="9" t="n">
        <f aca="false">IF(S34="","",F34*T34/S34-1)</f>
        <v>-0.0204841713221602</v>
      </c>
      <c r="Q34" s="5" t="n">
        <v>82.8</v>
      </c>
      <c r="R34" s="10" t="n">
        <v>1</v>
      </c>
      <c r="S34" s="5" t="n">
        <v>107.4</v>
      </c>
      <c r="T34" s="10" t="n">
        <v>1</v>
      </c>
      <c r="U34" s="4"/>
    </row>
    <row r="35" customFormat="false" ht="15" hidden="false" customHeight="false" outlineLevel="0" collapsed="false">
      <c r="A35" s="4" t="s">
        <v>112</v>
      </c>
      <c r="B35" s="4" t="s">
        <v>113</v>
      </c>
      <c r="C35" s="4" t="s">
        <v>60</v>
      </c>
      <c r="D35" s="4"/>
      <c r="E35" s="4"/>
      <c r="F35" s="5" t="n">
        <v>8.78</v>
      </c>
      <c r="G35" s="4" t="s">
        <v>26</v>
      </c>
      <c r="H35" s="6" t="n">
        <v>21950</v>
      </c>
      <c r="I35" s="7"/>
      <c r="J35" s="4"/>
      <c r="K35" s="4"/>
      <c r="L35" s="4"/>
      <c r="M35" s="8" t="str">
        <f aca="false">IF(OR(H35="",I35=""),"",IF(I35&gt;0,H35/I35,""))</f>
        <v/>
      </c>
      <c r="N35" s="4" t="str">
        <f aca="false">IF(I35="",IF(K35="NULL","FCF yok (NULL)","FCF kapsamı dışı"),IF(I35&lt;=0,"anlamsız (FCF ≤ 0)",IF(OR(K35="KOŞULLU"),"FCF KOŞULLU — yorum yapılmaz","")))</f>
        <v>FCF kapsamı dışı</v>
      </c>
      <c r="O35" s="9" t="n">
        <f aca="false">IF(Q35="","",F35*R35/Q35-1)</f>
        <v>0.048984468339307</v>
      </c>
      <c r="P35" s="9" t="n">
        <f aca="false">IF(S35="","",F35*T35/S35-1)</f>
        <v>0.0293083235638922</v>
      </c>
      <c r="Q35" s="5" t="n">
        <v>8.37</v>
      </c>
      <c r="R35" s="10" t="n">
        <v>1</v>
      </c>
      <c r="S35" s="5" t="n">
        <v>8.53</v>
      </c>
      <c r="T35" s="10" t="n">
        <v>1</v>
      </c>
      <c r="U35" s="4"/>
    </row>
    <row r="36" customFormat="false" ht="15" hidden="false" customHeight="false" outlineLevel="0" collapsed="false">
      <c r="A36" s="4" t="s">
        <v>114</v>
      </c>
      <c r="B36" s="4" t="s">
        <v>115</v>
      </c>
      <c r="C36" s="4" t="s">
        <v>29</v>
      </c>
      <c r="D36" s="4" t="s">
        <v>30</v>
      </c>
      <c r="E36" s="4" t="s">
        <v>56</v>
      </c>
      <c r="F36" s="5" t="n">
        <v>23.32</v>
      </c>
      <c r="G36" s="4" t="s">
        <v>26</v>
      </c>
      <c r="H36" s="6" t="n">
        <v>5830</v>
      </c>
      <c r="I36" s="7"/>
      <c r="J36" s="4" t="s">
        <v>32</v>
      </c>
      <c r="K36" s="4" t="s">
        <v>116</v>
      </c>
      <c r="L36" s="4" t="s">
        <v>42</v>
      </c>
      <c r="M36" s="8" t="str">
        <f aca="false">IF(OR(H36="",I36=""),"",IF(I36&gt;0,H36/I36,""))</f>
        <v/>
      </c>
      <c r="N36" s="4" t="str">
        <f aca="false">IF(I36="",IF(K36="NULL","FCF yok (NULL)","FCF kapsamı dışı"),IF(I36&lt;=0,"anlamsız (FCF ≤ 0)",IF(OR(K36="KOŞULLU"),"FCF KOŞULLU — yorum yapılmaz","")))</f>
        <v>FCF yok (NULL)</v>
      </c>
      <c r="O36" s="9" t="str">
        <f aca="false">IF(Q36="","",F36*R36/Q36-1)</f>
        <v/>
      </c>
      <c r="P36" s="9" t="n">
        <f aca="false">IF(S36="","",F36*T36/S36-1)</f>
        <v>-0.0387469084913439</v>
      </c>
      <c r="Q36" s="5"/>
      <c r="R36" s="10" t="n">
        <v>1</v>
      </c>
      <c r="S36" s="5" t="n">
        <v>24.26</v>
      </c>
      <c r="T36" s="10" t="n">
        <v>1</v>
      </c>
      <c r="U36" s="4"/>
    </row>
    <row r="37" customFormat="false" ht="15" hidden="false" customHeight="false" outlineLevel="0" collapsed="false">
      <c r="A37" s="4" t="s">
        <v>117</v>
      </c>
      <c r="B37" s="4" t="s">
        <v>118</v>
      </c>
      <c r="C37" s="4" t="s">
        <v>29</v>
      </c>
      <c r="D37" s="4" t="s">
        <v>30</v>
      </c>
      <c r="E37" s="4" t="s">
        <v>119</v>
      </c>
      <c r="F37" s="5" t="n">
        <v>601.5</v>
      </c>
      <c r="G37" s="4" t="s">
        <v>120</v>
      </c>
      <c r="H37" s="6" t="n">
        <v>6496.2</v>
      </c>
      <c r="I37" s="7" t="n">
        <v>-683.0124496</v>
      </c>
      <c r="J37" s="4" t="s">
        <v>32</v>
      </c>
      <c r="K37" s="4" t="s">
        <v>33</v>
      </c>
      <c r="L37" s="4" t="s">
        <v>34</v>
      </c>
      <c r="M37" s="8" t="str">
        <f aca="false">IF(OR(H37="",I37=""),"",IF(I37&gt;0,H37/I37,""))</f>
        <v/>
      </c>
      <c r="N37" s="4" t="str">
        <f aca="false">IF(I37="",IF(K37="NULL","FCF yok (NULL)","FCF kapsamı dışı"),IF(I37&lt;=0,"anlamsız (FCF ≤ 0)",IF(OR(K37="KOŞULLU"),"FCF KOŞULLU — yorum yapılmaz","")))</f>
        <v>anlamsız (FCF ≤ 0)</v>
      </c>
      <c r="O37" s="9" t="n">
        <f aca="false">IF(Q37="","",F37*R37/Q37-1)</f>
        <v>-0.395173453996983</v>
      </c>
      <c r="P37" s="9" t="n">
        <f aca="false">IF(S37="","",F37*T37/S37-1)</f>
        <v>-0.0731895223420647</v>
      </c>
      <c r="Q37" s="5" t="n">
        <v>994.5</v>
      </c>
      <c r="R37" s="10" t="n">
        <v>1</v>
      </c>
      <c r="S37" s="5" t="n">
        <v>649</v>
      </c>
      <c r="T37" s="10" t="n">
        <v>1</v>
      </c>
      <c r="U37" s="4"/>
    </row>
    <row r="38" customFormat="false" ht="15" hidden="false" customHeight="false" outlineLevel="0" collapsed="false">
      <c r="A38" s="4" t="s">
        <v>121</v>
      </c>
      <c r="B38" s="4" t="s">
        <v>122</v>
      </c>
      <c r="C38" s="4" t="s">
        <v>29</v>
      </c>
      <c r="D38" s="4" t="s">
        <v>30</v>
      </c>
      <c r="E38" s="4" t="s">
        <v>123</v>
      </c>
      <c r="F38" s="5" t="n">
        <v>83.6</v>
      </c>
      <c r="G38" s="4" t="s">
        <v>64</v>
      </c>
      <c r="H38" s="6" t="n">
        <v>3235.3845392</v>
      </c>
      <c r="I38" s="7" t="n">
        <v>622.406</v>
      </c>
      <c r="J38" s="4" t="s">
        <v>32</v>
      </c>
      <c r="K38" s="4" t="s">
        <v>33</v>
      </c>
      <c r="L38" s="4" t="s">
        <v>42</v>
      </c>
      <c r="M38" s="8" t="n">
        <f aca="false">IF(OR(H38="",I38=""),"",IF(I38&gt;0,H38/I38,""))</f>
        <v>5.19818982978956</v>
      </c>
      <c r="N38" s="4" t="str">
        <f aca="false">IF(I38="",IF(K38="NULL","FCF yok (NULL)","FCF kapsamı dışı"),IF(I38&lt;=0,"anlamsız (FCF ≤ 0)",IF(OR(K38="KOŞULLU"),"FCF KOŞULLU — yorum yapılmaz","")))</f>
        <v/>
      </c>
      <c r="O38" s="9" t="n">
        <f aca="false">IF(Q38="","",F38*R38/Q38-1)</f>
        <v>-0.316993464052288</v>
      </c>
      <c r="P38" s="9" t="n">
        <f aca="false">IF(S38="","",F38*T38/S38-1)</f>
        <v>-0.0716268739589118</v>
      </c>
      <c r="Q38" s="5" t="n">
        <v>122.4</v>
      </c>
      <c r="R38" s="10" t="n">
        <v>1</v>
      </c>
      <c r="S38" s="5" t="n">
        <v>90.05</v>
      </c>
      <c r="T38" s="10" t="n">
        <v>1</v>
      </c>
      <c r="U38" s="4"/>
    </row>
    <row r="39" customFormat="false" ht="15" hidden="false" customHeight="false" outlineLevel="0" collapsed="false">
      <c r="A39" s="4" t="s">
        <v>124</v>
      </c>
      <c r="B39" s="4" t="s">
        <v>125</v>
      </c>
      <c r="C39" s="4" t="s">
        <v>29</v>
      </c>
      <c r="D39" s="4" t="s">
        <v>30</v>
      </c>
      <c r="E39" s="4" t="s">
        <v>126</v>
      </c>
      <c r="F39" s="5" t="n">
        <v>30.16</v>
      </c>
      <c r="G39" s="4" t="s">
        <v>26</v>
      </c>
      <c r="H39" s="6" t="n">
        <v>11098.88</v>
      </c>
      <c r="I39" s="7" t="n">
        <v>2183.5915056</v>
      </c>
      <c r="J39" s="4" t="s">
        <v>32</v>
      </c>
      <c r="K39" s="4" t="s">
        <v>33</v>
      </c>
      <c r="L39" s="4" t="s">
        <v>57</v>
      </c>
      <c r="M39" s="8" t="n">
        <f aca="false">IF(OR(H39="",I39=""),"",IF(I39&gt;0,H39/I39,""))</f>
        <v>5.08285545695521</v>
      </c>
      <c r="N39" s="4" t="str">
        <f aca="false">IF(I39="",IF(K39="NULL","FCF yok (NULL)","FCF kapsamı dışı"),IF(I39&lt;=0,"anlamsız (FCF ≤ 0)",IF(OR(K39="KOŞULLU"),"FCF KOŞULLU — yorum yapılmaz","")))</f>
        <v/>
      </c>
      <c r="O39" s="9" t="n">
        <f aca="false">IF(Q39="","",F39*R39/Q39-1)</f>
        <v>-0.342919389978214</v>
      </c>
      <c r="P39" s="9" t="n">
        <f aca="false">IF(S39="","",F39*T39/S39-1)</f>
        <v>-0.0871670702179177</v>
      </c>
      <c r="Q39" s="5" t="n">
        <v>45.9</v>
      </c>
      <c r="R39" s="10" t="n">
        <v>1</v>
      </c>
      <c r="S39" s="5" t="n">
        <v>33.04</v>
      </c>
      <c r="T39" s="10" t="n">
        <v>1</v>
      </c>
      <c r="U39" s="4"/>
    </row>
    <row r="40" customFormat="false" ht="15" hidden="false" customHeight="false" outlineLevel="0" collapsed="false">
      <c r="A40" s="4" t="s">
        <v>127</v>
      </c>
      <c r="B40" s="4" t="s">
        <v>128</v>
      </c>
      <c r="C40" s="4" t="s">
        <v>38</v>
      </c>
      <c r="D40" s="4"/>
      <c r="E40" s="4"/>
      <c r="F40" s="5" t="n">
        <v>3.05</v>
      </c>
      <c r="G40" s="4" t="s">
        <v>64</v>
      </c>
      <c r="H40" s="6" t="n">
        <v>6187.23</v>
      </c>
      <c r="I40" s="7"/>
      <c r="J40" s="4"/>
      <c r="K40" s="4"/>
      <c r="L40" s="4"/>
      <c r="M40" s="8" t="str">
        <f aca="false">IF(OR(H40="",I40=""),"",IF(I40&gt;0,H40/I40,""))</f>
        <v/>
      </c>
      <c r="N40" s="4" t="str">
        <f aca="false">IF(I40="",IF(K40="NULL","FCF yok (NULL)","FCF kapsamı dışı"),IF(I40&lt;=0,"anlamsız (FCF ≤ 0)",IF(OR(K40="KOŞULLU"),"FCF KOŞULLU — yorum yapılmaz","")))</f>
        <v>FCF kapsamı dışı</v>
      </c>
      <c r="O40" s="9" t="n">
        <f aca="false">IF(Q40="","",F40*R40/Q40-1)</f>
        <v>0.023489932885906</v>
      </c>
      <c r="P40" s="9" t="n">
        <f aca="false">IF(S40="","",F40*T40/S40-1)</f>
        <v>-0.0192926045016077</v>
      </c>
      <c r="Q40" s="5" t="n">
        <v>2.98</v>
      </c>
      <c r="R40" s="10" t="n">
        <v>1</v>
      </c>
      <c r="S40" s="5" t="n">
        <v>3.11</v>
      </c>
      <c r="T40" s="10" t="n">
        <v>1</v>
      </c>
      <c r="U40" s="4"/>
    </row>
    <row r="41" customFormat="false" ht="15" hidden="false" customHeight="false" outlineLevel="0" collapsed="false">
      <c r="A41" s="4" t="s">
        <v>129</v>
      </c>
      <c r="B41" s="4" t="s">
        <v>130</v>
      </c>
      <c r="C41" s="4" t="s">
        <v>29</v>
      </c>
      <c r="D41" s="4" t="s">
        <v>30</v>
      </c>
      <c r="E41" s="4" t="s">
        <v>131</v>
      </c>
      <c r="F41" s="5" t="n">
        <v>6.17</v>
      </c>
      <c r="G41" s="4" t="s">
        <v>120</v>
      </c>
      <c r="H41" s="6" t="n">
        <v>4534.95</v>
      </c>
      <c r="I41" s="7" t="n">
        <v>-219.594</v>
      </c>
      <c r="J41" s="4" t="s">
        <v>32</v>
      </c>
      <c r="K41" s="4" t="s">
        <v>33</v>
      </c>
      <c r="L41" s="4" t="s">
        <v>42</v>
      </c>
      <c r="M41" s="8" t="str">
        <f aca="false">IF(OR(H41="",I41=""),"",IF(I41&gt;0,H41/I41,""))</f>
        <v/>
      </c>
      <c r="N41" s="4" t="str">
        <f aca="false">IF(I41="",IF(K41="NULL","FCF yok (NULL)","FCF kapsamı dışı"),IF(I41&lt;=0,"anlamsız (FCF ≤ 0)",IF(OR(K41="KOŞULLU"),"FCF KOŞULLU — yorum yapılmaz","")))</f>
        <v>anlamsız (FCF ≤ 0)</v>
      </c>
      <c r="O41" s="9" t="n">
        <f aca="false">IF(Q41="","",F41*R41/Q41-1)</f>
        <v>-0.558022922636103</v>
      </c>
      <c r="P41" s="9" t="n">
        <f aca="false">IF(S41="","",F41*T41/S41-1)</f>
        <v>-0.0913107511045656</v>
      </c>
      <c r="Q41" s="5" t="n">
        <v>13.96</v>
      </c>
      <c r="R41" s="10" t="n">
        <v>1</v>
      </c>
      <c r="S41" s="5" t="n">
        <v>6.79</v>
      </c>
      <c r="T41" s="10" t="n">
        <v>1</v>
      </c>
      <c r="U41" s="4"/>
    </row>
    <row r="42" customFormat="false" ht="15" hidden="false" customHeight="false" outlineLevel="0" collapsed="false">
      <c r="A42" s="4" t="s">
        <v>132</v>
      </c>
      <c r="B42" s="4" t="s">
        <v>133</v>
      </c>
      <c r="C42" s="4" t="s">
        <v>29</v>
      </c>
      <c r="D42" s="4" t="s">
        <v>30</v>
      </c>
      <c r="E42" s="4" t="s">
        <v>41</v>
      </c>
      <c r="F42" s="5" t="n">
        <v>12.02</v>
      </c>
      <c r="G42" s="4" t="s">
        <v>26</v>
      </c>
      <c r="H42" s="6" t="n">
        <v>3606</v>
      </c>
      <c r="I42" s="7" t="n">
        <v>142.011</v>
      </c>
      <c r="J42" s="4" t="s">
        <v>32</v>
      </c>
      <c r="K42" s="4" t="s">
        <v>33</v>
      </c>
      <c r="L42" s="4" t="s">
        <v>42</v>
      </c>
      <c r="M42" s="8" t="n">
        <f aca="false">IF(OR(H42="",I42=""),"",IF(I42&gt;0,H42/I42,""))</f>
        <v>25.3923991803452</v>
      </c>
      <c r="N42" s="4" t="str">
        <f aca="false">IF(I42="",IF(K42="NULL","FCF yok (NULL)","FCF kapsamı dışı"),IF(I42&lt;=0,"anlamsız (FCF ≤ 0)",IF(OR(K42="KOŞULLU"),"FCF KOŞULLU — yorum yapılmaz","")))</f>
        <v/>
      </c>
      <c r="O42" s="9" t="n">
        <f aca="false">IF(Q42="","",F42*R42/Q42-1)</f>
        <v>-0.446082949308756</v>
      </c>
      <c r="P42" s="9" t="n">
        <f aca="false">IF(S42="","",F42*T42/S42-1)</f>
        <v>-0.0921450151057403</v>
      </c>
      <c r="Q42" s="5" t="n">
        <v>21.7</v>
      </c>
      <c r="R42" s="10" t="n">
        <v>1</v>
      </c>
      <c r="S42" s="5" t="n">
        <v>13.24</v>
      </c>
      <c r="T42" s="10" t="n">
        <v>1</v>
      </c>
      <c r="U42" s="4"/>
    </row>
    <row r="43" customFormat="false" ht="15" hidden="false" customHeight="false" outlineLevel="0" collapsed="false">
      <c r="A43" s="4" t="s">
        <v>134</v>
      </c>
      <c r="B43" s="4" t="s">
        <v>135</v>
      </c>
      <c r="C43" s="4" t="s">
        <v>29</v>
      </c>
      <c r="D43" s="4" t="s">
        <v>30</v>
      </c>
      <c r="E43" s="4" t="s">
        <v>53</v>
      </c>
      <c r="F43" s="5" t="n">
        <v>107.5</v>
      </c>
      <c r="G43" s="4" t="s">
        <v>120</v>
      </c>
      <c r="H43" s="6" t="n">
        <v>12040</v>
      </c>
      <c r="I43" s="7" t="n">
        <v>-1796.783</v>
      </c>
      <c r="J43" s="4" t="s">
        <v>32</v>
      </c>
      <c r="K43" s="4" t="s">
        <v>33</v>
      </c>
      <c r="L43" s="4" t="s">
        <v>42</v>
      </c>
      <c r="M43" s="8" t="str">
        <f aca="false">IF(OR(H43="",I43=""),"",IF(I43&gt;0,H43/I43,""))</f>
        <v/>
      </c>
      <c r="N43" s="4" t="str">
        <f aca="false">IF(I43="",IF(K43="NULL","FCF yok (NULL)","FCF kapsamı dışı"),IF(I43&lt;=0,"anlamsız (FCF ≤ 0)",IF(OR(K43="KOŞULLU"),"FCF KOŞULLU — yorum yapılmaz","")))</f>
        <v>anlamsız (FCF ≤ 0)</v>
      </c>
      <c r="O43" s="9" t="n">
        <f aca="false">IF(Q43="","",F43*R43/Q43-1)</f>
        <v>0.205968140004487</v>
      </c>
      <c r="P43" s="9" t="n">
        <f aca="false">IF(S43="","",F43*T43/S43-1)</f>
        <v>-0.685212298682284</v>
      </c>
      <c r="Q43" s="5" t="n">
        <v>89.14</v>
      </c>
      <c r="R43" s="10" t="n">
        <v>1</v>
      </c>
      <c r="S43" s="5" t="n">
        <v>341.5</v>
      </c>
      <c r="T43" s="10" t="n">
        <v>1</v>
      </c>
      <c r="U43" s="4"/>
    </row>
    <row r="44" customFormat="false" ht="15" hidden="false" customHeight="false" outlineLevel="0" collapsed="false">
      <c r="A44" s="4" t="s">
        <v>136</v>
      </c>
      <c r="B44" s="4" t="s">
        <v>137</v>
      </c>
      <c r="C44" s="4" t="s">
        <v>29</v>
      </c>
      <c r="D44" s="4" t="s">
        <v>30</v>
      </c>
      <c r="E44" s="4" t="s">
        <v>138</v>
      </c>
      <c r="F44" s="5" t="n">
        <v>12.98</v>
      </c>
      <c r="G44" s="4" t="s">
        <v>26</v>
      </c>
      <c r="H44" s="6" t="n">
        <v>12980</v>
      </c>
      <c r="I44" s="7" t="n">
        <v>-1293.523376</v>
      </c>
      <c r="J44" s="4" t="s">
        <v>32</v>
      </c>
      <c r="K44" s="4" t="s">
        <v>33</v>
      </c>
      <c r="L44" s="4" t="s">
        <v>57</v>
      </c>
      <c r="M44" s="8" t="str">
        <f aca="false">IF(OR(H44="",I44=""),"",IF(I44&gt;0,H44/I44,""))</f>
        <v/>
      </c>
      <c r="N44" s="4" t="str">
        <f aca="false">IF(I44="",IF(K44="NULL","FCF yok (NULL)","FCF kapsamı dışı"),IF(I44&lt;=0,"anlamsız (FCF ≤ 0)",IF(OR(K44="KOŞULLU"),"FCF KOŞULLU — yorum yapılmaz","")))</f>
        <v>anlamsız (FCF ≤ 0)</v>
      </c>
      <c r="O44" s="9" t="n">
        <f aca="false">IF(Q44="","",F44*R44/Q44-1)</f>
        <v>-0.249277038750723</v>
      </c>
      <c r="P44" s="9" t="n">
        <f aca="false">IF(S44="","",F44*T44/S44-1)</f>
        <v>-0.0621387283236994</v>
      </c>
      <c r="Q44" s="5" t="n">
        <v>17.29</v>
      </c>
      <c r="R44" s="10" t="n">
        <v>1</v>
      </c>
      <c r="S44" s="5" t="n">
        <v>13.84</v>
      </c>
      <c r="T44" s="10" t="n">
        <v>1</v>
      </c>
      <c r="U44" s="4"/>
    </row>
    <row r="45" customFormat="false" ht="15" hidden="false" customHeight="false" outlineLevel="0" collapsed="false">
      <c r="A45" s="4" t="s">
        <v>139</v>
      </c>
      <c r="B45" s="4" t="s">
        <v>140</v>
      </c>
      <c r="C45" s="4" t="s">
        <v>29</v>
      </c>
      <c r="D45" s="4" t="s">
        <v>30</v>
      </c>
      <c r="E45" s="4" t="s">
        <v>45</v>
      </c>
      <c r="F45" s="5" t="n">
        <v>0.61</v>
      </c>
      <c r="G45" s="4" t="s">
        <v>141</v>
      </c>
      <c r="H45" s="6" t="n">
        <v>976</v>
      </c>
      <c r="I45" s="7" t="n">
        <v>-855.757</v>
      </c>
      <c r="J45" s="4" t="s">
        <v>32</v>
      </c>
      <c r="K45" s="4" t="s">
        <v>33</v>
      </c>
      <c r="L45" s="4" t="s">
        <v>42</v>
      </c>
      <c r="M45" s="8" t="str">
        <f aca="false">IF(OR(H45="",I45=""),"",IF(I45&gt;0,H45/I45,""))</f>
        <v/>
      </c>
      <c r="N45" s="4" t="str">
        <f aca="false">IF(I45="",IF(K45="NULL","FCF yok (NULL)","FCF kapsamı dışı"),IF(I45&lt;=0,"anlamsız (FCF ≤ 0)",IF(OR(K45="KOŞULLU"),"FCF KOŞULLU — yorum yapılmaz","")))</f>
        <v>anlamsız (FCF ≤ 0)</v>
      </c>
      <c r="O45" s="9" t="n">
        <f aca="false">IF(Q45="","",F45*R45/Q45-1)</f>
        <v>-0.796666666666667</v>
      </c>
      <c r="P45" s="9" t="n">
        <f aca="false">IF(S45="","",F45*T45/S45-1)</f>
        <v>-0.0161290322580645</v>
      </c>
      <c r="Q45" s="5" t="n">
        <v>3</v>
      </c>
      <c r="R45" s="10" t="n">
        <v>1</v>
      </c>
      <c r="S45" s="5" t="n">
        <v>0.62</v>
      </c>
      <c r="T45" s="10" t="n">
        <v>1</v>
      </c>
      <c r="U45" s="4"/>
    </row>
    <row r="46" customFormat="false" ht="15" hidden="false" customHeight="false" outlineLevel="0" collapsed="false">
      <c r="A46" s="4" t="s">
        <v>142</v>
      </c>
      <c r="B46" s="4" t="s">
        <v>143</v>
      </c>
      <c r="C46" s="4" t="s">
        <v>29</v>
      </c>
      <c r="D46" s="4" t="s">
        <v>30</v>
      </c>
      <c r="E46" s="4" t="s">
        <v>85</v>
      </c>
      <c r="F46" s="5" t="n">
        <v>29.76</v>
      </c>
      <c r="G46" s="4" t="s">
        <v>144</v>
      </c>
      <c r="H46" s="6" t="n">
        <v>7886.4</v>
      </c>
      <c r="I46" s="7" t="n">
        <v>-919.106</v>
      </c>
      <c r="J46" s="4" t="s">
        <v>32</v>
      </c>
      <c r="K46" s="4" t="s">
        <v>33</v>
      </c>
      <c r="L46" s="4" t="s">
        <v>42</v>
      </c>
      <c r="M46" s="8" t="str">
        <f aca="false">IF(OR(H46="",I46=""),"",IF(I46&gt;0,H46/I46,""))</f>
        <v/>
      </c>
      <c r="N46" s="4" t="str">
        <f aca="false">IF(I46="",IF(K46="NULL","FCF yok (NULL)","FCF kapsamı dışı"),IF(I46&lt;=0,"anlamsız (FCF ≤ 0)",IF(OR(K46="KOŞULLU"),"FCF KOŞULLU — yorum yapılmaz","")))</f>
        <v>anlamsız (FCF ≤ 0)</v>
      </c>
      <c r="O46" s="9" t="n">
        <f aca="false">IF(Q46="","",F46*R46/Q46-1)</f>
        <v>0.608648648648649</v>
      </c>
      <c r="P46" s="9" t="n">
        <f aca="false">IF(S46="","",F46*T46/S46-1)</f>
        <v>-0.685412262156448</v>
      </c>
      <c r="Q46" s="5" t="n">
        <v>18.5</v>
      </c>
      <c r="R46" s="10" t="n">
        <v>1</v>
      </c>
      <c r="S46" s="5" t="n">
        <v>94.6</v>
      </c>
      <c r="T46" s="10" t="n">
        <v>1</v>
      </c>
      <c r="U46" s="4"/>
    </row>
    <row r="47" customFormat="false" ht="15" hidden="false" customHeight="false" outlineLevel="0" collapsed="false">
      <c r="A47" s="4" t="s">
        <v>145</v>
      </c>
      <c r="B47" s="4" t="s">
        <v>146</v>
      </c>
      <c r="C47" s="4" t="s">
        <v>29</v>
      </c>
      <c r="D47" s="4" t="s">
        <v>30</v>
      </c>
      <c r="E47" s="4" t="s">
        <v>147</v>
      </c>
      <c r="F47" s="5" t="n">
        <v>8.09</v>
      </c>
      <c r="G47" s="4" t="s">
        <v>26</v>
      </c>
      <c r="H47" s="6" t="n">
        <v>1779.8</v>
      </c>
      <c r="I47" s="7" t="n">
        <v>-109.937</v>
      </c>
      <c r="J47" s="4" t="s">
        <v>32</v>
      </c>
      <c r="K47" s="4" t="s">
        <v>33</v>
      </c>
      <c r="L47" s="4" t="s">
        <v>42</v>
      </c>
      <c r="M47" s="8" t="str">
        <f aca="false">IF(OR(H47="",I47=""),"",IF(I47&gt;0,H47/I47,""))</f>
        <v/>
      </c>
      <c r="N47" s="4" t="str">
        <f aca="false">IF(I47="",IF(K47="NULL","FCF yok (NULL)","FCF kapsamı dışı"),IF(I47&lt;=0,"anlamsız (FCF ≤ 0)",IF(OR(K47="KOŞULLU"),"FCF KOŞULLU — yorum yapılmaz","")))</f>
        <v>anlamsız (FCF ≤ 0)</v>
      </c>
      <c r="O47" s="9" t="n">
        <f aca="false">IF(Q47="","",F47*R47/Q47-1)</f>
        <v>-0.336885245901639</v>
      </c>
      <c r="P47" s="9" t="n">
        <f aca="false">IF(S47="","",F47*T47/S47-1)</f>
        <v>0.0962059620596205</v>
      </c>
      <c r="Q47" s="5" t="n">
        <v>12.2</v>
      </c>
      <c r="R47" s="10" t="n">
        <v>1</v>
      </c>
      <c r="S47" s="5" t="n">
        <v>7.38</v>
      </c>
      <c r="T47" s="10" t="n">
        <v>1</v>
      </c>
      <c r="U47" s="4"/>
    </row>
    <row r="48" customFormat="false" ht="15" hidden="false" customHeight="false" outlineLevel="0" collapsed="false">
      <c r="A48" s="4" t="s">
        <v>148</v>
      </c>
      <c r="B48" s="4" t="s">
        <v>149</v>
      </c>
      <c r="C48" s="4" t="s">
        <v>60</v>
      </c>
      <c r="D48" s="4"/>
      <c r="E48" s="4"/>
      <c r="F48" s="5" t="n">
        <v>100.4</v>
      </c>
      <c r="G48" s="4" t="s">
        <v>26</v>
      </c>
      <c r="H48" s="6" t="n">
        <v>43172</v>
      </c>
      <c r="I48" s="7"/>
      <c r="J48" s="4"/>
      <c r="K48" s="4"/>
      <c r="L48" s="4"/>
      <c r="M48" s="8" t="str">
        <f aca="false">IF(OR(H48="",I48=""),"",IF(I48&gt;0,H48/I48,""))</f>
        <v/>
      </c>
      <c r="N48" s="4" t="str">
        <f aca="false">IF(I48="",IF(K48="NULL","FCF yok (NULL)","FCF kapsamı dışı"),IF(I48&lt;=0,"anlamsız (FCF ≤ 0)",IF(OR(K48="KOŞULLU"),"FCF KOŞULLU — yorum yapılmaz","")))</f>
        <v>FCF kapsamı dışı</v>
      </c>
      <c r="O48" s="9" t="n">
        <f aca="false">IF(Q48="","",F48*R48/Q48-1)</f>
        <v>0.172003451525024</v>
      </c>
      <c r="P48" s="9" t="n">
        <f aca="false">IF(S48="","",F48*T48/S48-1)</f>
        <v>-0.0280735721200387</v>
      </c>
      <c r="Q48" s="5" t="n">
        <v>85.6652767270936</v>
      </c>
      <c r="R48" s="10" t="n">
        <v>1</v>
      </c>
      <c r="S48" s="5" t="n">
        <v>103.3</v>
      </c>
      <c r="T48" s="10" t="n">
        <v>1</v>
      </c>
      <c r="U48" s="4"/>
    </row>
    <row r="49" customFormat="false" ht="15" hidden="false" customHeight="false" outlineLevel="0" collapsed="false">
      <c r="A49" s="4" t="s">
        <v>150</v>
      </c>
      <c r="B49" s="4" t="s">
        <v>151</v>
      </c>
      <c r="C49" s="4" t="s">
        <v>60</v>
      </c>
      <c r="D49" s="4"/>
      <c r="E49" s="4"/>
      <c r="F49" s="5" t="n">
        <v>24.28</v>
      </c>
      <c r="G49" s="4" t="s">
        <v>26</v>
      </c>
      <c r="H49" s="6" t="n">
        <v>48560</v>
      </c>
      <c r="I49" s="7"/>
      <c r="J49" s="4"/>
      <c r="K49" s="4"/>
      <c r="L49" s="4"/>
      <c r="M49" s="8" t="str">
        <f aca="false">IF(OR(H49="",I49=""),"",IF(I49&gt;0,H49/I49,""))</f>
        <v/>
      </c>
      <c r="N49" s="4" t="str">
        <f aca="false">IF(I49="",IF(K49="NULL","FCF yok (NULL)","FCF kapsamı dışı"),IF(I49&lt;=0,"anlamsız (FCF ≤ 0)",IF(OR(K49="KOŞULLU"),"FCF KOŞULLU — yorum yapılmaz","")))</f>
        <v>FCF kapsamı dışı</v>
      </c>
      <c r="O49" s="9" t="n">
        <f aca="false">IF(Q49="","",F49*R49/Q49-1)</f>
        <v>0.183784402521123</v>
      </c>
      <c r="P49" s="9" t="n">
        <f aca="false">IF(S49="","",F49*T49/S49-1)</f>
        <v>-0.100074128984433</v>
      </c>
      <c r="Q49" s="5" t="n">
        <v>20.5104915627293</v>
      </c>
      <c r="R49" s="10" t="n">
        <v>1</v>
      </c>
      <c r="S49" s="5" t="n">
        <v>26.98</v>
      </c>
      <c r="T49" s="10" t="n">
        <v>1</v>
      </c>
      <c r="U49" s="4"/>
    </row>
    <row r="50" customFormat="false" ht="15" hidden="false" customHeight="false" outlineLevel="0" collapsed="false">
      <c r="A50" s="4" t="s">
        <v>152</v>
      </c>
      <c r="B50" s="4" t="s">
        <v>153</v>
      </c>
      <c r="C50" s="4" t="s">
        <v>29</v>
      </c>
      <c r="D50" s="4" t="s">
        <v>30</v>
      </c>
      <c r="E50" s="4" t="s">
        <v>31</v>
      </c>
      <c r="F50" s="5" t="n">
        <v>96.75</v>
      </c>
      <c r="G50" s="4" t="s">
        <v>46</v>
      </c>
      <c r="H50" s="6" t="n">
        <v>24187.5</v>
      </c>
      <c r="I50" s="7" t="n">
        <v>6966.1320704</v>
      </c>
      <c r="J50" s="4" t="s">
        <v>32</v>
      </c>
      <c r="K50" s="4" t="s">
        <v>154</v>
      </c>
      <c r="L50" s="4" t="s">
        <v>34</v>
      </c>
      <c r="M50" s="8" t="n">
        <f aca="false">IF(OR(H50="",I50=""),"",IF(I50&gt;0,H50/I50,""))</f>
        <v>3.4721563926093</v>
      </c>
      <c r="N50" s="4" t="str">
        <f aca="false">IF(I50="",IF(K50="NULL","FCF yok (NULL)","FCF kapsamı dışı"),IF(I50&lt;=0,"anlamsız (FCF ≤ 0)",IF(OR(K50="KOŞULLU"),"FCF KOŞULLU — yorum yapılmaz","")))</f>
        <v>FCF KOŞULLU — yorum yapılmaz</v>
      </c>
      <c r="O50" s="9" t="n">
        <f aca="false">IF(Q50="","",F50*R50/Q50-1)</f>
        <v>0.724598930481283</v>
      </c>
      <c r="P50" s="9" t="n">
        <f aca="false">IF(S50="","",F50*T50/S50-1)</f>
        <v>-0.0750478011472275</v>
      </c>
      <c r="Q50" s="5" t="n">
        <v>56.1</v>
      </c>
      <c r="R50" s="10" t="n">
        <v>1</v>
      </c>
      <c r="S50" s="5" t="n">
        <v>104.6</v>
      </c>
      <c r="T50" s="10" t="n">
        <v>1</v>
      </c>
      <c r="U50" s="4"/>
    </row>
    <row r="51" customFormat="false" ht="15" hidden="false" customHeight="false" outlineLevel="0" collapsed="false">
      <c r="A51" s="4" t="s">
        <v>155</v>
      </c>
      <c r="B51" s="4" t="s">
        <v>156</v>
      </c>
      <c r="C51" s="4" t="s">
        <v>29</v>
      </c>
      <c r="D51" s="4" t="s">
        <v>30</v>
      </c>
      <c r="E51" s="4" t="s">
        <v>119</v>
      </c>
      <c r="F51" s="5" t="n">
        <v>81.5</v>
      </c>
      <c r="G51" s="4" t="s">
        <v>26</v>
      </c>
      <c r="H51" s="6" t="n">
        <v>55071.8487075</v>
      </c>
      <c r="I51" s="7" t="n">
        <v>12032.466</v>
      </c>
      <c r="J51" s="4" t="s">
        <v>32</v>
      </c>
      <c r="K51" s="4" t="s">
        <v>33</v>
      </c>
      <c r="L51" s="4" t="s">
        <v>42</v>
      </c>
      <c r="M51" s="8" t="n">
        <f aca="false">IF(OR(H51="",I51=""),"",IF(I51&gt;0,H51/I51,""))</f>
        <v>4.57693782035204</v>
      </c>
      <c r="N51" s="4" t="str">
        <f aca="false">IF(I51="",IF(K51="NULL","FCF yok (NULL)","FCF kapsamı dışı"),IF(I51&lt;=0,"anlamsız (FCF ≤ 0)",IF(OR(K51="KOŞULLU"),"FCF KOŞULLU — yorum yapılmaz","")))</f>
        <v/>
      </c>
      <c r="O51" s="9" t="n">
        <f aca="false">IF(Q51="","",F51*R51/Q51-1)</f>
        <v>-0.329769736842105</v>
      </c>
      <c r="P51" s="9" t="n">
        <f aca="false">IF(S51="","",F51*T51/S51-1)</f>
        <v>-0.0621403912543154</v>
      </c>
      <c r="Q51" s="5" t="n">
        <v>121.6</v>
      </c>
      <c r="R51" s="10" t="n">
        <v>1</v>
      </c>
      <c r="S51" s="5" t="n">
        <v>86.9</v>
      </c>
      <c r="T51" s="10" t="n">
        <v>1</v>
      </c>
      <c r="U51" s="4"/>
    </row>
    <row r="52" customFormat="false" ht="15" hidden="false" customHeight="false" outlineLevel="0" collapsed="false">
      <c r="A52" s="4" t="s">
        <v>157</v>
      </c>
      <c r="B52" s="4" t="s">
        <v>158</v>
      </c>
      <c r="C52" s="4" t="s">
        <v>29</v>
      </c>
      <c r="D52" s="4" t="s">
        <v>30</v>
      </c>
      <c r="E52" s="4" t="s">
        <v>159</v>
      </c>
      <c r="F52" s="5" t="n">
        <v>67.3</v>
      </c>
      <c r="G52" s="4" t="s">
        <v>26</v>
      </c>
      <c r="H52" s="6" t="n">
        <v>21689.0459205</v>
      </c>
      <c r="I52" s="7" t="n">
        <v>-832.225</v>
      </c>
      <c r="J52" s="4" t="s">
        <v>32</v>
      </c>
      <c r="K52" s="4" t="s">
        <v>33</v>
      </c>
      <c r="L52" s="4" t="s">
        <v>42</v>
      </c>
      <c r="M52" s="8" t="str">
        <f aca="false">IF(OR(H52="",I52=""),"",IF(I52&gt;0,H52/I52,""))</f>
        <v/>
      </c>
      <c r="N52" s="4" t="str">
        <f aca="false">IF(I52="",IF(K52="NULL","FCF yok (NULL)","FCF kapsamı dışı"),IF(I52&lt;=0,"anlamsız (FCF ≤ 0)",IF(OR(K52="KOŞULLU"),"FCF KOŞULLU — yorum yapılmaz","")))</f>
        <v>anlamsız (FCF ≤ 0)</v>
      </c>
      <c r="O52" s="9" t="n">
        <f aca="false">IF(Q52="","",F52*R52/Q52-1)</f>
        <v>1.57755649176561</v>
      </c>
      <c r="P52" s="9" t="n">
        <f aca="false">IF(S52="","",F52*T52/S52-1)</f>
        <v>0.0854838709677419</v>
      </c>
      <c r="Q52" s="5" t="n">
        <v>26.11</v>
      </c>
      <c r="R52" s="10" t="n">
        <v>1</v>
      </c>
      <c r="S52" s="5" t="n">
        <v>62</v>
      </c>
      <c r="T52" s="10" t="n">
        <v>1</v>
      </c>
      <c r="U52" s="4"/>
    </row>
    <row r="53" customFormat="false" ht="15" hidden="false" customHeight="false" outlineLevel="0" collapsed="false">
      <c r="A53" s="4" t="s">
        <v>160</v>
      </c>
      <c r="B53" s="4" t="s">
        <v>161</v>
      </c>
      <c r="C53" s="4" t="s">
        <v>29</v>
      </c>
      <c r="D53" s="4" t="s">
        <v>30</v>
      </c>
      <c r="E53" s="4" t="s">
        <v>162</v>
      </c>
      <c r="F53" s="5" t="n">
        <v>15.4</v>
      </c>
      <c r="G53" s="4" t="s">
        <v>26</v>
      </c>
      <c r="H53" s="6" t="n">
        <v>1540</v>
      </c>
      <c r="I53" s="7" t="n">
        <v>1682.83</v>
      </c>
      <c r="J53" s="4" t="s">
        <v>32</v>
      </c>
      <c r="K53" s="4" t="s">
        <v>86</v>
      </c>
      <c r="L53" s="4" t="s">
        <v>42</v>
      </c>
      <c r="M53" s="8" t="n">
        <f aca="false">IF(OR(H53="",I53=""),"",IF(I53&gt;0,H53/I53,""))</f>
        <v>0.915125116619029</v>
      </c>
      <c r="N53" s="4" t="str">
        <f aca="false">IF(I53="",IF(K53="NULL","FCF yok (NULL)","FCF kapsamı dışı"),IF(I53&lt;=0,"anlamsız (FCF ≤ 0)",IF(OR(K53="KOŞULLU"),"FCF KOŞULLU — yorum yapılmaz","")))</f>
        <v/>
      </c>
      <c r="O53" s="9" t="n">
        <f aca="false">IF(Q53="","",F53*R53/Q53-1)</f>
        <v>-0.500972132209981</v>
      </c>
      <c r="P53" s="9" t="n">
        <f aca="false">IF(S53="","",F53*T53/S53-1)</f>
        <v>-0.0621193666260659</v>
      </c>
      <c r="Q53" s="5" t="n">
        <v>30.86</v>
      </c>
      <c r="R53" s="10" t="n">
        <v>1</v>
      </c>
      <c r="S53" s="5" t="n">
        <v>16.42</v>
      </c>
      <c r="T53" s="10" t="n">
        <v>1</v>
      </c>
      <c r="U53" s="4"/>
    </row>
    <row r="54" customFormat="false" ht="15" hidden="false" customHeight="false" outlineLevel="0" collapsed="false">
      <c r="A54" s="4" t="s">
        <v>163</v>
      </c>
      <c r="B54" s="4" t="s">
        <v>164</v>
      </c>
      <c r="C54" s="4" t="s">
        <v>29</v>
      </c>
      <c r="D54" s="4" t="s">
        <v>30</v>
      </c>
      <c r="E54" s="4" t="s">
        <v>31</v>
      </c>
      <c r="F54" s="5" t="n">
        <v>13.3</v>
      </c>
      <c r="G54" s="4" t="s">
        <v>26</v>
      </c>
      <c r="H54" s="6" t="n">
        <v>2431.7374333</v>
      </c>
      <c r="I54" s="7" t="n">
        <v>121.1711648</v>
      </c>
      <c r="J54" s="4" t="s">
        <v>32</v>
      </c>
      <c r="K54" s="4" t="s">
        <v>33</v>
      </c>
      <c r="L54" s="4" t="s">
        <v>57</v>
      </c>
      <c r="M54" s="8" t="n">
        <f aca="false">IF(OR(H54="",I54=""),"",IF(I54&gt;0,H54/I54,""))</f>
        <v>20.068614817013</v>
      </c>
      <c r="N54" s="4" t="str">
        <f aca="false">IF(I54="",IF(K54="NULL","FCF yok (NULL)","FCF kapsamı dışı"),IF(I54&lt;=0,"anlamsız (FCF ≤ 0)",IF(OR(K54="KOŞULLU"),"FCF KOŞULLU — yorum yapılmaz","")))</f>
        <v/>
      </c>
      <c r="O54" s="9" t="str">
        <f aca="false">IF(Q54="","",F54*R54/Q54-1)</f>
        <v/>
      </c>
      <c r="P54" s="9" t="n">
        <f aca="false">IF(S54="","",F54*T54/S54-1)</f>
        <v>-0.0744606819763395</v>
      </c>
      <c r="Q54" s="5"/>
      <c r="R54" s="10" t="n">
        <v>1</v>
      </c>
      <c r="S54" s="5" t="n">
        <v>14.37</v>
      </c>
      <c r="T54" s="10" t="n">
        <v>1</v>
      </c>
      <c r="U54" s="4"/>
    </row>
    <row r="55" customFormat="false" ht="15" hidden="false" customHeight="false" outlineLevel="0" collapsed="false">
      <c r="A55" s="4" t="s">
        <v>165</v>
      </c>
      <c r="B55" s="4" t="s">
        <v>166</v>
      </c>
      <c r="C55" s="4" t="s">
        <v>29</v>
      </c>
      <c r="D55" s="4" t="s">
        <v>30</v>
      </c>
      <c r="E55" s="4" t="s">
        <v>53</v>
      </c>
      <c r="F55" s="5" t="n">
        <v>127.1</v>
      </c>
      <c r="G55" s="4" t="s">
        <v>26</v>
      </c>
      <c r="H55" s="6" t="n">
        <v>33551.9651453</v>
      </c>
      <c r="I55" s="7" t="n">
        <v>-6280.031</v>
      </c>
      <c r="J55" s="4" t="s">
        <v>32</v>
      </c>
      <c r="K55" s="4" t="s">
        <v>33</v>
      </c>
      <c r="L55" s="4" t="s">
        <v>42</v>
      </c>
      <c r="M55" s="8" t="str">
        <f aca="false">IF(OR(H55="",I55=""),"",IF(I55&gt;0,H55/I55,""))</f>
        <v/>
      </c>
      <c r="N55" s="4" t="str">
        <f aca="false">IF(I55="",IF(K55="NULL","FCF yok (NULL)","FCF kapsamı dışı"),IF(I55&lt;=0,"anlamsız (FCF ≤ 0)",IF(OR(K55="KOŞULLU"),"FCF KOŞULLU — yorum yapılmaz","")))</f>
        <v>anlamsız (FCF ≤ 0)</v>
      </c>
      <c r="O55" s="9" t="n">
        <f aca="false">IF(Q55="","",F55*R55/Q55-1)</f>
        <v>2.65229885057471</v>
      </c>
      <c r="P55" s="9" t="n">
        <f aca="false">IF(S55="","",F55*T55/S55-1)</f>
        <v>-0.151535380507343</v>
      </c>
      <c r="Q55" s="5" t="n">
        <v>34.8</v>
      </c>
      <c r="R55" s="10" t="n">
        <v>1</v>
      </c>
      <c r="S55" s="5" t="n">
        <v>149.8</v>
      </c>
      <c r="T55" s="10" t="n">
        <v>1</v>
      </c>
      <c r="U55" s="4"/>
    </row>
    <row r="56" customFormat="false" ht="15" hidden="false" customHeight="false" outlineLevel="0" collapsed="false">
      <c r="A56" s="4" t="s">
        <v>167</v>
      </c>
      <c r="B56" s="4" t="s">
        <v>168</v>
      </c>
      <c r="C56" s="4" t="s">
        <v>29</v>
      </c>
      <c r="D56" s="4" t="s">
        <v>63</v>
      </c>
      <c r="E56" s="4" t="s">
        <v>63</v>
      </c>
      <c r="F56" s="5" t="n">
        <v>3.63</v>
      </c>
      <c r="G56" s="4" t="s">
        <v>76</v>
      </c>
      <c r="H56" s="6" t="n">
        <v>6396.06</v>
      </c>
      <c r="I56" s="7" t="n">
        <v>245.2192512</v>
      </c>
      <c r="J56" s="4" t="s">
        <v>111</v>
      </c>
      <c r="K56" s="4" t="s">
        <v>33</v>
      </c>
      <c r="L56" s="4" t="s">
        <v>57</v>
      </c>
      <c r="M56" s="8" t="n">
        <f aca="false">IF(OR(H56="",I56=""),"",IF(I56&gt;0,H56/I56,""))</f>
        <v>26.0830255728307</v>
      </c>
      <c r="N56" s="4" t="str">
        <f aca="false">IF(I56="",IF(K56="NULL","FCF yok (NULL)","FCF kapsamı dışı"),IF(I56&lt;=0,"anlamsız (FCF ≤ 0)",IF(OR(K56="KOŞULLU"),"FCF KOŞULLU — yorum yapılmaz","")))</f>
        <v/>
      </c>
      <c r="O56" s="9" t="n">
        <f aca="false">IF(Q56="","",F56*R56/Q56-1)</f>
        <v>0.251724137931034</v>
      </c>
      <c r="P56" s="9" t="n">
        <f aca="false">IF(S56="","",F56*T56/S56-1)</f>
        <v>0.0583090379008746</v>
      </c>
      <c r="Q56" s="5" t="n">
        <v>2.9</v>
      </c>
      <c r="R56" s="10" t="n">
        <v>1</v>
      </c>
      <c r="S56" s="5" t="n">
        <v>3.43</v>
      </c>
      <c r="T56" s="10" t="n">
        <v>1</v>
      </c>
      <c r="U56" s="4"/>
    </row>
    <row r="57" customFormat="false" ht="15" hidden="false" customHeight="false" outlineLevel="0" collapsed="false">
      <c r="A57" s="4" t="s">
        <v>169</v>
      </c>
      <c r="B57" s="4" t="s">
        <v>170</v>
      </c>
      <c r="C57" s="4" t="s">
        <v>29</v>
      </c>
      <c r="D57" s="4" t="s">
        <v>30</v>
      </c>
      <c r="E57" s="4" t="s">
        <v>171</v>
      </c>
      <c r="F57" s="5" t="n">
        <v>33.5</v>
      </c>
      <c r="G57" s="4" t="s">
        <v>64</v>
      </c>
      <c r="H57" s="6" t="n">
        <v>2345</v>
      </c>
      <c r="I57" s="7" t="n">
        <v>-564.6394608</v>
      </c>
      <c r="J57" s="4" t="s">
        <v>32</v>
      </c>
      <c r="K57" s="4" t="s">
        <v>33</v>
      </c>
      <c r="L57" s="4" t="s">
        <v>57</v>
      </c>
      <c r="M57" s="8" t="str">
        <f aca="false">IF(OR(H57="",I57=""),"",IF(I57&gt;0,H57/I57,""))</f>
        <v/>
      </c>
      <c r="N57" s="4" t="str">
        <f aca="false">IF(I57="",IF(K57="NULL","FCF yok (NULL)","FCF kapsamı dışı"),IF(I57&lt;=0,"anlamsız (FCF ≤ 0)",IF(OR(K57="KOŞULLU"),"FCF KOŞULLU — yorum yapılmaz","")))</f>
        <v>anlamsız (FCF ≤ 0)</v>
      </c>
      <c r="O57" s="9" t="n">
        <f aca="false">IF(Q57="","",F57*R57/Q57-1)</f>
        <v>-0.0595171252105559</v>
      </c>
      <c r="P57" s="9" t="n">
        <f aca="false">IF(S57="","",F57*T57/S57-1)</f>
        <v>-0.0147058823529411</v>
      </c>
      <c r="Q57" s="5" t="n">
        <v>35.62</v>
      </c>
      <c r="R57" s="10" t="n">
        <v>1</v>
      </c>
      <c r="S57" s="5" t="n">
        <v>34</v>
      </c>
      <c r="T57" s="10" t="n">
        <v>1</v>
      </c>
      <c r="U57" s="4"/>
    </row>
    <row r="58" customFormat="false" ht="15" hidden="false" customHeight="false" outlineLevel="0" collapsed="false">
      <c r="A58" s="4" t="s">
        <v>172</v>
      </c>
      <c r="B58" s="4" t="s">
        <v>173</v>
      </c>
      <c r="C58" s="4" t="s">
        <v>29</v>
      </c>
      <c r="D58" s="4" t="s">
        <v>30</v>
      </c>
      <c r="E58" s="4" t="s">
        <v>119</v>
      </c>
      <c r="F58" s="5" t="n">
        <v>1.19</v>
      </c>
      <c r="G58" s="4" t="s">
        <v>26</v>
      </c>
      <c r="H58" s="6" t="n">
        <v>714</v>
      </c>
      <c r="I58" s="7" t="n">
        <v>1997.27608</v>
      </c>
      <c r="J58" s="4" t="s">
        <v>32</v>
      </c>
      <c r="K58" s="4" t="s">
        <v>33</v>
      </c>
      <c r="L58" s="4" t="s">
        <v>57</v>
      </c>
      <c r="M58" s="8" t="n">
        <f aca="false">IF(OR(H58="",I58=""),"",IF(I58&gt;0,H58/I58,""))</f>
        <v>0.357486882834946</v>
      </c>
      <c r="N58" s="4" t="str">
        <f aca="false">IF(I58="",IF(K58="NULL","FCF yok (NULL)","FCF kapsamı dışı"),IF(I58&lt;=0,"anlamsız (FCF ≤ 0)",IF(OR(K58="KOŞULLU"),"FCF KOŞULLU — yorum yapılmaz","")))</f>
        <v/>
      </c>
      <c r="O58" s="9" t="n">
        <f aca="false">IF(Q58="","",F58*R58/Q58-1)</f>
        <v>-0.593856655290103</v>
      </c>
      <c r="P58" s="9" t="n">
        <f aca="false">IF(S58="","",F58*T58/S58-1)</f>
        <v>-0.0629921259842521</v>
      </c>
      <c r="Q58" s="5" t="n">
        <v>2.93</v>
      </c>
      <c r="R58" s="10" t="n">
        <v>1</v>
      </c>
      <c r="S58" s="5" t="n">
        <v>1.27</v>
      </c>
      <c r="T58" s="10" t="n">
        <v>1</v>
      </c>
      <c r="U58" s="4"/>
    </row>
    <row r="59" customFormat="false" ht="15" hidden="false" customHeight="false" outlineLevel="0" collapsed="false">
      <c r="A59" s="4" t="s">
        <v>174</v>
      </c>
      <c r="B59" s="4" t="s">
        <v>175</v>
      </c>
      <c r="C59" s="4" t="s">
        <v>29</v>
      </c>
      <c r="D59" s="4" t="s">
        <v>30</v>
      </c>
      <c r="E59" s="4" t="s">
        <v>138</v>
      </c>
      <c r="F59" s="5" t="n">
        <v>370</v>
      </c>
      <c r="G59" s="4" t="s">
        <v>76</v>
      </c>
      <c r="H59" s="6" t="n">
        <v>1687200</v>
      </c>
      <c r="I59" s="7" t="n">
        <v>-6722.44500000001</v>
      </c>
      <c r="J59" s="4" t="s">
        <v>32</v>
      </c>
      <c r="K59" s="4" t="s">
        <v>33</v>
      </c>
      <c r="L59" s="4" t="s">
        <v>42</v>
      </c>
      <c r="M59" s="8" t="str">
        <f aca="false">IF(OR(H59="",I59=""),"",IF(I59&gt;0,H59/I59,""))</f>
        <v/>
      </c>
      <c r="N59" s="4" t="str">
        <f aca="false">IF(I59="",IF(K59="NULL","FCF yok (NULL)","FCF kapsamı dışı"),IF(I59&lt;=0,"anlamsız (FCF ≤ 0)",IF(OR(K59="KOŞULLU"),"FCF KOŞULLU — yorum yapılmaz","")))</f>
        <v>anlamsız (FCF ≤ 0)</v>
      </c>
      <c r="O59" s="9" t="n">
        <f aca="false">IF(Q59="","",F59*R59/Q59-1)</f>
        <v>0.696469509399358</v>
      </c>
      <c r="P59" s="9" t="n">
        <f aca="false">IF(S59="","",F59*T59/S59-1)</f>
        <v>-0.0211640211640212</v>
      </c>
      <c r="Q59" s="5" t="n">
        <v>218.1</v>
      </c>
      <c r="R59" s="10" t="n">
        <v>1</v>
      </c>
      <c r="S59" s="5" t="n">
        <v>378</v>
      </c>
      <c r="T59" s="10" t="n">
        <v>1</v>
      </c>
      <c r="U59" s="4"/>
    </row>
    <row r="60" customFormat="false" ht="15" hidden="false" customHeight="false" outlineLevel="0" collapsed="false">
      <c r="A60" s="4" t="s">
        <v>176</v>
      </c>
      <c r="B60" s="4" t="s">
        <v>177</v>
      </c>
      <c r="C60" s="4" t="s">
        <v>38</v>
      </c>
      <c r="D60" s="4"/>
      <c r="E60" s="4"/>
      <c r="F60" s="5" t="n">
        <v>9.92</v>
      </c>
      <c r="G60" s="4" t="s">
        <v>26</v>
      </c>
      <c r="H60" s="6" t="n">
        <v>6537.28</v>
      </c>
      <c r="I60" s="7"/>
      <c r="J60" s="4"/>
      <c r="K60" s="4"/>
      <c r="L60" s="4"/>
      <c r="M60" s="8" t="str">
        <f aca="false">IF(OR(H60="",I60=""),"",IF(I60&gt;0,H60/I60,""))</f>
        <v/>
      </c>
      <c r="N60" s="4" t="str">
        <f aca="false">IF(I60="",IF(K60="NULL","FCF yok (NULL)","FCF kapsamı dışı"),IF(I60&lt;=0,"anlamsız (FCF ≤ 0)",IF(OR(K60="KOŞULLU"),"FCF KOŞULLU — yorum yapılmaz","")))</f>
        <v>FCF kapsamı dışı</v>
      </c>
      <c r="O60" s="9" t="n">
        <f aca="false">IF(Q60="","",F60*R60/Q60-1)</f>
        <v>-0.232813292108263</v>
      </c>
      <c r="P60" s="9" t="n">
        <f aca="false">IF(S60="","",F60*T60/S60-1)</f>
        <v>0.0112130479102956</v>
      </c>
      <c r="Q60" s="5" t="n">
        <v>12.9303595825592</v>
      </c>
      <c r="R60" s="10" t="n">
        <v>1</v>
      </c>
      <c r="S60" s="5" t="n">
        <v>9.81</v>
      </c>
      <c r="T60" s="10" t="n">
        <v>1</v>
      </c>
      <c r="U60" s="4"/>
    </row>
    <row r="61" customFormat="false" ht="15" hidden="false" customHeight="false" outlineLevel="0" collapsed="false">
      <c r="A61" s="4" t="s">
        <v>178</v>
      </c>
      <c r="B61" s="4" t="s">
        <v>179</v>
      </c>
      <c r="C61" s="4" t="s">
        <v>29</v>
      </c>
      <c r="D61" s="4" t="s">
        <v>30</v>
      </c>
      <c r="E61" s="4" t="s">
        <v>126</v>
      </c>
      <c r="F61" s="5" t="n">
        <v>195</v>
      </c>
      <c r="G61" s="4" t="s">
        <v>76</v>
      </c>
      <c r="H61" s="6" t="n">
        <v>194610</v>
      </c>
      <c r="I61" s="7" t="n">
        <v>-306.497759999999</v>
      </c>
      <c r="J61" s="4" t="s">
        <v>32</v>
      </c>
      <c r="K61" s="4" t="s">
        <v>154</v>
      </c>
      <c r="L61" s="4" t="s">
        <v>34</v>
      </c>
      <c r="M61" s="8" t="str">
        <f aca="false">IF(OR(H61="",I61=""),"",IF(I61&gt;0,H61/I61,""))</f>
        <v/>
      </c>
      <c r="N61" s="4" t="str">
        <f aca="false">IF(I61="",IF(K61="NULL","FCF yok (NULL)","FCF kapsamı dışı"),IF(I61&lt;=0,"anlamsız (FCF ≤ 0)",IF(OR(K61="KOŞULLU"),"FCF KOŞULLU — yorum yapılmaz","")))</f>
        <v>anlamsız (FCF ≤ 0)</v>
      </c>
      <c r="O61" s="9" t="n">
        <f aca="false">IF(Q61="","",F61*R61/Q61-1)</f>
        <v>0.958814665996987</v>
      </c>
      <c r="P61" s="9" t="n">
        <f aca="false">IF(S61="","",F61*T61/S61-1)</f>
        <v>-0.255014326647565</v>
      </c>
      <c r="Q61" s="5" t="n">
        <v>99.55</v>
      </c>
      <c r="R61" s="10" t="n">
        <v>1</v>
      </c>
      <c r="S61" s="5" t="n">
        <v>261.75</v>
      </c>
      <c r="T61" s="10" t="n">
        <v>1</v>
      </c>
      <c r="U61" s="4"/>
    </row>
    <row r="62" customFormat="false" ht="15" hidden="false" customHeight="false" outlineLevel="0" collapsed="false">
      <c r="A62" s="4" t="s">
        <v>180</v>
      </c>
      <c r="B62" s="4" t="s">
        <v>181</v>
      </c>
      <c r="C62" s="4" t="s">
        <v>29</v>
      </c>
      <c r="D62" s="4" t="s">
        <v>30</v>
      </c>
      <c r="E62" s="4" t="s">
        <v>182</v>
      </c>
      <c r="F62" s="5" t="n">
        <v>42.5</v>
      </c>
      <c r="G62" s="4" t="s">
        <v>26</v>
      </c>
      <c r="H62" s="6" t="n">
        <v>10710</v>
      </c>
      <c r="I62" s="7" t="n">
        <v>-1493.182</v>
      </c>
      <c r="J62" s="4" t="s">
        <v>32</v>
      </c>
      <c r="K62" s="4" t="s">
        <v>33</v>
      </c>
      <c r="L62" s="4" t="s">
        <v>42</v>
      </c>
      <c r="M62" s="8" t="str">
        <f aca="false">IF(OR(H62="",I62=""),"",IF(I62&gt;0,H62/I62,""))</f>
        <v/>
      </c>
      <c r="N62" s="4" t="str">
        <f aca="false">IF(I62="",IF(K62="NULL","FCF yok (NULL)","FCF kapsamı dışı"),IF(I62&lt;=0,"anlamsız (FCF ≤ 0)",IF(OR(K62="KOŞULLU"),"FCF KOŞULLU — yorum yapılmaz","")))</f>
        <v>anlamsız (FCF ≤ 0)</v>
      </c>
      <c r="O62" s="9" t="n">
        <f aca="false">IF(Q62="","",F62*R62/Q62-1)</f>
        <v>-0.260869565217391</v>
      </c>
      <c r="P62" s="9" t="n">
        <f aca="false">IF(S62="","",F62*T62/S62-1)</f>
        <v>-0.0345297592003635</v>
      </c>
      <c r="Q62" s="5" t="n">
        <v>57.5</v>
      </c>
      <c r="R62" s="10" t="n">
        <v>1</v>
      </c>
      <c r="S62" s="5" t="n">
        <v>44.02</v>
      </c>
      <c r="T62" s="10" t="n">
        <v>1</v>
      </c>
      <c r="U62" s="4"/>
    </row>
    <row r="63" customFormat="false" ht="15" hidden="false" customHeight="false" outlineLevel="0" collapsed="false">
      <c r="A63" s="4" t="s">
        <v>183</v>
      </c>
      <c r="B63" s="4" t="s">
        <v>184</v>
      </c>
      <c r="C63" s="4" t="s">
        <v>38</v>
      </c>
      <c r="D63" s="4"/>
      <c r="E63" s="4"/>
      <c r="F63" s="5" t="n">
        <v>8.6</v>
      </c>
      <c r="G63" s="4" t="s">
        <v>185</v>
      </c>
      <c r="H63" s="6" t="n">
        <v>408.5</v>
      </c>
      <c r="I63" s="7"/>
      <c r="J63" s="4"/>
      <c r="K63" s="4"/>
      <c r="L63" s="4"/>
      <c r="M63" s="8" t="str">
        <f aca="false">IF(OR(H63="",I63=""),"",IF(I63&gt;0,H63/I63,""))</f>
        <v/>
      </c>
      <c r="N63" s="4" t="str">
        <f aca="false">IF(I63="",IF(K63="NULL","FCF yok (NULL)","FCF kapsamı dışı"),IF(I63&lt;=0,"anlamsız (FCF ≤ 0)",IF(OR(K63="KOŞULLU"),"FCF KOŞULLU — yorum yapılmaz","")))</f>
        <v>FCF kapsamı dışı</v>
      </c>
      <c r="O63" s="9" t="n">
        <f aca="false">IF(Q63="","",F63*R63/Q63-1)</f>
        <v>-0.410958904109589</v>
      </c>
      <c r="P63" s="9" t="n">
        <f aca="false">IF(S63="","",F63*T63/S63-1)</f>
        <v>-0.0380313199105146</v>
      </c>
      <c r="Q63" s="5" t="n">
        <v>14.6</v>
      </c>
      <c r="R63" s="10" t="n">
        <v>1</v>
      </c>
      <c r="S63" s="5" t="n">
        <v>8.94</v>
      </c>
      <c r="T63" s="10" t="n">
        <v>1</v>
      </c>
      <c r="U63" s="4"/>
    </row>
    <row r="64" customFormat="false" ht="15" hidden="false" customHeight="false" outlineLevel="0" collapsed="false">
      <c r="A64" s="4" t="s">
        <v>186</v>
      </c>
      <c r="B64" s="4" t="s">
        <v>187</v>
      </c>
      <c r="C64" s="4" t="s">
        <v>29</v>
      </c>
      <c r="D64" s="4" t="s">
        <v>30</v>
      </c>
      <c r="E64" s="4" t="s">
        <v>53</v>
      </c>
      <c r="F64" s="5" t="n">
        <v>32.64</v>
      </c>
      <c r="G64" s="4" t="s">
        <v>26</v>
      </c>
      <c r="H64" s="6" t="n">
        <v>4529.38752</v>
      </c>
      <c r="I64" s="7" t="n">
        <v>47.757</v>
      </c>
      <c r="J64" s="4" t="s">
        <v>32</v>
      </c>
      <c r="K64" s="4" t="s">
        <v>33</v>
      </c>
      <c r="L64" s="4" t="s">
        <v>42</v>
      </c>
      <c r="M64" s="8" t="n">
        <f aca="false">IF(OR(H64="",I64=""),"",IF(I64&gt;0,H64/I64,""))</f>
        <v>94.8423795464539</v>
      </c>
      <c r="N64" s="4" t="str">
        <f aca="false">IF(I64="",IF(K64="NULL","FCF yok (NULL)","FCF kapsamı dışı"),IF(I64&lt;=0,"anlamsız (FCF ≤ 0)",IF(OR(K64="KOŞULLU"),"FCF KOŞULLU — yorum yapılmaz","")))</f>
        <v/>
      </c>
      <c r="O64" s="9" t="n">
        <f aca="false">IF(Q64="","",F64*R64/Q64-1)</f>
        <v>-0.377099236641221</v>
      </c>
      <c r="P64" s="9" t="n">
        <f aca="false">IF(S64="","",F64*T64/S64-1)</f>
        <v>-0.0642201834862386</v>
      </c>
      <c r="Q64" s="5" t="n">
        <v>52.4</v>
      </c>
      <c r="R64" s="10" t="n">
        <v>1</v>
      </c>
      <c r="S64" s="5" t="n">
        <v>34.88</v>
      </c>
      <c r="T64" s="10" t="n">
        <v>1</v>
      </c>
      <c r="U64" s="4"/>
    </row>
    <row r="65" customFormat="false" ht="15" hidden="false" customHeight="false" outlineLevel="0" collapsed="false">
      <c r="A65" s="4" t="s">
        <v>188</v>
      </c>
      <c r="B65" s="4" t="s">
        <v>189</v>
      </c>
      <c r="C65" s="4" t="s">
        <v>29</v>
      </c>
      <c r="D65" s="4" t="s">
        <v>30</v>
      </c>
      <c r="E65" s="4" t="s">
        <v>159</v>
      </c>
      <c r="F65" s="5" t="n">
        <v>240.8</v>
      </c>
      <c r="G65" s="4" t="s">
        <v>26</v>
      </c>
      <c r="H65" s="6" t="n">
        <v>22575</v>
      </c>
      <c r="I65" s="7" t="n">
        <v>-2525.7763152</v>
      </c>
      <c r="J65" s="4" t="s">
        <v>32</v>
      </c>
      <c r="K65" s="4" t="s">
        <v>154</v>
      </c>
      <c r="L65" s="4" t="s">
        <v>34</v>
      </c>
      <c r="M65" s="8" t="str">
        <f aca="false">IF(OR(H65="",I65=""),"",IF(I65&gt;0,H65/I65,""))</f>
        <v/>
      </c>
      <c r="N65" s="4" t="str">
        <f aca="false">IF(I65="",IF(K65="NULL","FCF yok (NULL)","FCF kapsamı dışı"),IF(I65&lt;=0,"anlamsız (FCF ≤ 0)",IF(OR(K65="KOŞULLU"),"FCF KOŞULLU — yorum yapılmaz","")))</f>
        <v>anlamsız (FCF ≤ 0)</v>
      </c>
      <c r="O65" s="9" t="n">
        <f aca="false">IF(Q65="","",F65*R65/Q65-1)</f>
        <v>0.359683794466403</v>
      </c>
      <c r="P65" s="9" t="n">
        <f aca="false">IF(S65="","",F65*T65/S65-1)</f>
        <v>-0.0151329243353783</v>
      </c>
      <c r="Q65" s="5" t="n">
        <v>177.1</v>
      </c>
      <c r="R65" s="10" t="n">
        <v>1</v>
      </c>
      <c r="S65" s="5" t="n">
        <v>244.5</v>
      </c>
      <c r="T65" s="10" t="n">
        <v>1</v>
      </c>
      <c r="U65" s="4"/>
    </row>
    <row r="66" customFormat="false" ht="15" hidden="false" customHeight="false" outlineLevel="0" collapsed="false">
      <c r="A66" s="4" t="s">
        <v>190</v>
      </c>
      <c r="B66" s="4" t="s">
        <v>191</v>
      </c>
      <c r="C66" s="4" t="s">
        <v>29</v>
      </c>
      <c r="D66" s="4" t="s">
        <v>30</v>
      </c>
      <c r="E66" s="4" t="s">
        <v>192</v>
      </c>
      <c r="F66" s="5" t="n">
        <v>5.73</v>
      </c>
      <c r="G66" s="4" t="s">
        <v>26</v>
      </c>
      <c r="H66" s="6" t="n">
        <v>4600.3069497</v>
      </c>
      <c r="I66" s="7" t="n">
        <v>-1736.2024736</v>
      </c>
      <c r="J66" s="4" t="s">
        <v>32</v>
      </c>
      <c r="K66" s="4" t="s">
        <v>33</v>
      </c>
      <c r="L66" s="4" t="s">
        <v>57</v>
      </c>
      <c r="M66" s="8" t="str">
        <f aca="false">IF(OR(H66="",I66=""),"",IF(I66&gt;0,H66/I66,""))</f>
        <v/>
      </c>
      <c r="N66" s="4" t="str">
        <f aca="false">IF(I66="",IF(K66="NULL","FCF yok (NULL)","FCF kapsamı dışı"),IF(I66&lt;=0,"anlamsız (FCF ≤ 0)",IF(OR(K66="KOŞULLU"),"FCF KOŞULLU — yorum yapılmaz","")))</f>
        <v>anlamsız (FCF ≤ 0)</v>
      </c>
      <c r="O66" s="9" t="str">
        <f aca="false">IF(Q66="","",F66*R66/Q66-1)</f>
        <v/>
      </c>
      <c r="P66" s="9" t="n">
        <f aca="false">IF(S66="","",F66*T66/S66-1)</f>
        <v>-0.31294964028777</v>
      </c>
      <c r="Q66" s="5"/>
      <c r="R66" s="10" t="n">
        <v>1</v>
      </c>
      <c r="S66" s="5" t="n">
        <v>8.34</v>
      </c>
      <c r="T66" s="10" t="n">
        <v>1</v>
      </c>
      <c r="U66" s="4"/>
    </row>
    <row r="67" customFormat="false" ht="15" hidden="false" customHeight="false" outlineLevel="0" collapsed="false">
      <c r="A67" s="4" t="s">
        <v>193</v>
      </c>
      <c r="B67" s="4" t="s">
        <v>194</v>
      </c>
      <c r="C67" s="4" t="s">
        <v>29</v>
      </c>
      <c r="D67" s="4" t="s">
        <v>30</v>
      </c>
      <c r="E67" s="4" t="s">
        <v>171</v>
      </c>
      <c r="F67" s="5" t="n">
        <v>89</v>
      </c>
      <c r="G67" s="4" t="s">
        <v>141</v>
      </c>
      <c r="H67" s="6" t="n">
        <v>2242.8</v>
      </c>
      <c r="I67" s="7" t="n">
        <v>181.269</v>
      </c>
      <c r="J67" s="4" t="s">
        <v>32</v>
      </c>
      <c r="K67" s="4" t="s">
        <v>33</v>
      </c>
      <c r="L67" s="4" t="s">
        <v>42</v>
      </c>
      <c r="M67" s="8" t="n">
        <f aca="false">IF(OR(H67="",I67=""),"",IF(I67&gt;0,H67/I67,""))</f>
        <v>12.3727719576982</v>
      </c>
      <c r="N67" s="4" t="str">
        <f aca="false">IF(I67="",IF(K67="NULL","FCF yok (NULL)","FCF kapsamı dışı"),IF(I67&lt;=0,"anlamsız (FCF ≤ 0)",IF(OR(K67="KOŞULLU"),"FCF KOŞULLU — yorum yapılmaz","")))</f>
        <v/>
      </c>
      <c r="O67" s="9" t="n">
        <f aca="false">IF(Q67="","",F67*R67/Q67-1)</f>
        <v>0.0987654320987654</v>
      </c>
      <c r="P67" s="9" t="n">
        <f aca="false">IF(S67="","",F67*T67/S67-1)</f>
        <v>0.0607866507747317</v>
      </c>
      <c r="Q67" s="5" t="n">
        <v>81</v>
      </c>
      <c r="R67" s="10" t="n">
        <v>1</v>
      </c>
      <c r="S67" s="5" t="n">
        <v>83.9</v>
      </c>
      <c r="T67" s="10" t="n">
        <v>1</v>
      </c>
      <c r="U67" s="4"/>
    </row>
    <row r="68" customFormat="false" ht="15" hidden="false" customHeight="false" outlineLevel="0" collapsed="false">
      <c r="A68" s="4" t="s">
        <v>195</v>
      </c>
      <c r="B68" s="4" t="s">
        <v>196</v>
      </c>
      <c r="C68" s="4" t="s">
        <v>29</v>
      </c>
      <c r="D68" s="4"/>
      <c r="E68" s="4"/>
      <c r="F68" s="5" t="n">
        <v>5.33</v>
      </c>
      <c r="G68" s="4" t="s">
        <v>26</v>
      </c>
      <c r="H68" s="6" t="n">
        <v>319.8</v>
      </c>
      <c r="I68" s="7"/>
      <c r="J68" s="4"/>
      <c r="K68" s="4"/>
      <c r="L68" s="4"/>
      <c r="M68" s="8" t="str">
        <f aca="false">IF(OR(H68="",I68=""),"",IF(I68&gt;0,H68/I68,""))</f>
        <v/>
      </c>
      <c r="N68" s="4" t="str">
        <f aca="false">IF(I68="",IF(K68="NULL","FCF yok (NULL)","FCF kapsamı dışı"),IF(I68&lt;=0,"anlamsız (FCF ≤ 0)",IF(OR(K68="KOŞULLU"),"FCF KOŞULLU — yorum yapılmaz","")))</f>
        <v>FCF kapsamı dışı</v>
      </c>
      <c r="O68" s="9" t="n">
        <f aca="false">IF(Q68="","",F68*R68/Q68-1)</f>
        <v>-0.200899550224888</v>
      </c>
      <c r="P68" s="9" t="n">
        <f aca="false">IF(S68="","",F68*T68/S68-1)</f>
        <v>-0.117549668874172</v>
      </c>
      <c r="Q68" s="5" t="n">
        <v>6.67</v>
      </c>
      <c r="R68" s="10" t="n">
        <v>1</v>
      </c>
      <c r="S68" s="5" t="n">
        <v>6.04</v>
      </c>
      <c r="T68" s="10" t="n">
        <v>1</v>
      </c>
      <c r="U68" s="4"/>
    </row>
    <row r="69" customFormat="false" ht="15" hidden="false" customHeight="false" outlineLevel="0" collapsed="false">
      <c r="A69" s="4" t="s">
        <v>197</v>
      </c>
      <c r="B69" s="4" t="s">
        <v>198</v>
      </c>
      <c r="C69" s="4" t="s">
        <v>29</v>
      </c>
      <c r="D69" s="4" t="s">
        <v>63</v>
      </c>
      <c r="E69" s="4" t="s">
        <v>63</v>
      </c>
      <c r="F69" s="5" t="n">
        <v>89.85</v>
      </c>
      <c r="G69" s="4" t="s">
        <v>141</v>
      </c>
      <c r="H69" s="6" t="n">
        <v>718.8</v>
      </c>
      <c r="I69" s="7" t="n">
        <v>-0.042</v>
      </c>
      <c r="J69" s="4" t="s">
        <v>32</v>
      </c>
      <c r="K69" s="4" t="s">
        <v>33</v>
      </c>
      <c r="L69" s="4" t="s">
        <v>42</v>
      </c>
      <c r="M69" s="8" t="str">
        <f aca="false">IF(OR(H69="",I69=""),"",IF(I69&gt;0,H69/I69,""))</f>
        <v/>
      </c>
      <c r="N69" s="4" t="str">
        <f aca="false">IF(I69="",IF(K69="NULL","FCF yok (NULL)","FCF kapsamı dışı"),IF(I69&lt;=0,"anlamsız (FCF ≤ 0)",IF(OR(K69="KOŞULLU"),"FCF KOŞULLU — yorum yapılmaz","")))</f>
        <v>anlamsız (FCF ≤ 0)</v>
      </c>
      <c r="O69" s="9" t="n">
        <f aca="false">IF(Q69="","",F69*R69/Q69-1)</f>
        <v>0.321323529411765</v>
      </c>
      <c r="P69" s="9" t="n">
        <f aca="false">IF(S69="","",F69*T69/S69-1)</f>
        <v>-0.0185690879300929</v>
      </c>
      <c r="Q69" s="5" t="n">
        <v>68</v>
      </c>
      <c r="R69" s="10" t="n">
        <v>1</v>
      </c>
      <c r="S69" s="5" t="n">
        <v>91.55</v>
      </c>
      <c r="T69" s="10" t="n">
        <v>1</v>
      </c>
      <c r="U69" s="4"/>
    </row>
    <row r="70" customFormat="false" ht="15" hidden="false" customHeight="false" outlineLevel="0" collapsed="false">
      <c r="A70" s="4" t="s">
        <v>199</v>
      </c>
      <c r="B70" s="4" t="s">
        <v>200</v>
      </c>
      <c r="C70" s="4" t="s">
        <v>38</v>
      </c>
      <c r="D70" s="4"/>
      <c r="E70" s="4"/>
      <c r="F70" s="5" t="n">
        <v>16.73</v>
      </c>
      <c r="G70" s="4" t="s">
        <v>26</v>
      </c>
      <c r="H70" s="6" t="n">
        <v>1867.068</v>
      </c>
      <c r="I70" s="7"/>
      <c r="J70" s="4"/>
      <c r="K70" s="4"/>
      <c r="L70" s="4"/>
      <c r="M70" s="8" t="str">
        <f aca="false">IF(OR(H70="",I70=""),"",IF(I70&gt;0,H70/I70,""))</f>
        <v/>
      </c>
      <c r="N70" s="4" t="str">
        <f aca="false">IF(I70="",IF(K70="NULL","FCF yok (NULL)","FCF kapsamı dışı"),IF(I70&lt;=0,"anlamsız (FCF ≤ 0)",IF(OR(K70="KOŞULLU"),"FCF KOŞULLU — yorum yapılmaz","")))</f>
        <v>FCF kapsamı dışı</v>
      </c>
      <c r="O70" s="9" t="n">
        <f aca="false">IF(Q70="","",F70*R70/Q70-1)</f>
        <v>0.226539589442815</v>
      </c>
      <c r="P70" s="9" t="n">
        <f aca="false">IF(S70="","",F70*T70/S70-1)</f>
        <v>0.102108036890646</v>
      </c>
      <c r="Q70" s="5" t="n">
        <v>13.64</v>
      </c>
      <c r="R70" s="10" t="n">
        <v>1</v>
      </c>
      <c r="S70" s="5" t="n">
        <v>15.18</v>
      </c>
      <c r="T70" s="10" t="n">
        <v>1</v>
      </c>
      <c r="U70" s="4"/>
    </row>
    <row r="71" customFormat="false" ht="15" hidden="false" customHeight="false" outlineLevel="0" collapsed="false">
      <c r="A71" s="4" t="s">
        <v>201</v>
      </c>
      <c r="B71" s="4" t="s">
        <v>202</v>
      </c>
      <c r="C71" s="4" t="s">
        <v>29</v>
      </c>
      <c r="D71" s="4" t="s">
        <v>63</v>
      </c>
      <c r="E71" s="4" t="s">
        <v>63</v>
      </c>
      <c r="F71" s="5" t="n">
        <v>26.66</v>
      </c>
      <c r="G71" s="4" t="s">
        <v>76</v>
      </c>
      <c r="H71" s="6" t="n">
        <v>993.085</v>
      </c>
      <c r="I71" s="7" t="n">
        <v>384.26397</v>
      </c>
      <c r="J71" s="4" t="s">
        <v>32</v>
      </c>
      <c r="K71" s="4" t="s">
        <v>86</v>
      </c>
      <c r="L71" s="4" t="s">
        <v>42</v>
      </c>
      <c r="M71" s="8" t="n">
        <f aca="false">IF(OR(H71="",I71=""),"",IF(I71&gt;0,H71/I71,""))</f>
        <v>2.58438229324493</v>
      </c>
      <c r="N71" s="4" t="str">
        <f aca="false">IF(I71="",IF(K71="NULL","FCF yok (NULL)","FCF kapsamı dışı"),IF(I71&lt;=0,"anlamsız (FCF ≤ 0)",IF(OR(K71="KOŞULLU"),"FCF KOŞULLU — yorum yapılmaz","")))</f>
        <v/>
      </c>
      <c r="O71" s="9" t="n">
        <f aca="false">IF(Q71="","",F71*R71/Q71-1)</f>
        <v>-0.422693806842789</v>
      </c>
      <c r="P71" s="9" t="n">
        <f aca="false">IF(S71="","",F71*T71/S71-1)</f>
        <v>-0.00149812734082388</v>
      </c>
      <c r="Q71" s="5" t="n">
        <v>46.18</v>
      </c>
      <c r="R71" s="10" t="n">
        <v>1</v>
      </c>
      <c r="S71" s="5" t="n">
        <v>26.7</v>
      </c>
      <c r="T71" s="10" t="n">
        <v>1</v>
      </c>
      <c r="U71" s="4"/>
    </row>
    <row r="72" customFormat="false" ht="15" hidden="false" customHeight="false" outlineLevel="0" collapsed="false">
      <c r="A72" s="4" t="s">
        <v>203</v>
      </c>
      <c r="B72" s="4" t="s">
        <v>204</v>
      </c>
      <c r="C72" s="4" t="s">
        <v>29</v>
      </c>
      <c r="D72" s="4" t="s">
        <v>30</v>
      </c>
      <c r="E72" s="4" t="s">
        <v>53</v>
      </c>
      <c r="F72" s="5" t="n">
        <v>2.93</v>
      </c>
      <c r="G72" s="4" t="s">
        <v>76</v>
      </c>
      <c r="H72" s="6" t="n">
        <v>791.1</v>
      </c>
      <c r="I72" s="7" t="n">
        <v>527.258</v>
      </c>
      <c r="J72" s="4" t="s">
        <v>32</v>
      </c>
      <c r="K72" s="4" t="s">
        <v>33</v>
      </c>
      <c r="L72" s="4" t="s">
        <v>42</v>
      </c>
      <c r="M72" s="8" t="n">
        <f aca="false">IF(OR(H72="",I72=""),"",IF(I72&gt;0,H72/I72,""))</f>
        <v>1.50040397680073</v>
      </c>
      <c r="N72" s="4" t="str">
        <f aca="false">IF(I72="",IF(K72="NULL","FCF yok (NULL)","FCF kapsamı dışı"),IF(I72&lt;=0,"anlamsız (FCF ≤ 0)",IF(OR(K72="KOŞULLU"),"FCF KOŞULLU — yorum yapılmaz","")))</f>
        <v/>
      </c>
      <c r="O72" s="9" t="n">
        <f aca="false">IF(Q72="","",F72*R72/Q72-1)</f>
        <v>-0.444022770398482</v>
      </c>
      <c r="P72" s="9" t="n">
        <f aca="false">IF(S72="","",F72*T72/S72-1)</f>
        <v>-0.12797619047619</v>
      </c>
      <c r="Q72" s="5" t="n">
        <v>5.27</v>
      </c>
      <c r="R72" s="10" t="n">
        <v>1</v>
      </c>
      <c r="S72" s="5" t="n">
        <v>3.36</v>
      </c>
      <c r="T72" s="10" t="n">
        <v>1</v>
      </c>
      <c r="U72" s="4"/>
    </row>
    <row r="73" customFormat="false" ht="15" hidden="false" customHeight="false" outlineLevel="0" collapsed="false">
      <c r="A73" s="4" t="s">
        <v>205</v>
      </c>
      <c r="B73" s="4" t="s">
        <v>206</v>
      </c>
      <c r="C73" s="4" t="s">
        <v>38</v>
      </c>
      <c r="D73" s="4"/>
      <c r="E73" s="4"/>
      <c r="F73" s="5" t="n">
        <v>52.1</v>
      </c>
      <c r="G73" s="4" t="s">
        <v>207</v>
      </c>
      <c r="H73" s="6" t="n">
        <v>20840</v>
      </c>
      <c r="I73" s="7"/>
      <c r="J73" s="4"/>
      <c r="K73" s="4"/>
      <c r="L73" s="4"/>
      <c r="M73" s="8" t="str">
        <f aca="false">IF(OR(H73="",I73=""),"",IF(I73&gt;0,H73/I73,""))</f>
        <v/>
      </c>
      <c r="N73" s="4" t="str">
        <f aca="false">IF(I73="",IF(K73="NULL","FCF yok (NULL)","FCF kapsamı dışı"),IF(I73&lt;=0,"anlamsız (FCF ≤ 0)",IF(OR(K73="KOŞULLU"),"FCF KOŞULLU — yorum yapılmaz","")))</f>
        <v>FCF kapsamı dışı</v>
      </c>
      <c r="O73" s="9" t="n">
        <f aca="false">IF(Q73="","",F73*R73/Q73-1)</f>
        <v>-0.102652428522218</v>
      </c>
      <c r="P73" s="9" t="n">
        <f aca="false">IF(S73="","",F73*T73/S73-1)</f>
        <v>-0.0351851851851852</v>
      </c>
      <c r="Q73" s="5" t="n">
        <v>58.06</v>
      </c>
      <c r="R73" s="10" t="n">
        <v>1</v>
      </c>
      <c r="S73" s="5" t="n">
        <v>54</v>
      </c>
      <c r="T73" s="10" t="n">
        <v>1</v>
      </c>
      <c r="U73" s="4"/>
    </row>
    <row r="74" customFormat="false" ht="15" hidden="false" customHeight="false" outlineLevel="0" collapsed="false">
      <c r="A74" s="4" t="s">
        <v>208</v>
      </c>
      <c r="B74" s="4" t="s">
        <v>209</v>
      </c>
      <c r="C74" s="4" t="s">
        <v>29</v>
      </c>
      <c r="D74" s="4" t="s">
        <v>30</v>
      </c>
      <c r="E74" s="4" t="s">
        <v>210</v>
      </c>
      <c r="F74" s="5" t="n">
        <v>9.4</v>
      </c>
      <c r="G74" s="4" t="s">
        <v>26</v>
      </c>
      <c r="H74" s="6" t="n">
        <v>423</v>
      </c>
      <c r="I74" s="7" t="n">
        <v>-51.7785456</v>
      </c>
      <c r="J74" s="4" t="s">
        <v>32</v>
      </c>
      <c r="K74" s="4" t="s">
        <v>33</v>
      </c>
      <c r="L74" s="4" t="s">
        <v>34</v>
      </c>
      <c r="M74" s="8" t="str">
        <f aca="false">IF(OR(H74="",I74=""),"",IF(I74&gt;0,H74/I74,""))</f>
        <v/>
      </c>
      <c r="N74" s="4" t="str">
        <f aca="false">IF(I74="",IF(K74="NULL","FCF yok (NULL)","FCF kapsamı dışı"),IF(I74&lt;=0,"anlamsız (FCF ≤ 0)",IF(OR(K74="KOŞULLU"),"FCF KOŞULLU — yorum yapılmaz","")))</f>
        <v>anlamsız (FCF ≤ 0)</v>
      </c>
      <c r="O74" s="9" t="n">
        <f aca="false">IF(Q74="","",F74*R74/Q74-1)</f>
        <v>-0.38562091503268</v>
      </c>
      <c r="P74" s="9" t="n">
        <f aca="false">IF(S74="","",F74*T74/S74-1)</f>
        <v>-0.0581162324649299</v>
      </c>
      <c r="Q74" s="5" t="n">
        <v>15.3</v>
      </c>
      <c r="R74" s="10" t="n">
        <v>1</v>
      </c>
      <c r="S74" s="5" t="n">
        <v>9.98</v>
      </c>
      <c r="T74" s="10" t="n">
        <v>1</v>
      </c>
      <c r="U74" s="4"/>
    </row>
    <row r="75" customFormat="false" ht="15" hidden="false" customHeight="false" outlineLevel="0" collapsed="false">
      <c r="A75" s="4" t="s">
        <v>211</v>
      </c>
      <c r="B75" s="4" t="s">
        <v>212</v>
      </c>
      <c r="C75" s="4" t="s">
        <v>29</v>
      </c>
      <c r="D75" s="4" t="s">
        <v>30</v>
      </c>
      <c r="E75" s="4" t="s">
        <v>192</v>
      </c>
      <c r="F75" s="5" t="n">
        <v>366</v>
      </c>
      <c r="G75" s="4" t="s">
        <v>213</v>
      </c>
      <c r="H75" s="6" t="n">
        <v>9150</v>
      </c>
      <c r="I75" s="7" t="n">
        <v>-0.0903120000000044</v>
      </c>
      <c r="J75" s="4" t="s">
        <v>32</v>
      </c>
      <c r="K75" s="4" t="s">
        <v>33</v>
      </c>
      <c r="L75" s="4" t="s">
        <v>34</v>
      </c>
      <c r="M75" s="8" t="str">
        <f aca="false">IF(OR(H75="",I75=""),"",IF(I75&gt;0,H75/I75,""))</f>
        <v/>
      </c>
      <c r="N75" s="4" t="str">
        <f aca="false">IF(I75="",IF(K75="NULL","FCF yok (NULL)","FCF kapsamı dışı"),IF(I75&lt;=0,"anlamsız (FCF ≤ 0)",IF(OR(K75="KOŞULLU"),"FCF KOŞULLU — yorum yapılmaz","")))</f>
        <v>anlamsız (FCF ≤ 0)</v>
      </c>
      <c r="O75" s="9" t="n">
        <f aca="false">IF(Q75="","",F75*R75/Q75-1)</f>
        <v>-0.194719471947195</v>
      </c>
      <c r="P75" s="9" t="n">
        <f aca="false">IF(S75="","",F75*T75/S75-1)</f>
        <v>-0.0979667282809612</v>
      </c>
      <c r="Q75" s="5" t="n">
        <v>454.5</v>
      </c>
      <c r="R75" s="10" t="n">
        <v>1</v>
      </c>
      <c r="S75" s="5" t="n">
        <v>405.75</v>
      </c>
      <c r="T75" s="10" t="n">
        <v>1</v>
      </c>
      <c r="U75" s="4"/>
    </row>
    <row r="76" customFormat="false" ht="15" hidden="false" customHeight="false" outlineLevel="0" collapsed="false">
      <c r="A76" s="4" t="s">
        <v>214</v>
      </c>
      <c r="B76" s="4" t="s">
        <v>215</v>
      </c>
      <c r="C76" s="4" t="s">
        <v>29</v>
      </c>
      <c r="D76" s="4" t="s">
        <v>30</v>
      </c>
      <c r="E76" s="4" t="s">
        <v>31</v>
      </c>
      <c r="F76" s="5" t="n">
        <v>24.38</v>
      </c>
      <c r="G76" s="4" t="s">
        <v>26</v>
      </c>
      <c r="H76" s="6" t="n">
        <v>17187.9</v>
      </c>
      <c r="I76" s="7" t="n">
        <v>6573.15</v>
      </c>
      <c r="J76" s="4" t="s">
        <v>32</v>
      </c>
      <c r="K76" s="4" t="s">
        <v>33</v>
      </c>
      <c r="L76" s="4" t="s">
        <v>42</v>
      </c>
      <c r="M76" s="8" t="n">
        <f aca="false">IF(OR(H76="",I76=""),"",IF(I76&gt;0,H76/I76,""))</f>
        <v>2.61486501905479</v>
      </c>
      <c r="N76" s="4" t="str">
        <f aca="false">IF(I76="",IF(K76="NULL","FCF yok (NULL)","FCF kapsamı dışı"),IF(I76&lt;=0,"anlamsız (FCF ≤ 0)",IF(OR(K76="KOŞULLU"),"FCF KOŞULLU — yorum yapılmaz","")))</f>
        <v/>
      </c>
      <c r="O76" s="9" t="n">
        <f aca="false">IF(Q76="","",F76*R76/Q76-1)</f>
        <v>0.325</v>
      </c>
      <c r="P76" s="9" t="n">
        <f aca="false">IF(S76="","",F76*T76/S76-1)</f>
        <v>0.0627724498692239</v>
      </c>
      <c r="Q76" s="5" t="n">
        <v>18.4</v>
      </c>
      <c r="R76" s="10" t="n">
        <v>1</v>
      </c>
      <c r="S76" s="5" t="n">
        <v>22.94</v>
      </c>
      <c r="T76" s="10" t="n">
        <v>1</v>
      </c>
      <c r="U76" s="4"/>
    </row>
    <row r="77" customFormat="false" ht="15" hidden="false" customHeight="false" outlineLevel="0" collapsed="false">
      <c r="A77" s="4" t="s">
        <v>216</v>
      </c>
      <c r="B77" s="4" t="s">
        <v>217</v>
      </c>
      <c r="C77" s="4" t="s">
        <v>29</v>
      </c>
      <c r="D77" s="4" t="s">
        <v>30</v>
      </c>
      <c r="E77" s="4" t="s">
        <v>31</v>
      </c>
      <c r="F77" s="5" t="n">
        <v>25.9</v>
      </c>
      <c r="G77" s="4" t="s">
        <v>26</v>
      </c>
      <c r="H77" s="6" t="n">
        <v>7187.25</v>
      </c>
      <c r="I77" s="7" t="n">
        <v>1752.8383072</v>
      </c>
      <c r="J77" s="4" t="s">
        <v>32</v>
      </c>
      <c r="K77" s="4" t="s">
        <v>33</v>
      </c>
      <c r="L77" s="4" t="s">
        <v>34</v>
      </c>
      <c r="M77" s="8" t="n">
        <f aca="false">IF(OR(H77="",I77=""),"",IF(I77&gt;0,H77/I77,""))</f>
        <v>4.10034968455304</v>
      </c>
      <c r="N77" s="4" t="str">
        <f aca="false">IF(I77="",IF(K77="NULL","FCF yok (NULL)","FCF kapsamı dışı"),IF(I77&lt;=0,"anlamsız (FCF ≤ 0)",IF(OR(K77="KOŞULLU"),"FCF KOŞULLU — yorum yapılmaz","")))</f>
        <v/>
      </c>
      <c r="O77" s="9" t="n">
        <f aca="false">IF(Q77="","",F77*R77/Q77-1)</f>
        <v>-0.08545197740113</v>
      </c>
      <c r="P77" s="9" t="n">
        <f aca="false">IF(S77="","",F77*T77/S77-1)</f>
        <v>-0.0574963609898108</v>
      </c>
      <c r="Q77" s="5" t="n">
        <v>28.32</v>
      </c>
      <c r="R77" s="10" t="n">
        <v>1</v>
      </c>
      <c r="S77" s="5" t="n">
        <v>27.48</v>
      </c>
      <c r="T77" s="10" t="n">
        <v>1</v>
      </c>
      <c r="U77" s="4"/>
    </row>
    <row r="78" customFormat="false" ht="15" hidden="false" customHeight="false" outlineLevel="0" collapsed="false">
      <c r="A78" s="4" t="s">
        <v>218</v>
      </c>
      <c r="B78" s="4" t="s">
        <v>219</v>
      </c>
      <c r="C78" s="4" t="s">
        <v>29</v>
      </c>
      <c r="D78" s="4" t="s">
        <v>30</v>
      </c>
      <c r="E78" s="4" t="s">
        <v>45</v>
      </c>
      <c r="F78" s="5" t="n">
        <v>8</v>
      </c>
      <c r="G78" s="4" t="s">
        <v>141</v>
      </c>
      <c r="H78" s="6" t="n">
        <v>4000</v>
      </c>
      <c r="I78" s="7" t="n">
        <v>-431.523</v>
      </c>
      <c r="J78" s="4" t="s">
        <v>32</v>
      </c>
      <c r="K78" s="4" t="s">
        <v>86</v>
      </c>
      <c r="L78" s="4" t="s">
        <v>42</v>
      </c>
      <c r="M78" s="8" t="str">
        <f aca="false">IF(OR(H78="",I78=""),"",IF(I78&gt;0,H78/I78,""))</f>
        <v/>
      </c>
      <c r="N78" s="4" t="str">
        <f aca="false">IF(I78="",IF(K78="NULL","FCF yok (NULL)","FCF kapsamı dışı"),IF(I78&lt;=0,"anlamsız (FCF ≤ 0)",IF(OR(K78="KOŞULLU"),"FCF KOŞULLU — yorum yapılmaz","")))</f>
        <v>anlamsız (FCF ≤ 0)</v>
      </c>
      <c r="O78" s="9" t="n">
        <f aca="false">IF(Q78="","",F78*R78/Q78-1)</f>
        <v>1.03902825519713</v>
      </c>
      <c r="P78" s="9" t="n">
        <f aca="false">IF(S78="","",F78*T78/S78-1)</f>
        <v>0.231361219047619</v>
      </c>
      <c r="Q78" s="5" t="n">
        <v>13.95</v>
      </c>
      <c r="R78" s="10" t="n">
        <v>3.55555552</v>
      </c>
      <c r="S78" s="5" t="n">
        <v>23.1</v>
      </c>
      <c r="T78" s="10" t="n">
        <v>3.55555552</v>
      </c>
      <c r="U78" s="4" t="s">
        <v>220</v>
      </c>
    </row>
    <row r="79" customFormat="false" ht="15" hidden="false" customHeight="false" outlineLevel="0" collapsed="false">
      <c r="A79" s="4" t="s">
        <v>221</v>
      </c>
      <c r="B79" s="4" t="s">
        <v>222</v>
      </c>
      <c r="C79" s="4" t="s">
        <v>29</v>
      </c>
      <c r="D79" s="4" t="s">
        <v>30</v>
      </c>
      <c r="E79" s="4" t="s">
        <v>41</v>
      </c>
      <c r="F79" s="5" t="n">
        <v>285.5</v>
      </c>
      <c r="G79" s="4" t="s">
        <v>26</v>
      </c>
      <c r="H79" s="6" t="n">
        <v>62753.1189785</v>
      </c>
      <c r="I79" s="7" t="n">
        <v>-2158.7496448</v>
      </c>
      <c r="J79" s="4" t="s">
        <v>32</v>
      </c>
      <c r="K79" s="4" t="s">
        <v>33</v>
      </c>
      <c r="L79" s="4" t="s">
        <v>34</v>
      </c>
      <c r="M79" s="8" t="str">
        <f aca="false">IF(OR(H79="",I79=""),"",IF(I79&gt;0,H79/I79,""))</f>
        <v/>
      </c>
      <c r="N79" s="4" t="str">
        <f aca="false">IF(I79="",IF(K79="NULL","FCF yok (NULL)","FCF kapsamı dışı"),IF(I79&lt;=0,"anlamsız (FCF ≤ 0)",IF(OR(K79="KOŞULLU"),"FCF KOŞULLU — yorum yapılmaz","")))</f>
        <v>anlamsız (FCF ≤ 0)</v>
      </c>
      <c r="O79" s="9" t="n">
        <f aca="false">IF(Q79="","",F79*R79/Q79-1)</f>
        <v>0.615671577984358</v>
      </c>
      <c r="P79" s="9" t="n">
        <f aca="false">IF(S79="","",F79*T79/S79-1)</f>
        <v>-0.0834670947030498</v>
      </c>
      <c r="Q79" s="5" t="n">
        <v>176.706704438149</v>
      </c>
      <c r="R79" s="10" t="n">
        <v>1</v>
      </c>
      <c r="S79" s="5" t="n">
        <v>311.5</v>
      </c>
      <c r="T79" s="10" t="n">
        <v>1</v>
      </c>
      <c r="U79" s="4"/>
    </row>
    <row r="80" customFormat="false" ht="15" hidden="false" customHeight="false" outlineLevel="0" collapsed="false">
      <c r="A80" s="4" t="s">
        <v>223</v>
      </c>
      <c r="B80" s="4" t="s">
        <v>224</v>
      </c>
      <c r="C80" s="4" t="s">
        <v>29</v>
      </c>
      <c r="D80" s="4" t="s">
        <v>30</v>
      </c>
      <c r="E80" s="4" t="s">
        <v>162</v>
      </c>
      <c r="F80" s="5" t="n">
        <v>3.21</v>
      </c>
      <c r="G80" s="4" t="s">
        <v>26</v>
      </c>
      <c r="H80" s="6" t="n">
        <v>3210</v>
      </c>
      <c r="I80" s="7" t="n">
        <v>-694.627</v>
      </c>
      <c r="J80" s="4" t="s">
        <v>32</v>
      </c>
      <c r="K80" s="4" t="s">
        <v>33</v>
      </c>
      <c r="L80" s="4" t="s">
        <v>42</v>
      </c>
      <c r="M80" s="8" t="str">
        <f aca="false">IF(OR(H80="",I80=""),"",IF(I80&gt;0,H80/I80,""))</f>
        <v/>
      </c>
      <c r="N80" s="4" t="str">
        <f aca="false">IF(I80="",IF(K80="NULL","FCF yok (NULL)","FCF kapsamı dışı"),IF(I80&lt;=0,"anlamsız (FCF ≤ 0)",IF(OR(K80="KOŞULLU"),"FCF KOŞULLU — yorum yapılmaz","")))</f>
        <v>anlamsız (FCF ≤ 0)</v>
      </c>
      <c r="O80" s="9" t="n">
        <f aca="false">IF(Q80="","",F80*R80/Q80-1)</f>
        <v>-0.405555555555556</v>
      </c>
      <c r="P80" s="9" t="n">
        <f aca="false">IF(S80="","",F80*T80/S80-1)</f>
        <v>-0.1975</v>
      </c>
      <c r="Q80" s="5" t="n">
        <v>5.4</v>
      </c>
      <c r="R80" s="10" t="n">
        <v>1</v>
      </c>
      <c r="S80" s="5" t="n">
        <v>4</v>
      </c>
      <c r="T80" s="10" t="n">
        <v>1</v>
      </c>
      <c r="U80" s="4"/>
    </row>
    <row r="81" customFormat="false" ht="15" hidden="false" customHeight="false" outlineLevel="0" collapsed="false">
      <c r="A81" s="4" t="s">
        <v>225</v>
      </c>
      <c r="B81" s="4" t="s">
        <v>226</v>
      </c>
      <c r="C81" s="4" t="s">
        <v>29</v>
      </c>
      <c r="D81" s="4" t="s">
        <v>30</v>
      </c>
      <c r="E81" s="4" t="s">
        <v>41</v>
      </c>
      <c r="F81" s="5" t="n">
        <v>22.6</v>
      </c>
      <c r="G81" s="4" t="s">
        <v>26</v>
      </c>
      <c r="H81" s="6" t="n">
        <v>3051</v>
      </c>
      <c r="I81" s="7" t="n">
        <v>858.316</v>
      </c>
      <c r="J81" s="4" t="s">
        <v>32</v>
      </c>
      <c r="K81" s="4" t="s">
        <v>33</v>
      </c>
      <c r="L81" s="4" t="s">
        <v>42</v>
      </c>
      <c r="M81" s="8" t="n">
        <f aca="false">IF(OR(H81="",I81=""),"",IF(I81&gt;0,H81/I81,""))</f>
        <v>3.55463488971428</v>
      </c>
      <c r="N81" s="4" t="str">
        <f aca="false">IF(I81="",IF(K81="NULL","FCF yok (NULL)","FCF kapsamı dışı"),IF(I81&lt;=0,"anlamsız (FCF ≤ 0)",IF(OR(K81="KOŞULLU"),"FCF KOŞULLU — yorum yapılmaz","")))</f>
        <v/>
      </c>
      <c r="O81" s="9" t="n">
        <f aca="false">IF(Q81="","",F81*R81/Q81-1)</f>
        <v>-0.302038295243978</v>
      </c>
      <c r="P81" s="9" t="n">
        <f aca="false">IF(S81="","",F81*T81/S81-1)</f>
        <v>-0.0407470288624787</v>
      </c>
      <c r="Q81" s="5" t="n">
        <v>32.38</v>
      </c>
      <c r="R81" s="10" t="n">
        <v>1</v>
      </c>
      <c r="S81" s="5" t="n">
        <v>23.56</v>
      </c>
      <c r="T81" s="10" t="n">
        <v>1</v>
      </c>
      <c r="U81" s="4"/>
    </row>
    <row r="82" customFormat="false" ht="15" hidden="false" customHeight="false" outlineLevel="0" collapsed="false">
      <c r="A82" s="4" t="s">
        <v>227</v>
      </c>
      <c r="B82" s="4" t="s">
        <v>228</v>
      </c>
      <c r="C82" s="4" t="s">
        <v>29</v>
      </c>
      <c r="D82" s="4" t="s">
        <v>30</v>
      </c>
      <c r="E82" s="4" t="s">
        <v>41</v>
      </c>
      <c r="F82" s="5" t="n">
        <v>188.2</v>
      </c>
      <c r="G82" s="4" t="s">
        <v>26</v>
      </c>
      <c r="H82" s="6" t="n">
        <v>10351</v>
      </c>
      <c r="I82" s="7" t="n">
        <v>199.3163904</v>
      </c>
      <c r="J82" s="4" t="s">
        <v>32</v>
      </c>
      <c r="K82" s="4" t="s">
        <v>33</v>
      </c>
      <c r="L82" s="4" t="s">
        <v>57</v>
      </c>
      <c r="M82" s="8" t="n">
        <f aca="false">IF(OR(H82="",I82=""),"",IF(I82&gt;0,H82/I82,""))</f>
        <v>51.9325078044359</v>
      </c>
      <c r="N82" s="4" t="str">
        <f aca="false">IF(I82="",IF(K82="NULL","FCF yok (NULL)","FCF kapsamı dışı"),IF(I82&lt;=0,"anlamsız (FCF ≤ 0)",IF(OR(K82="KOŞULLU"),"FCF KOŞULLU — yorum yapılmaz","")))</f>
        <v/>
      </c>
      <c r="O82" s="9" t="n">
        <f aca="false">IF(Q82="","",F82*R82/Q82-1)</f>
        <v>2.74900398406375</v>
      </c>
      <c r="P82" s="9" t="n">
        <f aca="false">IF(S82="","",F82*T82/S82-1)</f>
        <v>0.00803427959292979</v>
      </c>
      <c r="Q82" s="5" t="n">
        <v>50.2</v>
      </c>
      <c r="R82" s="10" t="n">
        <v>1</v>
      </c>
      <c r="S82" s="5" t="n">
        <v>186.7</v>
      </c>
      <c r="T82" s="10" t="n">
        <v>1</v>
      </c>
      <c r="U82" s="4"/>
    </row>
    <row r="83" customFormat="false" ht="15" hidden="false" customHeight="false" outlineLevel="0" collapsed="false">
      <c r="A83" s="4" t="s">
        <v>229</v>
      </c>
      <c r="B83" s="4" t="s">
        <v>230</v>
      </c>
      <c r="C83" s="4" t="s">
        <v>29</v>
      </c>
      <c r="D83" s="4" t="s">
        <v>30</v>
      </c>
      <c r="E83" s="4" t="s">
        <v>231</v>
      </c>
      <c r="F83" s="5" t="n">
        <v>31.26</v>
      </c>
      <c r="G83" s="4" t="s">
        <v>26</v>
      </c>
      <c r="H83" s="6" t="n">
        <v>2250.72</v>
      </c>
      <c r="I83" s="7" t="n">
        <v>204.40304</v>
      </c>
      <c r="J83" s="4" t="s">
        <v>32</v>
      </c>
      <c r="K83" s="4" t="s">
        <v>33</v>
      </c>
      <c r="L83" s="4" t="s">
        <v>34</v>
      </c>
      <c r="M83" s="8" t="n">
        <f aca="false">IF(OR(H83="",I83=""),"",IF(I83&gt;0,H83/I83,""))</f>
        <v>11.0111865263843</v>
      </c>
      <c r="N83" s="4" t="str">
        <f aca="false">IF(I83="",IF(K83="NULL","FCF yok (NULL)","FCF kapsamı dışı"),IF(I83&lt;=0,"anlamsız (FCF ≤ 0)",IF(OR(K83="KOŞULLU"),"FCF KOŞULLU — yorum yapılmaz","")))</f>
        <v/>
      </c>
      <c r="O83" s="9" t="n">
        <f aca="false">IF(Q83="","",F83*R83/Q83-1)</f>
        <v>-0.191412312467667</v>
      </c>
      <c r="P83" s="9" t="n">
        <f aca="false">IF(S83="","",F83*T83/S83-1)</f>
        <v>-0.0555891238670695</v>
      </c>
      <c r="Q83" s="5" t="n">
        <v>38.66</v>
      </c>
      <c r="R83" s="10" t="n">
        <v>1</v>
      </c>
      <c r="S83" s="5" t="n">
        <v>33.1</v>
      </c>
      <c r="T83" s="10" t="n">
        <v>1</v>
      </c>
      <c r="U83" s="4"/>
    </row>
    <row r="84" customFormat="false" ht="15" hidden="false" customHeight="false" outlineLevel="0" collapsed="false">
      <c r="A84" s="4" t="s">
        <v>232</v>
      </c>
      <c r="B84" s="4" t="s">
        <v>233</v>
      </c>
      <c r="C84" s="4" t="s">
        <v>29</v>
      </c>
      <c r="D84" s="4" t="s">
        <v>30</v>
      </c>
      <c r="E84" s="4" t="s">
        <v>234</v>
      </c>
      <c r="F84" s="5" t="n">
        <v>59.6</v>
      </c>
      <c r="G84" s="4" t="s">
        <v>141</v>
      </c>
      <c r="H84" s="6" t="n">
        <v>827.1577656</v>
      </c>
      <c r="I84" s="7" t="n">
        <v>-119.7613104</v>
      </c>
      <c r="J84" s="4" t="s">
        <v>32</v>
      </c>
      <c r="K84" s="4" t="s">
        <v>33</v>
      </c>
      <c r="L84" s="4" t="s">
        <v>57</v>
      </c>
      <c r="M84" s="8" t="str">
        <f aca="false">IF(OR(H84="",I84=""),"",IF(I84&gt;0,H84/I84,""))</f>
        <v/>
      </c>
      <c r="N84" s="4" t="str">
        <f aca="false">IF(I84="",IF(K84="NULL","FCF yok (NULL)","FCF kapsamı dışı"),IF(I84&lt;=0,"anlamsız (FCF ≤ 0)",IF(OR(K84="KOŞULLU"),"FCF KOŞULLU — yorum yapılmaz","")))</f>
        <v>anlamsız (FCF ≤ 0)</v>
      </c>
      <c r="O84" s="9" t="n">
        <f aca="false">IF(Q84="","",F84*R84/Q84-1)</f>
        <v>-0.142446043165468</v>
      </c>
      <c r="P84" s="9" t="n">
        <f aca="false">IF(S84="","",F84*T84/S84-1)</f>
        <v>0.00336700336700346</v>
      </c>
      <c r="Q84" s="5" t="n">
        <v>69.5</v>
      </c>
      <c r="R84" s="10" t="n">
        <v>1</v>
      </c>
      <c r="S84" s="5" t="n">
        <v>59.4</v>
      </c>
      <c r="T84" s="10" t="n">
        <v>1</v>
      </c>
      <c r="U84" s="4"/>
    </row>
    <row r="85" customFormat="false" ht="15" hidden="false" customHeight="false" outlineLevel="0" collapsed="false">
      <c r="A85" s="4" t="s">
        <v>235</v>
      </c>
      <c r="B85" s="4" t="s">
        <v>236</v>
      </c>
      <c r="C85" s="4" t="s">
        <v>29</v>
      </c>
      <c r="D85" s="4" t="s">
        <v>30</v>
      </c>
      <c r="E85" s="4" t="s">
        <v>53</v>
      </c>
      <c r="F85" s="5" t="n">
        <v>8.78</v>
      </c>
      <c r="G85" s="4" t="s">
        <v>26</v>
      </c>
      <c r="H85" s="6" t="n">
        <v>9763.36</v>
      </c>
      <c r="I85" s="7"/>
      <c r="J85" s="4" t="s">
        <v>32</v>
      </c>
      <c r="K85" s="4" t="s">
        <v>116</v>
      </c>
      <c r="L85" s="4" t="s">
        <v>42</v>
      </c>
      <c r="M85" s="8" t="str">
        <f aca="false">IF(OR(H85="",I85=""),"",IF(I85&gt;0,H85/I85,""))</f>
        <v/>
      </c>
      <c r="N85" s="4" t="str">
        <f aca="false">IF(I85="",IF(K85="NULL","FCF yok (NULL)","FCF kapsamı dışı"),IF(I85&lt;=0,"anlamsız (FCF ≤ 0)",IF(OR(K85="KOŞULLU"),"FCF KOŞULLU — yorum yapılmaz","")))</f>
        <v>FCF yok (NULL)</v>
      </c>
      <c r="O85" s="9" t="n">
        <f aca="false">IF(Q85="","",F85*R85/Q85-1)</f>
        <v>-0.625586353944563</v>
      </c>
      <c r="P85" s="9" t="n">
        <f aca="false">IF(S85="","",F85*T85/S85-1)</f>
        <v>0.276162790697674</v>
      </c>
      <c r="Q85" s="5" t="n">
        <v>23.45</v>
      </c>
      <c r="R85" s="10" t="n">
        <v>1</v>
      </c>
      <c r="S85" s="5" t="n">
        <v>6.88</v>
      </c>
      <c r="T85" s="10" t="n">
        <v>1</v>
      </c>
      <c r="U85" s="4"/>
    </row>
    <row r="86" customFormat="false" ht="15" hidden="false" customHeight="false" outlineLevel="0" collapsed="false">
      <c r="A86" s="4" t="s">
        <v>237</v>
      </c>
      <c r="B86" s="4" t="s">
        <v>238</v>
      </c>
      <c r="C86" s="4" t="s">
        <v>29</v>
      </c>
      <c r="D86" s="4" t="s">
        <v>30</v>
      </c>
      <c r="E86" s="4" t="s">
        <v>53</v>
      </c>
      <c r="F86" s="5" t="n">
        <v>131.7</v>
      </c>
      <c r="G86" s="4" t="s">
        <v>26</v>
      </c>
      <c r="H86" s="6" t="n">
        <v>13173.1053543</v>
      </c>
      <c r="I86" s="7" t="n">
        <v>-3423.204</v>
      </c>
      <c r="J86" s="4" t="s">
        <v>32</v>
      </c>
      <c r="K86" s="4" t="s">
        <v>33</v>
      </c>
      <c r="L86" s="4" t="s">
        <v>42</v>
      </c>
      <c r="M86" s="8" t="str">
        <f aca="false">IF(OR(H86="",I86=""),"",IF(I86&gt;0,H86/I86,""))</f>
        <v/>
      </c>
      <c r="N86" s="4" t="str">
        <f aca="false">IF(I86="",IF(K86="NULL","FCF yok (NULL)","FCF kapsamı dışı"),IF(I86&lt;=0,"anlamsız (FCF ≤ 0)",IF(OR(K86="KOŞULLU"),"FCF KOŞULLU — yorum yapılmaz","")))</f>
        <v>anlamsız (FCF ≤ 0)</v>
      </c>
      <c r="O86" s="9" t="n">
        <f aca="false">IF(Q86="","",F86*R86/Q86-1)</f>
        <v>-0.288108108108108</v>
      </c>
      <c r="P86" s="9" t="n">
        <f aca="false">IF(S86="","",F86*T86/S86-1)</f>
        <v>-0.0435729847494554</v>
      </c>
      <c r="Q86" s="5" t="n">
        <v>185</v>
      </c>
      <c r="R86" s="10" t="n">
        <v>1</v>
      </c>
      <c r="S86" s="5" t="n">
        <v>137.7</v>
      </c>
      <c r="T86" s="10" t="n">
        <v>1</v>
      </c>
      <c r="U86" s="4"/>
    </row>
    <row r="87" customFormat="false" ht="15" hidden="false" customHeight="false" outlineLevel="0" collapsed="false">
      <c r="A87" s="4" t="s">
        <v>239</v>
      </c>
      <c r="B87" s="4" t="s">
        <v>240</v>
      </c>
      <c r="C87" s="4" t="s">
        <v>29</v>
      </c>
      <c r="D87" s="4" t="s">
        <v>30</v>
      </c>
      <c r="E87" s="4" t="s">
        <v>231</v>
      </c>
      <c r="F87" s="5" t="n">
        <v>5.7</v>
      </c>
      <c r="G87" s="4" t="s">
        <v>141</v>
      </c>
      <c r="H87" s="6" t="n">
        <v>1496.25</v>
      </c>
      <c r="I87" s="7" t="n">
        <v>-816.091</v>
      </c>
      <c r="J87" s="4" t="s">
        <v>32</v>
      </c>
      <c r="K87" s="4" t="s">
        <v>33</v>
      </c>
      <c r="L87" s="4" t="s">
        <v>42</v>
      </c>
      <c r="M87" s="8" t="str">
        <f aca="false">IF(OR(H87="",I87=""),"",IF(I87&gt;0,H87/I87,""))</f>
        <v/>
      </c>
      <c r="N87" s="4" t="str">
        <f aca="false">IF(I87="",IF(K87="NULL","FCF yok (NULL)","FCF kapsamı dışı"),IF(I87&lt;=0,"anlamsız (FCF ≤ 0)",IF(OR(K87="KOŞULLU"),"FCF KOŞULLU — yorum yapılmaz","")))</f>
        <v>anlamsız (FCF ≤ 0)</v>
      </c>
      <c r="O87" s="9" t="n">
        <f aca="false">IF(Q87="","",F87*R87/Q87-1)</f>
        <v>-0.730878186968839</v>
      </c>
      <c r="P87" s="9" t="n">
        <f aca="false">IF(S87="","",F87*T87/S87-1)</f>
        <v>-0.145427286356822</v>
      </c>
      <c r="Q87" s="5" t="n">
        <v>21.18</v>
      </c>
      <c r="R87" s="10" t="n">
        <v>1</v>
      </c>
      <c r="S87" s="5" t="n">
        <v>6.67</v>
      </c>
      <c r="T87" s="10" t="n">
        <v>1</v>
      </c>
      <c r="U87" s="4"/>
    </row>
    <row r="88" customFormat="false" ht="15" hidden="false" customHeight="false" outlineLevel="0" collapsed="false">
      <c r="A88" s="4" t="s">
        <v>241</v>
      </c>
      <c r="B88" s="4" t="s">
        <v>242</v>
      </c>
      <c r="C88" s="4" t="s">
        <v>29</v>
      </c>
      <c r="D88" s="4" t="s">
        <v>30</v>
      </c>
      <c r="E88" s="4" t="s">
        <v>56</v>
      </c>
      <c r="F88" s="5" t="n">
        <v>11.92</v>
      </c>
      <c r="G88" s="4" t="s">
        <v>141</v>
      </c>
      <c r="H88" s="6" t="n">
        <v>7867.2</v>
      </c>
      <c r="I88" s="7" t="n">
        <v>-226.5315776</v>
      </c>
      <c r="J88" s="4" t="s">
        <v>32</v>
      </c>
      <c r="K88" s="4" t="s">
        <v>33</v>
      </c>
      <c r="L88" s="4" t="s">
        <v>57</v>
      </c>
      <c r="M88" s="8" t="str">
        <f aca="false">IF(OR(H88="",I88=""),"",IF(I88&gt;0,H88/I88,""))</f>
        <v/>
      </c>
      <c r="N88" s="4" t="str">
        <f aca="false">IF(I88="",IF(K88="NULL","FCF yok (NULL)","FCF kapsamı dışı"),IF(I88&lt;=0,"anlamsız (FCF ≤ 0)",IF(OR(K88="KOŞULLU"),"FCF KOŞULLU — yorum yapılmaz","")))</f>
        <v>anlamsız (FCF ≤ 0)</v>
      </c>
      <c r="O88" s="9" t="n">
        <f aca="false">IF(Q88="","",F88*R88/Q88-1)</f>
        <v>-0.253132832080201</v>
      </c>
      <c r="P88" s="9" t="n">
        <f aca="false">IF(S88="","",F88*T88/S88-1)</f>
        <v>0.108837209302326</v>
      </c>
      <c r="Q88" s="5" t="n">
        <v>15.96</v>
      </c>
      <c r="R88" s="10" t="n">
        <v>1</v>
      </c>
      <c r="S88" s="5" t="n">
        <v>10.75</v>
      </c>
      <c r="T88" s="10" t="n">
        <v>1</v>
      </c>
      <c r="U88" s="4"/>
    </row>
    <row r="89" customFormat="false" ht="15" hidden="false" customHeight="false" outlineLevel="0" collapsed="false">
      <c r="A89" s="4" t="s">
        <v>243</v>
      </c>
      <c r="B89" s="4" t="s">
        <v>244</v>
      </c>
      <c r="C89" s="4" t="s">
        <v>29</v>
      </c>
      <c r="D89" s="4" t="s">
        <v>30</v>
      </c>
      <c r="E89" s="4" t="s">
        <v>31</v>
      </c>
      <c r="F89" s="5" t="n">
        <v>40.84</v>
      </c>
      <c r="G89" s="4" t="s">
        <v>26</v>
      </c>
      <c r="H89" s="6" t="n">
        <v>28588</v>
      </c>
      <c r="I89" s="7" t="n">
        <v>2889.268</v>
      </c>
      <c r="J89" s="4" t="s">
        <v>32</v>
      </c>
      <c r="K89" s="4" t="s">
        <v>33</v>
      </c>
      <c r="L89" s="4" t="s">
        <v>42</v>
      </c>
      <c r="M89" s="8" t="n">
        <f aca="false">IF(OR(H89="",I89=""),"",IF(I89&gt;0,H89/I89,""))</f>
        <v>9.89454768474229</v>
      </c>
      <c r="N89" s="4" t="str">
        <f aca="false">IF(I89="",IF(K89="NULL","FCF yok (NULL)","FCF kapsamı dışı"),IF(I89&lt;=0,"anlamsız (FCF ≤ 0)",IF(OR(K89="KOŞULLU"),"FCF KOŞULLU — yorum yapılmaz","")))</f>
        <v/>
      </c>
      <c r="O89" s="9" t="n">
        <f aca="false">IF(Q89="","",F89*R89/Q89-1)</f>
        <v>0.0607792207792208</v>
      </c>
      <c r="P89" s="9" t="n">
        <f aca="false">IF(S89="","",F89*T89/S89-1)</f>
        <v>-0.0196831493038885</v>
      </c>
      <c r="Q89" s="5" t="n">
        <v>38.5</v>
      </c>
      <c r="R89" s="10" t="n">
        <v>1</v>
      </c>
      <c r="S89" s="5" t="n">
        <v>41.66</v>
      </c>
      <c r="T89" s="10" t="n">
        <v>1</v>
      </c>
      <c r="U89" s="4"/>
    </row>
    <row r="90" customFormat="false" ht="15" hidden="false" customHeight="false" outlineLevel="0" collapsed="false">
      <c r="A90" s="4" t="s">
        <v>245</v>
      </c>
      <c r="B90" s="4" t="s">
        <v>246</v>
      </c>
      <c r="C90" s="4" t="s">
        <v>29</v>
      </c>
      <c r="D90" s="4" t="s">
        <v>30</v>
      </c>
      <c r="E90" s="4" t="s">
        <v>171</v>
      </c>
      <c r="F90" s="5" t="n">
        <v>2.72</v>
      </c>
      <c r="G90" s="4" t="s">
        <v>26</v>
      </c>
      <c r="H90" s="6" t="n">
        <v>679.99997824</v>
      </c>
      <c r="I90" s="7" t="n">
        <v>-81.019</v>
      </c>
      <c r="J90" s="4" t="s">
        <v>32</v>
      </c>
      <c r="K90" s="4" t="s">
        <v>33</v>
      </c>
      <c r="L90" s="4" t="s">
        <v>42</v>
      </c>
      <c r="M90" s="8" t="str">
        <f aca="false">IF(OR(H90="",I90=""),"",IF(I90&gt;0,H90/I90,""))</f>
        <v/>
      </c>
      <c r="N90" s="4" t="str">
        <f aca="false">IF(I90="",IF(K90="NULL","FCF yok (NULL)","FCF kapsamı dışı"),IF(I90&lt;=0,"anlamsız (FCF ≤ 0)",IF(OR(K90="KOŞULLU"),"FCF KOŞULLU — yorum yapılmaz","")))</f>
        <v>anlamsız (FCF ≤ 0)</v>
      </c>
      <c r="O90" s="9" t="n">
        <f aca="false">IF(Q90="","",F90*R90/Q90-1)</f>
        <v>-0.639735099337748</v>
      </c>
      <c r="P90" s="9" t="n">
        <f aca="false">IF(S90="","",F90*T90/S90-1)</f>
        <v>-0.165644171779141</v>
      </c>
      <c r="Q90" s="5" t="n">
        <v>7.55</v>
      </c>
      <c r="R90" s="10" t="n">
        <v>1</v>
      </c>
      <c r="S90" s="5" t="n">
        <v>3.26</v>
      </c>
      <c r="T90" s="10" t="n">
        <v>1</v>
      </c>
      <c r="U90" s="4"/>
    </row>
    <row r="91" customFormat="false" ht="15" hidden="false" customHeight="false" outlineLevel="0" collapsed="false">
      <c r="A91" s="4" t="s">
        <v>247</v>
      </c>
      <c r="B91" s="4" t="s">
        <v>248</v>
      </c>
      <c r="C91" s="4" t="s">
        <v>38</v>
      </c>
      <c r="D91" s="4"/>
      <c r="E91" s="4"/>
      <c r="F91" s="5" t="n">
        <v>2.6</v>
      </c>
      <c r="G91" s="4" t="s">
        <v>26</v>
      </c>
      <c r="H91" s="6" t="n">
        <v>2119</v>
      </c>
      <c r="I91" s="7"/>
      <c r="J91" s="4"/>
      <c r="K91" s="4"/>
      <c r="L91" s="4"/>
      <c r="M91" s="8" t="str">
        <f aca="false">IF(OR(H91="",I91=""),"",IF(I91&gt;0,H91/I91,""))</f>
        <v/>
      </c>
      <c r="N91" s="4" t="str">
        <f aca="false">IF(I91="",IF(K91="NULL","FCF yok (NULL)","FCF kapsamı dışı"),IF(I91&lt;=0,"anlamsız (FCF ≤ 0)",IF(OR(K91="KOŞULLU"),"FCF KOŞULLU — yorum yapılmaz","")))</f>
        <v>FCF kapsamı dışı</v>
      </c>
      <c r="O91" s="9" t="n">
        <f aca="false">IF(Q91="","",F91*R91/Q91-1)</f>
        <v>-0.550949913644214</v>
      </c>
      <c r="P91" s="9" t="n">
        <f aca="false">IF(S91="","",F91*T91/S91-1)</f>
        <v>-0.0476190476190476</v>
      </c>
      <c r="Q91" s="5" t="n">
        <v>5.79</v>
      </c>
      <c r="R91" s="10" t="n">
        <v>1</v>
      </c>
      <c r="S91" s="5" t="n">
        <v>2.73</v>
      </c>
      <c r="T91" s="10" t="n">
        <v>1</v>
      </c>
      <c r="U91" s="4"/>
    </row>
    <row r="92" customFormat="false" ht="15" hidden="false" customHeight="false" outlineLevel="0" collapsed="false">
      <c r="A92" s="4" t="s">
        <v>249</v>
      </c>
      <c r="B92" s="4" t="s">
        <v>250</v>
      </c>
      <c r="C92" s="4" t="s">
        <v>29</v>
      </c>
      <c r="D92" s="4" t="s">
        <v>63</v>
      </c>
      <c r="E92" s="4" t="s">
        <v>63</v>
      </c>
      <c r="F92" s="5" t="n">
        <v>12.11</v>
      </c>
      <c r="G92" s="4" t="s">
        <v>26</v>
      </c>
      <c r="H92" s="6" t="n">
        <v>8273.552</v>
      </c>
      <c r="I92" s="7" t="n">
        <v>-200.6769664</v>
      </c>
      <c r="J92" s="4" t="s">
        <v>32</v>
      </c>
      <c r="K92" s="4" t="s">
        <v>33</v>
      </c>
      <c r="L92" s="4" t="s">
        <v>57</v>
      </c>
      <c r="M92" s="8" t="str">
        <f aca="false">IF(OR(H92="",I92=""),"",IF(I92&gt;0,H92/I92,""))</f>
        <v/>
      </c>
      <c r="N92" s="4" t="str">
        <f aca="false">IF(I92="",IF(K92="NULL","FCF yok (NULL)","FCF kapsamı dışı"),IF(I92&lt;=0,"anlamsız (FCF ≤ 0)",IF(OR(K92="KOŞULLU"),"FCF KOŞULLU — yorum yapılmaz","")))</f>
        <v>anlamsız (FCF ≤ 0)</v>
      </c>
      <c r="O92" s="9" t="n">
        <f aca="false">IF(Q92="","",F92*R92/Q92-1)</f>
        <v>-0.280023781212842</v>
      </c>
      <c r="P92" s="9" t="n">
        <f aca="false">IF(S92="","",F92*T92/S92-1)</f>
        <v>0.0167926112510495</v>
      </c>
      <c r="Q92" s="5" t="n">
        <v>16.82</v>
      </c>
      <c r="R92" s="10" t="n">
        <v>1</v>
      </c>
      <c r="S92" s="5" t="n">
        <v>11.91</v>
      </c>
      <c r="T92" s="10" t="n">
        <v>1</v>
      </c>
      <c r="U92" s="4"/>
    </row>
    <row r="93" customFormat="false" ht="15" hidden="false" customHeight="false" outlineLevel="0" collapsed="false">
      <c r="A93" s="4" t="s">
        <v>251</v>
      </c>
      <c r="B93" s="4" t="s">
        <v>252</v>
      </c>
      <c r="C93" s="4" t="s">
        <v>29</v>
      </c>
      <c r="D93" s="4" t="s">
        <v>30</v>
      </c>
      <c r="E93" s="4" t="s">
        <v>53</v>
      </c>
      <c r="F93" s="5" t="n">
        <v>10.97</v>
      </c>
      <c r="G93" s="4" t="s">
        <v>26</v>
      </c>
      <c r="H93" s="6" t="n">
        <v>7262.14</v>
      </c>
      <c r="I93" s="7" t="n">
        <v>-733.3878544</v>
      </c>
      <c r="J93" s="4" t="s">
        <v>32</v>
      </c>
      <c r="K93" s="4" t="s">
        <v>154</v>
      </c>
      <c r="L93" s="4" t="s">
        <v>34</v>
      </c>
      <c r="M93" s="8" t="str">
        <f aca="false">IF(OR(H93="",I93=""),"",IF(I93&gt;0,H93/I93,""))</f>
        <v/>
      </c>
      <c r="N93" s="4" t="str">
        <f aca="false">IF(I93="",IF(K93="NULL","FCF yok (NULL)","FCF kapsamı dışı"),IF(I93&lt;=0,"anlamsız (FCF ≤ 0)",IF(OR(K93="KOŞULLU"),"FCF KOŞULLU — yorum yapılmaz","")))</f>
        <v>anlamsız (FCF ≤ 0)</v>
      </c>
      <c r="O93" s="9" t="n">
        <f aca="false">IF(Q93="","",F93*R93/Q93-1)</f>
        <v>-0.198685171658145</v>
      </c>
      <c r="P93" s="9" t="n">
        <f aca="false">IF(S93="","",F93*T93/S93-1)</f>
        <v>-0.0518582541054451</v>
      </c>
      <c r="Q93" s="5" t="n">
        <v>13.69</v>
      </c>
      <c r="R93" s="10" t="n">
        <v>1</v>
      </c>
      <c r="S93" s="5" t="n">
        <v>11.57</v>
      </c>
      <c r="T93" s="10" t="n">
        <v>1</v>
      </c>
      <c r="U93" s="4"/>
    </row>
    <row r="94" customFormat="false" ht="15" hidden="false" customHeight="false" outlineLevel="0" collapsed="false">
      <c r="A94" s="4" t="s">
        <v>253</v>
      </c>
      <c r="B94" s="4" t="s">
        <v>254</v>
      </c>
      <c r="C94" s="4" t="s">
        <v>29</v>
      </c>
      <c r="D94" s="4" t="s">
        <v>30</v>
      </c>
      <c r="E94" s="4" t="s">
        <v>31</v>
      </c>
      <c r="F94" s="5" t="n">
        <v>21.2</v>
      </c>
      <c r="G94" s="4" t="s">
        <v>26</v>
      </c>
      <c r="H94" s="6" t="n">
        <v>3989.946</v>
      </c>
      <c r="I94" s="7" t="n">
        <v>181.365</v>
      </c>
      <c r="J94" s="4" t="s">
        <v>32</v>
      </c>
      <c r="K94" s="4" t="s">
        <v>33</v>
      </c>
      <c r="L94" s="4" t="s">
        <v>57</v>
      </c>
      <c r="M94" s="8" t="n">
        <f aca="false">IF(OR(H94="",I94=""),"",IF(I94&gt;0,H94/I94,""))</f>
        <v>21.9995368455876</v>
      </c>
      <c r="N94" s="4" t="str">
        <f aca="false">IF(I94="",IF(K94="NULL","FCF yok (NULL)","FCF kapsamı dışı"),IF(I94&lt;=0,"anlamsız (FCF ≤ 0)",IF(OR(K94="KOŞULLU"),"FCF KOŞULLU — yorum yapılmaz","")))</f>
        <v/>
      </c>
      <c r="O94" s="9" t="str">
        <f aca="false">IF(Q94="","",F94*R94/Q94-1)</f>
        <v/>
      </c>
      <c r="P94" s="9" t="n">
        <f aca="false">IF(S94="","",F94*T94/S94-1)</f>
        <v>-0.12396694214876</v>
      </c>
      <c r="Q94" s="5"/>
      <c r="R94" s="10" t="n">
        <v>1</v>
      </c>
      <c r="S94" s="5" t="n">
        <v>24.2</v>
      </c>
      <c r="T94" s="10" t="n">
        <v>1</v>
      </c>
      <c r="U94" s="4"/>
    </row>
    <row r="95" customFormat="false" ht="15" hidden="false" customHeight="false" outlineLevel="0" collapsed="false">
      <c r="A95" s="4" t="s">
        <v>255</v>
      </c>
      <c r="B95" s="4" t="s">
        <v>256</v>
      </c>
      <c r="C95" s="4" t="s">
        <v>29</v>
      </c>
      <c r="D95" s="4" t="s">
        <v>30</v>
      </c>
      <c r="E95" s="4" t="s">
        <v>126</v>
      </c>
      <c r="F95" s="5" t="n">
        <v>59.2</v>
      </c>
      <c r="G95" s="4" t="s">
        <v>26</v>
      </c>
      <c r="H95" s="6" t="n">
        <v>23976</v>
      </c>
      <c r="I95" s="7"/>
      <c r="J95" s="4" t="s">
        <v>32</v>
      </c>
      <c r="K95" s="4" t="s">
        <v>116</v>
      </c>
      <c r="L95" s="4" t="s">
        <v>42</v>
      </c>
      <c r="M95" s="8" t="str">
        <f aca="false">IF(OR(H95="",I95=""),"",IF(I95&gt;0,H95/I95,""))</f>
        <v/>
      </c>
      <c r="N95" s="4" t="str">
        <f aca="false">IF(I95="",IF(K95="NULL","FCF yok (NULL)","FCF kapsamı dışı"),IF(I95&lt;=0,"anlamsız (FCF ≤ 0)",IF(OR(K95="KOŞULLU"),"FCF KOŞULLU — yorum yapılmaz","")))</f>
        <v>FCF yok (NULL)</v>
      </c>
      <c r="O95" s="9" t="str">
        <f aca="false">IF(Q95="","",F95*R95/Q95-1)</f>
        <v/>
      </c>
      <c r="P95" s="9" t="n">
        <f aca="false">IF(S95="","",F95*T95/S95-1)</f>
        <v>-0.0326797385620915</v>
      </c>
      <c r="Q95" s="5"/>
      <c r="R95" s="10" t="n">
        <v>1</v>
      </c>
      <c r="S95" s="5" t="n">
        <v>61.2</v>
      </c>
      <c r="T95" s="10" t="n">
        <v>1</v>
      </c>
      <c r="U95" s="4"/>
    </row>
    <row r="96" customFormat="false" ht="15" hidden="false" customHeight="false" outlineLevel="0" collapsed="false">
      <c r="A96" s="4" t="s">
        <v>257</v>
      </c>
      <c r="B96" s="4" t="s">
        <v>258</v>
      </c>
      <c r="C96" s="4" t="s">
        <v>29</v>
      </c>
      <c r="D96" s="4" t="s">
        <v>30</v>
      </c>
      <c r="E96" s="4" t="s">
        <v>107</v>
      </c>
      <c r="F96" s="5" t="n">
        <v>17.33</v>
      </c>
      <c r="G96" s="4" t="s">
        <v>26</v>
      </c>
      <c r="H96" s="6" t="n">
        <v>1727.584375</v>
      </c>
      <c r="I96" s="7" t="n">
        <v>-50.8489999999999</v>
      </c>
      <c r="J96" s="4" t="s">
        <v>32</v>
      </c>
      <c r="K96" s="4" t="s">
        <v>33</v>
      </c>
      <c r="L96" s="4" t="s">
        <v>42</v>
      </c>
      <c r="M96" s="8" t="str">
        <f aca="false">IF(OR(H96="",I96=""),"",IF(I96&gt;0,H96/I96,""))</f>
        <v/>
      </c>
      <c r="N96" s="4" t="str">
        <f aca="false">IF(I96="",IF(K96="NULL","FCF yok (NULL)","FCF kapsamı dışı"),IF(I96&lt;=0,"anlamsız (FCF ≤ 0)",IF(OR(K96="KOŞULLU"),"FCF KOŞULLU — yorum yapılmaz","")))</f>
        <v>anlamsız (FCF ≤ 0)</v>
      </c>
      <c r="O96" s="9" t="n">
        <f aca="false">IF(Q96="","",F96*R96/Q96-1)</f>
        <v>-0.476751207729469</v>
      </c>
      <c r="P96" s="9" t="n">
        <f aca="false">IF(S96="","",F96*T96/S96-1)</f>
        <v>-0.10577915376677</v>
      </c>
      <c r="Q96" s="5" t="n">
        <v>33.12</v>
      </c>
      <c r="R96" s="10" t="n">
        <v>1</v>
      </c>
      <c r="S96" s="5" t="n">
        <v>19.38</v>
      </c>
      <c r="T96" s="10" t="n">
        <v>1</v>
      </c>
      <c r="U96" s="4"/>
    </row>
    <row r="97" customFormat="false" ht="15" hidden="false" customHeight="false" outlineLevel="0" collapsed="false">
      <c r="A97" s="4" t="s">
        <v>259</v>
      </c>
      <c r="B97" s="4" t="s">
        <v>260</v>
      </c>
      <c r="C97" s="4" t="s">
        <v>29</v>
      </c>
      <c r="D97" s="4" t="s">
        <v>30</v>
      </c>
      <c r="E97" s="4" t="s">
        <v>234</v>
      </c>
      <c r="F97" s="5" t="n">
        <v>108.8</v>
      </c>
      <c r="G97" s="4" t="s">
        <v>26</v>
      </c>
      <c r="H97" s="6" t="n">
        <v>13330.4812928</v>
      </c>
      <c r="I97" s="7" t="n">
        <v>264.7711568</v>
      </c>
      <c r="J97" s="4" t="s">
        <v>32</v>
      </c>
      <c r="K97" s="4" t="s">
        <v>33</v>
      </c>
      <c r="L97" s="4" t="s">
        <v>57</v>
      </c>
      <c r="M97" s="8" t="n">
        <f aca="false">IF(OR(H97="",I97=""),"",IF(I97&gt;0,H97/I97,""))</f>
        <v>50.3471807651218</v>
      </c>
      <c r="N97" s="4" t="str">
        <f aca="false">IF(I97="",IF(K97="NULL","FCF yok (NULL)","FCF kapsamı dışı"),IF(I97&lt;=0,"anlamsız (FCF ≤ 0)",IF(OR(K97="KOŞULLU"),"FCF KOŞULLU — yorum yapılmaz","")))</f>
        <v/>
      </c>
      <c r="O97" s="9" t="n">
        <f aca="false">IF(Q97="","",F97*R97/Q97-1)</f>
        <v>-0.402197802197802</v>
      </c>
      <c r="P97" s="9" t="n">
        <f aca="false">IF(S97="","",F97*T97/S97-1)</f>
        <v>-0.0371681415929204</v>
      </c>
      <c r="Q97" s="5" t="n">
        <v>182</v>
      </c>
      <c r="R97" s="10" t="n">
        <v>1</v>
      </c>
      <c r="S97" s="5" t="n">
        <v>113</v>
      </c>
      <c r="T97" s="10" t="n">
        <v>1</v>
      </c>
      <c r="U97" s="4"/>
    </row>
    <row r="98" customFormat="false" ht="15" hidden="false" customHeight="false" outlineLevel="0" collapsed="false">
      <c r="A98" s="4" t="s">
        <v>261</v>
      </c>
      <c r="B98" s="4" t="s">
        <v>262</v>
      </c>
      <c r="C98" s="4" t="s">
        <v>29</v>
      </c>
      <c r="D98" s="4" t="s">
        <v>30</v>
      </c>
      <c r="E98" s="4" t="s">
        <v>263</v>
      </c>
      <c r="F98" s="5" t="n">
        <v>14.64</v>
      </c>
      <c r="G98" s="4" t="s">
        <v>64</v>
      </c>
      <c r="H98" s="6" t="n">
        <v>5285.04</v>
      </c>
      <c r="I98" s="7" t="n">
        <v>-1155.358</v>
      </c>
      <c r="J98" s="4" t="s">
        <v>32</v>
      </c>
      <c r="K98" s="4" t="s">
        <v>33</v>
      </c>
      <c r="L98" s="4" t="s">
        <v>42</v>
      </c>
      <c r="M98" s="8" t="str">
        <f aca="false">IF(OR(H98="",I98=""),"",IF(I98&gt;0,H98/I98,""))</f>
        <v/>
      </c>
      <c r="N98" s="4" t="str">
        <f aca="false">IF(I98="",IF(K98="NULL","FCF yok (NULL)","FCF kapsamı dışı"),IF(I98&lt;=0,"anlamsız (FCF ≤ 0)",IF(OR(K98="KOŞULLU"),"FCF KOŞULLU — yorum yapılmaz","")))</f>
        <v>anlamsız (FCF ≤ 0)</v>
      </c>
      <c r="O98" s="9" t="n">
        <f aca="false">IF(Q98="","",F98*R98/Q98-1)</f>
        <v>-0.651096282173499</v>
      </c>
      <c r="P98" s="9" t="n">
        <f aca="false">IF(S98="","",F98*T98/S98-1)</f>
        <v>-0.1249252839211</v>
      </c>
      <c r="Q98" s="5" t="n">
        <v>41.96</v>
      </c>
      <c r="R98" s="10" t="n">
        <v>1</v>
      </c>
      <c r="S98" s="5" t="n">
        <v>16.73</v>
      </c>
      <c r="T98" s="10" t="n">
        <v>1</v>
      </c>
      <c r="U98" s="4"/>
    </row>
    <row r="99" customFormat="false" ht="15" hidden="false" customHeight="false" outlineLevel="0" collapsed="false">
      <c r="A99" s="4" t="s">
        <v>264</v>
      </c>
      <c r="B99" s="4" t="s">
        <v>265</v>
      </c>
      <c r="C99" s="4" t="s">
        <v>29</v>
      </c>
      <c r="D99" s="4" t="s">
        <v>30</v>
      </c>
      <c r="E99" s="4" t="s">
        <v>53</v>
      </c>
      <c r="F99" s="5" t="n">
        <v>3.83</v>
      </c>
      <c r="G99" s="4" t="s">
        <v>64</v>
      </c>
      <c r="H99" s="6" t="n">
        <v>2049.05</v>
      </c>
      <c r="I99" s="7" t="n">
        <v>276.021</v>
      </c>
      <c r="J99" s="4" t="s">
        <v>32</v>
      </c>
      <c r="K99" s="4" t="s">
        <v>33</v>
      </c>
      <c r="L99" s="4" t="s">
        <v>42</v>
      </c>
      <c r="M99" s="8" t="n">
        <f aca="false">IF(OR(H99="",I99=""),"",IF(I99&gt;0,H99/I99,""))</f>
        <v>7.4235293691422</v>
      </c>
      <c r="N99" s="4" t="str">
        <f aca="false">IF(I99="",IF(K99="NULL","FCF yok (NULL)","FCF kapsamı dışı"),IF(I99&lt;=0,"anlamsız (FCF ≤ 0)",IF(OR(K99="KOŞULLU"),"FCF KOŞULLU — yorum yapılmaz","")))</f>
        <v/>
      </c>
      <c r="O99" s="9" t="n">
        <f aca="false">IF(Q99="","",F99*R99/Q99-1)</f>
        <v>-0.685032894736842</v>
      </c>
      <c r="P99" s="9" t="n">
        <f aca="false">IF(S99="","",F99*T99/S99-1)</f>
        <v>-0.072639225181598</v>
      </c>
      <c r="Q99" s="5" t="n">
        <v>12.16</v>
      </c>
      <c r="R99" s="10" t="n">
        <v>1</v>
      </c>
      <c r="S99" s="5" t="n">
        <v>4.13</v>
      </c>
      <c r="T99" s="10" t="n">
        <v>1</v>
      </c>
      <c r="U99" s="4"/>
    </row>
    <row r="100" customFormat="false" ht="15" hidden="false" customHeight="false" outlineLevel="0" collapsed="false">
      <c r="A100" s="4" t="s">
        <v>266</v>
      </c>
      <c r="B100" s="4" t="s">
        <v>267</v>
      </c>
      <c r="C100" s="4" t="s">
        <v>29</v>
      </c>
      <c r="D100" s="4" t="s">
        <v>30</v>
      </c>
      <c r="E100" s="4" t="s">
        <v>31</v>
      </c>
      <c r="F100" s="5" t="n">
        <v>32.44</v>
      </c>
      <c r="G100" s="4" t="s">
        <v>213</v>
      </c>
      <c r="H100" s="6" t="n">
        <v>18717.88</v>
      </c>
      <c r="I100" s="7" t="n">
        <v>-68.753</v>
      </c>
      <c r="J100" s="4" t="s">
        <v>32</v>
      </c>
      <c r="K100" s="4" t="s">
        <v>33</v>
      </c>
      <c r="L100" s="4" t="s">
        <v>42</v>
      </c>
      <c r="M100" s="8" t="str">
        <f aca="false">IF(OR(H100="",I100=""),"",IF(I100&gt;0,H100/I100,""))</f>
        <v/>
      </c>
      <c r="N100" s="4" t="str">
        <f aca="false">IF(I100="",IF(K100="NULL","FCF yok (NULL)","FCF kapsamı dışı"),IF(I100&lt;=0,"anlamsız (FCF ≤ 0)",IF(OR(K100="KOŞULLU"),"FCF KOŞULLU — yorum yapılmaz","")))</f>
        <v>anlamsız (FCF ≤ 0)</v>
      </c>
      <c r="O100" s="9" t="n">
        <f aca="false">IF(Q100="","",F100*R100/Q100-1)</f>
        <v>1.77028181041845</v>
      </c>
      <c r="P100" s="9" t="n">
        <f aca="false">IF(S100="","",F100*T100/S100-1)</f>
        <v>-0.685354025218235</v>
      </c>
      <c r="Q100" s="5" t="n">
        <v>11.71</v>
      </c>
      <c r="R100" s="10" t="n">
        <v>1</v>
      </c>
      <c r="S100" s="5" t="n">
        <v>103.1</v>
      </c>
      <c r="T100" s="10" t="n">
        <v>1</v>
      </c>
      <c r="U100" s="4"/>
    </row>
    <row r="101" customFormat="false" ht="15" hidden="false" customHeight="false" outlineLevel="0" collapsed="false">
      <c r="A101" s="4" t="s">
        <v>268</v>
      </c>
      <c r="B101" s="4" t="s">
        <v>269</v>
      </c>
      <c r="C101" s="4" t="s">
        <v>29</v>
      </c>
      <c r="D101" s="4" t="s">
        <v>30</v>
      </c>
      <c r="E101" s="4" t="s">
        <v>107</v>
      </c>
      <c r="F101" s="5" t="n">
        <v>63.35</v>
      </c>
      <c r="G101" s="4" t="s">
        <v>26</v>
      </c>
      <c r="H101" s="6" t="n">
        <v>2141.97315885</v>
      </c>
      <c r="I101" s="7" t="n">
        <v>-48.424</v>
      </c>
      <c r="J101" s="4" t="s">
        <v>32</v>
      </c>
      <c r="K101" s="4" t="s">
        <v>33</v>
      </c>
      <c r="L101" s="4" t="s">
        <v>42</v>
      </c>
      <c r="M101" s="8" t="str">
        <f aca="false">IF(OR(H101="",I101=""),"",IF(I101&gt;0,H101/I101,""))</f>
        <v/>
      </c>
      <c r="N101" s="4" t="str">
        <f aca="false">IF(I101="",IF(K101="NULL","FCF yok (NULL)","FCF kapsamı dışı"),IF(I101&lt;=0,"anlamsız (FCF ≤ 0)",IF(OR(K101="KOŞULLU"),"FCF KOŞULLU — yorum yapılmaz","")))</f>
        <v>anlamsız (FCF ≤ 0)</v>
      </c>
      <c r="O101" s="9" t="n">
        <f aca="false">IF(Q101="","",F101*R101/Q101-1)</f>
        <v>-0.815574963609898</v>
      </c>
      <c r="P101" s="9" t="n">
        <f aca="false">IF(S101="","",F101*T101/S101-1)</f>
        <v>-0.685295578738202</v>
      </c>
      <c r="Q101" s="5" t="n">
        <v>343.5</v>
      </c>
      <c r="R101" s="10" t="n">
        <v>1</v>
      </c>
      <c r="S101" s="5" t="n">
        <v>201.3</v>
      </c>
      <c r="T101" s="10" t="n">
        <v>1</v>
      </c>
      <c r="U101" s="4"/>
    </row>
    <row r="102" customFormat="false" ht="15" hidden="false" customHeight="false" outlineLevel="0" collapsed="false">
      <c r="A102" s="4" t="s">
        <v>270</v>
      </c>
      <c r="B102" s="4" t="s">
        <v>271</v>
      </c>
      <c r="C102" s="4" t="s">
        <v>29</v>
      </c>
      <c r="D102" s="4" t="s">
        <v>30</v>
      </c>
      <c r="E102" s="4" t="s">
        <v>272</v>
      </c>
      <c r="F102" s="5" t="n">
        <v>408.5</v>
      </c>
      <c r="G102" s="4" t="s">
        <v>76</v>
      </c>
      <c r="H102" s="6" t="n">
        <v>490200</v>
      </c>
      <c r="I102" s="7" t="n">
        <v>19643.015</v>
      </c>
      <c r="J102" s="4" t="s">
        <v>32</v>
      </c>
      <c r="K102" s="4" t="s">
        <v>33</v>
      </c>
      <c r="L102" s="4" t="s">
        <v>42</v>
      </c>
      <c r="M102" s="8" t="n">
        <f aca="false">IF(OR(H102="",I102=""),"",IF(I102&gt;0,H102/I102,""))</f>
        <v>24.9554358126795</v>
      </c>
      <c r="N102" s="4" t="str">
        <f aca="false">IF(I102="",IF(K102="NULL","FCF yok (NULL)","FCF kapsamı dışı"),IF(I102&lt;=0,"anlamsız (FCF ≤ 0)",IF(OR(K102="KOŞULLU"),"FCF KOŞULLU — yorum yapılmaz","")))</f>
        <v/>
      </c>
      <c r="O102" s="9" t="n">
        <f aca="false">IF(Q102="","",F102*R102/Q102-1)</f>
        <v>0.450634020542442</v>
      </c>
      <c r="P102" s="9" t="n">
        <f aca="false">IF(S102="","",F102*T102/S102-1)</f>
        <v>-0.0565819861431871</v>
      </c>
      <c r="Q102" s="5" t="n">
        <v>562.49</v>
      </c>
      <c r="R102" s="10" t="n">
        <v>1.99747155499368</v>
      </c>
      <c r="S102" s="5" t="n">
        <v>433</v>
      </c>
      <c r="T102" s="10" t="n">
        <v>1</v>
      </c>
      <c r="U102" s="4" t="s">
        <v>273</v>
      </c>
    </row>
    <row r="103" customFormat="false" ht="15" hidden="false" customHeight="false" outlineLevel="0" collapsed="false">
      <c r="A103" s="4" t="s">
        <v>274</v>
      </c>
      <c r="B103" s="4" t="s">
        <v>275</v>
      </c>
      <c r="C103" s="4" t="s">
        <v>29</v>
      </c>
      <c r="D103" s="4" t="s">
        <v>30</v>
      </c>
      <c r="E103" s="4" t="s">
        <v>276</v>
      </c>
      <c r="F103" s="5" t="n">
        <v>47.04</v>
      </c>
      <c r="G103" s="4" t="s">
        <v>26</v>
      </c>
      <c r="H103" s="6" t="n">
        <v>5268.48</v>
      </c>
      <c r="I103" s="7" t="n">
        <v>-402.461592</v>
      </c>
      <c r="J103" s="4" t="s">
        <v>32</v>
      </c>
      <c r="K103" s="4" t="s">
        <v>33</v>
      </c>
      <c r="L103" s="4" t="s">
        <v>57</v>
      </c>
      <c r="M103" s="8" t="str">
        <f aca="false">IF(OR(H103="",I103=""),"",IF(I103&gt;0,H103/I103,""))</f>
        <v/>
      </c>
      <c r="N103" s="4" t="str">
        <f aca="false">IF(I103="",IF(K103="NULL","FCF yok (NULL)","FCF kapsamı dışı"),IF(I103&lt;=0,"anlamsız (FCF ≤ 0)",IF(OR(K103="KOŞULLU"),"FCF KOŞULLU — yorum yapılmaz","")))</f>
        <v>anlamsız (FCF ≤ 0)</v>
      </c>
      <c r="O103" s="9" t="n">
        <f aca="false">IF(Q103="","",F103*R103/Q103-1)</f>
        <v>-0.665195729537367</v>
      </c>
      <c r="P103" s="9" t="n">
        <f aca="false">IF(S103="","",F103*T103/S103-1)</f>
        <v>-0.615372035977106</v>
      </c>
      <c r="Q103" s="5" t="n">
        <v>140.5</v>
      </c>
      <c r="R103" s="10" t="n">
        <v>1</v>
      </c>
      <c r="S103" s="5" t="n">
        <v>122.3</v>
      </c>
      <c r="T103" s="10" t="n">
        <v>1</v>
      </c>
      <c r="U103" s="4"/>
    </row>
    <row r="104" customFormat="false" ht="15" hidden="false" customHeight="false" outlineLevel="0" collapsed="false">
      <c r="A104" s="4" t="s">
        <v>277</v>
      </c>
      <c r="B104" s="4" t="s">
        <v>278</v>
      </c>
      <c r="C104" s="4" t="s">
        <v>29</v>
      </c>
      <c r="D104" s="4" t="s">
        <v>63</v>
      </c>
      <c r="E104" s="4" t="s">
        <v>63</v>
      </c>
      <c r="F104" s="5" t="n">
        <v>6.17</v>
      </c>
      <c r="G104" s="4" t="s">
        <v>76</v>
      </c>
      <c r="H104" s="6" t="n">
        <v>7960.2255</v>
      </c>
      <c r="I104" s="7" t="n">
        <v>-3251.556</v>
      </c>
      <c r="J104" s="4" t="s">
        <v>32</v>
      </c>
      <c r="K104" s="4" t="s">
        <v>33</v>
      </c>
      <c r="L104" s="4" t="s">
        <v>42</v>
      </c>
      <c r="M104" s="8" t="str">
        <f aca="false">IF(OR(H104="",I104=""),"",IF(I104&gt;0,H104/I104,""))</f>
        <v/>
      </c>
      <c r="N104" s="4" t="str">
        <f aca="false">IF(I104="",IF(K104="NULL","FCF yok (NULL)","FCF kapsamı dışı"),IF(I104&lt;=0,"anlamsız (FCF ≤ 0)",IF(OR(K104="KOŞULLU"),"FCF KOŞULLU — yorum yapılmaz","")))</f>
        <v>anlamsız (FCF ≤ 0)</v>
      </c>
      <c r="O104" s="9" t="n">
        <f aca="false">IF(Q104="","",F104*R104/Q104-1)</f>
        <v>-0.425512104283054</v>
      </c>
      <c r="P104" s="9" t="n">
        <f aca="false">IF(S104="","",F104*T104/S104-1)</f>
        <v>-0.0283464566929134</v>
      </c>
      <c r="Q104" s="5" t="n">
        <v>10.74</v>
      </c>
      <c r="R104" s="10" t="n">
        <v>1</v>
      </c>
      <c r="S104" s="5" t="n">
        <v>6.35</v>
      </c>
      <c r="T104" s="10" t="n">
        <v>1</v>
      </c>
      <c r="U104" s="4"/>
    </row>
    <row r="105" customFormat="false" ht="15" hidden="false" customHeight="false" outlineLevel="0" collapsed="false">
      <c r="A105" s="4" t="s">
        <v>279</v>
      </c>
      <c r="B105" s="4" t="s">
        <v>280</v>
      </c>
      <c r="C105" s="4" t="s">
        <v>29</v>
      </c>
      <c r="D105" s="4" t="s">
        <v>30</v>
      </c>
      <c r="E105" s="4" t="s">
        <v>31</v>
      </c>
      <c r="F105" s="5" t="n">
        <v>10.21</v>
      </c>
      <c r="G105" s="4" t="s">
        <v>26</v>
      </c>
      <c r="H105" s="6" t="n">
        <v>5105</v>
      </c>
      <c r="I105" s="7" t="n">
        <v>-96.2377535999999</v>
      </c>
      <c r="J105" s="4" t="s">
        <v>32</v>
      </c>
      <c r="K105" s="4" t="s">
        <v>33</v>
      </c>
      <c r="L105" s="4" t="s">
        <v>57</v>
      </c>
      <c r="M105" s="8" t="str">
        <f aca="false">IF(OR(H105="",I105=""),"",IF(I105&gt;0,H105/I105,""))</f>
        <v/>
      </c>
      <c r="N105" s="4" t="str">
        <f aca="false">IF(I105="",IF(K105="NULL","FCF yok (NULL)","FCF kapsamı dışı"),IF(I105&lt;=0,"anlamsız (FCF ≤ 0)",IF(OR(K105="KOŞULLU"),"FCF KOŞULLU — yorum yapılmaz","")))</f>
        <v>anlamsız (FCF ≤ 0)</v>
      </c>
      <c r="O105" s="9" t="n">
        <f aca="false">IF(Q105="","",F105*R105/Q105-1)</f>
        <v>-0.611787072243346</v>
      </c>
      <c r="P105" s="9" t="n">
        <f aca="false">IF(S105="","",F105*T105/S105-1)</f>
        <v>-0.21401077752117</v>
      </c>
      <c r="Q105" s="5" t="n">
        <v>26.3</v>
      </c>
      <c r="R105" s="10" t="n">
        <v>1</v>
      </c>
      <c r="S105" s="5" t="n">
        <v>12.99</v>
      </c>
      <c r="T105" s="10" t="n">
        <v>1</v>
      </c>
      <c r="U105" s="4"/>
    </row>
    <row r="106" customFormat="false" ht="15" hidden="false" customHeight="false" outlineLevel="0" collapsed="false">
      <c r="A106" s="4" t="s">
        <v>281</v>
      </c>
      <c r="B106" s="4" t="s">
        <v>282</v>
      </c>
      <c r="C106" s="4" t="s">
        <v>29</v>
      </c>
      <c r="D106" s="4" t="s">
        <v>30</v>
      </c>
      <c r="E106" s="4" t="s">
        <v>272</v>
      </c>
      <c r="F106" s="5" t="n">
        <v>19.41</v>
      </c>
      <c r="G106" s="4" t="s">
        <v>26</v>
      </c>
      <c r="H106" s="6" t="n">
        <v>1562.04059634</v>
      </c>
      <c r="I106" s="7" t="n">
        <v>1127.1771168</v>
      </c>
      <c r="J106" s="4" t="s">
        <v>32</v>
      </c>
      <c r="K106" s="4" t="s">
        <v>33</v>
      </c>
      <c r="L106" s="4" t="s">
        <v>57</v>
      </c>
      <c r="M106" s="8" t="n">
        <f aca="false">IF(OR(H106="",I106=""),"",IF(I106&gt;0,H106/I106,""))</f>
        <v>1.38579871171849</v>
      </c>
      <c r="N106" s="4" t="str">
        <f aca="false">IF(I106="",IF(K106="NULL","FCF yok (NULL)","FCF kapsamı dışı"),IF(I106&lt;=0,"anlamsız (FCF ≤ 0)",IF(OR(K106="KOŞULLU"),"FCF KOŞULLU — yorum yapılmaz","")))</f>
        <v/>
      </c>
      <c r="O106" s="9" t="n">
        <f aca="false">IF(Q106="","",F106*R106/Q106-1)</f>
        <v>-0.287967718268525</v>
      </c>
      <c r="P106" s="9" t="n">
        <f aca="false">IF(S106="","",F106*T106/S106-1)</f>
        <v>-0.0774714828897338</v>
      </c>
      <c r="Q106" s="5" t="n">
        <v>27.26</v>
      </c>
      <c r="R106" s="10" t="n">
        <v>1</v>
      </c>
      <c r="S106" s="5" t="n">
        <v>21.04</v>
      </c>
      <c r="T106" s="10" t="n">
        <v>1</v>
      </c>
      <c r="U106" s="4"/>
    </row>
    <row r="107" customFormat="false" ht="15" hidden="false" customHeight="false" outlineLevel="0" collapsed="false">
      <c r="A107" s="4" t="s">
        <v>283</v>
      </c>
      <c r="B107" s="4" t="s">
        <v>284</v>
      </c>
      <c r="C107" s="4" t="s">
        <v>29</v>
      </c>
      <c r="D107" s="4" t="s">
        <v>30</v>
      </c>
      <c r="E107" s="4" t="s">
        <v>285</v>
      </c>
      <c r="F107" s="5" t="n">
        <v>1.58</v>
      </c>
      <c r="G107" s="4" t="s">
        <v>26</v>
      </c>
      <c r="H107" s="6" t="n">
        <v>6896.01933916</v>
      </c>
      <c r="I107" s="7"/>
      <c r="J107" s="4" t="s">
        <v>32</v>
      </c>
      <c r="K107" s="4" t="s">
        <v>116</v>
      </c>
      <c r="L107" s="4" t="s">
        <v>42</v>
      </c>
      <c r="M107" s="8" t="str">
        <f aca="false">IF(OR(H107="",I107=""),"",IF(I107&gt;0,H107/I107,""))</f>
        <v/>
      </c>
      <c r="N107" s="4" t="str">
        <f aca="false">IF(I107="",IF(K107="NULL","FCF yok (NULL)","FCF kapsamı dışı"),IF(I107&lt;=0,"anlamsız (FCF ≤ 0)",IF(OR(K107="KOŞULLU"),"FCF KOŞULLU — yorum yapılmaz","")))</f>
        <v>FCF yok (NULL)</v>
      </c>
      <c r="O107" s="9" t="n">
        <f aca="false">IF(Q107="","",F107*R107/Q107-1)</f>
        <v>-0.247619047619048</v>
      </c>
      <c r="P107" s="9" t="n">
        <f aca="false">IF(S107="","",F107*T107/S107-1)</f>
        <v>-0.0867052023121386</v>
      </c>
      <c r="Q107" s="5" t="n">
        <v>2.1</v>
      </c>
      <c r="R107" s="10" t="n">
        <v>1</v>
      </c>
      <c r="S107" s="5" t="n">
        <v>1.73</v>
      </c>
      <c r="T107" s="10" t="n">
        <v>1</v>
      </c>
      <c r="U107" s="4"/>
    </row>
    <row r="108" customFormat="false" ht="15" hidden="false" customHeight="false" outlineLevel="0" collapsed="false">
      <c r="A108" s="4" t="s">
        <v>286</v>
      </c>
      <c r="B108" s="4" t="s">
        <v>287</v>
      </c>
      <c r="C108" s="4" t="s">
        <v>38</v>
      </c>
      <c r="D108" s="4"/>
      <c r="E108" s="4"/>
      <c r="F108" s="5" t="n">
        <v>5.54</v>
      </c>
      <c r="G108" s="4" t="s">
        <v>26</v>
      </c>
      <c r="H108" s="6" t="n">
        <v>3700.72</v>
      </c>
      <c r="I108" s="7"/>
      <c r="J108" s="4"/>
      <c r="K108" s="4"/>
      <c r="L108" s="4"/>
      <c r="M108" s="8" t="str">
        <f aca="false">IF(OR(H108="",I108=""),"",IF(I108&gt;0,H108/I108,""))</f>
        <v/>
      </c>
      <c r="N108" s="4" t="str">
        <f aca="false">IF(I108="",IF(K108="NULL","FCF yok (NULL)","FCF kapsamı dışı"),IF(I108&lt;=0,"anlamsız (FCF ≤ 0)",IF(OR(K108="KOŞULLU"),"FCF KOŞULLU — yorum yapılmaz","")))</f>
        <v>FCF kapsamı dışı</v>
      </c>
      <c r="O108" s="9" t="str">
        <f aca="false">IF(Q108="","",F108*R108/Q108-1)</f>
        <v/>
      </c>
      <c r="P108" s="9" t="n">
        <f aca="false">IF(S108="","",F108*T108/S108-1)</f>
        <v>-0.145061728395062</v>
      </c>
      <c r="Q108" s="5"/>
      <c r="R108" s="10" t="n">
        <v>1</v>
      </c>
      <c r="S108" s="5" t="n">
        <v>6.48</v>
      </c>
      <c r="T108" s="10" t="n">
        <v>1</v>
      </c>
      <c r="U108" s="4"/>
    </row>
    <row r="109" customFormat="false" ht="15" hidden="false" customHeight="false" outlineLevel="0" collapsed="false">
      <c r="A109" s="4" t="s">
        <v>288</v>
      </c>
      <c r="B109" s="4" t="s">
        <v>289</v>
      </c>
      <c r="C109" s="4" t="s">
        <v>29</v>
      </c>
      <c r="D109" s="4" t="s">
        <v>63</v>
      </c>
      <c r="E109" s="4" t="s">
        <v>63</v>
      </c>
      <c r="F109" s="5" t="n">
        <v>1.79</v>
      </c>
      <c r="G109" s="4" t="s">
        <v>26</v>
      </c>
      <c r="H109" s="6" t="n">
        <v>1790</v>
      </c>
      <c r="I109" s="7" t="n">
        <v>67.9991567999999</v>
      </c>
      <c r="J109" s="4" t="s">
        <v>111</v>
      </c>
      <c r="K109" s="4" t="s">
        <v>33</v>
      </c>
      <c r="L109" s="4" t="s">
        <v>57</v>
      </c>
      <c r="M109" s="8" t="n">
        <f aca="false">IF(OR(H109="",I109=""),"",IF(I109&gt;0,H109/I109,""))</f>
        <v>26.323855827577</v>
      </c>
      <c r="N109" s="4" t="str">
        <f aca="false">IF(I109="",IF(K109="NULL","FCF yok (NULL)","FCF kapsamı dışı"),IF(I109&lt;=0,"anlamsız (FCF ≤ 0)",IF(OR(K109="KOŞULLU"),"FCF KOŞULLU — yorum yapılmaz","")))</f>
        <v/>
      </c>
      <c r="O109" s="9" t="n">
        <f aca="false">IF(Q109="","",F109*R109/Q109-1)</f>
        <v>-0.3251244816733</v>
      </c>
      <c r="P109" s="9" t="n">
        <f aca="false">IF(S109="","",F109*T109/S109-1)</f>
        <v>0.0783132530120483</v>
      </c>
      <c r="Q109" s="5" t="n">
        <v>26.5</v>
      </c>
      <c r="R109" s="10" t="n">
        <v>9.99117387466902</v>
      </c>
      <c r="S109" s="5" t="n">
        <v>1.66</v>
      </c>
      <c r="T109" s="10" t="n">
        <v>1</v>
      </c>
      <c r="U109" s="4" t="s">
        <v>290</v>
      </c>
    </row>
    <row r="110" customFormat="false" ht="15" hidden="false" customHeight="false" outlineLevel="0" collapsed="false">
      <c r="A110" s="4" t="s">
        <v>291</v>
      </c>
      <c r="B110" s="4" t="s">
        <v>292</v>
      </c>
      <c r="C110" s="4" t="s">
        <v>29</v>
      </c>
      <c r="D110" s="4" t="s">
        <v>30</v>
      </c>
      <c r="E110" s="4" t="s">
        <v>192</v>
      </c>
      <c r="F110" s="5" t="n">
        <v>34.02</v>
      </c>
      <c r="G110" s="4" t="s">
        <v>26</v>
      </c>
      <c r="H110" s="6" t="n">
        <v>5943.6428751</v>
      </c>
      <c r="I110" s="7" t="n">
        <v>-143.289</v>
      </c>
      <c r="J110" s="4" t="s">
        <v>32</v>
      </c>
      <c r="K110" s="4" t="s">
        <v>86</v>
      </c>
      <c r="L110" s="4" t="s">
        <v>42</v>
      </c>
      <c r="M110" s="8" t="str">
        <f aca="false">IF(OR(H110="",I110=""),"",IF(I110&gt;0,H110/I110,""))</f>
        <v/>
      </c>
      <c r="N110" s="4" t="str">
        <f aca="false">IF(I110="",IF(K110="NULL","FCF yok (NULL)","FCF kapsamı dışı"),IF(I110&lt;=0,"anlamsız (FCF ≤ 0)",IF(OR(K110="KOŞULLU"),"FCF KOŞULLU — yorum yapılmaz","")))</f>
        <v>anlamsız (FCF ≤ 0)</v>
      </c>
      <c r="O110" s="9" t="n">
        <f aca="false">IF(Q110="","",F110*R110/Q110-1)</f>
        <v>-0.46</v>
      </c>
      <c r="P110" s="9" t="n">
        <f aca="false">IF(S110="","",F110*T110/S110-1)</f>
        <v>0.0493522516964837</v>
      </c>
      <c r="Q110" s="5" t="n">
        <v>63</v>
      </c>
      <c r="R110" s="10" t="n">
        <v>1</v>
      </c>
      <c r="S110" s="5" t="n">
        <v>32.42</v>
      </c>
      <c r="T110" s="10" t="n">
        <v>1</v>
      </c>
      <c r="U110" s="4"/>
    </row>
    <row r="111" customFormat="false" ht="15" hidden="false" customHeight="false" outlineLevel="0" collapsed="false">
      <c r="A111" s="4" t="s">
        <v>293</v>
      </c>
      <c r="B111" s="4" t="s">
        <v>294</v>
      </c>
      <c r="C111" s="4" t="s">
        <v>29</v>
      </c>
      <c r="D111" s="4" t="s">
        <v>30</v>
      </c>
      <c r="E111" s="4" t="s">
        <v>295</v>
      </c>
      <c r="F111" s="5" t="n">
        <v>9.09</v>
      </c>
      <c r="G111" s="4" t="s">
        <v>26</v>
      </c>
      <c r="H111" s="6" t="n">
        <v>909</v>
      </c>
      <c r="I111" s="7" t="n">
        <v>-419.31</v>
      </c>
      <c r="J111" s="4" t="s">
        <v>32</v>
      </c>
      <c r="K111" s="4" t="s">
        <v>33</v>
      </c>
      <c r="L111" s="4" t="s">
        <v>42</v>
      </c>
      <c r="M111" s="8" t="str">
        <f aca="false">IF(OR(H111="",I111=""),"",IF(I111&gt;0,H111/I111,""))</f>
        <v/>
      </c>
      <c r="N111" s="4" t="str">
        <f aca="false">IF(I111="",IF(K111="NULL","FCF yok (NULL)","FCF kapsamı dışı"),IF(I111&lt;=0,"anlamsız (FCF ≤ 0)",IF(OR(K111="KOŞULLU"),"FCF KOŞULLU — yorum yapılmaz","")))</f>
        <v>anlamsız (FCF ≤ 0)</v>
      </c>
      <c r="O111" s="9" t="n">
        <f aca="false">IF(Q111="","",F111*R111/Q111-1)</f>
        <v>-0.387466307277628</v>
      </c>
      <c r="P111" s="9" t="n">
        <f aca="false">IF(S111="","",F111*T111/S111-1)</f>
        <v>-0.0130293159609122</v>
      </c>
      <c r="Q111" s="5" t="n">
        <v>14.84</v>
      </c>
      <c r="R111" s="10" t="n">
        <v>1</v>
      </c>
      <c r="S111" s="5" t="n">
        <v>9.21</v>
      </c>
      <c r="T111" s="10" t="n">
        <v>1</v>
      </c>
      <c r="U111" s="4"/>
    </row>
    <row r="112" customFormat="false" ht="15" hidden="false" customHeight="false" outlineLevel="0" collapsed="false">
      <c r="A112" s="4" t="s">
        <v>296</v>
      </c>
      <c r="B112" s="4" t="s">
        <v>297</v>
      </c>
      <c r="C112" s="4" t="s">
        <v>29</v>
      </c>
      <c r="D112" s="4" t="s">
        <v>30</v>
      </c>
      <c r="E112" s="4" t="s">
        <v>295</v>
      </c>
      <c r="F112" s="5" t="n">
        <v>37.8</v>
      </c>
      <c r="G112" s="4" t="s">
        <v>76</v>
      </c>
      <c r="H112" s="6" t="n">
        <v>11340</v>
      </c>
      <c r="I112" s="7" t="n">
        <v>128.431</v>
      </c>
      <c r="J112" s="4" t="s">
        <v>32</v>
      </c>
      <c r="K112" s="4" t="s">
        <v>33</v>
      </c>
      <c r="L112" s="4" t="s">
        <v>42</v>
      </c>
      <c r="M112" s="8" t="n">
        <f aca="false">IF(OR(H112="",I112=""),"",IF(I112&gt;0,H112/I112,""))</f>
        <v>88.2964393331828</v>
      </c>
      <c r="N112" s="4" t="str">
        <f aca="false">IF(I112="",IF(K112="NULL","FCF yok (NULL)","FCF kapsamı dışı"),IF(I112&lt;=0,"anlamsız (FCF ≤ 0)",IF(OR(K112="KOŞULLU"),"FCF KOŞULLU — yorum yapılmaz","")))</f>
        <v/>
      </c>
      <c r="O112" s="9" t="n">
        <f aca="false">IF(Q112="","",F112*R112/Q112-1)</f>
        <v>0.110753474762253</v>
      </c>
      <c r="P112" s="9" t="n">
        <f aca="false">IF(S112="","",F112*T112/S112-1)</f>
        <v>-0.161862527716186</v>
      </c>
      <c r="Q112" s="5" t="n">
        <v>68.35</v>
      </c>
      <c r="R112" s="10" t="n">
        <v>2.00846560846561</v>
      </c>
      <c r="S112" s="5" t="n">
        <v>45.1</v>
      </c>
      <c r="T112" s="10" t="n">
        <v>1</v>
      </c>
      <c r="U112" s="4" t="s">
        <v>298</v>
      </c>
    </row>
    <row r="113" customFormat="false" ht="15" hidden="false" customHeight="false" outlineLevel="0" collapsed="false">
      <c r="A113" s="4" t="s">
        <v>299</v>
      </c>
      <c r="B113" s="4" t="s">
        <v>300</v>
      </c>
      <c r="C113" s="4" t="s">
        <v>29</v>
      </c>
      <c r="D113" s="4" t="s">
        <v>30</v>
      </c>
      <c r="E113" s="4" t="s">
        <v>231</v>
      </c>
      <c r="F113" s="5" t="n">
        <v>5.54</v>
      </c>
      <c r="G113" s="4" t="s">
        <v>213</v>
      </c>
      <c r="H113" s="6" t="n">
        <v>1339.9875</v>
      </c>
      <c r="I113" s="7" t="n">
        <v>508.583</v>
      </c>
      <c r="J113" s="4" t="s">
        <v>32</v>
      </c>
      <c r="K113" s="4" t="s">
        <v>33</v>
      </c>
      <c r="L113" s="4" t="s">
        <v>42</v>
      </c>
      <c r="M113" s="8" t="n">
        <f aca="false">IF(OR(H113="",I113=""),"",IF(I113&gt;0,H113/I113,""))</f>
        <v>2.63474693412875</v>
      </c>
      <c r="N113" s="4" t="str">
        <f aca="false">IF(I113="",IF(K113="NULL","FCF yok (NULL)","FCF kapsamı dışı"),IF(I113&lt;=0,"anlamsız (FCF ≤ 0)",IF(OR(K113="KOŞULLU"),"FCF KOŞULLU — yorum yapılmaz","")))</f>
        <v/>
      </c>
      <c r="O113" s="9" t="n">
        <f aca="false">IF(Q113="","",F113*R113/Q113-1)</f>
        <v>-0.199421965317919</v>
      </c>
      <c r="P113" s="9" t="n">
        <f aca="false">IF(S113="","",F113*T113/S113-1)</f>
        <v>0.029739776951673</v>
      </c>
      <c r="Q113" s="5" t="n">
        <v>6.92</v>
      </c>
      <c r="R113" s="10" t="n">
        <v>1</v>
      </c>
      <c r="S113" s="5" t="n">
        <v>5.38</v>
      </c>
      <c r="T113" s="10" t="n">
        <v>1</v>
      </c>
      <c r="U113" s="4"/>
    </row>
    <row r="114" customFormat="false" ht="15" hidden="false" customHeight="false" outlineLevel="0" collapsed="false">
      <c r="A114" s="4" t="s">
        <v>301</v>
      </c>
      <c r="B114" s="4" t="s">
        <v>302</v>
      </c>
      <c r="C114" s="4" t="s">
        <v>29</v>
      </c>
      <c r="D114" s="4" t="s">
        <v>30</v>
      </c>
      <c r="E114" s="4" t="s">
        <v>56</v>
      </c>
      <c r="F114" s="5" t="n">
        <v>15.95</v>
      </c>
      <c r="G114" s="4" t="s">
        <v>26</v>
      </c>
      <c r="H114" s="6" t="n">
        <v>6061</v>
      </c>
      <c r="I114" s="7" t="n">
        <v>-2153.7485184</v>
      </c>
      <c r="J114" s="4" t="s">
        <v>32</v>
      </c>
      <c r="K114" s="4" t="s">
        <v>154</v>
      </c>
      <c r="L114" s="4" t="s">
        <v>34</v>
      </c>
      <c r="M114" s="8" t="str">
        <f aca="false">IF(OR(H114="",I114=""),"",IF(I114&gt;0,H114/I114,""))</f>
        <v/>
      </c>
      <c r="N114" s="4" t="str">
        <f aca="false">IF(I114="",IF(K114="NULL","FCF yok (NULL)","FCF kapsamı dışı"),IF(I114&lt;=0,"anlamsız (FCF ≤ 0)",IF(OR(K114="KOŞULLU"),"FCF KOŞULLU — yorum yapılmaz","")))</f>
        <v>anlamsız (FCF ≤ 0)</v>
      </c>
      <c r="O114" s="9" t="n">
        <f aca="false">IF(Q114="","",F114*R114/Q114-1)</f>
        <v>-0.193222053616591</v>
      </c>
      <c r="P114" s="9" t="n">
        <f aca="false">IF(S114="","",F114*T114/S114-1)</f>
        <v>-0.0562130177514792</v>
      </c>
      <c r="Q114" s="5" t="n">
        <v>19.77</v>
      </c>
      <c r="R114" s="10" t="n">
        <v>1</v>
      </c>
      <c r="S114" s="5" t="n">
        <v>16.9</v>
      </c>
      <c r="T114" s="10" t="n">
        <v>1</v>
      </c>
      <c r="U114" s="4"/>
    </row>
    <row r="115" customFormat="false" ht="15" hidden="false" customHeight="false" outlineLevel="0" collapsed="false">
      <c r="A115" s="4" t="s">
        <v>303</v>
      </c>
      <c r="B115" s="4" t="s">
        <v>304</v>
      </c>
      <c r="C115" s="4" t="s">
        <v>29</v>
      </c>
      <c r="D115" s="4" t="s">
        <v>30</v>
      </c>
      <c r="E115" s="4" t="s">
        <v>305</v>
      </c>
      <c r="F115" s="5" t="n">
        <v>1.63</v>
      </c>
      <c r="G115" s="4" t="s">
        <v>26</v>
      </c>
      <c r="H115" s="6" t="n">
        <v>1141</v>
      </c>
      <c r="I115" s="7" t="n">
        <v>-1393.188</v>
      </c>
      <c r="J115" s="4" t="s">
        <v>32</v>
      </c>
      <c r="K115" s="4" t="s">
        <v>33</v>
      </c>
      <c r="L115" s="4" t="s">
        <v>42</v>
      </c>
      <c r="M115" s="8" t="str">
        <f aca="false">IF(OR(H115="",I115=""),"",IF(I115&gt;0,H115/I115,""))</f>
        <v/>
      </c>
      <c r="N115" s="4" t="str">
        <f aca="false">IF(I115="",IF(K115="NULL","FCF yok (NULL)","FCF kapsamı dışı"),IF(I115&lt;=0,"anlamsız (FCF ≤ 0)",IF(OR(K115="KOŞULLU"),"FCF KOŞULLU — yorum yapılmaz","")))</f>
        <v>anlamsız (FCF ≤ 0)</v>
      </c>
      <c r="O115" s="9" t="n">
        <f aca="false">IF(Q115="","",F115*R115/Q115-1)</f>
        <v>-0.933469387755102</v>
      </c>
      <c r="P115" s="9" t="n">
        <f aca="false">IF(S115="","",F115*T115/S115-1)</f>
        <v>-0.241860465116279</v>
      </c>
      <c r="Q115" s="5" t="n">
        <v>24.5</v>
      </c>
      <c r="R115" s="10" t="n">
        <v>1</v>
      </c>
      <c r="S115" s="5" t="n">
        <v>2.15</v>
      </c>
      <c r="T115" s="10" t="n">
        <v>1</v>
      </c>
      <c r="U115" s="4"/>
    </row>
    <row r="116" customFormat="false" ht="15" hidden="false" customHeight="false" outlineLevel="0" collapsed="false">
      <c r="A116" s="4" t="s">
        <v>306</v>
      </c>
      <c r="B116" s="4" t="s">
        <v>307</v>
      </c>
      <c r="C116" s="4" t="s">
        <v>29</v>
      </c>
      <c r="D116" s="4" t="s">
        <v>30</v>
      </c>
      <c r="E116" s="4" t="s">
        <v>53</v>
      </c>
      <c r="F116" s="5" t="n">
        <v>5.48</v>
      </c>
      <c r="G116" s="4" t="s">
        <v>64</v>
      </c>
      <c r="H116" s="6" t="n">
        <v>5260.8</v>
      </c>
      <c r="I116" s="7" t="n">
        <v>-191.133</v>
      </c>
      <c r="J116" s="4" t="s">
        <v>32</v>
      </c>
      <c r="K116" s="4" t="s">
        <v>86</v>
      </c>
      <c r="L116" s="4" t="s">
        <v>42</v>
      </c>
      <c r="M116" s="8" t="str">
        <f aca="false">IF(OR(H116="",I116=""),"",IF(I116&gt;0,H116/I116,""))</f>
        <v/>
      </c>
      <c r="N116" s="4" t="str">
        <f aca="false">IF(I116="",IF(K116="NULL","FCF yok (NULL)","FCF kapsamı dışı"),IF(I116&lt;=0,"anlamsız (FCF ≤ 0)",IF(OR(K116="KOŞULLU"),"FCF KOŞULLU — yorum yapılmaz","")))</f>
        <v>anlamsız (FCF ≤ 0)</v>
      </c>
      <c r="O116" s="9" t="n">
        <f aca="false">IF(Q116="","",F116*R116/Q116-1)</f>
        <v>-0.0402802101576182</v>
      </c>
      <c r="P116" s="9" t="n">
        <f aca="false">IF(S116="","",F116*T116/S116-1)</f>
        <v>-0.0126126126126125</v>
      </c>
      <c r="Q116" s="5" t="n">
        <v>5.71</v>
      </c>
      <c r="R116" s="10" t="n">
        <v>1</v>
      </c>
      <c r="S116" s="5" t="n">
        <v>5.55</v>
      </c>
      <c r="T116" s="10" t="n">
        <v>1</v>
      </c>
      <c r="U116" s="4"/>
    </row>
    <row r="117" customFormat="false" ht="15" hidden="false" customHeight="false" outlineLevel="0" collapsed="false">
      <c r="A117" s="4" t="s">
        <v>308</v>
      </c>
      <c r="B117" s="4" t="s">
        <v>309</v>
      </c>
      <c r="C117" s="4" t="s">
        <v>29</v>
      </c>
      <c r="D117" s="4" t="s">
        <v>30</v>
      </c>
      <c r="E117" s="4" t="s">
        <v>171</v>
      </c>
      <c r="F117" s="5" t="n">
        <v>5.81</v>
      </c>
      <c r="G117" s="4" t="s">
        <v>46</v>
      </c>
      <c r="H117" s="6" t="n">
        <v>7553</v>
      </c>
      <c r="I117" s="7" t="n">
        <v>1530.7272768</v>
      </c>
      <c r="J117" s="4" t="s">
        <v>32</v>
      </c>
      <c r="K117" s="4" t="s">
        <v>33</v>
      </c>
      <c r="L117" s="4" t="s">
        <v>57</v>
      </c>
      <c r="M117" s="8" t="n">
        <f aca="false">IF(OR(H117="",I117=""),"",IF(I117&gt;0,H117/I117,""))</f>
        <v>4.93425583673508</v>
      </c>
      <c r="N117" s="4" t="str">
        <f aca="false">IF(I117="",IF(K117="NULL","FCF yok (NULL)","FCF kapsamı dışı"),IF(I117&lt;=0,"anlamsız (FCF ≤ 0)",IF(OR(K117="KOŞULLU"),"FCF KOŞULLU — yorum yapılmaz","")))</f>
        <v/>
      </c>
      <c r="O117" s="9" t="n">
        <f aca="false">IF(Q117="","",F117*R117/Q117-1)</f>
        <v>-0.160404624277457</v>
      </c>
      <c r="P117" s="9" t="n">
        <f aca="false">IF(S117="","",F117*T117/S117-1)</f>
        <v>-0.165229885057471</v>
      </c>
      <c r="Q117" s="5" t="n">
        <v>6.92</v>
      </c>
      <c r="R117" s="10" t="n">
        <v>1</v>
      </c>
      <c r="S117" s="5" t="n">
        <v>6.96</v>
      </c>
      <c r="T117" s="10" t="n">
        <v>1</v>
      </c>
      <c r="U117" s="4"/>
    </row>
    <row r="118" customFormat="false" ht="15" hidden="false" customHeight="false" outlineLevel="0" collapsed="false">
      <c r="A118" s="4" t="s">
        <v>310</v>
      </c>
      <c r="B118" s="4" t="s">
        <v>311</v>
      </c>
      <c r="C118" s="4" t="s">
        <v>29</v>
      </c>
      <c r="D118" s="4" t="s">
        <v>30</v>
      </c>
      <c r="E118" s="4" t="s">
        <v>234</v>
      </c>
      <c r="F118" s="5" t="n">
        <v>72.2</v>
      </c>
      <c r="G118" s="4" t="s">
        <v>64</v>
      </c>
      <c r="H118" s="6" t="n">
        <v>22029.438375</v>
      </c>
      <c r="I118" s="7" t="n">
        <v>7023.154</v>
      </c>
      <c r="J118" s="4" t="s">
        <v>32</v>
      </c>
      <c r="K118" s="4" t="s">
        <v>33</v>
      </c>
      <c r="L118" s="4" t="s">
        <v>42</v>
      </c>
      <c r="M118" s="8" t="n">
        <f aca="false">IF(OR(H118="",I118=""),"",IF(I118&gt;0,H118/I118,""))</f>
        <v>3.13668735941146</v>
      </c>
      <c r="N118" s="4" t="str">
        <f aca="false">IF(I118="",IF(K118="NULL","FCF yok (NULL)","FCF kapsamı dışı"),IF(I118&lt;=0,"anlamsız (FCF ≤ 0)",IF(OR(K118="KOŞULLU"),"FCF KOŞULLU — yorum yapılmaz","")))</f>
        <v/>
      </c>
      <c r="O118" s="9" t="n">
        <f aca="false">IF(Q118="","",F118*R118/Q118-1)</f>
        <v>-0.138424821002387</v>
      </c>
      <c r="P118" s="9" t="n">
        <f aca="false">IF(S118="","",F118*T118/S118-1)</f>
        <v>0.0133333333333334</v>
      </c>
      <c r="Q118" s="5" t="n">
        <v>83.8</v>
      </c>
      <c r="R118" s="10" t="n">
        <v>1</v>
      </c>
      <c r="S118" s="5" t="n">
        <v>71.25</v>
      </c>
      <c r="T118" s="10" t="n">
        <v>1</v>
      </c>
      <c r="U118" s="4"/>
    </row>
    <row r="119" customFormat="false" ht="15" hidden="false" customHeight="false" outlineLevel="0" collapsed="false">
      <c r="A119" s="4" t="s">
        <v>312</v>
      </c>
      <c r="B119" s="4" t="s">
        <v>313</v>
      </c>
      <c r="C119" s="4" t="s">
        <v>29</v>
      </c>
      <c r="D119" s="4" t="s">
        <v>30</v>
      </c>
      <c r="E119" s="4" t="s">
        <v>171</v>
      </c>
      <c r="F119" s="5" t="n">
        <v>6.73</v>
      </c>
      <c r="G119" s="4" t="s">
        <v>141</v>
      </c>
      <c r="H119" s="6" t="n">
        <v>942.2</v>
      </c>
      <c r="I119" s="7" t="n">
        <v>-898.447</v>
      </c>
      <c r="J119" s="4" t="s">
        <v>32</v>
      </c>
      <c r="K119" s="4" t="s">
        <v>86</v>
      </c>
      <c r="L119" s="4" t="s">
        <v>42</v>
      </c>
      <c r="M119" s="8" t="str">
        <f aca="false">IF(OR(H119="",I119=""),"",IF(I119&gt;0,H119/I119,""))</f>
        <v/>
      </c>
      <c r="N119" s="4" t="str">
        <f aca="false">IF(I119="",IF(K119="NULL","FCF yok (NULL)","FCF kapsamı dışı"),IF(I119&lt;=0,"anlamsız (FCF ≤ 0)",IF(OR(K119="KOŞULLU"),"FCF KOŞULLU — yorum yapılmaz","")))</f>
        <v>anlamsız (FCF ≤ 0)</v>
      </c>
      <c r="O119" s="9" t="n">
        <f aca="false">IF(Q119="","",F119*R119/Q119-1)</f>
        <v>-0.26448087431694</v>
      </c>
      <c r="P119" s="9" t="n">
        <f aca="false">IF(S119="","",F119*T119/S119-1)</f>
        <v>-0.101468624833111</v>
      </c>
      <c r="Q119" s="5" t="n">
        <v>9.15</v>
      </c>
      <c r="R119" s="10" t="n">
        <v>1</v>
      </c>
      <c r="S119" s="5" t="n">
        <v>7.49</v>
      </c>
      <c r="T119" s="10" t="n">
        <v>1</v>
      </c>
      <c r="U119" s="4"/>
    </row>
    <row r="120" customFormat="false" ht="15" hidden="false" customHeight="false" outlineLevel="0" collapsed="false">
      <c r="A120" s="4" t="s">
        <v>314</v>
      </c>
      <c r="B120" s="4" t="s">
        <v>315</v>
      </c>
      <c r="C120" s="4" t="s">
        <v>29</v>
      </c>
      <c r="D120" s="4" t="s">
        <v>30</v>
      </c>
      <c r="E120" s="4" t="s">
        <v>85</v>
      </c>
      <c r="F120" s="5" t="n">
        <v>6.19</v>
      </c>
      <c r="G120" s="4" t="s">
        <v>46</v>
      </c>
      <c r="H120" s="6" t="n">
        <v>579.384</v>
      </c>
      <c r="I120" s="7" t="n">
        <v>159.601</v>
      </c>
      <c r="J120" s="4" t="s">
        <v>32</v>
      </c>
      <c r="K120" s="4" t="s">
        <v>33</v>
      </c>
      <c r="L120" s="4" t="s">
        <v>42</v>
      </c>
      <c r="M120" s="8" t="n">
        <f aca="false">IF(OR(H120="",I120=""),"",IF(I120&gt;0,H120/I120,""))</f>
        <v>3.63020281827808</v>
      </c>
      <c r="N120" s="4" t="str">
        <f aca="false">IF(I120="",IF(K120="NULL","FCF yok (NULL)","FCF kapsamı dışı"),IF(I120&lt;=0,"anlamsız (FCF ≤ 0)",IF(OR(K120="KOŞULLU"),"FCF KOŞULLU — yorum yapılmaz","")))</f>
        <v/>
      </c>
      <c r="O120" s="9" t="n">
        <f aca="false">IF(Q120="","",F120*R120/Q120-1)</f>
        <v>-0.319031903190319</v>
      </c>
      <c r="P120" s="9" t="n">
        <f aca="false">IF(S120="","",F120*T120/S120-1)</f>
        <v>-0.0649546827794562</v>
      </c>
      <c r="Q120" s="5" t="n">
        <v>9.09</v>
      </c>
      <c r="R120" s="10" t="n">
        <v>1</v>
      </c>
      <c r="S120" s="5" t="n">
        <v>6.62</v>
      </c>
      <c r="T120" s="10" t="n">
        <v>1</v>
      </c>
      <c r="U120" s="4"/>
    </row>
    <row r="121" customFormat="false" ht="15" hidden="false" customHeight="false" outlineLevel="0" collapsed="false">
      <c r="A121" s="4" t="s">
        <v>316</v>
      </c>
      <c r="B121" s="4" t="s">
        <v>317</v>
      </c>
      <c r="C121" s="4" t="s">
        <v>60</v>
      </c>
      <c r="D121" s="4"/>
      <c r="E121" s="4"/>
      <c r="F121" s="5" t="n">
        <v>53.2</v>
      </c>
      <c r="G121" s="4" t="s">
        <v>46</v>
      </c>
      <c r="H121" s="6" t="n">
        <v>2979.2</v>
      </c>
      <c r="I121" s="7"/>
      <c r="J121" s="4"/>
      <c r="K121" s="4"/>
      <c r="L121" s="4"/>
      <c r="M121" s="8" t="str">
        <f aca="false">IF(OR(H121="",I121=""),"",IF(I121&gt;0,H121/I121,""))</f>
        <v/>
      </c>
      <c r="N121" s="4" t="str">
        <f aca="false">IF(I121="",IF(K121="NULL","FCF yok (NULL)","FCF kapsamı dışı"),IF(I121&lt;=0,"anlamsız (FCF ≤ 0)",IF(OR(K121="KOŞULLU"),"FCF KOŞULLU — yorum yapılmaz","")))</f>
        <v>FCF kapsamı dışı</v>
      </c>
      <c r="O121" s="9" t="n">
        <f aca="false">IF(Q121="","",F121*R121/Q121-1)</f>
        <v>-0.350030543677459</v>
      </c>
      <c r="P121" s="9" t="n">
        <f aca="false">IF(S121="","",F121*T121/S121-1)</f>
        <v>-0.127868852459016</v>
      </c>
      <c r="Q121" s="5" t="n">
        <v>81.85</v>
      </c>
      <c r="R121" s="10" t="n">
        <v>1</v>
      </c>
      <c r="S121" s="5" t="n">
        <v>61</v>
      </c>
      <c r="T121" s="10" t="n">
        <v>1</v>
      </c>
      <c r="U121" s="4"/>
    </row>
    <row r="122" customFormat="false" ht="15" hidden="false" customHeight="false" outlineLevel="0" collapsed="false">
      <c r="A122" s="4" t="s">
        <v>318</v>
      </c>
      <c r="B122" s="4" t="s">
        <v>319</v>
      </c>
      <c r="C122" s="4" t="s">
        <v>29</v>
      </c>
      <c r="D122" s="4" t="s">
        <v>30</v>
      </c>
      <c r="E122" s="4" t="s">
        <v>126</v>
      </c>
      <c r="F122" s="5" t="n">
        <v>10.58</v>
      </c>
      <c r="G122" s="4" t="s">
        <v>26</v>
      </c>
      <c r="H122" s="6" t="n">
        <v>2369.92</v>
      </c>
      <c r="I122" s="7" t="n">
        <v>-94.1805744</v>
      </c>
      <c r="J122" s="4" t="s">
        <v>32</v>
      </c>
      <c r="K122" s="4" t="s">
        <v>33</v>
      </c>
      <c r="L122" s="4" t="s">
        <v>57</v>
      </c>
      <c r="M122" s="8" t="str">
        <f aca="false">IF(OR(H122="",I122=""),"",IF(I122&gt;0,H122/I122,""))</f>
        <v/>
      </c>
      <c r="N122" s="4" t="str">
        <f aca="false">IF(I122="",IF(K122="NULL","FCF yok (NULL)","FCF kapsamı dışı"),IF(I122&lt;=0,"anlamsız (FCF ≤ 0)",IF(OR(K122="KOŞULLU"),"FCF KOŞULLU — yorum yapılmaz","")))</f>
        <v>anlamsız (FCF ≤ 0)</v>
      </c>
      <c r="O122" s="9" t="n">
        <f aca="false">IF(Q122="","",F122*R122/Q122-1)</f>
        <v>-0.288500336247478</v>
      </c>
      <c r="P122" s="9" t="n">
        <f aca="false">IF(S122="","",F122*T122/S122-1)</f>
        <v>-0.225475841874085</v>
      </c>
      <c r="Q122" s="5" t="n">
        <v>14.87</v>
      </c>
      <c r="R122" s="10" t="n">
        <v>1</v>
      </c>
      <c r="S122" s="5" t="n">
        <v>13.66</v>
      </c>
      <c r="T122" s="10" t="n">
        <v>1</v>
      </c>
      <c r="U122" s="4"/>
    </row>
    <row r="123" customFormat="false" ht="15" hidden="false" customHeight="false" outlineLevel="0" collapsed="false">
      <c r="A123" s="4" t="s">
        <v>320</v>
      </c>
      <c r="B123" s="4" t="s">
        <v>321</v>
      </c>
      <c r="C123" s="4" t="s">
        <v>29</v>
      </c>
      <c r="D123" s="4" t="s">
        <v>30</v>
      </c>
      <c r="E123" s="4" t="s">
        <v>171</v>
      </c>
      <c r="F123" s="5" t="n">
        <v>8.25</v>
      </c>
      <c r="G123" s="4" t="s">
        <v>141</v>
      </c>
      <c r="H123" s="6" t="n">
        <v>736.3458465</v>
      </c>
      <c r="I123" s="7" t="n">
        <v>-21.8183648</v>
      </c>
      <c r="J123" s="4" t="s">
        <v>32</v>
      </c>
      <c r="K123" s="4" t="s">
        <v>33</v>
      </c>
      <c r="L123" s="4" t="s">
        <v>57</v>
      </c>
      <c r="M123" s="8" t="str">
        <f aca="false">IF(OR(H123="",I123=""),"",IF(I123&gt;0,H123/I123,""))</f>
        <v/>
      </c>
      <c r="N123" s="4" t="str">
        <f aca="false">IF(I123="",IF(K123="NULL","FCF yok (NULL)","FCF kapsamı dışı"),IF(I123&lt;=0,"anlamsız (FCF ≤ 0)",IF(OR(K123="KOŞULLU"),"FCF KOŞULLU — yorum yapılmaz","")))</f>
        <v>anlamsız (FCF ≤ 0)</v>
      </c>
      <c r="O123" s="9" t="n">
        <f aca="false">IF(Q123="","",F123*R123/Q123-1)</f>
        <v>0.195652173913043</v>
      </c>
      <c r="P123" s="9" t="n">
        <f aca="false">IF(S123="","",F123*T123/S123-1)</f>
        <v>0.0390428211586902</v>
      </c>
      <c r="Q123" s="5" t="n">
        <v>6.9</v>
      </c>
      <c r="R123" s="10" t="n">
        <v>1</v>
      </c>
      <c r="S123" s="5" t="n">
        <v>7.94</v>
      </c>
      <c r="T123" s="10" t="n">
        <v>1</v>
      </c>
      <c r="U123" s="4"/>
    </row>
    <row r="124" customFormat="false" ht="15" hidden="false" customHeight="false" outlineLevel="0" collapsed="false">
      <c r="A124" s="4" t="s">
        <v>322</v>
      </c>
      <c r="B124" s="4" t="s">
        <v>323</v>
      </c>
      <c r="C124" s="4" t="s">
        <v>29</v>
      </c>
      <c r="D124" s="4" t="s">
        <v>30</v>
      </c>
      <c r="E124" s="4" t="s">
        <v>295</v>
      </c>
      <c r="F124" s="5" t="n">
        <v>681.5</v>
      </c>
      <c r="G124" s="4" t="s">
        <v>26</v>
      </c>
      <c r="H124" s="6" t="n">
        <v>96617.333133</v>
      </c>
      <c r="I124" s="7" t="n">
        <v>7204.047</v>
      </c>
      <c r="J124" s="4" t="s">
        <v>32</v>
      </c>
      <c r="K124" s="4" t="s">
        <v>33</v>
      </c>
      <c r="L124" s="4" t="s">
        <v>42</v>
      </c>
      <c r="M124" s="8" t="n">
        <f aca="false">IF(OR(H124="",I124=""),"",IF(I124&gt;0,H124/I124,""))</f>
        <v>13.4115356455892</v>
      </c>
      <c r="N124" s="4" t="str">
        <f aca="false">IF(I124="",IF(K124="NULL","FCF yok (NULL)","FCF kapsamı dışı"),IF(I124&lt;=0,"anlamsız (FCF ≤ 0)",IF(OR(K124="KOŞULLU"),"FCF KOŞULLU — yorum yapılmaz","")))</f>
        <v/>
      </c>
      <c r="O124" s="9" t="n">
        <f aca="false">IF(Q124="","",F124*R124/Q124-1)</f>
        <v>0.603529411764706</v>
      </c>
      <c r="P124" s="9" t="n">
        <f aca="false">IF(S124="","",F124*T124/S124-1)</f>
        <v>0.0341426403641882</v>
      </c>
      <c r="Q124" s="5" t="n">
        <v>425</v>
      </c>
      <c r="R124" s="10" t="n">
        <v>1</v>
      </c>
      <c r="S124" s="5" t="n">
        <v>659</v>
      </c>
      <c r="T124" s="10" t="n">
        <v>1</v>
      </c>
      <c r="U124" s="4"/>
    </row>
    <row r="125" customFormat="false" ht="15" hidden="false" customHeight="false" outlineLevel="0" collapsed="false">
      <c r="A125" s="4" t="s">
        <v>324</v>
      </c>
      <c r="B125" s="4" t="s">
        <v>325</v>
      </c>
      <c r="C125" s="4" t="s">
        <v>29</v>
      </c>
      <c r="D125" s="4" t="s">
        <v>63</v>
      </c>
      <c r="E125" s="4" t="s">
        <v>63</v>
      </c>
      <c r="F125" s="5" t="n">
        <v>1475</v>
      </c>
      <c r="G125" s="4" t="s">
        <v>26</v>
      </c>
      <c r="H125" s="6" t="n">
        <v>41484.375</v>
      </c>
      <c r="I125" s="7" t="n">
        <v>48.5979999999999</v>
      </c>
      <c r="J125" s="4" t="s">
        <v>111</v>
      </c>
      <c r="K125" s="4" t="s">
        <v>33</v>
      </c>
      <c r="L125" s="4" t="s">
        <v>42</v>
      </c>
      <c r="M125" s="8" t="n">
        <f aca="false">IF(OR(H125="",I125=""),"",IF(I125&gt;0,H125/I125,""))</f>
        <v>853.623091485248</v>
      </c>
      <c r="N125" s="4" t="str">
        <f aca="false">IF(I125="",IF(K125="NULL","FCF yok (NULL)","FCF kapsamı dışı"),IF(I125&lt;=0,"anlamsız (FCF ≤ 0)",IF(OR(K125="KOŞULLU"),"FCF KOŞULLU — yorum yapılmaz","")))</f>
        <v/>
      </c>
      <c r="O125" s="9" t="n">
        <f aca="false">IF(Q125="","",F125*R125/Q125-1)</f>
        <v>-0.357298474945534</v>
      </c>
      <c r="P125" s="9" t="n">
        <f aca="false">IF(S125="","",F125*T125/S125-1)</f>
        <v>-0.0372062663185379</v>
      </c>
      <c r="Q125" s="5" t="n">
        <v>2295</v>
      </c>
      <c r="R125" s="10" t="n">
        <v>1</v>
      </c>
      <c r="S125" s="5" t="n">
        <v>1532</v>
      </c>
      <c r="T125" s="10" t="n">
        <v>1</v>
      </c>
      <c r="U125" s="4"/>
    </row>
    <row r="126" customFormat="false" ht="15" hidden="false" customHeight="false" outlineLevel="0" collapsed="false">
      <c r="A126" s="4" t="s">
        <v>326</v>
      </c>
      <c r="B126" s="4" t="s">
        <v>327</v>
      </c>
      <c r="C126" s="4" t="s">
        <v>29</v>
      </c>
      <c r="D126" s="4" t="s">
        <v>30</v>
      </c>
      <c r="E126" s="4" t="s">
        <v>56</v>
      </c>
      <c r="F126" s="5" t="n">
        <v>5.58</v>
      </c>
      <c r="G126" s="4" t="s">
        <v>26</v>
      </c>
      <c r="H126" s="6" t="n">
        <v>8928</v>
      </c>
      <c r="I126" s="7" t="n">
        <v>264.0750352</v>
      </c>
      <c r="J126" s="4" t="s">
        <v>32</v>
      </c>
      <c r="K126" s="4" t="s">
        <v>33</v>
      </c>
      <c r="L126" s="4" t="s">
        <v>57</v>
      </c>
      <c r="M126" s="8" t="n">
        <f aca="false">IF(OR(H126="",I126=""),"",IF(I126&gt;0,H126/I126,""))</f>
        <v>33.8085726022465</v>
      </c>
      <c r="N126" s="4" t="str">
        <f aca="false">IF(I126="",IF(K126="NULL","FCF yok (NULL)","FCF kapsamı dışı"),IF(I126&lt;=0,"anlamsız (FCF ≤ 0)",IF(OR(K126="KOŞULLU"),"FCF KOŞULLU — yorum yapılmaz","")))</f>
        <v/>
      </c>
      <c r="O126" s="9" t="n">
        <f aca="false">IF(Q126="","",F126*R126/Q126-1)</f>
        <v>-0.649497487437186</v>
      </c>
      <c r="P126" s="9" t="n">
        <f aca="false">IF(S126="","",F126*T126/S126-1)</f>
        <v>-0.566770186335404</v>
      </c>
      <c r="Q126" s="5" t="n">
        <v>15.92</v>
      </c>
      <c r="R126" s="10" t="n">
        <v>1</v>
      </c>
      <c r="S126" s="5" t="n">
        <v>12.88</v>
      </c>
      <c r="T126" s="10" t="n">
        <v>1</v>
      </c>
      <c r="U126" s="4"/>
    </row>
    <row r="127" customFormat="false" ht="15" hidden="false" customHeight="false" outlineLevel="0" collapsed="false">
      <c r="A127" s="4" t="s">
        <v>328</v>
      </c>
      <c r="B127" s="4" t="s">
        <v>329</v>
      </c>
      <c r="C127" s="4" t="s">
        <v>29</v>
      </c>
      <c r="D127" s="4" t="s">
        <v>30</v>
      </c>
      <c r="E127" s="4" t="s">
        <v>56</v>
      </c>
      <c r="F127" s="5" t="n">
        <v>1.95</v>
      </c>
      <c r="G127" s="4" t="s">
        <v>26</v>
      </c>
      <c r="H127" s="6" t="n">
        <v>10881</v>
      </c>
      <c r="I127" s="7" t="n">
        <v>960.29432</v>
      </c>
      <c r="J127" s="4" t="s">
        <v>32</v>
      </c>
      <c r="K127" s="4" t="s">
        <v>33</v>
      </c>
      <c r="L127" s="4" t="s">
        <v>57</v>
      </c>
      <c r="M127" s="8" t="n">
        <f aca="false">IF(OR(H127="",I127=""),"",IF(I127&gt;0,H127/I127,""))</f>
        <v>11.3309011345605</v>
      </c>
      <c r="N127" s="4" t="str">
        <f aca="false">IF(I127="",IF(K127="NULL","FCF yok (NULL)","FCF kapsamı dışı"),IF(I127&lt;=0,"anlamsız (FCF ≤ 0)",IF(OR(K127="KOŞULLU"),"FCF KOŞULLU — yorum yapılmaz","")))</f>
        <v/>
      </c>
      <c r="O127" s="9" t="n">
        <f aca="false">IF(Q127="","",F127*R127/Q127-1)</f>
        <v>-0.553775743707094</v>
      </c>
      <c r="P127" s="9" t="n">
        <f aca="false">IF(S127="","",F127*T127/S127-1)</f>
        <v>-0.255725190839695</v>
      </c>
      <c r="Q127" s="5" t="n">
        <v>4.37</v>
      </c>
      <c r="R127" s="10" t="n">
        <v>1</v>
      </c>
      <c r="S127" s="5" t="n">
        <v>2.62</v>
      </c>
      <c r="T127" s="10" t="n">
        <v>1</v>
      </c>
      <c r="U127" s="4"/>
    </row>
    <row r="128" customFormat="false" ht="15" hidden="false" customHeight="false" outlineLevel="0" collapsed="false">
      <c r="A128" s="4" t="s">
        <v>330</v>
      </c>
      <c r="B128" s="4" t="s">
        <v>331</v>
      </c>
      <c r="C128" s="4" t="s">
        <v>29</v>
      </c>
      <c r="D128" s="4" t="s">
        <v>30</v>
      </c>
      <c r="E128" s="4" t="s">
        <v>56</v>
      </c>
      <c r="F128" s="5" t="n">
        <v>5.01</v>
      </c>
      <c r="G128" s="4" t="s">
        <v>64</v>
      </c>
      <c r="H128" s="6" t="n">
        <v>7515</v>
      </c>
      <c r="I128" s="7" t="n">
        <v>-2374.9767888</v>
      </c>
      <c r="J128" s="4" t="s">
        <v>32</v>
      </c>
      <c r="K128" s="4" t="s">
        <v>33</v>
      </c>
      <c r="L128" s="4" t="s">
        <v>57</v>
      </c>
      <c r="M128" s="8" t="str">
        <f aca="false">IF(OR(H128="",I128=""),"",IF(I128&gt;0,H128/I128,""))</f>
        <v/>
      </c>
      <c r="N128" s="4" t="str">
        <f aca="false">IF(I128="",IF(K128="NULL","FCF yok (NULL)","FCF kapsamı dışı"),IF(I128&lt;=0,"anlamsız (FCF ≤ 0)",IF(OR(K128="KOŞULLU"),"FCF KOŞULLU — yorum yapılmaz","")))</f>
        <v>anlamsız (FCF ≤ 0)</v>
      </c>
      <c r="O128" s="9" t="n">
        <f aca="false">IF(Q128="","",F128*R128/Q128-1)</f>
        <v>-0.240909090909091</v>
      </c>
      <c r="P128" s="9" t="n">
        <f aca="false">IF(S128="","",F128*T128/S128-1)</f>
        <v>-0.00595238095238104</v>
      </c>
      <c r="Q128" s="5" t="n">
        <v>6.6</v>
      </c>
      <c r="R128" s="10" t="n">
        <v>1</v>
      </c>
      <c r="S128" s="5" t="n">
        <v>5.04</v>
      </c>
      <c r="T128" s="10" t="n">
        <v>1</v>
      </c>
      <c r="U128" s="4"/>
    </row>
    <row r="129" customFormat="false" ht="15" hidden="false" customHeight="false" outlineLevel="0" collapsed="false">
      <c r="A129" s="4" t="s">
        <v>332</v>
      </c>
      <c r="B129" s="4" t="s">
        <v>333</v>
      </c>
      <c r="C129" s="4" t="s">
        <v>38</v>
      </c>
      <c r="D129" s="4"/>
      <c r="E129" s="4"/>
      <c r="F129" s="5" t="n">
        <v>13.03</v>
      </c>
      <c r="G129" s="4" t="s">
        <v>46</v>
      </c>
      <c r="H129" s="6" t="n">
        <v>3492.04</v>
      </c>
      <c r="I129" s="7"/>
      <c r="J129" s="4"/>
      <c r="K129" s="4"/>
      <c r="L129" s="4"/>
      <c r="M129" s="8" t="str">
        <f aca="false">IF(OR(H129="",I129=""),"",IF(I129&gt;0,H129/I129,""))</f>
        <v/>
      </c>
      <c r="N129" s="4" t="str">
        <f aca="false">IF(I129="",IF(K129="NULL","FCF yok (NULL)","FCF kapsamı dışı"),IF(I129&lt;=0,"anlamsız (FCF ≤ 0)",IF(OR(K129="KOŞULLU"),"FCF KOŞULLU — yorum yapılmaz","")))</f>
        <v>FCF kapsamı dışı</v>
      </c>
      <c r="O129" s="9" t="n">
        <f aca="false">IF(Q129="","",F129*R129/Q129-1)</f>
        <v>-0.614497041420118</v>
      </c>
      <c r="P129" s="9" t="n">
        <f aca="false">IF(S129="","",F129*T129/S129-1)</f>
        <v>-0.312763713080169</v>
      </c>
      <c r="Q129" s="5" t="n">
        <v>33.8</v>
      </c>
      <c r="R129" s="10" t="n">
        <v>1</v>
      </c>
      <c r="S129" s="5" t="n">
        <v>18.96</v>
      </c>
      <c r="T129" s="10" t="n">
        <v>1</v>
      </c>
      <c r="U129" s="4"/>
    </row>
    <row r="130" customFormat="false" ht="15" hidden="false" customHeight="false" outlineLevel="0" collapsed="false">
      <c r="A130" s="4" t="s">
        <v>334</v>
      </c>
      <c r="B130" s="4" t="s">
        <v>335</v>
      </c>
      <c r="C130" s="4" t="s">
        <v>29</v>
      </c>
      <c r="D130" s="4" t="s">
        <v>30</v>
      </c>
      <c r="E130" s="4" t="s">
        <v>295</v>
      </c>
      <c r="F130" s="5" t="n">
        <v>26.88</v>
      </c>
      <c r="G130" s="4" t="s">
        <v>26</v>
      </c>
      <c r="H130" s="6" t="n">
        <v>2264.3712</v>
      </c>
      <c r="I130" s="7" t="n">
        <v>-192.310568</v>
      </c>
      <c r="J130" s="4" t="s">
        <v>32</v>
      </c>
      <c r="K130" s="4" t="s">
        <v>33</v>
      </c>
      <c r="L130" s="4" t="s">
        <v>57</v>
      </c>
      <c r="M130" s="8" t="str">
        <f aca="false">IF(OR(H130="",I130=""),"",IF(I130&gt;0,H130/I130,""))</f>
        <v/>
      </c>
      <c r="N130" s="4" t="str">
        <f aca="false">IF(I130="",IF(K130="NULL","FCF yok (NULL)","FCF kapsamı dışı"),IF(I130&lt;=0,"anlamsız (FCF ≤ 0)",IF(OR(K130="KOŞULLU"),"FCF KOŞULLU — yorum yapılmaz","")))</f>
        <v>anlamsız (FCF ≤ 0)</v>
      </c>
      <c r="O130" s="9" t="n">
        <f aca="false">IF(Q130="","",F130*R130/Q130-1)</f>
        <v>0.456910569105691</v>
      </c>
      <c r="P130" s="9" t="n">
        <f aca="false">IF(S130="","",F130*T130/S130-1)</f>
        <v>0.00149031296572266</v>
      </c>
      <c r="Q130" s="5" t="n">
        <v>18.45</v>
      </c>
      <c r="R130" s="10" t="n">
        <v>1</v>
      </c>
      <c r="S130" s="5" t="n">
        <v>26.84</v>
      </c>
      <c r="T130" s="10" t="n">
        <v>1</v>
      </c>
      <c r="U130" s="4"/>
    </row>
    <row r="131" customFormat="false" ht="15" hidden="false" customHeight="false" outlineLevel="0" collapsed="false">
      <c r="A131" s="4" t="s">
        <v>336</v>
      </c>
      <c r="B131" s="4" t="s">
        <v>337</v>
      </c>
      <c r="C131" s="4" t="s">
        <v>29</v>
      </c>
      <c r="D131" s="4" t="s">
        <v>30</v>
      </c>
      <c r="E131" s="4" t="s">
        <v>295</v>
      </c>
      <c r="F131" s="5" t="n">
        <v>488.25</v>
      </c>
      <c r="G131" s="4" t="s">
        <v>338</v>
      </c>
      <c r="H131" s="6" t="n">
        <v>3587.500854</v>
      </c>
      <c r="I131" s="7" t="n">
        <v>-34.0049184</v>
      </c>
      <c r="J131" s="4" t="s">
        <v>32</v>
      </c>
      <c r="K131" s="4" t="s">
        <v>33</v>
      </c>
      <c r="L131" s="4" t="s">
        <v>57</v>
      </c>
      <c r="M131" s="8" t="str">
        <f aca="false">IF(OR(H131="",I131=""),"",IF(I131&gt;0,H131/I131,""))</f>
        <v/>
      </c>
      <c r="N131" s="4" t="str">
        <f aca="false">IF(I131="",IF(K131="NULL","FCF yok (NULL)","FCF kapsamı dışı"),IF(I131&lt;=0,"anlamsız (FCF ≤ 0)",IF(OR(K131="KOŞULLU"),"FCF KOŞULLU — yorum yapılmaz","")))</f>
        <v>anlamsız (FCF ≤ 0)</v>
      </c>
      <c r="O131" s="9" t="n">
        <f aca="false">IF(Q131="","",F131*R131/Q131-1)</f>
        <v>2.95344129554656</v>
      </c>
      <c r="P131" s="9" t="n">
        <f aca="false">IF(S131="","",F131*T131/S131-1)</f>
        <v>-0.0398230088495575</v>
      </c>
      <c r="Q131" s="5" t="n">
        <v>123.5</v>
      </c>
      <c r="R131" s="10" t="n">
        <v>1</v>
      </c>
      <c r="S131" s="5" t="n">
        <v>508.5</v>
      </c>
      <c r="T131" s="10" t="n">
        <v>1</v>
      </c>
      <c r="U131" s="4"/>
    </row>
    <row r="132" customFormat="false" ht="15" hidden="false" customHeight="false" outlineLevel="0" collapsed="false">
      <c r="A132" s="4" t="s">
        <v>339</v>
      </c>
      <c r="B132" s="4" t="s">
        <v>340</v>
      </c>
      <c r="C132" s="4" t="s">
        <v>29</v>
      </c>
      <c r="D132" s="4" t="s">
        <v>30</v>
      </c>
      <c r="E132" s="4" t="s">
        <v>45</v>
      </c>
      <c r="F132" s="5" t="n">
        <v>71.95</v>
      </c>
      <c r="G132" s="4" t="s">
        <v>26</v>
      </c>
      <c r="H132" s="6" t="n">
        <v>2705.32</v>
      </c>
      <c r="I132" s="7" t="n">
        <v>-351.8936208</v>
      </c>
      <c r="J132" s="4" t="s">
        <v>32</v>
      </c>
      <c r="K132" s="4" t="s">
        <v>33</v>
      </c>
      <c r="L132" s="4" t="s">
        <v>34</v>
      </c>
      <c r="M132" s="8" t="str">
        <f aca="false">IF(OR(H132="",I132=""),"",IF(I132&gt;0,H132/I132,""))</f>
        <v/>
      </c>
      <c r="N132" s="4" t="str">
        <f aca="false">IF(I132="",IF(K132="NULL","FCF yok (NULL)","FCF kapsamı dışı"),IF(I132&lt;=0,"anlamsız (FCF ≤ 0)",IF(OR(K132="KOŞULLU"),"FCF KOŞULLU — yorum yapılmaz","")))</f>
        <v>anlamsız (FCF ≤ 0)</v>
      </c>
      <c r="O132" s="9" t="n">
        <f aca="false">IF(Q132="","",F132*R132/Q132-1)</f>
        <v>-0.436570086139389</v>
      </c>
      <c r="P132" s="9" t="n">
        <f aca="false">IF(S132="","",F132*T132/S132-1)</f>
        <v>-0.160443407234539</v>
      </c>
      <c r="Q132" s="5" t="n">
        <v>127.7</v>
      </c>
      <c r="R132" s="10" t="n">
        <v>1</v>
      </c>
      <c r="S132" s="5" t="n">
        <v>85.7</v>
      </c>
      <c r="T132" s="10" t="n">
        <v>1</v>
      </c>
      <c r="U132" s="4"/>
    </row>
    <row r="133" customFormat="false" ht="15" hidden="false" customHeight="false" outlineLevel="0" collapsed="false">
      <c r="A133" s="4" t="s">
        <v>341</v>
      </c>
      <c r="B133" s="4" t="s">
        <v>342</v>
      </c>
      <c r="C133" s="4" t="s">
        <v>29</v>
      </c>
      <c r="D133" s="4" t="s">
        <v>30</v>
      </c>
      <c r="E133" s="4" t="s">
        <v>53</v>
      </c>
      <c r="F133" s="5" t="n">
        <v>21.24</v>
      </c>
      <c r="G133" s="4" t="s">
        <v>64</v>
      </c>
      <c r="H133" s="6" t="n">
        <v>1784.16</v>
      </c>
      <c r="I133" s="7" t="n">
        <v>49.5415904000002</v>
      </c>
      <c r="J133" s="4" t="s">
        <v>32</v>
      </c>
      <c r="K133" s="4" t="s">
        <v>33</v>
      </c>
      <c r="L133" s="4" t="s">
        <v>57</v>
      </c>
      <c r="M133" s="8" t="n">
        <f aca="false">IF(OR(H133="",I133=""),"",IF(I133&gt;0,H133/I133,""))</f>
        <v>36.0133775600388</v>
      </c>
      <c r="N133" s="4" t="str">
        <f aca="false">IF(I133="",IF(K133="NULL","FCF yok (NULL)","FCF kapsamı dışı"),IF(I133&lt;=0,"anlamsız (FCF ≤ 0)",IF(OR(K133="KOŞULLU"),"FCF KOŞULLU — yorum yapılmaz","")))</f>
        <v/>
      </c>
      <c r="O133" s="9" t="n">
        <f aca="false">IF(Q133="","",F133*R133/Q133-1)</f>
        <v>-0.0797227036395147</v>
      </c>
      <c r="P133" s="9" t="n">
        <f aca="false">IF(S133="","",F133*T133/S133-1)</f>
        <v>-0.0757180156657964</v>
      </c>
      <c r="Q133" s="5" t="n">
        <v>23.08</v>
      </c>
      <c r="R133" s="10" t="n">
        <v>1</v>
      </c>
      <c r="S133" s="5" t="n">
        <v>22.98</v>
      </c>
      <c r="T133" s="10" t="n">
        <v>1</v>
      </c>
      <c r="U133" s="4"/>
    </row>
    <row r="134" customFormat="false" ht="15" hidden="false" customHeight="false" outlineLevel="0" collapsed="false">
      <c r="A134" s="4" t="s">
        <v>343</v>
      </c>
      <c r="B134" s="4" t="s">
        <v>344</v>
      </c>
      <c r="C134" s="4" t="s">
        <v>29</v>
      </c>
      <c r="D134" s="4" t="s">
        <v>30</v>
      </c>
      <c r="E134" s="4" t="s">
        <v>31</v>
      </c>
      <c r="F134" s="5" t="n">
        <v>1.07</v>
      </c>
      <c r="G134" s="4" t="s">
        <v>26</v>
      </c>
      <c r="H134" s="6" t="n">
        <v>10700</v>
      </c>
      <c r="I134" s="7" t="n">
        <v>-394.547</v>
      </c>
      <c r="J134" s="4" t="s">
        <v>32</v>
      </c>
      <c r="K134" s="4" t="s">
        <v>154</v>
      </c>
      <c r="L134" s="4" t="s">
        <v>42</v>
      </c>
      <c r="M134" s="8" t="str">
        <f aca="false">IF(OR(H134="",I134=""),"",IF(I134&gt;0,H134/I134,""))</f>
        <v/>
      </c>
      <c r="N134" s="4" t="str">
        <f aca="false">IF(I134="",IF(K134="NULL","FCF yok (NULL)","FCF kapsamı dışı"),IF(I134&lt;=0,"anlamsız (FCF ≤ 0)",IF(OR(K134="KOŞULLU"),"FCF KOŞULLU — yorum yapılmaz","")))</f>
        <v>anlamsız (FCF ≤ 0)</v>
      </c>
      <c r="O134" s="9" t="n">
        <f aca="false">IF(Q134="","",F134*R134/Q134-1)</f>
        <v>-0.424194885976239</v>
      </c>
      <c r="P134" s="9" t="n">
        <f aca="false">IF(S134="","",F134*T134/S134-1)</f>
        <v>-0.0360360360360361</v>
      </c>
      <c r="Q134" s="5" t="n">
        <v>1.85826762204798</v>
      </c>
      <c r="R134" s="10" t="n">
        <v>1</v>
      </c>
      <c r="S134" s="5" t="n">
        <v>1.11</v>
      </c>
      <c r="T134" s="10" t="n">
        <v>1</v>
      </c>
      <c r="U134" s="4"/>
    </row>
    <row r="135" customFormat="false" ht="15" hidden="false" customHeight="false" outlineLevel="0" collapsed="false">
      <c r="A135" s="4" t="s">
        <v>345</v>
      </c>
      <c r="B135" s="4" t="s">
        <v>346</v>
      </c>
      <c r="C135" s="4" t="s">
        <v>29</v>
      </c>
      <c r="D135" s="4" t="s">
        <v>30</v>
      </c>
      <c r="E135" s="4" t="s">
        <v>41</v>
      </c>
      <c r="F135" s="5" t="n">
        <v>42.5</v>
      </c>
      <c r="G135" s="4" t="s">
        <v>141</v>
      </c>
      <c r="H135" s="6" t="n">
        <v>208.25</v>
      </c>
      <c r="I135" s="7" t="n">
        <v>-72.946</v>
      </c>
      <c r="J135" s="4" t="s">
        <v>32</v>
      </c>
      <c r="K135" s="4" t="s">
        <v>33</v>
      </c>
      <c r="L135" s="4" t="s">
        <v>42</v>
      </c>
      <c r="M135" s="8" t="str">
        <f aca="false">IF(OR(H135="",I135=""),"",IF(I135&gt;0,H135/I135,""))</f>
        <v/>
      </c>
      <c r="N135" s="4" t="str">
        <f aca="false">IF(I135="",IF(K135="NULL","FCF yok (NULL)","FCF kapsamı dışı"),IF(I135&lt;=0,"anlamsız (FCF ≤ 0)",IF(OR(K135="KOŞULLU"),"FCF KOŞULLU — yorum yapılmaz","")))</f>
        <v>anlamsız (FCF ≤ 0)</v>
      </c>
      <c r="O135" s="9" t="n">
        <f aca="false">IF(Q135="","",F135*R135/Q135-1)</f>
        <v>-0.547872340425532</v>
      </c>
      <c r="P135" s="9" t="n">
        <f aca="false">IF(S135="","",F135*T135/S135-1)</f>
        <v>-0.21731123388582</v>
      </c>
      <c r="Q135" s="5" t="n">
        <v>94</v>
      </c>
      <c r="R135" s="10" t="n">
        <v>1</v>
      </c>
      <c r="S135" s="5" t="n">
        <v>54.3</v>
      </c>
      <c r="T135" s="10" t="n">
        <v>1</v>
      </c>
      <c r="U135" s="4"/>
    </row>
    <row r="136" customFormat="false" ht="15" hidden="false" customHeight="false" outlineLevel="0" collapsed="false">
      <c r="A136" s="4" t="s">
        <v>347</v>
      </c>
      <c r="B136" s="4" t="s">
        <v>348</v>
      </c>
      <c r="C136" s="4" t="s">
        <v>29</v>
      </c>
      <c r="D136" s="4" t="s">
        <v>30</v>
      </c>
      <c r="E136" s="4" t="s">
        <v>31</v>
      </c>
      <c r="F136" s="5" t="n">
        <v>30.66</v>
      </c>
      <c r="G136" s="4" t="s">
        <v>26</v>
      </c>
      <c r="H136" s="6" t="n">
        <v>5065.032</v>
      </c>
      <c r="I136" s="7" t="n">
        <v>977.826</v>
      </c>
      <c r="J136" s="4" t="s">
        <v>32</v>
      </c>
      <c r="K136" s="4" t="s">
        <v>33</v>
      </c>
      <c r="L136" s="4" t="s">
        <v>42</v>
      </c>
      <c r="M136" s="8" t="n">
        <f aca="false">IF(OR(H136="",I136=""),"",IF(I136&gt;0,H136/I136,""))</f>
        <v>5.17989090083512</v>
      </c>
      <c r="N136" s="4" t="str">
        <f aca="false">IF(I136="",IF(K136="NULL","FCF yok (NULL)","FCF kapsamı dışı"),IF(I136&lt;=0,"anlamsız (FCF ≤ 0)",IF(OR(K136="KOŞULLU"),"FCF KOŞULLU — yorum yapılmaz","")))</f>
        <v/>
      </c>
      <c r="O136" s="9" t="n">
        <f aca="false">IF(Q136="","",F136*R136/Q136-1)</f>
        <v>-0.0731559854897218</v>
      </c>
      <c r="P136" s="9" t="n">
        <f aca="false">IF(S136="","",F136*T136/S136-1)</f>
        <v>-0.259062348960851</v>
      </c>
      <c r="Q136" s="5" t="n">
        <v>33.08</v>
      </c>
      <c r="R136" s="10" t="n">
        <v>1</v>
      </c>
      <c r="S136" s="5" t="n">
        <v>41.38</v>
      </c>
      <c r="T136" s="10" t="n">
        <v>1</v>
      </c>
      <c r="U136" s="4"/>
    </row>
    <row r="137" customFormat="false" ht="15" hidden="false" customHeight="false" outlineLevel="0" collapsed="false">
      <c r="A137" s="4" t="s">
        <v>349</v>
      </c>
      <c r="B137" s="4" t="s">
        <v>350</v>
      </c>
      <c r="C137" s="4" t="s">
        <v>29</v>
      </c>
      <c r="D137" s="4" t="s">
        <v>30</v>
      </c>
      <c r="E137" s="4" t="s">
        <v>53</v>
      </c>
      <c r="F137" s="5" t="n">
        <v>81.25</v>
      </c>
      <c r="G137" s="4" t="s">
        <v>26</v>
      </c>
      <c r="H137" s="6" t="n">
        <v>227343.8864125</v>
      </c>
      <c r="I137" s="7" t="n">
        <v>21348.864</v>
      </c>
      <c r="J137" s="4" t="s">
        <v>32</v>
      </c>
      <c r="K137" s="4" t="s">
        <v>33</v>
      </c>
      <c r="L137" s="4" t="s">
        <v>42</v>
      </c>
      <c r="M137" s="8" t="n">
        <f aca="false">IF(OR(H137="",I137=""),"",IF(I137&gt;0,H137/I137,""))</f>
        <v>10.6489922092576</v>
      </c>
      <c r="N137" s="4" t="str">
        <f aca="false">IF(I137="",IF(K137="NULL","FCF yok (NULL)","FCF kapsamı dışı"),IF(I137&lt;=0,"anlamsız (FCF ≤ 0)",IF(OR(K137="KOŞULLU"),"FCF KOŞULLU — yorum yapılmaz","")))</f>
        <v/>
      </c>
      <c r="O137" s="9" t="n">
        <f aca="false">IF(Q137="","",F137*R137/Q137-1)</f>
        <v>0.717758985200846</v>
      </c>
      <c r="P137" s="9" t="n">
        <f aca="false">IF(S137="","",F137*T137/S137-1)</f>
        <v>0.0143570536828965</v>
      </c>
      <c r="Q137" s="5" t="n">
        <v>47.3</v>
      </c>
      <c r="R137" s="10" t="n">
        <v>1</v>
      </c>
      <c r="S137" s="5" t="n">
        <v>80.1</v>
      </c>
      <c r="T137" s="10" t="n">
        <v>1</v>
      </c>
      <c r="U137" s="4"/>
    </row>
    <row r="138" customFormat="false" ht="15" hidden="false" customHeight="false" outlineLevel="0" collapsed="false">
      <c r="A138" s="4" t="s">
        <v>351</v>
      </c>
      <c r="B138" s="4" t="s">
        <v>352</v>
      </c>
      <c r="C138" s="4" t="s">
        <v>29</v>
      </c>
      <c r="D138" s="4" t="s">
        <v>30</v>
      </c>
      <c r="E138" s="4" t="s">
        <v>295</v>
      </c>
      <c r="F138" s="5" t="n">
        <v>29.46</v>
      </c>
      <c r="G138" s="4" t="s">
        <v>26</v>
      </c>
      <c r="H138" s="6" t="n">
        <v>11356.81977738</v>
      </c>
      <c r="I138" s="7" t="n">
        <v>-563.7706496</v>
      </c>
      <c r="J138" s="4" t="s">
        <v>32</v>
      </c>
      <c r="K138" s="4" t="s">
        <v>33</v>
      </c>
      <c r="L138" s="4" t="s">
        <v>34</v>
      </c>
      <c r="M138" s="8" t="str">
        <f aca="false">IF(OR(H138="",I138=""),"",IF(I138&gt;0,H138/I138,""))</f>
        <v/>
      </c>
      <c r="N138" s="4" t="str">
        <f aca="false">IF(I138="",IF(K138="NULL","FCF yok (NULL)","FCF kapsamı dışı"),IF(I138&lt;=0,"anlamsız (FCF ≤ 0)",IF(OR(K138="KOŞULLU"),"FCF KOŞULLU — yorum yapılmaz","")))</f>
        <v>anlamsız (FCF ≤ 0)</v>
      </c>
      <c r="O138" s="9" t="n">
        <f aca="false">IF(Q138="","",F138*R138/Q138-1)</f>
        <v>2.11416490486258</v>
      </c>
      <c r="P138" s="9" t="n">
        <f aca="false">IF(S138="","",F138*T138/S138-1)</f>
        <v>0.207377049180328</v>
      </c>
      <c r="Q138" s="5" t="n">
        <v>9.46</v>
      </c>
      <c r="R138" s="10" t="n">
        <v>1</v>
      </c>
      <c r="S138" s="5" t="n">
        <v>24.4</v>
      </c>
      <c r="T138" s="10" t="n">
        <v>1</v>
      </c>
      <c r="U138" s="4"/>
    </row>
    <row r="139" customFormat="false" ht="15" hidden="false" customHeight="false" outlineLevel="0" collapsed="false">
      <c r="A139" s="4" t="s">
        <v>353</v>
      </c>
      <c r="B139" s="4" t="s">
        <v>354</v>
      </c>
      <c r="C139" s="4" t="s">
        <v>29</v>
      </c>
      <c r="D139" s="4" t="s">
        <v>30</v>
      </c>
      <c r="E139" s="4" t="s">
        <v>295</v>
      </c>
      <c r="F139" s="5" t="n">
        <v>3.14</v>
      </c>
      <c r="G139" s="4" t="s">
        <v>26</v>
      </c>
      <c r="H139" s="6" t="n">
        <v>2483.74</v>
      </c>
      <c r="I139" s="7" t="n">
        <v>-2245.43</v>
      </c>
      <c r="J139" s="4" t="s">
        <v>32</v>
      </c>
      <c r="K139" s="4" t="s">
        <v>33</v>
      </c>
      <c r="L139" s="4" t="s">
        <v>42</v>
      </c>
      <c r="M139" s="8" t="str">
        <f aca="false">IF(OR(H139="",I139=""),"",IF(I139&gt;0,H139/I139,""))</f>
        <v/>
      </c>
      <c r="N139" s="4" t="str">
        <f aca="false">IF(I139="",IF(K139="NULL","FCF yok (NULL)","FCF kapsamı dışı"),IF(I139&lt;=0,"anlamsız (FCF ≤ 0)",IF(OR(K139="KOŞULLU"),"FCF KOŞULLU — yorum yapılmaz","")))</f>
        <v>anlamsız (FCF ≤ 0)</v>
      </c>
      <c r="O139" s="9" t="n">
        <f aca="false">IF(Q139="","",F139*R139/Q139-1)</f>
        <v>-0.547550432276657</v>
      </c>
      <c r="P139" s="9" t="n">
        <f aca="false">IF(S139="","",F139*T139/S139-1)</f>
        <v>-0.0368098159509201</v>
      </c>
      <c r="Q139" s="5" t="n">
        <v>6.94</v>
      </c>
      <c r="R139" s="10" t="n">
        <v>1</v>
      </c>
      <c r="S139" s="5" t="n">
        <v>3.26</v>
      </c>
      <c r="T139" s="10" t="n">
        <v>1</v>
      </c>
      <c r="U139" s="4"/>
    </row>
    <row r="140" customFormat="false" ht="15" hidden="false" customHeight="false" outlineLevel="0" collapsed="false">
      <c r="A140" s="4" t="s">
        <v>355</v>
      </c>
      <c r="B140" s="4" t="s">
        <v>356</v>
      </c>
      <c r="C140" s="4" t="s">
        <v>29</v>
      </c>
      <c r="D140" s="4" t="s">
        <v>30</v>
      </c>
      <c r="E140" s="4" t="s">
        <v>295</v>
      </c>
      <c r="F140" s="5" t="n">
        <v>7.84</v>
      </c>
      <c r="G140" s="4" t="s">
        <v>64</v>
      </c>
      <c r="H140" s="6" t="n">
        <v>3920</v>
      </c>
      <c r="I140" s="7" t="n">
        <v>-487.859</v>
      </c>
      <c r="J140" s="4" t="s">
        <v>32</v>
      </c>
      <c r="K140" s="4" t="s">
        <v>33</v>
      </c>
      <c r="L140" s="4" t="s">
        <v>42</v>
      </c>
      <c r="M140" s="8" t="str">
        <f aca="false">IF(OR(H140="",I140=""),"",IF(I140&gt;0,H140/I140,""))</f>
        <v/>
      </c>
      <c r="N140" s="4" t="str">
        <f aca="false">IF(I140="",IF(K140="NULL","FCF yok (NULL)","FCF kapsamı dışı"),IF(I140&lt;=0,"anlamsız (FCF ≤ 0)",IF(OR(K140="KOŞULLU"),"FCF KOŞULLU — yorum yapılmaz","")))</f>
        <v>anlamsız (FCF ≤ 0)</v>
      </c>
      <c r="O140" s="9" t="n">
        <f aca="false">IF(Q140="","",F140*R140/Q140-1)</f>
        <v>-0.294964028776978</v>
      </c>
      <c r="P140" s="9" t="n">
        <f aca="false">IF(S140="","",F140*T140/S140-1)</f>
        <v>0.0116129032258063</v>
      </c>
      <c r="Q140" s="5" t="n">
        <v>11.12</v>
      </c>
      <c r="R140" s="10" t="n">
        <v>1</v>
      </c>
      <c r="S140" s="5" t="n">
        <v>7.75</v>
      </c>
      <c r="T140" s="10" t="n">
        <v>1</v>
      </c>
      <c r="U140" s="4"/>
    </row>
    <row r="141" customFormat="false" ht="15" hidden="false" customHeight="false" outlineLevel="0" collapsed="false">
      <c r="A141" s="4" t="s">
        <v>357</v>
      </c>
      <c r="B141" s="4" t="s">
        <v>358</v>
      </c>
      <c r="C141" s="4" t="s">
        <v>29</v>
      </c>
      <c r="D141" s="4" t="s">
        <v>30</v>
      </c>
      <c r="E141" s="4" t="s">
        <v>359</v>
      </c>
      <c r="F141" s="5" t="n">
        <v>5.46</v>
      </c>
      <c r="G141" s="4" t="s">
        <v>26</v>
      </c>
      <c r="H141" s="6" t="n">
        <v>12558</v>
      </c>
      <c r="I141" s="7" t="n">
        <v>422.846</v>
      </c>
      <c r="J141" s="4" t="s">
        <v>32</v>
      </c>
      <c r="K141" s="4" t="s">
        <v>33</v>
      </c>
      <c r="L141" s="4" t="s">
        <v>42</v>
      </c>
      <c r="M141" s="8" t="n">
        <f aca="false">IF(OR(H141="",I141=""),"",IF(I141&gt;0,H141/I141,""))</f>
        <v>29.6987555753158</v>
      </c>
      <c r="N141" s="4" t="str">
        <f aca="false">IF(I141="",IF(K141="NULL","FCF yok (NULL)","FCF kapsamı dışı"),IF(I141&lt;=0,"anlamsız (FCF ≤ 0)",IF(OR(K141="KOŞULLU"),"FCF KOŞULLU — yorum yapılmaz","")))</f>
        <v/>
      </c>
      <c r="O141" s="9" t="n">
        <f aca="false">IF(Q141="","",F141*R141/Q141-1)</f>
        <v>0.030497216950198</v>
      </c>
      <c r="P141" s="9" t="n">
        <f aca="false">IF(S141="","",F141*T141/S141-1)</f>
        <v>-0.473481195756991</v>
      </c>
      <c r="Q141" s="5" t="n">
        <v>30.18</v>
      </c>
      <c r="R141" s="10" t="n">
        <v>5.69604505632912</v>
      </c>
      <c r="S141" s="5" t="n">
        <v>10.37</v>
      </c>
      <c r="T141" s="10" t="n">
        <v>1</v>
      </c>
      <c r="U141" s="4" t="s">
        <v>360</v>
      </c>
    </row>
    <row r="142" customFormat="false" ht="15" hidden="false" customHeight="false" outlineLevel="0" collapsed="false">
      <c r="A142" s="4" t="s">
        <v>361</v>
      </c>
      <c r="B142" s="4" t="s">
        <v>362</v>
      </c>
      <c r="C142" s="4" t="s">
        <v>29</v>
      </c>
      <c r="D142" s="4" t="s">
        <v>30</v>
      </c>
      <c r="E142" s="4" t="s">
        <v>107</v>
      </c>
      <c r="F142" s="5" t="n">
        <v>19.83</v>
      </c>
      <c r="G142" s="4" t="s">
        <v>26</v>
      </c>
      <c r="H142" s="6" t="n">
        <v>872.52</v>
      </c>
      <c r="I142" s="7" t="n">
        <v>191.075</v>
      </c>
      <c r="J142" s="4" t="s">
        <v>32</v>
      </c>
      <c r="K142" s="4" t="s">
        <v>86</v>
      </c>
      <c r="L142" s="4" t="s">
        <v>42</v>
      </c>
      <c r="M142" s="8" t="n">
        <f aca="false">IF(OR(H142="",I142=""),"",IF(I142&gt;0,H142/I142,""))</f>
        <v>4.56637446029046</v>
      </c>
      <c r="N142" s="4" t="str">
        <f aca="false">IF(I142="",IF(K142="NULL","FCF yok (NULL)","FCF kapsamı dışı"),IF(I142&lt;=0,"anlamsız (FCF ≤ 0)",IF(OR(K142="KOŞULLU"),"FCF KOŞULLU — yorum yapılmaz","")))</f>
        <v/>
      </c>
      <c r="O142" s="9" t="n">
        <f aca="false">IF(Q142="","",F142*R142/Q142-1)</f>
        <v>-0.475396825396825</v>
      </c>
      <c r="P142" s="9" t="n">
        <f aca="false">IF(S142="","",F142*T142/S142-1)</f>
        <v>-0.348126232741617</v>
      </c>
      <c r="Q142" s="5" t="n">
        <v>37.8</v>
      </c>
      <c r="R142" s="10" t="n">
        <v>1</v>
      </c>
      <c r="S142" s="5" t="n">
        <v>30.42</v>
      </c>
      <c r="T142" s="10" t="n">
        <v>1</v>
      </c>
      <c r="U142" s="4"/>
    </row>
    <row r="143" customFormat="false" ht="15" hidden="false" customHeight="false" outlineLevel="0" collapsed="false">
      <c r="A143" s="4" t="s">
        <v>363</v>
      </c>
      <c r="B143" s="4" t="s">
        <v>364</v>
      </c>
      <c r="C143" s="4" t="s">
        <v>29</v>
      </c>
      <c r="D143" s="4" t="s">
        <v>30</v>
      </c>
      <c r="E143" s="4" t="s">
        <v>263</v>
      </c>
      <c r="F143" s="5" t="n">
        <v>20.54</v>
      </c>
      <c r="G143" s="4" t="s">
        <v>26</v>
      </c>
      <c r="H143" s="6" t="n">
        <v>3450.72</v>
      </c>
      <c r="I143" s="7" t="n">
        <v>-281.663</v>
      </c>
      <c r="J143" s="4" t="s">
        <v>32</v>
      </c>
      <c r="K143" s="4" t="s">
        <v>33</v>
      </c>
      <c r="L143" s="4" t="s">
        <v>42</v>
      </c>
      <c r="M143" s="8" t="str">
        <f aca="false">IF(OR(H143="",I143=""),"",IF(I143&gt;0,H143/I143,""))</f>
        <v/>
      </c>
      <c r="N143" s="4" t="str">
        <f aca="false">IF(I143="",IF(K143="NULL","FCF yok (NULL)","FCF kapsamı dışı"),IF(I143&lt;=0,"anlamsız (FCF ≤ 0)",IF(OR(K143="KOŞULLU"),"FCF KOŞULLU — yorum yapılmaz","")))</f>
        <v>anlamsız (FCF ≤ 0)</v>
      </c>
      <c r="O143" s="9" t="n">
        <f aca="false">IF(Q143="","",F143*R143/Q143-1)</f>
        <v>-0.460042060988433</v>
      </c>
      <c r="P143" s="9" t="n">
        <f aca="false">IF(S143="","",F143*T143/S143-1)</f>
        <v>-0.114655172413793</v>
      </c>
      <c r="Q143" s="5" t="n">
        <v>38.04</v>
      </c>
      <c r="R143" s="10" t="n">
        <v>1</v>
      </c>
      <c r="S143" s="5" t="n">
        <v>23.2</v>
      </c>
      <c r="T143" s="10" t="n">
        <v>1</v>
      </c>
      <c r="U143" s="4"/>
    </row>
    <row r="144" customFormat="false" ht="15" hidden="false" customHeight="false" outlineLevel="0" collapsed="false">
      <c r="A144" s="4" t="s">
        <v>365</v>
      </c>
      <c r="B144" s="4" t="s">
        <v>366</v>
      </c>
      <c r="C144" s="4" t="s">
        <v>29</v>
      </c>
      <c r="D144" s="4" t="s">
        <v>30</v>
      </c>
      <c r="E144" s="4" t="s">
        <v>56</v>
      </c>
      <c r="F144" s="5" t="n">
        <v>41.84</v>
      </c>
      <c r="G144" s="4" t="s">
        <v>26</v>
      </c>
      <c r="H144" s="6" t="n">
        <v>39563.53137296</v>
      </c>
      <c r="I144" s="7" t="n">
        <v>380.120000000003</v>
      </c>
      <c r="J144" s="4" t="s">
        <v>32</v>
      </c>
      <c r="K144" s="4" t="s">
        <v>33</v>
      </c>
      <c r="L144" s="4" t="s">
        <v>42</v>
      </c>
      <c r="M144" s="8" t="n">
        <f aca="false">IF(OR(H144="",I144=""),"",IF(I144&gt;0,H144/I144,""))</f>
        <v>104.081688343049</v>
      </c>
      <c r="N144" s="4" t="str">
        <f aca="false">IF(I144="",IF(K144="NULL","FCF yok (NULL)","FCF kapsamı dışı"),IF(I144&lt;=0,"anlamsız (FCF ≤ 0)",IF(OR(K144="KOŞULLU"),"FCF KOŞULLU — yorum yapılmaz","")))</f>
        <v/>
      </c>
      <c r="O144" s="9" t="n">
        <f aca="false">IF(Q144="","",F144*R144/Q144-1)</f>
        <v>-0.0646011179217025</v>
      </c>
      <c r="P144" s="9" t="n">
        <f aca="false">IF(S144="","",F144*T144/S144-1)</f>
        <v>0.00287631831255997</v>
      </c>
      <c r="Q144" s="5" t="n">
        <v>44.7295809324025</v>
      </c>
      <c r="R144" s="10" t="n">
        <v>1</v>
      </c>
      <c r="S144" s="5" t="n">
        <v>41.72</v>
      </c>
      <c r="T144" s="10" t="n">
        <v>1</v>
      </c>
      <c r="U144" s="4"/>
    </row>
    <row r="145" customFormat="false" ht="15" hidden="false" customHeight="false" outlineLevel="0" collapsed="false">
      <c r="A145" s="4" t="s">
        <v>367</v>
      </c>
      <c r="B145" s="4" t="s">
        <v>368</v>
      </c>
      <c r="C145" s="4" t="s">
        <v>29</v>
      </c>
      <c r="D145" s="4" t="s">
        <v>30</v>
      </c>
      <c r="E145" s="4" t="s">
        <v>53</v>
      </c>
      <c r="F145" s="5" t="n">
        <v>117.9</v>
      </c>
      <c r="G145" s="4" t="s">
        <v>26</v>
      </c>
      <c r="H145" s="6" t="n">
        <v>21222</v>
      </c>
      <c r="I145" s="7"/>
      <c r="J145" s="4" t="s">
        <v>32</v>
      </c>
      <c r="K145" s="4" t="s">
        <v>116</v>
      </c>
      <c r="L145" s="4" t="s">
        <v>42</v>
      </c>
      <c r="M145" s="8" t="str">
        <f aca="false">IF(OR(H145="",I145=""),"",IF(I145&gt;0,H145/I145,""))</f>
        <v/>
      </c>
      <c r="N145" s="4" t="str">
        <f aca="false">IF(I145="",IF(K145="NULL","FCF yok (NULL)","FCF kapsamı dışı"),IF(I145&lt;=0,"anlamsız (FCF ≤ 0)",IF(OR(K145="KOŞULLU"),"FCF KOŞULLU — yorum yapılmaz","")))</f>
        <v>FCF yok (NULL)</v>
      </c>
      <c r="O145" s="9" t="str">
        <f aca="false">IF(Q145="","",F145*R145/Q145-1)</f>
        <v/>
      </c>
      <c r="P145" s="9" t="n">
        <f aca="false">IF(S145="","",F145*T145/S145-1)</f>
        <v>0.129310344827586</v>
      </c>
      <c r="Q145" s="5"/>
      <c r="R145" s="10" t="n">
        <v>1</v>
      </c>
      <c r="S145" s="5" t="n">
        <v>104.4</v>
      </c>
      <c r="T145" s="10" t="n">
        <v>1</v>
      </c>
      <c r="U145" s="4"/>
    </row>
    <row r="146" customFormat="false" ht="15" hidden="false" customHeight="false" outlineLevel="0" collapsed="false">
      <c r="A146" s="4" t="s">
        <v>369</v>
      </c>
      <c r="B146" s="4" t="s">
        <v>370</v>
      </c>
      <c r="C146" s="4" t="s">
        <v>29</v>
      </c>
      <c r="D146" s="4" t="s">
        <v>30</v>
      </c>
      <c r="E146" s="4" t="s">
        <v>276</v>
      </c>
      <c r="F146" s="5" t="n">
        <v>1354</v>
      </c>
      <c r="G146" s="4" t="s">
        <v>46</v>
      </c>
      <c r="H146" s="6" t="n">
        <v>32902.2</v>
      </c>
      <c r="I146" s="7" t="n">
        <v>2326.963</v>
      </c>
      <c r="J146" s="4" t="s">
        <v>32</v>
      </c>
      <c r="K146" s="4" t="s">
        <v>33</v>
      </c>
      <c r="L146" s="4" t="s">
        <v>42</v>
      </c>
      <c r="M146" s="8" t="n">
        <f aca="false">IF(OR(H146="",I146=""),"",IF(I146&gt;0,H146/I146,""))</f>
        <v>14.1395458372136</v>
      </c>
      <c r="N146" s="4" t="str">
        <f aca="false">IF(I146="",IF(K146="NULL","FCF yok (NULL)","FCF kapsamı dışı"),IF(I146&lt;=0,"anlamsız (FCF ≤ 0)",IF(OR(K146="KOŞULLU"),"FCF KOŞULLU — yorum yapılmaz","")))</f>
        <v/>
      </c>
      <c r="O146" s="9" t="n">
        <f aca="false">IF(Q146="","",F146*R146/Q146-1)</f>
        <v>-0.126451612903226</v>
      </c>
      <c r="P146" s="9" t="n">
        <f aca="false">IF(S146="","",F146*T146/S146-1)</f>
        <v>-0.0451339915373766</v>
      </c>
      <c r="Q146" s="5" t="n">
        <v>1550</v>
      </c>
      <c r="R146" s="10" t="n">
        <v>1</v>
      </c>
      <c r="S146" s="5" t="n">
        <v>1418</v>
      </c>
      <c r="T146" s="10" t="n">
        <v>1</v>
      </c>
      <c r="U146" s="4"/>
    </row>
    <row r="147" customFormat="false" ht="15" hidden="false" customHeight="false" outlineLevel="0" collapsed="false">
      <c r="A147" s="4" t="s">
        <v>371</v>
      </c>
      <c r="B147" s="4" t="s">
        <v>372</v>
      </c>
      <c r="C147" s="4" t="s">
        <v>29</v>
      </c>
      <c r="D147" s="4" t="s">
        <v>30</v>
      </c>
      <c r="E147" s="4" t="s">
        <v>56</v>
      </c>
      <c r="F147" s="5" t="n">
        <v>1268</v>
      </c>
      <c r="G147" s="4" t="s">
        <v>144</v>
      </c>
      <c r="H147" s="6" t="n">
        <v>2244.36</v>
      </c>
      <c r="I147" s="7" t="n">
        <v>263.142</v>
      </c>
      <c r="J147" s="4" t="s">
        <v>32</v>
      </c>
      <c r="K147" s="4" t="s">
        <v>33</v>
      </c>
      <c r="L147" s="4" t="s">
        <v>42</v>
      </c>
      <c r="M147" s="8" t="n">
        <f aca="false">IF(OR(H147="",I147=""),"",IF(I147&gt;0,H147/I147,""))</f>
        <v>8.52908315662266</v>
      </c>
      <c r="N147" s="4" t="str">
        <f aca="false">IF(I147="",IF(K147="NULL","FCF yok (NULL)","FCF kapsamı dışı"),IF(I147&lt;=0,"anlamsız (FCF ≤ 0)",IF(OR(K147="KOŞULLU"),"FCF KOŞULLU — yorum yapılmaz","")))</f>
        <v/>
      </c>
      <c r="O147" s="9" t="n">
        <f aca="false">IF(Q147="","",F147*R147/Q147-1)</f>
        <v>-0.460884353741497</v>
      </c>
      <c r="P147" s="9" t="n">
        <f aca="false">IF(S147="","",F147*T147/S147-1)</f>
        <v>-0.0942857142857143</v>
      </c>
      <c r="Q147" s="5" t="n">
        <v>2352</v>
      </c>
      <c r="R147" s="10" t="n">
        <v>1</v>
      </c>
      <c r="S147" s="5" t="n">
        <v>1400</v>
      </c>
      <c r="T147" s="10" t="n">
        <v>1</v>
      </c>
      <c r="U147" s="4"/>
    </row>
    <row r="148" customFormat="false" ht="15" hidden="false" customHeight="false" outlineLevel="0" collapsed="false">
      <c r="A148" s="4" t="s">
        <v>373</v>
      </c>
      <c r="B148" s="4" t="s">
        <v>374</v>
      </c>
      <c r="C148" s="4" t="s">
        <v>29</v>
      </c>
      <c r="D148" s="4" t="s">
        <v>30</v>
      </c>
      <c r="E148" s="4" t="s">
        <v>56</v>
      </c>
      <c r="F148" s="5" t="n">
        <v>236.2</v>
      </c>
      <c r="G148" s="4" t="s">
        <v>141</v>
      </c>
      <c r="H148" s="6" t="n">
        <v>20575.9637606</v>
      </c>
      <c r="I148" s="7" t="n">
        <v>160.115</v>
      </c>
      <c r="J148" s="4" t="s">
        <v>32</v>
      </c>
      <c r="K148" s="4" t="s">
        <v>33</v>
      </c>
      <c r="L148" s="4" t="s">
        <v>42</v>
      </c>
      <c r="M148" s="8" t="n">
        <f aca="false">IF(OR(H148="",I148=""),"",IF(I148&gt;0,H148/I148,""))</f>
        <v>128.507408803672</v>
      </c>
      <c r="N148" s="4" t="str">
        <f aca="false">IF(I148="",IF(K148="NULL","FCF yok (NULL)","FCF kapsamı dışı"),IF(I148&lt;=0,"anlamsız (FCF ≤ 0)",IF(OR(K148="KOŞULLU"),"FCF KOŞULLU — yorum yapılmaz","")))</f>
        <v/>
      </c>
      <c r="O148" s="9" t="n">
        <f aca="false">IF(Q148="","",F148*R148/Q148-1)</f>
        <v>-0.361621621621622</v>
      </c>
      <c r="P148" s="9" t="n">
        <f aca="false">IF(S148="","",F148*T148/S148-1)</f>
        <v>0.118900994789199</v>
      </c>
      <c r="Q148" s="5" t="n">
        <v>370</v>
      </c>
      <c r="R148" s="10" t="n">
        <v>1</v>
      </c>
      <c r="S148" s="5" t="n">
        <v>211.1</v>
      </c>
      <c r="T148" s="10" t="n">
        <v>1</v>
      </c>
      <c r="U148" s="4"/>
    </row>
    <row r="149" customFormat="false" ht="15" hidden="false" customHeight="false" outlineLevel="0" collapsed="false">
      <c r="A149" s="4" t="s">
        <v>375</v>
      </c>
      <c r="B149" s="4" t="s">
        <v>376</v>
      </c>
      <c r="C149" s="4" t="s">
        <v>29</v>
      </c>
      <c r="D149" s="4" t="s">
        <v>30</v>
      </c>
      <c r="E149" s="4" t="s">
        <v>31</v>
      </c>
      <c r="F149" s="5" t="n">
        <v>1.69</v>
      </c>
      <c r="G149" s="4" t="s">
        <v>26</v>
      </c>
      <c r="H149" s="6" t="n">
        <v>1302.99</v>
      </c>
      <c r="I149" s="7" t="n">
        <v>-3053.454</v>
      </c>
      <c r="J149" s="4" t="s">
        <v>32</v>
      </c>
      <c r="K149" s="4" t="s">
        <v>33</v>
      </c>
      <c r="L149" s="4" t="s">
        <v>42</v>
      </c>
      <c r="M149" s="8" t="str">
        <f aca="false">IF(OR(H149="",I149=""),"",IF(I149&gt;0,H149/I149,""))</f>
        <v/>
      </c>
      <c r="N149" s="4" t="str">
        <f aca="false">IF(I149="",IF(K149="NULL","FCF yok (NULL)","FCF kapsamı dışı"),IF(I149&lt;=0,"anlamsız (FCF ≤ 0)",IF(OR(K149="KOŞULLU"),"FCF KOŞULLU — yorum yapılmaz","")))</f>
        <v>anlamsız (FCF ≤ 0)</v>
      </c>
      <c r="O149" s="9" t="n">
        <f aca="false">IF(Q149="","",F149*R149/Q149-1)</f>
        <v>-0.487878787878788</v>
      </c>
      <c r="P149" s="9" t="n">
        <f aca="false">IF(S149="","",F149*T149/S149-1)</f>
        <v>-0.0765027322404372</v>
      </c>
      <c r="Q149" s="5" t="n">
        <v>3.3</v>
      </c>
      <c r="R149" s="10" t="n">
        <v>1</v>
      </c>
      <c r="S149" s="5" t="n">
        <v>1.83</v>
      </c>
      <c r="T149" s="10" t="n">
        <v>1</v>
      </c>
      <c r="U149" s="4"/>
    </row>
    <row r="150" customFormat="false" ht="15" hidden="false" customHeight="false" outlineLevel="0" collapsed="false">
      <c r="A150" s="4" t="s">
        <v>377</v>
      </c>
      <c r="B150" s="4" t="s">
        <v>378</v>
      </c>
      <c r="C150" s="4" t="s">
        <v>29</v>
      </c>
      <c r="D150" s="4" t="s">
        <v>63</v>
      </c>
      <c r="E150" s="4" t="s">
        <v>63</v>
      </c>
      <c r="F150" s="5" t="n">
        <v>98</v>
      </c>
      <c r="G150" s="4" t="s">
        <v>26</v>
      </c>
      <c r="H150" s="6" t="n">
        <v>677.918724</v>
      </c>
      <c r="I150" s="7" t="n">
        <v>-80.372</v>
      </c>
      <c r="J150" s="4" t="s">
        <v>32</v>
      </c>
      <c r="K150" s="4" t="s">
        <v>33</v>
      </c>
      <c r="L150" s="4" t="s">
        <v>42</v>
      </c>
      <c r="M150" s="8" t="str">
        <f aca="false">IF(OR(H150="",I150=""),"",IF(I150&gt;0,H150/I150,""))</f>
        <v/>
      </c>
      <c r="N150" s="4" t="str">
        <f aca="false">IF(I150="",IF(K150="NULL","FCF yok (NULL)","FCF kapsamı dışı"),IF(I150&lt;=0,"anlamsız (FCF ≤ 0)",IF(OR(K150="KOŞULLU"),"FCF KOŞULLU — yorum yapılmaz","")))</f>
        <v>anlamsız (FCF ≤ 0)</v>
      </c>
      <c r="O150" s="9" t="n">
        <f aca="false">IF(Q150="","",F150*R150/Q150-1)</f>
        <v>-0.449438202247191</v>
      </c>
      <c r="P150" s="9" t="n">
        <f aca="false">IF(S150="","",F150*T150/S150-1)</f>
        <v>0.0503751339764202</v>
      </c>
      <c r="Q150" s="5" t="n">
        <v>178</v>
      </c>
      <c r="R150" s="10" t="n">
        <v>1</v>
      </c>
      <c r="S150" s="5" t="n">
        <v>93.3</v>
      </c>
      <c r="T150" s="10" t="n">
        <v>1</v>
      </c>
      <c r="U150" s="4"/>
    </row>
    <row r="151" customFormat="false" ht="15" hidden="false" customHeight="false" outlineLevel="0" collapsed="false">
      <c r="A151" s="4" t="s">
        <v>379</v>
      </c>
      <c r="B151" s="4" t="s">
        <v>380</v>
      </c>
      <c r="C151" s="4" t="s">
        <v>60</v>
      </c>
      <c r="D151" s="4"/>
      <c r="E151" s="4"/>
      <c r="F151" s="5" t="n">
        <v>10.65</v>
      </c>
      <c r="G151" s="4" t="s">
        <v>26</v>
      </c>
      <c r="H151" s="6" t="n">
        <v>3195</v>
      </c>
      <c r="I151" s="7"/>
      <c r="J151" s="4"/>
      <c r="K151" s="4"/>
      <c r="L151" s="4"/>
      <c r="M151" s="8" t="str">
        <f aca="false">IF(OR(H151="",I151=""),"",IF(I151&gt;0,H151/I151,""))</f>
        <v/>
      </c>
      <c r="N151" s="4" t="str">
        <f aca="false">IF(I151="",IF(K151="NULL","FCF yok (NULL)","FCF kapsamı dışı"),IF(I151&lt;=0,"anlamsız (FCF ≤ 0)",IF(OR(K151="KOŞULLU"),"FCF KOŞULLU — yorum yapılmaz","")))</f>
        <v>FCF kapsamı dışı</v>
      </c>
      <c r="O151" s="9" t="n">
        <f aca="false">IF(Q151="","",F151*R151/Q151-1)</f>
        <v>0.153429602888087</v>
      </c>
      <c r="P151" s="9" t="n">
        <f aca="false">IF(S151="","",F151*T151/S151-1)</f>
        <v>-0.297493403693931</v>
      </c>
      <c r="Q151" s="5" t="n">
        <v>9.23333333333333</v>
      </c>
      <c r="R151" s="10" t="n">
        <v>1</v>
      </c>
      <c r="S151" s="5" t="n">
        <v>15.16</v>
      </c>
      <c r="T151" s="10" t="n">
        <v>1</v>
      </c>
      <c r="U151" s="4"/>
    </row>
    <row r="152" customFormat="false" ht="15" hidden="false" customHeight="false" outlineLevel="0" collapsed="false">
      <c r="A152" s="4" t="s">
        <v>381</v>
      </c>
      <c r="B152" s="4" t="s">
        <v>382</v>
      </c>
      <c r="C152" s="4" t="s">
        <v>29</v>
      </c>
      <c r="D152" s="4" t="s">
        <v>30</v>
      </c>
      <c r="E152" s="4" t="s">
        <v>272</v>
      </c>
      <c r="F152" s="5" t="n">
        <v>222.4</v>
      </c>
      <c r="G152" s="4" t="s">
        <v>26</v>
      </c>
      <c r="H152" s="6" t="n">
        <v>28416.885336</v>
      </c>
      <c r="I152" s="7" t="n">
        <v>-1173.759</v>
      </c>
      <c r="J152" s="4" t="s">
        <v>32</v>
      </c>
      <c r="K152" s="4" t="s">
        <v>33</v>
      </c>
      <c r="L152" s="4" t="s">
        <v>42</v>
      </c>
      <c r="M152" s="8" t="str">
        <f aca="false">IF(OR(H152="",I152=""),"",IF(I152&gt;0,H152/I152,""))</f>
        <v/>
      </c>
      <c r="N152" s="4" t="str">
        <f aca="false">IF(I152="",IF(K152="NULL","FCF yok (NULL)","FCF kapsamı dışı"),IF(I152&lt;=0,"anlamsız (FCF ≤ 0)",IF(OR(K152="KOŞULLU"),"FCF KOŞULLU — yorum yapılmaz","")))</f>
        <v>anlamsız (FCF ≤ 0)</v>
      </c>
      <c r="O152" s="9" t="n">
        <f aca="false">IF(Q152="","",F152*R152/Q152-1)</f>
        <v>1.65235539654144</v>
      </c>
      <c r="P152" s="9" t="n">
        <f aca="false">IF(S152="","",F152*T152/S152-1)</f>
        <v>-0.101050929668553</v>
      </c>
      <c r="Q152" s="5" t="n">
        <v>83.85</v>
      </c>
      <c r="R152" s="10" t="n">
        <v>1</v>
      </c>
      <c r="S152" s="5" t="n">
        <v>247.4</v>
      </c>
      <c r="T152" s="10" t="n">
        <v>1</v>
      </c>
      <c r="U152" s="4"/>
    </row>
    <row r="153" customFormat="false" ht="15" hidden="false" customHeight="false" outlineLevel="0" collapsed="false">
      <c r="A153" s="4" t="s">
        <v>383</v>
      </c>
      <c r="B153" s="4" t="s">
        <v>384</v>
      </c>
      <c r="C153" s="4" t="s">
        <v>29</v>
      </c>
      <c r="D153" s="4" t="s">
        <v>30</v>
      </c>
      <c r="E153" s="4" t="s">
        <v>295</v>
      </c>
      <c r="F153" s="5" t="n">
        <v>19.44</v>
      </c>
      <c r="G153" s="4" t="s">
        <v>26</v>
      </c>
      <c r="H153" s="6" t="n">
        <v>1385.1</v>
      </c>
      <c r="I153" s="7" t="n">
        <v>-133.737</v>
      </c>
      <c r="J153" s="4" t="s">
        <v>32</v>
      </c>
      <c r="K153" s="4" t="s">
        <v>86</v>
      </c>
      <c r="L153" s="4" t="s">
        <v>42</v>
      </c>
      <c r="M153" s="8" t="str">
        <f aca="false">IF(OR(H153="",I153=""),"",IF(I153&gt;0,H153/I153,""))</f>
        <v/>
      </c>
      <c r="N153" s="4" t="str">
        <f aca="false">IF(I153="",IF(K153="NULL","FCF yok (NULL)","FCF kapsamı dışı"),IF(I153&lt;=0,"anlamsız (FCF ≤ 0)",IF(OR(K153="KOŞULLU"),"FCF KOŞULLU — yorum yapılmaz","")))</f>
        <v>anlamsız (FCF ≤ 0)</v>
      </c>
      <c r="O153" s="9" t="n">
        <f aca="false">IF(Q153="","",F153*R153/Q153-1)</f>
        <v>-0.379310344827586</v>
      </c>
      <c r="P153" s="9" t="n">
        <f aca="false">IF(S153="","",F153*T153/S153-1)</f>
        <v>-0.00511770726714422</v>
      </c>
      <c r="Q153" s="5" t="n">
        <v>31.32</v>
      </c>
      <c r="R153" s="10" t="n">
        <v>1</v>
      </c>
      <c r="S153" s="5" t="n">
        <v>19.54</v>
      </c>
      <c r="T153" s="10" t="n">
        <v>1</v>
      </c>
      <c r="U153" s="4"/>
    </row>
    <row r="154" customFormat="false" ht="15" hidden="false" customHeight="false" outlineLevel="0" collapsed="false">
      <c r="A154" s="4" t="s">
        <v>385</v>
      </c>
      <c r="B154" s="4" t="s">
        <v>386</v>
      </c>
      <c r="C154" s="4" t="s">
        <v>29</v>
      </c>
      <c r="D154" s="4" t="s">
        <v>30</v>
      </c>
      <c r="E154" s="4" t="s">
        <v>387</v>
      </c>
      <c r="F154" s="5" t="n">
        <v>12.45</v>
      </c>
      <c r="G154" s="4" t="s">
        <v>26</v>
      </c>
      <c r="H154" s="6" t="n">
        <v>47061</v>
      </c>
      <c r="I154" s="7" t="n">
        <v>-3067.696</v>
      </c>
      <c r="J154" s="4" t="s">
        <v>32</v>
      </c>
      <c r="K154" s="4" t="s">
        <v>33</v>
      </c>
      <c r="L154" s="4" t="s">
        <v>42</v>
      </c>
      <c r="M154" s="8" t="str">
        <f aca="false">IF(OR(H154="",I154=""),"",IF(I154&gt;0,H154/I154,""))</f>
        <v/>
      </c>
      <c r="N154" s="4" t="str">
        <f aca="false">IF(I154="",IF(K154="NULL","FCF yok (NULL)","FCF kapsamı dışı"),IF(I154&lt;=0,"anlamsız (FCF ≤ 0)",IF(OR(K154="KOŞULLU"),"FCF KOŞULLU — yorum yapılmaz","")))</f>
        <v>anlamsız (FCF ≤ 0)</v>
      </c>
      <c r="O154" s="9" t="n">
        <f aca="false">IF(Q154="","",F154*R154/Q154-1)</f>
        <v>0.985190505844871</v>
      </c>
      <c r="P154" s="9" t="n">
        <f aca="false">IF(S154="","",F154*T154/S154-1)</f>
        <v>-0.0639097744360904</v>
      </c>
      <c r="Q154" s="5" t="n">
        <v>16.14</v>
      </c>
      <c r="R154" s="10" t="n">
        <v>2.57357227022781</v>
      </c>
      <c r="S154" s="5" t="n">
        <v>13.3</v>
      </c>
      <c r="T154" s="10" t="n">
        <v>1</v>
      </c>
      <c r="U154" s="4" t="s">
        <v>388</v>
      </c>
    </row>
    <row r="155" customFormat="false" ht="15" hidden="false" customHeight="false" outlineLevel="0" collapsed="false">
      <c r="A155" s="4" t="s">
        <v>389</v>
      </c>
      <c r="B155" s="4" t="s">
        <v>390</v>
      </c>
      <c r="C155" s="4" t="s">
        <v>29</v>
      </c>
      <c r="D155" s="4" t="s">
        <v>30</v>
      </c>
      <c r="E155" s="4" t="s">
        <v>126</v>
      </c>
      <c r="F155" s="5" t="n">
        <v>18.61</v>
      </c>
      <c r="G155" s="4" t="s">
        <v>76</v>
      </c>
      <c r="H155" s="6" t="n">
        <v>20066.97706749</v>
      </c>
      <c r="I155" s="7" t="n">
        <v>-3489.675</v>
      </c>
      <c r="J155" s="4" t="s">
        <v>32</v>
      </c>
      <c r="K155" s="4" t="s">
        <v>33</v>
      </c>
      <c r="L155" s="4" t="s">
        <v>42</v>
      </c>
      <c r="M155" s="8" t="str">
        <f aca="false">IF(OR(H155="",I155=""),"",IF(I155&gt;0,H155/I155,""))</f>
        <v/>
      </c>
      <c r="N155" s="4" t="str">
        <f aca="false">IF(I155="",IF(K155="NULL","FCF yok (NULL)","FCF kapsamı dışı"),IF(I155&lt;=0,"anlamsız (FCF ≤ 0)",IF(OR(K155="KOŞULLU"),"FCF KOŞULLU — yorum yapılmaz","")))</f>
        <v>anlamsız (FCF ≤ 0)</v>
      </c>
      <c r="O155" s="9" t="n">
        <f aca="false">IF(Q155="","",F155*R155/Q155-1)</f>
        <v>-0.202997858672377</v>
      </c>
      <c r="P155" s="9" t="n">
        <f aca="false">IF(S155="","",F155*T155/S155-1)</f>
        <v>-0.204700854700855</v>
      </c>
      <c r="Q155" s="5" t="n">
        <v>23.35</v>
      </c>
      <c r="R155" s="10" t="n">
        <v>1</v>
      </c>
      <c r="S155" s="5" t="n">
        <v>23.4</v>
      </c>
      <c r="T155" s="10" t="n">
        <v>1</v>
      </c>
      <c r="U155" s="4"/>
    </row>
    <row r="156" customFormat="false" ht="15" hidden="false" customHeight="false" outlineLevel="0" collapsed="false">
      <c r="A156" s="4" t="s">
        <v>391</v>
      </c>
      <c r="B156" s="4" t="s">
        <v>392</v>
      </c>
      <c r="C156" s="4" t="s">
        <v>29</v>
      </c>
      <c r="D156" s="4" t="s">
        <v>30</v>
      </c>
      <c r="E156" s="4" t="s">
        <v>171</v>
      </c>
      <c r="F156" s="5" t="n">
        <v>5.61</v>
      </c>
      <c r="G156" s="4" t="s">
        <v>46</v>
      </c>
      <c r="H156" s="6" t="n">
        <v>2244</v>
      </c>
      <c r="I156" s="7" t="n">
        <v>86.0149999999999</v>
      </c>
      <c r="J156" s="4" t="s">
        <v>32</v>
      </c>
      <c r="K156" s="4" t="s">
        <v>33</v>
      </c>
      <c r="L156" s="4" t="s">
        <v>42</v>
      </c>
      <c r="M156" s="8" t="n">
        <f aca="false">IF(OR(H156="",I156=""),"",IF(I156&gt;0,H156/I156,""))</f>
        <v>26.0884729407662</v>
      </c>
      <c r="N156" s="4" t="str">
        <f aca="false">IF(I156="",IF(K156="NULL","FCF yok (NULL)","FCF kapsamı dışı"),IF(I156&lt;=0,"anlamsız (FCF ≤ 0)",IF(OR(K156="KOŞULLU"),"FCF KOŞULLU — yorum yapılmaz","")))</f>
        <v/>
      </c>
      <c r="O156" s="9" t="n">
        <f aca="false">IF(Q156="","",F156*R156/Q156-1)</f>
        <v>-0.300498753117207</v>
      </c>
      <c r="P156" s="9" t="n">
        <f aca="false">IF(S156="","",F156*T156/S156-1)</f>
        <v>-0.0742574257425741</v>
      </c>
      <c r="Q156" s="5" t="n">
        <v>8.02</v>
      </c>
      <c r="R156" s="10" t="n">
        <v>1</v>
      </c>
      <c r="S156" s="5" t="n">
        <v>6.06</v>
      </c>
      <c r="T156" s="10" t="n">
        <v>1</v>
      </c>
      <c r="U156" s="4"/>
    </row>
    <row r="157" customFormat="false" ht="15" hidden="false" customHeight="false" outlineLevel="0" collapsed="false">
      <c r="A157" s="4" t="s">
        <v>393</v>
      </c>
      <c r="B157" s="4" t="s">
        <v>394</v>
      </c>
      <c r="C157" s="4" t="s">
        <v>29</v>
      </c>
      <c r="D157" s="4"/>
      <c r="E157" s="4"/>
      <c r="F157" s="5" t="n">
        <v>3.18</v>
      </c>
      <c r="G157" s="4" t="s">
        <v>26</v>
      </c>
      <c r="H157" s="6" t="n">
        <v>8427</v>
      </c>
      <c r="I157" s="7"/>
      <c r="J157" s="4"/>
      <c r="K157" s="4"/>
      <c r="L157" s="4"/>
      <c r="M157" s="8" t="str">
        <f aca="false">IF(OR(H157="",I157=""),"",IF(I157&gt;0,H157/I157,""))</f>
        <v/>
      </c>
      <c r="N157" s="4" t="str">
        <f aca="false">IF(I157="",IF(K157="NULL","FCF yok (NULL)","FCF kapsamı dışı"),IF(I157&lt;=0,"anlamsız (FCF ≤ 0)",IF(OR(K157="KOŞULLU"),"FCF KOŞULLU — yorum yapılmaz","")))</f>
        <v>FCF kapsamı dışı</v>
      </c>
      <c r="O157" s="9" t="n">
        <f aca="false">IF(Q157="","",F157*R157/Q157-1)</f>
        <v>-0.775265017667845</v>
      </c>
      <c r="P157" s="9" t="n">
        <f aca="false">IF(S157="","",F157*T157/S157-1)</f>
        <v>-0.383720930232558</v>
      </c>
      <c r="Q157" s="5" t="n">
        <v>14.15</v>
      </c>
      <c r="R157" s="10" t="n">
        <v>1</v>
      </c>
      <c r="S157" s="5" t="n">
        <v>5.16</v>
      </c>
      <c r="T157" s="10" t="n">
        <v>1</v>
      </c>
      <c r="U157" s="4"/>
    </row>
    <row r="158" customFormat="false" ht="15" hidden="false" customHeight="false" outlineLevel="0" collapsed="false">
      <c r="A158" s="4" t="s">
        <v>395</v>
      </c>
      <c r="B158" s="4" t="s">
        <v>396</v>
      </c>
      <c r="C158" s="4" t="s">
        <v>29</v>
      </c>
      <c r="D158" s="4" t="s">
        <v>30</v>
      </c>
      <c r="E158" s="4" t="s">
        <v>53</v>
      </c>
      <c r="F158" s="5" t="n">
        <v>1.15</v>
      </c>
      <c r="G158" s="4" t="s">
        <v>26</v>
      </c>
      <c r="H158" s="6" t="n">
        <v>2696.0567018</v>
      </c>
      <c r="I158" s="7" t="n">
        <v>-2505.721</v>
      </c>
      <c r="J158" s="4" t="s">
        <v>32</v>
      </c>
      <c r="K158" s="4" t="s">
        <v>33</v>
      </c>
      <c r="L158" s="4" t="s">
        <v>42</v>
      </c>
      <c r="M158" s="8" t="str">
        <f aca="false">IF(OR(H158="",I158=""),"",IF(I158&gt;0,H158/I158,""))</f>
        <v/>
      </c>
      <c r="N158" s="4" t="str">
        <f aca="false">IF(I158="",IF(K158="NULL","FCF yok (NULL)","FCF kapsamı dışı"),IF(I158&lt;=0,"anlamsız (FCF ≤ 0)",IF(OR(K158="KOŞULLU"),"FCF KOŞULLU — yorum yapılmaz","")))</f>
        <v>anlamsız (FCF ≤ 0)</v>
      </c>
      <c r="O158" s="9" t="n">
        <f aca="false">IF(Q158="","",F158*R158/Q158-1)</f>
        <v>-0.564393939393939</v>
      </c>
      <c r="P158" s="9" t="n">
        <f aca="false">IF(S158="","",F158*T158/S158-1)</f>
        <v>-0.1015625</v>
      </c>
      <c r="Q158" s="5" t="n">
        <v>2.64</v>
      </c>
      <c r="R158" s="10" t="n">
        <v>1</v>
      </c>
      <c r="S158" s="5" t="n">
        <v>1.28</v>
      </c>
      <c r="T158" s="10" t="n">
        <v>1</v>
      </c>
      <c r="U158" s="4"/>
    </row>
    <row r="159" customFormat="false" ht="15" hidden="false" customHeight="false" outlineLevel="0" collapsed="false">
      <c r="A159" s="4" t="s">
        <v>397</v>
      </c>
      <c r="B159" s="4" t="s">
        <v>398</v>
      </c>
      <c r="C159" s="4" t="s">
        <v>29</v>
      </c>
      <c r="D159" s="4" t="s">
        <v>30</v>
      </c>
      <c r="E159" s="4" t="s">
        <v>359</v>
      </c>
      <c r="F159" s="5" t="n">
        <v>3.5</v>
      </c>
      <c r="G159" s="4" t="s">
        <v>64</v>
      </c>
      <c r="H159" s="6" t="n">
        <v>1365</v>
      </c>
      <c r="I159" s="7" t="n">
        <v>15.9370000000001</v>
      </c>
      <c r="J159" s="4" t="s">
        <v>32</v>
      </c>
      <c r="K159" s="4" t="s">
        <v>86</v>
      </c>
      <c r="L159" s="4" t="s">
        <v>42</v>
      </c>
      <c r="M159" s="8" t="n">
        <f aca="false">IF(OR(H159="",I159=""),"",IF(I159&gt;0,H159/I159,""))</f>
        <v>85.6497458743798</v>
      </c>
      <c r="N159" s="4" t="str">
        <f aca="false">IF(I159="",IF(K159="NULL","FCF yok (NULL)","FCF kapsamı dışı"),IF(I159&lt;=0,"anlamsız (FCF ≤ 0)",IF(OR(K159="KOŞULLU"),"FCF KOŞULLU — yorum yapılmaz","")))</f>
        <v/>
      </c>
      <c r="O159" s="9" t="n">
        <f aca="false">IF(Q159="","",F159*R159/Q159-1)</f>
        <v>-0.690265486725664</v>
      </c>
      <c r="P159" s="9" t="n">
        <f aca="false">IF(S159="","",F159*T159/S159-1)</f>
        <v>-0.125</v>
      </c>
      <c r="Q159" s="5" t="n">
        <v>11.3</v>
      </c>
      <c r="R159" s="10" t="n">
        <v>1</v>
      </c>
      <c r="S159" s="5" t="n">
        <v>4</v>
      </c>
      <c r="T159" s="10" t="n">
        <v>1</v>
      </c>
      <c r="U159" s="4"/>
    </row>
    <row r="160" customFormat="false" ht="15" hidden="false" customHeight="false" outlineLevel="0" collapsed="false">
      <c r="A160" s="4" t="s">
        <v>399</v>
      </c>
      <c r="B160" s="4" t="s">
        <v>400</v>
      </c>
      <c r="C160" s="4" t="s">
        <v>29</v>
      </c>
      <c r="D160" s="4" t="s">
        <v>63</v>
      </c>
      <c r="E160" s="4" t="s">
        <v>63</v>
      </c>
      <c r="F160" s="5" t="n">
        <v>1.82</v>
      </c>
      <c r="G160" s="4" t="s">
        <v>26</v>
      </c>
      <c r="H160" s="6" t="n">
        <v>1092</v>
      </c>
      <c r="I160" s="7" t="n">
        <v>-439.3776624</v>
      </c>
      <c r="J160" s="4" t="s">
        <v>32</v>
      </c>
      <c r="K160" s="4" t="s">
        <v>33</v>
      </c>
      <c r="L160" s="4" t="s">
        <v>57</v>
      </c>
      <c r="M160" s="8" t="str">
        <f aca="false">IF(OR(H160="",I160=""),"",IF(I160&gt;0,H160/I160,""))</f>
        <v/>
      </c>
      <c r="N160" s="4" t="str">
        <f aca="false">IF(I160="",IF(K160="NULL","FCF yok (NULL)","FCF kapsamı dışı"),IF(I160&lt;=0,"anlamsız (FCF ≤ 0)",IF(OR(K160="KOŞULLU"),"FCF KOŞULLU — yorum yapılmaz","")))</f>
        <v>anlamsız (FCF ≤ 0)</v>
      </c>
      <c r="O160" s="9" t="n">
        <f aca="false">IF(Q160="","",F160*R160/Q160-1)</f>
        <v>-0.365853658536585</v>
      </c>
      <c r="P160" s="9" t="n">
        <f aca="false">IF(S160="","",F160*T160/S160-1)</f>
        <v>-0.103448275862069</v>
      </c>
      <c r="Q160" s="5" t="n">
        <v>2.87</v>
      </c>
      <c r="R160" s="10" t="n">
        <v>1</v>
      </c>
      <c r="S160" s="5" t="n">
        <v>2.03</v>
      </c>
      <c r="T160" s="10" t="n">
        <v>1</v>
      </c>
      <c r="U160" s="4"/>
    </row>
    <row r="161" customFormat="false" ht="15" hidden="false" customHeight="false" outlineLevel="0" collapsed="false">
      <c r="A161" s="4" t="s">
        <v>401</v>
      </c>
      <c r="B161" s="4" t="s">
        <v>402</v>
      </c>
      <c r="C161" s="4" t="s">
        <v>29</v>
      </c>
      <c r="D161" s="4" t="s">
        <v>30</v>
      </c>
      <c r="E161" s="4" t="s">
        <v>171</v>
      </c>
      <c r="F161" s="5" t="n">
        <v>1.59</v>
      </c>
      <c r="G161" s="4" t="s">
        <v>26</v>
      </c>
      <c r="H161" s="6" t="n">
        <v>1572.79474197</v>
      </c>
      <c r="I161" s="7" t="n">
        <v>-6.96529599999997</v>
      </c>
      <c r="J161" s="4" t="s">
        <v>32</v>
      </c>
      <c r="K161" s="4" t="s">
        <v>33</v>
      </c>
      <c r="L161" s="4" t="s">
        <v>57</v>
      </c>
      <c r="M161" s="8" t="str">
        <f aca="false">IF(OR(H161="",I161=""),"",IF(I161&gt;0,H161/I161,""))</f>
        <v/>
      </c>
      <c r="N161" s="4" t="str">
        <f aca="false">IF(I161="",IF(K161="NULL","FCF yok (NULL)","FCF kapsamı dışı"),IF(I161&lt;=0,"anlamsız (FCF ≤ 0)",IF(OR(K161="KOŞULLU"),"FCF KOŞULLU — yorum yapılmaz","")))</f>
        <v>anlamsız (FCF ≤ 0)</v>
      </c>
      <c r="O161" s="9" t="n">
        <f aca="false">IF(Q161="","",F161*R161/Q161-1)</f>
        <v>-0.571379314677419</v>
      </c>
      <c r="P161" s="9" t="n">
        <f aca="false">IF(S161="","",F161*T161/S161-1)</f>
        <v>-0.0479041916167664</v>
      </c>
      <c r="Q161" s="5" t="n">
        <v>18.6</v>
      </c>
      <c r="R161" s="10" t="n">
        <v>5.0140533</v>
      </c>
      <c r="S161" s="5" t="n">
        <v>1.67</v>
      </c>
      <c r="T161" s="10" t="n">
        <v>1</v>
      </c>
      <c r="U161" s="4" t="s">
        <v>403</v>
      </c>
    </row>
    <row r="162" customFormat="false" ht="15" hidden="false" customHeight="false" outlineLevel="0" collapsed="false">
      <c r="A162" s="4" t="s">
        <v>404</v>
      </c>
      <c r="B162" s="4" t="s">
        <v>405</v>
      </c>
      <c r="C162" s="4" t="s">
        <v>29</v>
      </c>
      <c r="D162" s="4" t="s">
        <v>30</v>
      </c>
      <c r="E162" s="4" t="s">
        <v>171</v>
      </c>
      <c r="F162" s="5" t="n">
        <v>26.8</v>
      </c>
      <c r="G162" s="4" t="s">
        <v>64</v>
      </c>
      <c r="H162" s="6" t="n">
        <v>1447.2</v>
      </c>
      <c r="I162" s="7" t="n">
        <v>351.165</v>
      </c>
      <c r="J162" s="4" t="s">
        <v>32</v>
      </c>
      <c r="K162" s="4" t="s">
        <v>33</v>
      </c>
      <c r="L162" s="4" t="s">
        <v>42</v>
      </c>
      <c r="M162" s="8" t="n">
        <f aca="false">IF(OR(H162="",I162=""),"",IF(I162&gt;0,H162/I162,""))</f>
        <v>4.12113963521422</v>
      </c>
      <c r="N162" s="4" t="str">
        <f aca="false">IF(I162="",IF(K162="NULL","FCF yok (NULL)","FCF kapsamı dışı"),IF(I162&lt;=0,"anlamsız (FCF ≤ 0)",IF(OR(K162="KOŞULLU"),"FCF KOŞULLU — yorum yapılmaz","")))</f>
        <v/>
      </c>
      <c r="O162" s="9" t="n">
        <f aca="false">IF(Q162="","",F162*R162/Q162-1)</f>
        <v>-0.352344127597873</v>
      </c>
      <c r="P162" s="9" t="n">
        <f aca="false">IF(S162="","",F162*T162/S162-1)</f>
        <v>-0.101274312541918</v>
      </c>
      <c r="Q162" s="5" t="n">
        <v>41.38</v>
      </c>
      <c r="R162" s="10" t="n">
        <v>1</v>
      </c>
      <c r="S162" s="5" t="n">
        <v>29.82</v>
      </c>
      <c r="T162" s="10" t="n">
        <v>1</v>
      </c>
      <c r="U162" s="4"/>
    </row>
    <row r="163" customFormat="false" ht="15" hidden="false" customHeight="false" outlineLevel="0" collapsed="false">
      <c r="A163" s="4" t="s">
        <v>406</v>
      </c>
      <c r="B163" s="4" t="s">
        <v>407</v>
      </c>
      <c r="C163" s="4" t="s">
        <v>29</v>
      </c>
      <c r="D163" s="4" t="s">
        <v>30</v>
      </c>
      <c r="E163" s="4" t="s">
        <v>171</v>
      </c>
      <c r="F163" s="5" t="n">
        <v>8.81</v>
      </c>
      <c r="G163" s="4" t="s">
        <v>26</v>
      </c>
      <c r="H163" s="6" t="n">
        <v>4316.9</v>
      </c>
      <c r="I163" s="7" t="n">
        <v>491.9837088</v>
      </c>
      <c r="J163" s="4" t="s">
        <v>32</v>
      </c>
      <c r="K163" s="4" t="s">
        <v>33</v>
      </c>
      <c r="L163" s="4" t="s">
        <v>57</v>
      </c>
      <c r="M163" s="8" t="n">
        <f aca="false">IF(OR(H163="",I163=""),"",IF(I163&gt;0,H163/I163,""))</f>
        <v>8.77447753408212</v>
      </c>
      <c r="N163" s="4" t="str">
        <f aca="false">IF(I163="",IF(K163="NULL","FCF yok (NULL)","FCF kapsamı dışı"),IF(I163&lt;=0,"anlamsız (FCF ≤ 0)",IF(OR(K163="KOŞULLU"),"FCF KOŞULLU — yorum yapılmaz","")))</f>
        <v/>
      </c>
      <c r="O163" s="9" t="n">
        <f aca="false">IF(Q163="","",F163*R163/Q163-1)</f>
        <v>-0.4055330634278</v>
      </c>
      <c r="P163" s="9" t="n">
        <f aca="false">IF(S163="","",F163*T163/S163-1)</f>
        <v>-0.00451977401129933</v>
      </c>
      <c r="Q163" s="5" t="n">
        <v>14.82</v>
      </c>
      <c r="R163" s="10" t="n">
        <v>1</v>
      </c>
      <c r="S163" s="5" t="n">
        <v>8.85</v>
      </c>
      <c r="T163" s="10" t="n">
        <v>1</v>
      </c>
      <c r="U163" s="4"/>
    </row>
    <row r="164" customFormat="false" ht="15" hidden="false" customHeight="false" outlineLevel="0" collapsed="false">
      <c r="A164" s="4" t="s">
        <v>408</v>
      </c>
      <c r="B164" s="4" t="s">
        <v>409</v>
      </c>
      <c r="C164" s="4" t="s">
        <v>29</v>
      </c>
      <c r="D164" s="4" t="s">
        <v>30</v>
      </c>
      <c r="E164" s="4" t="s">
        <v>162</v>
      </c>
      <c r="F164" s="5" t="n">
        <v>30.78</v>
      </c>
      <c r="G164" s="4" t="s">
        <v>26</v>
      </c>
      <c r="H164" s="6" t="n">
        <v>707.94</v>
      </c>
      <c r="I164" s="7" t="n">
        <v>265.55</v>
      </c>
      <c r="J164" s="4" t="s">
        <v>32</v>
      </c>
      <c r="K164" s="4" t="s">
        <v>33</v>
      </c>
      <c r="L164" s="4" t="s">
        <v>42</v>
      </c>
      <c r="M164" s="8" t="n">
        <f aca="false">IF(OR(H164="",I164=""),"",IF(I164&gt;0,H164/I164,""))</f>
        <v>2.66593861796272</v>
      </c>
      <c r="N164" s="4" t="str">
        <f aca="false">IF(I164="",IF(K164="NULL","FCF yok (NULL)","FCF kapsamı dışı"),IF(I164&lt;=0,"anlamsız (FCF ≤ 0)",IF(OR(K164="KOŞULLU"),"FCF KOŞULLU — yorum yapılmaz","")))</f>
        <v/>
      </c>
      <c r="O164" s="9" t="n">
        <f aca="false">IF(Q164="","",F164*R164/Q164-1)</f>
        <v>-0.543323442136499</v>
      </c>
      <c r="P164" s="9" t="n">
        <f aca="false">IF(S164="","",F164*T164/S164-1)</f>
        <v>-0.0429104477611939</v>
      </c>
      <c r="Q164" s="5" t="n">
        <v>67.4</v>
      </c>
      <c r="R164" s="10" t="n">
        <v>1</v>
      </c>
      <c r="S164" s="5" t="n">
        <v>32.16</v>
      </c>
      <c r="T164" s="10" t="n">
        <v>1</v>
      </c>
      <c r="U164" s="4"/>
    </row>
    <row r="165" customFormat="false" ht="15" hidden="false" customHeight="false" outlineLevel="0" collapsed="false">
      <c r="A165" s="4" t="s">
        <v>410</v>
      </c>
      <c r="B165" s="4" t="s">
        <v>411</v>
      </c>
      <c r="C165" s="4" t="s">
        <v>29</v>
      </c>
      <c r="D165" s="4" t="s">
        <v>30</v>
      </c>
      <c r="E165" s="4" t="s">
        <v>147</v>
      </c>
      <c r="F165" s="5" t="n">
        <v>87.6</v>
      </c>
      <c r="G165" s="4" t="s">
        <v>26</v>
      </c>
      <c r="H165" s="6" t="n">
        <v>17521.6895412</v>
      </c>
      <c r="I165" s="7" t="n">
        <v>-1578.955</v>
      </c>
      <c r="J165" s="4" t="s">
        <v>32</v>
      </c>
      <c r="K165" s="4" t="s">
        <v>33</v>
      </c>
      <c r="L165" s="4" t="s">
        <v>42</v>
      </c>
      <c r="M165" s="8" t="str">
        <f aca="false">IF(OR(H165="",I165=""),"",IF(I165&gt;0,H165/I165,""))</f>
        <v/>
      </c>
      <c r="N165" s="4" t="str">
        <f aca="false">IF(I165="",IF(K165="NULL","FCF yok (NULL)","FCF kapsamı dışı"),IF(I165&lt;=0,"anlamsız (FCF ≤ 0)",IF(OR(K165="KOŞULLU"),"FCF KOŞULLU — yorum yapılmaz","")))</f>
        <v>anlamsız (FCF ≤ 0)</v>
      </c>
      <c r="O165" s="9" t="n">
        <f aca="false">IF(Q165="","",F165*R165/Q165-1)</f>
        <v>0.273255813953488</v>
      </c>
      <c r="P165" s="9" t="n">
        <f aca="false">IF(S165="","",F165*T165/S165-1)</f>
        <v>-0.0941054808686661</v>
      </c>
      <c r="Q165" s="5" t="n">
        <v>68.8</v>
      </c>
      <c r="R165" s="10" t="n">
        <v>1</v>
      </c>
      <c r="S165" s="5" t="n">
        <v>96.7</v>
      </c>
      <c r="T165" s="10" t="n">
        <v>1</v>
      </c>
      <c r="U165" s="4"/>
    </row>
    <row r="166" customFormat="false" ht="15" hidden="false" customHeight="false" outlineLevel="0" collapsed="false">
      <c r="A166" s="4" t="s">
        <v>412</v>
      </c>
      <c r="B166" s="4" t="s">
        <v>413</v>
      </c>
      <c r="C166" s="4" t="s">
        <v>29</v>
      </c>
      <c r="D166" s="4" t="s">
        <v>30</v>
      </c>
      <c r="E166" s="4" t="s">
        <v>162</v>
      </c>
      <c r="F166" s="5" t="n">
        <v>63.75</v>
      </c>
      <c r="G166" s="4" t="s">
        <v>64</v>
      </c>
      <c r="H166" s="6" t="n">
        <v>1912.5</v>
      </c>
      <c r="I166" s="7" t="n">
        <v>378.584</v>
      </c>
      <c r="J166" s="4" t="s">
        <v>32</v>
      </c>
      <c r="K166" s="4" t="s">
        <v>33</v>
      </c>
      <c r="L166" s="4" t="s">
        <v>42</v>
      </c>
      <c r="M166" s="8" t="n">
        <f aca="false">IF(OR(H166="",I166=""),"",IF(I166&gt;0,H166/I166,""))</f>
        <v>5.05171903725461</v>
      </c>
      <c r="N166" s="4" t="str">
        <f aca="false">IF(I166="",IF(K166="NULL","FCF yok (NULL)","FCF kapsamı dışı"),IF(I166&lt;=0,"anlamsız (FCF ≤ 0)",IF(OR(K166="KOŞULLU"),"FCF KOŞULLU — yorum yapılmaz","")))</f>
        <v/>
      </c>
      <c r="O166" s="9" t="n">
        <f aca="false">IF(Q166="","",F166*R166/Q166-1)</f>
        <v>-0.148865153538051</v>
      </c>
      <c r="P166" s="9" t="n">
        <f aca="false">IF(S166="","",F166*T166/S166-1)</f>
        <v>-0.013157894736842</v>
      </c>
      <c r="Q166" s="5" t="n">
        <v>74.9</v>
      </c>
      <c r="R166" s="10" t="n">
        <v>1</v>
      </c>
      <c r="S166" s="5" t="n">
        <v>64.6</v>
      </c>
      <c r="T166" s="10" t="n">
        <v>1</v>
      </c>
      <c r="U166" s="4"/>
    </row>
    <row r="167" customFormat="false" ht="15" hidden="false" customHeight="false" outlineLevel="0" collapsed="false">
      <c r="A167" s="4" t="s">
        <v>414</v>
      </c>
      <c r="B167" s="4" t="s">
        <v>415</v>
      </c>
      <c r="C167" s="4" t="s">
        <v>38</v>
      </c>
      <c r="D167" s="4"/>
      <c r="E167" s="4"/>
      <c r="F167" s="5" t="n">
        <v>30.32</v>
      </c>
      <c r="G167" s="4" t="s">
        <v>26</v>
      </c>
      <c r="H167" s="6" t="n">
        <v>10066.47607152</v>
      </c>
      <c r="I167" s="7"/>
      <c r="J167" s="4"/>
      <c r="K167" s="4"/>
      <c r="L167" s="4"/>
      <c r="M167" s="8" t="str">
        <f aca="false">IF(OR(H167="",I167=""),"",IF(I167&gt;0,H167/I167,""))</f>
        <v/>
      </c>
      <c r="N167" s="4" t="str">
        <f aca="false">IF(I167="",IF(K167="NULL","FCF yok (NULL)","FCF kapsamı dışı"),IF(I167&lt;=0,"anlamsız (FCF ≤ 0)",IF(OR(K167="KOŞULLU"),"FCF KOŞULLU — yorum yapılmaz","")))</f>
        <v>FCF kapsamı dışı</v>
      </c>
      <c r="O167" s="9" t="n">
        <f aca="false">IF(Q167="","",F167*R167/Q167-1)</f>
        <v>-0.102958579881657</v>
      </c>
      <c r="P167" s="9" t="n">
        <f aca="false">IF(S167="","",F167*T167/S167-1)</f>
        <v>0.0985507246376811</v>
      </c>
      <c r="Q167" s="5" t="n">
        <v>33.8</v>
      </c>
      <c r="R167" s="10" t="n">
        <v>1</v>
      </c>
      <c r="S167" s="5" t="n">
        <v>27.6</v>
      </c>
      <c r="T167" s="10" t="n">
        <v>1</v>
      </c>
      <c r="U167" s="4"/>
    </row>
    <row r="168" customFormat="false" ht="15" hidden="false" customHeight="false" outlineLevel="0" collapsed="false">
      <c r="A168" s="4" t="s">
        <v>416</v>
      </c>
      <c r="B168" s="4" t="s">
        <v>417</v>
      </c>
      <c r="C168" s="4" t="s">
        <v>29</v>
      </c>
      <c r="D168" s="4" t="s">
        <v>30</v>
      </c>
      <c r="E168" s="4" t="s">
        <v>418</v>
      </c>
      <c r="F168" s="5" t="n">
        <v>3.81</v>
      </c>
      <c r="G168" s="4" t="s">
        <v>46</v>
      </c>
      <c r="H168" s="6" t="n">
        <v>1333.5</v>
      </c>
      <c r="I168" s="7" t="n">
        <v>102.2040416</v>
      </c>
      <c r="J168" s="4" t="s">
        <v>32</v>
      </c>
      <c r="K168" s="4" t="s">
        <v>33</v>
      </c>
      <c r="L168" s="4" t="s">
        <v>34</v>
      </c>
      <c r="M168" s="8" t="n">
        <f aca="false">IF(OR(H168="",I168=""),"",IF(I168&gt;0,H168/I168,""))</f>
        <v>13.0474292319962</v>
      </c>
      <c r="N168" s="4" t="str">
        <f aca="false">IF(I168="",IF(K168="NULL","FCF yok (NULL)","FCF kapsamı dışı"),IF(I168&lt;=0,"anlamsız (FCF ≤ 0)",IF(OR(K168="KOŞULLU"),"FCF KOŞULLU — yorum yapılmaz","")))</f>
        <v/>
      </c>
      <c r="O168" s="9" t="n">
        <f aca="false">IF(Q168="","",F168*R168/Q168-1)</f>
        <v>-0.416539050535988</v>
      </c>
      <c r="P168" s="9" t="n">
        <f aca="false">IF(S168="","",F168*T168/S168-1)</f>
        <v>-0.279773156899811</v>
      </c>
      <c r="Q168" s="5" t="n">
        <v>6.53</v>
      </c>
      <c r="R168" s="10" t="n">
        <v>1</v>
      </c>
      <c r="S168" s="5" t="n">
        <v>5.29</v>
      </c>
      <c r="T168" s="10" t="n">
        <v>1</v>
      </c>
      <c r="U168" s="4"/>
    </row>
    <row r="169" customFormat="false" ht="15" hidden="false" customHeight="false" outlineLevel="0" collapsed="false">
      <c r="A169" s="4" t="s">
        <v>419</v>
      </c>
      <c r="B169" s="4" t="s">
        <v>420</v>
      </c>
      <c r="C169" s="4" t="s">
        <v>29</v>
      </c>
      <c r="D169" s="4" t="s">
        <v>30</v>
      </c>
      <c r="E169" s="4" t="s">
        <v>171</v>
      </c>
      <c r="F169" s="5" t="n">
        <v>20.74</v>
      </c>
      <c r="G169" s="4" t="s">
        <v>141</v>
      </c>
      <c r="H169" s="6" t="n">
        <v>220.881</v>
      </c>
      <c r="I169" s="7" t="n">
        <v>327.544</v>
      </c>
      <c r="J169" s="4" t="s">
        <v>32</v>
      </c>
      <c r="K169" s="4" t="s">
        <v>33</v>
      </c>
      <c r="L169" s="4" t="s">
        <v>42</v>
      </c>
      <c r="M169" s="8" t="n">
        <f aca="false">IF(OR(H169="",I169=""),"",IF(I169&gt;0,H169/I169,""))</f>
        <v>0.674355201133283</v>
      </c>
      <c r="N169" s="4" t="str">
        <f aca="false">IF(I169="",IF(K169="NULL","FCF yok (NULL)","FCF kapsamı dışı"),IF(I169&lt;=0,"anlamsız (FCF ≤ 0)",IF(OR(K169="KOŞULLU"),"FCF KOŞULLU — yorum yapılmaz","")))</f>
        <v/>
      </c>
      <c r="O169" s="9" t="n">
        <f aca="false">IF(Q169="","",F169*R169/Q169-1)</f>
        <v>-0.292150170648464</v>
      </c>
      <c r="P169" s="9" t="n">
        <f aca="false">IF(S169="","",F169*T169/S169-1)</f>
        <v>-0.00288461538461549</v>
      </c>
      <c r="Q169" s="5" t="n">
        <v>29.3</v>
      </c>
      <c r="R169" s="10" t="n">
        <v>1</v>
      </c>
      <c r="S169" s="5" t="n">
        <v>20.8</v>
      </c>
      <c r="T169" s="10" t="n">
        <v>1</v>
      </c>
      <c r="U169" s="4"/>
    </row>
    <row r="170" customFormat="false" ht="15" hidden="false" customHeight="false" outlineLevel="0" collapsed="false">
      <c r="A170" s="4" t="s">
        <v>421</v>
      </c>
      <c r="B170" s="4" t="s">
        <v>422</v>
      </c>
      <c r="C170" s="4" t="s">
        <v>29</v>
      </c>
      <c r="D170" s="4" t="s">
        <v>30</v>
      </c>
      <c r="E170" s="4" t="s">
        <v>234</v>
      </c>
      <c r="F170" s="5" t="n">
        <v>9.14</v>
      </c>
      <c r="G170" s="4" t="s">
        <v>26</v>
      </c>
      <c r="H170" s="6" t="n">
        <v>1553.8</v>
      </c>
      <c r="I170" s="7" t="n">
        <v>1036.6163248</v>
      </c>
      <c r="J170" s="4" t="s">
        <v>32</v>
      </c>
      <c r="K170" s="4" t="s">
        <v>33</v>
      </c>
      <c r="L170" s="4" t="s">
        <v>34</v>
      </c>
      <c r="M170" s="8" t="n">
        <f aca="false">IF(OR(H170="",I170=""),"",IF(I170&gt;0,H170/I170,""))</f>
        <v>1.49891523298148</v>
      </c>
      <c r="N170" s="4" t="str">
        <f aca="false">IF(I170="",IF(K170="NULL","FCF yok (NULL)","FCF kapsamı dışı"),IF(I170&lt;=0,"anlamsız (FCF ≤ 0)",IF(OR(K170="KOŞULLU"),"FCF KOŞULLU — yorum yapılmaz","")))</f>
        <v/>
      </c>
      <c r="O170" s="9" t="n">
        <f aca="false">IF(Q170="","",F170*R170/Q170-1)</f>
        <v>-0.380758807588076</v>
      </c>
      <c r="P170" s="9" t="n">
        <f aca="false">IF(S170="","",F170*T170/S170-1)</f>
        <v>-0.168334849863512</v>
      </c>
      <c r="Q170" s="5" t="n">
        <v>14.76</v>
      </c>
      <c r="R170" s="10" t="n">
        <v>1</v>
      </c>
      <c r="S170" s="5" t="n">
        <v>10.99</v>
      </c>
      <c r="T170" s="10" t="n">
        <v>1</v>
      </c>
      <c r="U170" s="4"/>
    </row>
    <row r="171" customFormat="false" ht="15" hidden="false" customHeight="false" outlineLevel="0" collapsed="false">
      <c r="A171" s="4" t="s">
        <v>423</v>
      </c>
      <c r="B171" s="4" t="s">
        <v>424</v>
      </c>
      <c r="C171" s="4" t="s">
        <v>29</v>
      </c>
      <c r="D171" s="4" t="s">
        <v>30</v>
      </c>
      <c r="E171" s="4" t="s">
        <v>53</v>
      </c>
      <c r="F171" s="5" t="n">
        <v>8.19</v>
      </c>
      <c r="G171" s="4" t="s">
        <v>26</v>
      </c>
      <c r="H171" s="6" t="n">
        <v>12140.856</v>
      </c>
      <c r="I171" s="7" t="n">
        <v>122.387</v>
      </c>
      <c r="J171" s="4" t="s">
        <v>32</v>
      </c>
      <c r="K171" s="4" t="s">
        <v>33</v>
      </c>
      <c r="L171" s="4" t="s">
        <v>42</v>
      </c>
      <c r="M171" s="8" t="n">
        <f aca="false">IF(OR(H171="",I171=""),"",IF(I171&gt;0,H171/I171,""))</f>
        <v>99.200536004641</v>
      </c>
      <c r="N171" s="4" t="str">
        <f aca="false">IF(I171="",IF(K171="NULL","FCF yok (NULL)","FCF kapsamı dışı"),IF(I171&lt;=0,"anlamsız (FCF ≤ 0)",IF(OR(K171="KOŞULLU"),"FCF KOŞULLU — yorum yapılmaz","")))</f>
        <v/>
      </c>
      <c r="O171" s="9" t="n">
        <f aca="false">IF(Q171="","",F171*R171/Q171-1)</f>
        <v>1.56739811912226</v>
      </c>
      <c r="P171" s="9" t="n">
        <f aca="false">IF(S171="","",F171*T171/S171-1)</f>
        <v>-0.183449651046859</v>
      </c>
      <c r="Q171" s="5" t="n">
        <v>3.19</v>
      </c>
      <c r="R171" s="10" t="n">
        <v>1</v>
      </c>
      <c r="S171" s="5" t="n">
        <v>10.03</v>
      </c>
      <c r="T171" s="10" t="n">
        <v>1</v>
      </c>
      <c r="U171" s="4"/>
    </row>
    <row r="172" customFormat="false" ht="15" hidden="false" customHeight="false" outlineLevel="0" collapsed="false">
      <c r="A172" s="4" t="s">
        <v>425</v>
      </c>
      <c r="B172" s="4" t="s">
        <v>426</v>
      </c>
      <c r="C172" s="4" t="s">
        <v>29</v>
      </c>
      <c r="D172" s="4" t="s">
        <v>30</v>
      </c>
      <c r="E172" s="4" t="s">
        <v>295</v>
      </c>
      <c r="F172" s="5" t="n">
        <v>6.81</v>
      </c>
      <c r="G172" s="4" t="s">
        <v>76</v>
      </c>
      <c r="H172" s="6" t="n">
        <v>1362</v>
      </c>
      <c r="I172" s="7" t="n">
        <v>661.7174592</v>
      </c>
      <c r="J172" s="4" t="s">
        <v>32</v>
      </c>
      <c r="K172" s="4" t="s">
        <v>33</v>
      </c>
      <c r="L172" s="4" t="s">
        <v>57</v>
      </c>
      <c r="M172" s="8" t="n">
        <f aca="false">IF(OR(H172="",I172=""),"",IF(I172&gt;0,H172/I172,""))</f>
        <v>2.05828028422678</v>
      </c>
      <c r="N172" s="4" t="str">
        <f aca="false">IF(I172="",IF(K172="NULL","FCF yok (NULL)","FCF kapsamı dışı"),IF(I172&lt;=0,"anlamsız (FCF ≤ 0)",IF(OR(K172="KOŞULLU"),"FCF KOŞULLU — yorum yapılmaz","")))</f>
        <v/>
      </c>
      <c r="O172" s="9" t="n">
        <f aca="false">IF(Q172="","",F172*R172/Q172-1)</f>
        <v>-0.216340621403913</v>
      </c>
      <c r="P172" s="9" t="n">
        <f aca="false">IF(S172="","",F172*T172/S172-1)</f>
        <v>0.231464737793852</v>
      </c>
      <c r="Q172" s="5" t="n">
        <v>8.69</v>
      </c>
      <c r="R172" s="10" t="n">
        <v>1</v>
      </c>
      <c r="S172" s="5" t="n">
        <v>5.53</v>
      </c>
      <c r="T172" s="10" t="n">
        <v>1</v>
      </c>
      <c r="U172" s="4"/>
    </row>
    <row r="173" customFormat="false" ht="15" hidden="false" customHeight="false" outlineLevel="0" collapsed="false">
      <c r="A173" s="4" t="s">
        <v>427</v>
      </c>
      <c r="B173" s="4" t="s">
        <v>428</v>
      </c>
      <c r="C173" s="4" t="s">
        <v>29</v>
      </c>
      <c r="D173" s="4" t="s">
        <v>30</v>
      </c>
      <c r="E173" s="4" t="s">
        <v>41</v>
      </c>
      <c r="F173" s="5" t="n">
        <v>4.19</v>
      </c>
      <c r="G173" s="4" t="s">
        <v>26</v>
      </c>
      <c r="H173" s="6" t="n">
        <v>2178.8</v>
      </c>
      <c r="I173" s="7" t="n">
        <v>98.049</v>
      </c>
      <c r="J173" s="4" t="s">
        <v>32</v>
      </c>
      <c r="K173" s="4" t="s">
        <v>33</v>
      </c>
      <c r="L173" s="4" t="s">
        <v>42</v>
      </c>
      <c r="M173" s="8" t="n">
        <f aca="false">IF(OR(H173="",I173=""),"",IF(I173&gt;0,H173/I173,""))</f>
        <v>22.2215422900795</v>
      </c>
      <c r="N173" s="4" t="str">
        <f aca="false">IF(I173="",IF(K173="NULL","FCF yok (NULL)","FCF kapsamı dışı"),IF(I173&lt;=0,"anlamsız (FCF ≤ 0)",IF(OR(K173="KOŞULLU"),"FCF KOŞULLU — yorum yapılmaz","")))</f>
        <v/>
      </c>
      <c r="O173" s="9" t="n">
        <f aca="false">IF(Q173="","",F173*R173/Q173-1)</f>
        <v>-0.206977322121204</v>
      </c>
      <c r="P173" s="9" t="n">
        <f aca="false">IF(S173="","",F173*T173/S173-1)</f>
        <v>0.00963855421686755</v>
      </c>
      <c r="Q173" s="5" t="n">
        <v>22.9</v>
      </c>
      <c r="R173" s="10" t="n">
        <v>4.33418122277433</v>
      </c>
      <c r="S173" s="5" t="n">
        <v>4.15</v>
      </c>
      <c r="T173" s="10" t="n">
        <v>1</v>
      </c>
      <c r="U173" s="4" t="s">
        <v>429</v>
      </c>
    </row>
    <row r="174" customFormat="false" ht="15" hidden="false" customHeight="false" outlineLevel="0" collapsed="false">
      <c r="A174" s="4" t="s">
        <v>430</v>
      </c>
      <c r="B174" s="4" t="s">
        <v>431</v>
      </c>
      <c r="C174" s="4" t="s">
        <v>29</v>
      </c>
      <c r="D174" s="4" t="s">
        <v>30</v>
      </c>
      <c r="E174" s="4" t="s">
        <v>182</v>
      </c>
      <c r="F174" s="5" t="n">
        <v>145.1</v>
      </c>
      <c r="G174" s="4" t="s">
        <v>26</v>
      </c>
      <c r="H174" s="6" t="n">
        <v>31922</v>
      </c>
      <c r="I174" s="7" t="n">
        <v>-10654.409</v>
      </c>
      <c r="J174" s="4" t="s">
        <v>32</v>
      </c>
      <c r="K174" s="4" t="s">
        <v>33</v>
      </c>
      <c r="L174" s="4" t="s">
        <v>42</v>
      </c>
      <c r="M174" s="8" t="str">
        <f aca="false">IF(OR(H174="",I174=""),"",IF(I174&gt;0,H174/I174,""))</f>
        <v/>
      </c>
      <c r="N174" s="4" t="str">
        <f aca="false">IF(I174="",IF(K174="NULL","FCF yok (NULL)","FCF kapsamı dışı"),IF(I174&lt;=0,"anlamsız (FCF ≤ 0)",IF(OR(K174="KOŞULLU"),"FCF KOŞULLU — yorum yapılmaz","")))</f>
        <v>anlamsız (FCF ≤ 0)</v>
      </c>
      <c r="O174" s="9" t="n">
        <f aca="false">IF(Q174="","",F174*R174/Q174-1)</f>
        <v>-0.189385474860335</v>
      </c>
      <c r="P174" s="9" t="n">
        <f aca="false">IF(S174="","",F174*T174/S174-1)</f>
        <v>-0.0608414239482201</v>
      </c>
      <c r="Q174" s="5" t="n">
        <v>179</v>
      </c>
      <c r="R174" s="10" t="n">
        <v>1</v>
      </c>
      <c r="S174" s="5" t="n">
        <v>154.5</v>
      </c>
      <c r="T174" s="10" t="n">
        <v>1</v>
      </c>
      <c r="U174" s="4"/>
    </row>
    <row r="175" customFormat="false" ht="15" hidden="false" customHeight="false" outlineLevel="0" collapsed="false">
      <c r="A175" s="4" t="s">
        <v>432</v>
      </c>
      <c r="B175" s="4" t="s">
        <v>433</v>
      </c>
      <c r="C175" s="4" t="s">
        <v>60</v>
      </c>
      <c r="D175" s="4"/>
      <c r="E175" s="4"/>
      <c r="F175" s="5" t="n">
        <v>10785</v>
      </c>
      <c r="G175" s="4" t="s">
        <v>26</v>
      </c>
      <c r="H175" s="6" t="n">
        <v>118456.59453</v>
      </c>
      <c r="I175" s="7"/>
      <c r="J175" s="4"/>
      <c r="K175" s="4"/>
      <c r="L175" s="4"/>
      <c r="M175" s="8" t="str">
        <f aca="false">IF(OR(H175="",I175=""),"",IF(I175&gt;0,H175/I175,""))</f>
        <v/>
      </c>
      <c r="N175" s="4" t="str">
        <f aca="false">IF(I175="",IF(K175="NULL","FCF yok (NULL)","FCF kapsamı dışı"),IF(I175&lt;=0,"anlamsız (FCF ≤ 0)",IF(OR(K175="KOŞULLU"),"FCF KOŞULLU — yorum yapılmaz","")))</f>
        <v>FCF kapsamı dışı</v>
      </c>
      <c r="O175" s="9" t="n">
        <f aca="false">IF(Q175="","",F175*R175/Q175-1)</f>
        <v>0.00606343283582089</v>
      </c>
      <c r="P175" s="9" t="n">
        <f aca="false">IF(S175="","",F175*T175/S175-1)</f>
        <v>0.0145813734713076</v>
      </c>
      <c r="Q175" s="5" t="n">
        <v>10720</v>
      </c>
      <c r="R175" s="10" t="n">
        <v>1</v>
      </c>
      <c r="S175" s="5" t="n">
        <v>10630</v>
      </c>
      <c r="T175" s="10" t="n">
        <v>1</v>
      </c>
      <c r="U175" s="4"/>
    </row>
    <row r="176" customFormat="false" ht="15" hidden="false" customHeight="false" outlineLevel="0" collapsed="false">
      <c r="A176" s="4" t="s">
        <v>434</v>
      </c>
      <c r="B176" s="4" t="s">
        <v>435</v>
      </c>
      <c r="C176" s="4" t="s">
        <v>29</v>
      </c>
      <c r="D176" s="4" t="s">
        <v>30</v>
      </c>
      <c r="E176" s="4" t="s">
        <v>45</v>
      </c>
      <c r="F176" s="5" t="n">
        <v>22.5</v>
      </c>
      <c r="G176" s="4" t="s">
        <v>213</v>
      </c>
      <c r="H176" s="6" t="n">
        <v>1254.375</v>
      </c>
      <c r="I176" s="7" t="n">
        <v>-132.5397248</v>
      </c>
      <c r="J176" s="4" t="s">
        <v>32</v>
      </c>
      <c r="K176" s="4" t="s">
        <v>33</v>
      </c>
      <c r="L176" s="4" t="s">
        <v>34</v>
      </c>
      <c r="M176" s="8" t="str">
        <f aca="false">IF(OR(H176="",I176=""),"",IF(I176&gt;0,H176/I176,""))</f>
        <v/>
      </c>
      <c r="N176" s="4" t="str">
        <f aca="false">IF(I176="",IF(K176="NULL","FCF yok (NULL)","FCF kapsamı dışı"),IF(I176&lt;=0,"anlamsız (FCF ≤ 0)",IF(OR(K176="KOŞULLU"),"FCF KOŞULLU — yorum yapılmaz","")))</f>
        <v>anlamsız (FCF ≤ 0)</v>
      </c>
      <c r="O176" s="9" t="n">
        <f aca="false">IF(Q176="","",F176*R176/Q176-1)</f>
        <v>-0.622166246851385</v>
      </c>
      <c r="P176" s="9" t="n">
        <f aca="false">IF(S176="","",F176*T176/S176-1)</f>
        <v>-0.0384615384615384</v>
      </c>
      <c r="Q176" s="5" t="n">
        <v>59.55</v>
      </c>
      <c r="R176" s="10" t="n">
        <v>1</v>
      </c>
      <c r="S176" s="5" t="n">
        <v>23.4</v>
      </c>
      <c r="T176" s="10" t="n">
        <v>1</v>
      </c>
      <c r="U176" s="4"/>
    </row>
    <row r="177" customFormat="false" ht="15" hidden="false" customHeight="false" outlineLevel="0" collapsed="false">
      <c r="A177" s="4" t="s">
        <v>436</v>
      </c>
      <c r="B177" s="4" t="s">
        <v>437</v>
      </c>
      <c r="C177" s="4" t="s">
        <v>29</v>
      </c>
      <c r="D177" s="4" t="s">
        <v>30</v>
      </c>
      <c r="E177" s="4" t="s">
        <v>45</v>
      </c>
      <c r="F177" s="5" t="n">
        <v>75.1</v>
      </c>
      <c r="G177" s="4" t="s">
        <v>26</v>
      </c>
      <c r="H177" s="6" t="n">
        <v>11640.5</v>
      </c>
      <c r="I177" s="7" t="n">
        <v>-1514.9733344</v>
      </c>
      <c r="J177" s="4" t="s">
        <v>32</v>
      </c>
      <c r="K177" s="4" t="s">
        <v>33</v>
      </c>
      <c r="L177" s="4" t="s">
        <v>57</v>
      </c>
      <c r="M177" s="8" t="str">
        <f aca="false">IF(OR(H177="",I177=""),"",IF(I177&gt;0,H177/I177,""))</f>
        <v/>
      </c>
      <c r="N177" s="4" t="str">
        <f aca="false">IF(I177="",IF(K177="NULL","FCF yok (NULL)","FCF kapsamı dışı"),IF(I177&lt;=0,"anlamsız (FCF ≤ 0)",IF(OR(K177="KOŞULLU"),"FCF KOŞULLU — yorum yapılmaz","")))</f>
        <v>anlamsız (FCF ≤ 0)</v>
      </c>
      <c r="O177" s="9" t="n">
        <f aca="false">IF(Q177="","",F177*R177/Q177-1)</f>
        <v>-0.391410048622366</v>
      </c>
      <c r="P177" s="9" t="n">
        <f aca="false">IF(S177="","",F177*T177/S177-1)</f>
        <v>-0.0869300911854104</v>
      </c>
      <c r="Q177" s="5" t="n">
        <v>123.4</v>
      </c>
      <c r="R177" s="10" t="n">
        <v>1</v>
      </c>
      <c r="S177" s="5" t="n">
        <v>82.25</v>
      </c>
      <c r="T177" s="10" t="n">
        <v>1</v>
      </c>
      <c r="U177" s="4"/>
    </row>
    <row r="178" customFormat="false" ht="15" hidden="false" customHeight="false" outlineLevel="0" collapsed="false">
      <c r="A178" s="4" t="s">
        <v>438</v>
      </c>
      <c r="B178" s="4" t="s">
        <v>439</v>
      </c>
      <c r="C178" s="4" t="s">
        <v>29</v>
      </c>
      <c r="D178" s="4" t="s">
        <v>30</v>
      </c>
      <c r="E178" s="4" t="s">
        <v>45</v>
      </c>
      <c r="F178" s="5" t="n">
        <v>18.9</v>
      </c>
      <c r="G178" s="4" t="s">
        <v>64</v>
      </c>
      <c r="H178" s="6" t="n">
        <v>737.1</v>
      </c>
      <c r="I178" s="7" t="n">
        <v>9.381</v>
      </c>
      <c r="J178" s="4" t="s">
        <v>32</v>
      </c>
      <c r="K178" s="4" t="s">
        <v>33</v>
      </c>
      <c r="L178" s="4" t="s">
        <v>42</v>
      </c>
      <c r="M178" s="8" t="n">
        <f aca="false">IF(OR(H178="",I178=""),"",IF(I178&gt;0,H178/I178,""))</f>
        <v>78.5737128237928</v>
      </c>
      <c r="N178" s="4" t="str">
        <f aca="false">IF(I178="",IF(K178="NULL","FCF yok (NULL)","FCF kapsamı dışı"),IF(I178&lt;=0,"anlamsız (FCF ≤ 0)",IF(OR(K178="KOŞULLU"),"FCF KOŞULLU — yorum yapılmaz","")))</f>
        <v/>
      </c>
      <c r="O178" s="9" t="n">
        <f aca="false">IF(Q178="","",F178*R178/Q178-1)</f>
        <v>-0.0956937799043063</v>
      </c>
      <c r="P178" s="9" t="n">
        <f aca="false">IF(S178="","",F178*T178/S178-1)</f>
        <v>-0.517611026033691</v>
      </c>
      <c r="Q178" s="5" t="n">
        <v>20.9</v>
      </c>
      <c r="R178" s="10" t="n">
        <v>1</v>
      </c>
      <c r="S178" s="5" t="n">
        <v>39.18</v>
      </c>
      <c r="T178" s="10" t="n">
        <v>1</v>
      </c>
      <c r="U178" s="4"/>
    </row>
    <row r="179" customFormat="false" ht="15" hidden="false" customHeight="false" outlineLevel="0" collapsed="false">
      <c r="A179" s="4" t="s">
        <v>440</v>
      </c>
      <c r="B179" s="4" t="s">
        <v>441</v>
      </c>
      <c r="C179" s="4" t="s">
        <v>29</v>
      </c>
      <c r="D179" s="4" t="s">
        <v>63</v>
      </c>
      <c r="E179" s="4" t="s">
        <v>63</v>
      </c>
      <c r="F179" s="5" t="n">
        <v>18.85</v>
      </c>
      <c r="G179" s="4" t="s">
        <v>26</v>
      </c>
      <c r="H179" s="6" t="n">
        <v>49330.37631535</v>
      </c>
      <c r="I179" s="7" t="n">
        <v>22316.9203936</v>
      </c>
      <c r="J179" s="4" t="s">
        <v>111</v>
      </c>
      <c r="K179" s="4" t="s">
        <v>33</v>
      </c>
      <c r="L179" s="4" t="s">
        <v>57</v>
      </c>
      <c r="M179" s="8" t="n">
        <f aca="false">IF(OR(H179="",I179=""),"",IF(I179&gt;0,H179/I179,""))</f>
        <v>2.21044729493666</v>
      </c>
      <c r="N179" s="4" t="str">
        <f aca="false">IF(I179="",IF(K179="NULL","FCF yok (NULL)","FCF kapsamı dışı"),IF(I179&lt;=0,"anlamsız (FCF ≤ 0)",IF(OR(K179="KOŞULLU"),"FCF KOŞULLU — yorum yapılmaz","")))</f>
        <v/>
      </c>
      <c r="O179" s="9" t="n">
        <f aca="false">IF(Q179="","",F179*R179/Q179-1)</f>
        <v>0.0589887640449438</v>
      </c>
      <c r="P179" s="9" t="n">
        <f aca="false">IF(S179="","",F179*T179/S179-1)</f>
        <v>-0.049899193548387</v>
      </c>
      <c r="Q179" s="5" t="n">
        <v>17.8</v>
      </c>
      <c r="R179" s="10" t="n">
        <v>1</v>
      </c>
      <c r="S179" s="5" t="n">
        <v>19.84</v>
      </c>
      <c r="T179" s="10" t="n">
        <v>1</v>
      </c>
      <c r="U179" s="4"/>
    </row>
    <row r="180" customFormat="false" ht="15" hidden="false" customHeight="false" outlineLevel="0" collapsed="false">
      <c r="A180" s="4" t="s">
        <v>442</v>
      </c>
      <c r="B180" s="4" t="s">
        <v>443</v>
      </c>
      <c r="C180" s="4" t="s">
        <v>29</v>
      </c>
      <c r="D180" s="4" t="s">
        <v>30</v>
      </c>
      <c r="E180" s="4" t="s">
        <v>234</v>
      </c>
      <c r="F180" s="5" t="n">
        <v>15.94</v>
      </c>
      <c r="G180" s="4" t="s">
        <v>46</v>
      </c>
      <c r="H180" s="6" t="n">
        <v>5164.56</v>
      </c>
      <c r="I180" s="7" t="n">
        <v>360.142</v>
      </c>
      <c r="J180" s="4" t="s">
        <v>32</v>
      </c>
      <c r="K180" s="4" t="s">
        <v>33</v>
      </c>
      <c r="L180" s="4" t="s">
        <v>34</v>
      </c>
      <c r="M180" s="8" t="n">
        <f aca="false">IF(OR(H180="",I180=""),"",IF(I180&gt;0,H180/I180,""))</f>
        <v>14.3403435311627</v>
      </c>
      <c r="N180" s="4" t="str">
        <f aca="false">IF(I180="",IF(K180="NULL","FCF yok (NULL)","FCF kapsamı dışı"),IF(I180&lt;=0,"anlamsız (FCF ≤ 0)",IF(OR(K180="KOŞULLU"),"FCF KOŞULLU — yorum yapılmaz","")))</f>
        <v/>
      </c>
      <c r="O180" s="9" t="n">
        <f aca="false">IF(Q180="","",F180*R180/Q180-1)</f>
        <v>-0.385030864197531</v>
      </c>
      <c r="P180" s="9" t="n">
        <f aca="false">IF(S180="","",F180*T180/S180-1)</f>
        <v>-0.170223841749089</v>
      </c>
      <c r="Q180" s="5" t="n">
        <v>25.92</v>
      </c>
      <c r="R180" s="10" t="n">
        <v>1</v>
      </c>
      <c r="S180" s="5" t="n">
        <v>19.21</v>
      </c>
      <c r="T180" s="10" t="n">
        <v>1</v>
      </c>
      <c r="U180" s="4"/>
    </row>
    <row r="181" customFormat="false" ht="15" hidden="false" customHeight="false" outlineLevel="0" collapsed="false">
      <c r="A181" s="4" t="s">
        <v>444</v>
      </c>
      <c r="B181" s="4" t="s">
        <v>445</v>
      </c>
      <c r="C181" s="4" t="s">
        <v>60</v>
      </c>
      <c r="D181" s="4"/>
      <c r="E181" s="4"/>
      <c r="F181" s="5" t="n">
        <v>562.5</v>
      </c>
      <c r="G181" s="4" t="s">
        <v>446</v>
      </c>
      <c r="H181" s="6" t="n">
        <v>187499.9998125</v>
      </c>
      <c r="I181" s="7"/>
      <c r="J181" s="4"/>
      <c r="K181" s="4"/>
      <c r="L181" s="4"/>
      <c r="M181" s="8" t="str">
        <f aca="false">IF(OR(H181="",I181=""),"",IF(I181&gt;0,H181/I181,""))</f>
        <v/>
      </c>
      <c r="N181" s="4" t="str">
        <f aca="false">IF(I181="",IF(K181="NULL","FCF yok (NULL)","FCF kapsamı dışı"),IF(I181&lt;=0,"anlamsız (FCF ≤ 0)",IF(OR(K181="KOŞULLU"),"FCF KOŞULLU — yorum yapılmaz","")))</f>
        <v>FCF kapsamı dışı</v>
      </c>
      <c r="O181" s="9" t="n">
        <f aca="false">IF(Q181="","",F181*R181/Q181-1)</f>
        <v>-0.196428571428571</v>
      </c>
      <c r="P181" s="9" t="n">
        <f aca="false">IF(S181="","",F181*T181/S181-1)</f>
        <v>-0.68505039193729</v>
      </c>
      <c r="Q181" s="5" t="n">
        <v>700</v>
      </c>
      <c r="R181" s="10" t="n">
        <v>1</v>
      </c>
      <c r="S181" s="5" t="n">
        <v>1786</v>
      </c>
      <c r="T181" s="10" t="n">
        <v>1</v>
      </c>
      <c r="U181" s="4"/>
    </row>
    <row r="182" customFormat="false" ht="15" hidden="false" customHeight="false" outlineLevel="0" collapsed="false">
      <c r="A182" s="4" t="s">
        <v>447</v>
      </c>
      <c r="B182" s="4" t="s">
        <v>448</v>
      </c>
      <c r="C182" s="4" t="s">
        <v>29</v>
      </c>
      <c r="D182" s="4" t="s">
        <v>30</v>
      </c>
      <c r="E182" s="4" t="s">
        <v>53</v>
      </c>
      <c r="F182" s="5" t="n">
        <v>27.5</v>
      </c>
      <c r="G182" s="4" t="s">
        <v>108</v>
      </c>
      <c r="H182" s="6" t="n">
        <v>1010.1382225</v>
      </c>
      <c r="I182" s="7" t="n">
        <v>144.312232</v>
      </c>
      <c r="J182" s="4" t="s">
        <v>32</v>
      </c>
      <c r="K182" s="4" t="s">
        <v>33</v>
      </c>
      <c r="L182" s="4" t="s">
        <v>57</v>
      </c>
      <c r="M182" s="8" t="n">
        <f aca="false">IF(OR(H182="",I182=""),"",IF(I182&gt;0,H182/I182,""))</f>
        <v>6.99967153511977</v>
      </c>
      <c r="N182" s="4" t="str">
        <f aca="false">IF(I182="",IF(K182="NULL","FCF yok (NULL)","FCF kapsamı dışı"),IF(I182&lt;=0,"anlamsız (FCF ≤ 0)",IF(OR(K182="KOŞULLU"),"FCF KOŞULLU — yorum yapılmaz","")))</f>
        <v/>
      </c>
      <c r="O182" s="9" t="n">
        <f aca="false">IF(Q182="","",F182*R182/Q182-1)</f>
        <v>-0.664838513101767</v>
      </c>
      <c r="P182" s="9" t="n">
        <f aca="false">IF(S182="","",F182*T182/S182-1)</f>
        <v>-0.594694178334562</v>
      </c>
      <c r="Q182" s="5" t="n">
        <v>82.05</v>
      </c>
      <c r="R182" s="10" t="n">
        <v>1</v>
      </c>
      <c r="S182" s="5" t="n">
        <v>67.85</v>
      </c>
      <c r="T182" s="10" t="n">
        <v>1</v>
      </c>
      <c r="U182" s="4"/>
    </row>
    <row r="183" customFormat="false" ht="15" hidden="false" customHeight="false" outlineLevel="0" collapsed="false">
      <c r="A183" s="4" t="s">
        <v>449</v>
      </c>
      <c r="B183" s="4" t="s">
        <v>450</v>
      </c>
      <c r="C183" s="4" t="s">
        <v>29</v>
      </c>
      <c r="D183" s="4" t="s">
        <v>30</v>
      </c>
      <c r="E183" s="4" t="s">
        <v>231</v>
      </c>
      <c r="F183" s="5" t="n">
        <v>6.11</v>
      </c>
      <c r="G183" s="4" t="s">
        <v>26</v>
      </c>
      <c r="H183" s="6" t="n">
        <v>3055</v>
      </c>
      <c r="I183" s="7" t="n">
        <v>25.2100000000001</v>
      </c>
      <c r="J183" s="4" t="s">
        <v>32</v>
      </c>
      <c r="K183" s="4" t="s">
        <v>33</v>
      </c>
      <c r="L183" s="4" t="s">
        <v>42</v>
      </c>
      <c r="M183" s="8" t="n">
        <f aca="false">IF(OR(H183="",I183=""),"",IF(I183&gt;0,H183/I183,""))</f>
        <v>121.182070606902</v>
      </c>
      <c r="N183" s="4" t="str">
        <f aca="false">IF(I183="",IF(K183="NULL","FCF yok (NULL)","FCF kapsamı dışı"),IF(I183&lt;=0,"anlamsız (FCF ≤ 0)",IF(OR(K183="KOŞULLU"),"FCF KOŞULLU — yorum yapılmaz","")))</f>
        <v/>
      </c>
      <c r="O183" s="9" t="n">
        <f aca="false">IF(Q183="","",F183*R183/Q183-1)</f>
        <v>0.711484593837535</v>
      </c>
      <c r="P183" s="9" t="n">
        <f aca="false">IF(S183="","",F183*T183/S183-1)</f>
        <v>0.43764705882353</v>
      </c>
      <c r="Q183" s="5" t="n">
        <v>3.57</v>
      </c>
      <c r="R183" s="10" t="n">
        <v>1</v>
      </c>
      <c r="S183" s="5" t="n">
        <v>4.25</v>
      </c>
      <c r="T183" s="10" t="n">
        <v>1</v>
      </c>
      <c r="U183" s="4"/>
    </row>
    <row r="184" customFormat="false" ht="15" hidden="false" customHeight="false" outlineLevel="0" collapsed="false">
      <c r="A184" s="4" t="s">
        <v>451</v>
      </c>
      <c r="B184" s="4" t="s">
        <v>452</v>
      </c>
      <c r="C184" s="4" t="s">
        <v>29</v>
      </c>
      <c r="D184" s="4" t="s">
        <v>30</v>
      </c>
      <c r="E184" s="4" t="s">
        <v>53</v>
      </c>
      <c r="F184" s="5" t="n">
        <v>10.35</v>
      </c>
      <c r="G184" s="4" t="s">
        <v>26</v>
      </c>
      <c r="H184" s="6" t="n">
        <v>1371.375</v>
      </c>
      <c r="I184" s="7" t="n">
        <v>-417.314</v>
      </c>
      <c r="J184" s="4" t="s">
        <v>32</v>
      </c>
      <c r="K184" s="4" t="s">
        <v>33</v>
      </c>
      <c r="L184" s="4" t="s">
        <v>42</v>
      </c>
      <c r="M184" s="8" t="str">
        <f aca="false">IF(OR(H184="",I184=""),"",IF(I184&gt;0,H184/I184,""))</f>
        <v/>
      </c>
      <c r="N184" s="4" t="str">
        <f aca="false">IF(I184="",IF(K184="NULL","FCF yok (NULL)","FCF kapsamı dışı"),IF(I184&lt;=0,"anlamsız (FCF ≤ 0)",IF(OR(K184="KOŞULLU"),"FCF KOŞULLU — yorum yapılmaz","")))</f>
        <v>anlamsız (FCF ≤ 0)</v>
      </c>
      <c r="O184" s="9" t="n">
        <f aca="false">IF(Q184="","",F184*R184/Q184-1)</f>
        <v>-0.334832904884319</v>
      </c>
      <c r="P184" s="9" t="n">
        <f aca="false">IF(S184="","",F184*T184/S184-1)</f>
        <v>-0.233333333333333</v>
      </c>
      <c r="Q184" s="5" t="n">
        <v>15.56</v>
      </c>
      <c r="R184" s="10" t="n">
        <v>1</v>
      </c>
      <c r="S184" s="5" t="n">
        <v>13.5</v>
      </c>
      <c r="T184" s="10" t="n">
        <v>1</v>
      </c>
      <c r="U184" s="4"/>
    </row>
    <row r="185" customFormat="false" ht="15" hidden="false" customHeight="false" outlineLevel="0" collapsed="false">
      <c r="A185" s="4" t="s">
        <v>453</v>
      </c>
      <c r="B185" s="4" t="s">
        <v>454</v>
      </c>
      <c r="C185" s="4" t="s">
        <v>29</v>
      </c>
      <c r="D185" s="4" t="s">
        <v>30</v>
      </c>
      <c r="E185" s="4" t="s">
        <v>41</v>
      </c>
      <c r="F185" s="5" t="n">
        <v>10.36</v>
      </c>
      <c r="G185" s="4" t="s">
        <v>26</v>
      </c>
      <c r="H185" s="6" t="n">
        <v>3108</v>
      </c>
      <c r="I185" s="7" t="n">
        <v>645.5777056</v>
      </c>
      <c r="J185" s="4" t="s">
        <v>32</v>
      </c>
      <c r="K185" s="4" t="s">
        <v>33</v>
      </c>
      <c r="L185" s="4" t="s">
        <v>34</v>
      </c>
      <c r="M185" s="8" t="n">
        <f aca="false">IF(OR(H185="",I185=""),"",IF(I185&gt;0,H185/I185,""))</f>
        <v>4.81429264523846</v>
      </c>
      <c r="N185" s="4" t="str">
        <f aca="false">IF(I185="",IF(K185="NULL","FCF yok (NULL)","FCF kapsamı dışı"),IF(I185&lt;=0,"anlamsız (FCF ≤ 0)",IF(OR(K185="KOŞULLU"),"FCF KOŞULLU — yorum yapılmaz","")))</f>
        <v/>
      </c>
      <c r="O185" s="9" t="n">
        <f aca="false">IF(Q185="","",F185*R185/Q185-1)</f>
        <v>-0.307486631016043</v>
      </c>
      <c r="P185" s="9" t="n">
        <f aca="false">IF(S185="","",F185*T185/S185-1)</f>
        <v>-0.0766488413547238</v>
      </c>
      <c r="Q185" s="5" t="n">
        <v>14.96</v>
      </c>
      <c r="R185" s="10" t="n">
        <v>1</v>
      </c>
      <c r="S185" s="5" t="n">
        <v>11.22</v>
      </c>
      <c r="T185" s="10" t="n">
        <v>1</v>
      </c>
      <c r="U185" s="4"/>
    </row>
    <row r="186" customFormat="false" ht="15" hidden="false" customHeight="false" outlineLevel="0" collapsed="false">
      <c r="A186" s="4" t="s">
        <v>455</v>
      </c>
      <c r="B186" s="4" t="s">
        <v>456</v>
      </c>
      <c r="C186" s="4" t="s">
        <v>38</v>
      </c>
      <c r="D186" s="4"/>
      <c r="E186" s="4"/>
      <c r="F186" s="5" t="n">
        <v>6.73</v>
      </c>
      <c r="G186" s="4" t="s">
        <v>64</v>
      </c>
      <c r="H186" s="6" t="n">
        <v>2692</v>
      </c>
      <c r="I186" s="7"/>
      <c r="J186" s="4"/>
      <c r="K186" s="4"/>
      <c r="L186" s="4"/>
      <c r="M186" s="8" t="str">
        <f aca="false">IF(OR(H186="",I186=""),"",IF(I186&gt;0,H186/I186,""))</f>
        <v/>
      </c>
      <c r="N186" s="4" t="str">
        <f aca="false">IF(I186="",IF(K186="NULL","FCF yok (NULL)","FCF kapsamı dışı"),IF(I186&lt;=0,"anlamsız (FCF ≤ 0)",IF(OR(K186="KOŞULLU"),"FCF KOŞULLU — yorum yapılmaz","")))</f>
        <v>FCF kapsamı dışı</v>
      </c>
      <c r="O186" s="9" t="n">
        <f aca="false">IF(Q186="","",F186*R186/Q186-1)</f>
        <v>-0.0768175582990397</v>
      </c>
      <c r="P186" s="9" t="n">
        <f aca="false">IF(S186="","",F186*T186/S186-1)</f>
        <v>0.00298062593144577</v>
      </c>
      <c r="Q186" s="5" t="n">
        <v>7.29</v>
      </c>
      <c r="R186" s="10" t="n">
        <v>1</v>
      </c>
      <c r="S186" s="5" t="n">
        <v>6.71</v>
      </c>
      <c r="T186" s="10" t="n">
        <v>1</v>
      </c>
      <c r="U186" s="4"/>
    </row>
    <row r="187" customFormat="false" ht="15" hidden="false" customHeight="false" outlineLevel="0" collapsed="false">
      <c r="A187" s="4" t="s">
        <v>457</v>
      </c>
      <c r="B187" s="4" t="s">
        <v>458</v>
      </c>
      <c r="C187" s="4" t="s">
        <v>29</v>
      </c>
      <c r="D187" s="4" t="s">
        <v>30</v>
      </c>
      <c r="E187" s="4" t="s">
        <v>210</v>
      </c>
      <c r="F187" s="5" t="n">
        <v>80.1</v>
      </c>
      <c r="G187" s="4" t="s">
        <v>26</v>
      </c>
      <c r="H187" s="6" t="n">
        <v>12816</v>
      </c>
      <c r="I187" s="7" t="n">
        <v>3051.467</v>
      </c>
      <c r="J187" s="4" t="s">
        <v>32</v>
      </c>
      <c r="K187" s="4" t="s">
        <v>33</v>
      </c>
      <c r="L187" s="4" t="s">
        <v>42</v>
      </c>
      <c r="M187" s="8" t="n">
        <f aca="false">IF(OR(H187="",I187=""),"",IF(I187&gt;0,H187/I187,""))</f>
        <v>4.19994710740768</v>
      </c>
      <c r="N187" s="4" t="str">
        <f aca="false">IF(I187="",IF(K187="NULL","FCF yok (NULL)","FCF kapsamı dışı"),IF(I187&lt;=0,"anlamsız (FCF ≤ 0)",IF(OR(K187="KOŞULLU"),"FCF KOŞULLU — yorum yapılmaz","")))</f>
        <v/>
      </c>
      <c r="O187" s="9" t="n">
        <f aca="false">IF(Q187="","",F187*R187/Q187-1)</f>
        <v>0.441944194419442</v>
      </c>
      <c r="P187" s="9" t="n">
        <f aca="false">IF(S187="","",F187*T187/S187-1)</f>
        <v>-0.00988875154511759</v>
      </c>
      <c r="Q187" s="5" t="n">
        <v>55.55</v>
      </c>
      <c r="R187" s="10" t="n">
        <v>1</v>
      </c>
      <c r="S187" s="5" t="n">
        <v>80.9</v>
      </c>
      <c r="T187" s="10" t="n">
        <v>1</v>
      </c>
      <c r="U187" s="4"/>
    </row>
    <row r="188" customFormat="false" ht="15" hidden="false" customHeight="false" outlineLevel="0" collapsed="false">
      <c r="A188" s="4" t="s">
        <v>459</v>
      </c>
      <c r="B188" s="4" t="s">
        <v>460</v>
      </c>
      <c r="C188" s="4" t="s">
        <v>29</v>
      </c>
      <c r="D188" s="4" t="s">
        <v>30</v>
      </c>
      <c r="E188" s="4" t="s">
        <v>147</v>
      </c>
      <c r="F188" s="5" t="n">
        <v>64</v>
      </c>
      <c r="G188" s="4" t="s">
        <v>26</v>
      </c>
      <c r="H188" s="6" t="n">
        <v>43856.64</v>
      </c>
      <c r="I188" s="7" t="n">
        <v>512.034</v>
      </c>
      <c r="J188" s="4" t="s">
        <v>32</v>
      </c>
      <c r="K188" s="4" t="s">
        <v>33</v>
      </c>
      <c r="L188" s="4" t="s">
        <v>42</v>
      </c>
      <c r="M188" s="8" t="n">
        <f aca="false">IF(OR(H188="",I188=""),"",IF(I188&gt;0,H188/I188,""))</f>
        <v>85.6518121843471</v>
      </c>
      <c r="N188" s="4" t="str">
        <f aca="false">IF(I188="",IF(K188="NULL","FCF yok (NULL)","FCF kapsamı dışı"),IF(I188&lt;=0,"anlamsız (FCF ≤ 0)",IF(OR(K188="KOŞULLU"),"FCF KOŞULLU — yorum yapılmaz","")))</f>
        <v/>
      </c>
      <c r="O188" s="9" t="n">
        <f aca="false">IF(Q188="","",F188*R188/Q188-1)</f>
        <v>-0.271070615034169</v>
      </c>
      <c r="P188" s="9" t="n">
        <f aca="false">IF(S188="","",F188*T188/S188-1)</f>
        <v>0.114982578397212</v>
      </c>
      <c r="Q188" s="5" t="n">
        <v>87.8</v>
      </c>
      <c r="R188" s="10" t="n">
        <v>1</v>
      </c>
      <c r="S188" s="5" t="n">
        <v>57.4</v>
      </c>
      <c r="T188" s="10" t="n">
        <v>1</v>
      </c>
      <c r="U188" s="4"/>
    </row>
    <row r="189" customFormat="false" ht="15" hidden="false" customHeight="false" outlineLevel="0" collapsed="false">
      <c r="A189" s="4" t="s">
        <v>461</v>
      </c>
      <c r="B189" s="4" t="s">
        <v>462</v>
      </c>
      <c r="C189" s="4" t="s">
        <v>29</v>
      </c>
      <c r="D189" s="4" t="s">
        <v>30</v>
      </c>
      <c r="E189" s="4" t="s">
        <v>31</v>
      </c>
      <c r="F189" s="5" t="n">
        <v>24.54</v>
      </c>
      <c r="G189" s="4" t="s">
        <v>26</v>
      </c>
      <c r="H189" s="6" t="n">
        <v>13251.6</v>
      </c>
      <c r="I189" s="7" t="n">
        <v>3071.8178048</v>
      </c>
      <c r="J189" s="4" t="s">
        <v>32</v>
      </c>
      <c r="K189" s="4" t="s">
        <v>33</v>
      </c>
      <c r="L189" s="4" t="s">
        <v>57</v>
      </c>
      <c r="M189" s="8" t="n">
        <f aca="false">IF(OR(H189="",I189=""),"",IF(I189&gt;0,H189/I189,""))</f>
        <v>4.3139277268636</v>
      </c>
      <c r="N189" s="4" t="str">
        <f aca="false">IF(I189="",IF(K189="NULL","FCF yok (NULL)","FCF kapsamı dışı"),IF(I189&lt;=0,"anlamsız (FCF ≤ 0)",IF(OR(K189="KOŞULLU"),"FCF KOŞULLU — yorum yapılmaz","")))</f>
        <v/>
      </c>
      <c r="O189" s="9" t="str">
        <f aca="false">IF(Q189="","",F189*R189/Q189-1)</f>
        <v/>
      </c>
      <c r="P189" s="9" t="n">
        <f aca="false">IF(S189="","",F189*T189/S189-1)</f>
        <v>-0.193823915900131</v>
      </c>
      <c r="Q189" s="5"/>
      <c r="R189" s="10" t="n">
        <v>1</v>
      </c>
      <c r="S189" s="5" t="n">
        <v>30.44</v>
      </c>
      <c r="T189" s="10" t="n">
        <v>1</v>
      </c>
      <c r="U189" s="4"/>
    </row>
    <row r="190" customFormat="false" ht="15" hidden="false" customHeight="false" outlineLevel="0" collapsed="false">
      <c r="A190" s="4" t="s">
        <v>463</v>
      </c>
      <c r="B190" s="4" t="s">
        <v>464</v>
      </c>
      <c r="C190" s="4" t="s">
        <v>29</v>
      </c>
      <c r="D190" s="4" t="s">
        <v>63</v>
      </c>
      <c r="E190" s="4" t="s">
        <v>63</v>
      </c>
      <c r="F190" s="5" t="n">
        <v>229.9</v>
      </c>
      <c r="G190" s="4" t="s">
        <v>26</v>
      </c>
      <c r="H190" s="6" t="n">
        <v>24139.5</v>
      </c>
      <c r="I190" s="7" t="n">
        <v>652.1179792</v>
      </c>
      <c r="J190" s="4" t="s">
        <v>111</v>
      </c>
      <c r="K190" s="4" t="s">
        <v>33</v>
      </c>
      <c r="L190" s="4" t="s">
        <v>57</v>
      </c>
      <c r="M190" s="8" t="n">
        <f aca="false">IF(OR(H190="",I190=""),"",IF(I190&gt;0,H190/I190,""))</f>
        <v>37.0170747778089</v>
      </c>
      <c r="N190" s="4" t="str">
        <f aca="false">IF(I190="",IF(K190="NULL","FCF yok (NULL)","FCF kapsamı dışı"),IF(I190&lt;=0,"anlamsız (FCF ≤ 0)",IF(OR(K190="KOŞULLU"),"FCF KOŞULLU — yorum yapılmaz","")))</f>
        <v/>
      </c>
      <c r="O190" s="9" t="n">
        <f aca="false">IF(Q190="","",F190*R190/Q190-1)</f>
        <v>-0.27246835443038</v>
      </c>
      <c r="P190" s="9" t="n">
        <f aca="false">IF(S190="","",F190*T190/S190-1)</f>
        <v>0.0869976359338063</v>
      </c>
      <c r="Q190" s="5" t="n">
        <v>316</v>
      </c>
      <c r="R190" s="10" t="n">
        <v>1</v>
      </c>
      <c r="S190" s="5" t="n">
        <v>211.5</v>
      </c>
      <c r="T190" s="10" t="n">
        <v>1</v>
      </c>
      <c r="U190" s="4"/>
    </row>
    <row r="191" customFormat="false" ht="15" hidden="false" customHeight="false" outlineLevel="0" collapsed="false">
      <c r="A191" s="4" t="s">
        <v>465</v>
      </c>
      <c r="B191" s="4" t="s">
        <v>466</v>
      </c>
      <c r="C191" s="4" t="s">
        <v>29</v>
      </c>
      <c r="D191" s="4" t="s">
        <v>30</v>
      </c>
      <c r="E191" s="4" t="s">
        <v>159</v>
      </c>
      <c r="F191" s="5" t="n">
        <v>3.86</v>
      </c>
      <c r="G191" s="4" t="s">
        <v>26</v>
      </c>
      <c r="H191" s="6" t="n">
        <v>1552.3762</v>
      </c>
      <c r="I191" s="7" t="n">
        <v>-99.807</v>
      </c>
      <c r="J191" s="4" t="s">
        <v>32</v>
      </c>
      <c r="K191" s="4" t="s">
        <v>33</v>
      </c>
      <c r="L191" s="4" t="s">
        <v>42</v>
      </c>
      <c r="M191" s="8" t="str">
        <f aca="false">IF(OR(H191="",I191=""),"",IF(I191&gt;0,H191/I191,""))</f>
        <v/>
      </c>
      <c r="N191" s="4" t="str">
        <f aca="false">IF(I191="",IF(K191="NULL","FCF yok (NULL)","FCF kapsamı dışı"),IF(I191&lt;=0,"anlamsız (FCF ≤ 0)",IF(OR(K191="KOŞULLU"),"FCF KOŞULLU — yorum yapılmaz","")))</f>
        <v>anlamsız (FCF ≤ 0)</v>
      </c>
      <c r="O191" s="9" t="n">
        <f aca="false">IF(Q191="","",F191*R191/Q191-1)</f>
        <v>-0.190775681341719</v>
      </c>
      <c r="P191" s="9" t="n">
        <f aca="false">IF(S191="","",F191*T191/S191-1)</f>
        <v>-0.655971479500891</v>
      </c>
      <c r="Q191" s="5" t="n">
        <v>4.77</v>
      </c>
      <c r="R191" s="10" t="n">
        <v>1</v>
      </c>
      <c r="S191" s="5" t="n">
        <v>11.22</v>
      </c>
      <c r="T191" s="10" t="n">
        <v>1</v>
      </c>
      <c r="U191" s="4"/>
    </row>
    <row r="192" customFormat="false" ht="15" hidden="false" customHeight="false" outlineLevel="0" collapsed="false">
      <c r="A192" s="4" t="s">
        <v>467</v>
      </c>
      <c r="B192" s="4" t="s">
        <v>468</v>
      </c>
      <c r="C192" s="4" t="s">
        <v>29</v>
      </c>
      <c r="D192" s="4"/>
      <c r="E192" s="4"/>
      <c r="F192" s="5" t="n">
        <v>29.38</v>
      </c>
      <c r="G192" s="4" t="s">
        <v>64</v>
      </c>
      <c r="H192" s="6" t="n">
        <v>1909.7</v>
      </c>
      <c r="I192" s="7"/>
      <c r="J192" s="4"/>
      <c r="K192" s="4"/>
      <c r="L192" s="4"/>
      <c r="M192" s="8" t="str">
        <f aca="false">IF(OR(H192="",I192=""),"",IF(I192&gt;0,H192/I192,""))</f>
        <v/>
      </c>
      <c r="N192" s="4" t="str">
        <f aca="false">IF(I192="",IF(K192="NULL","FCF yok (NULL)","FCF kapsamı dışı"),IF(I192&lt;=0,"anlamsız (FCF ≤ 0)",IF(OR(K192="KOŞULLU"),"FCF KOŞULLU — yorum yapılmaz","")))</f>
        <v>FCF kapsamı dışı</v>
      </c>
      <c r="O192" s="9" t="n">
        <f aca="false">IF(Q192="","",F192*R192/Q192-1)</f>
        <v>-0.131283264340627</v>
      </c>
      <c r="P192" s="9" t="n">
        <f aca="false">IF(S192="","",F192*T192/S192-1)</f>
        <v>-0.0461038961038962</v>
      </c>
      <c r="Q192" s="5" t="n">
        <v>33.82</v>
      </c>
      <c r="R192" s="10" t="n">
        <v>1</v>
      </c>
      <c r="S192" s="5" t="n">
        <v>30.8</v>
      </c>
      <c r="T192" s="10" t="n">
        <v>1</v>
      </c>
      <c r="U192" s="4"/>
    </row>
    <row r="193" customFormat="false" ht="15" hidden="false" customHeight="false" outlineLevel="0" collapsed="false">
      <c r="A193" s="4" t="s">
        <v>469</v>
      </c>
      <c r="B193" s="4" t="s">
        <v>470</v>
      </c>
      <c r="C193" s="4" t="s">
        <v>29</v>
      </c>
      <c r="D193" s="4" t="s">
        <v>30</v>
      </c>
      <c r="E193" s="4" t="s">
        <v>53</v>
      </c>
      <c r="F193" s="5" t="n">
        <v>14.2</v>
      </c>
      <c r="G193" s="4" t="s">
        <v>26</v>
      </c>
      <c r="H193" s="6" t="n">
        <v>30927.6</v>
      </c>
      <c r="I193" s="7" t="n">
        <v>-521.895</v>
      </c>
      <c r="J193" s="4" t="s">
        <v>32</v>
      </c>
      <c r="K193" s="4" t="s">
        <v>33</v>
      </c>
      <c r="L193" s="4" t="s">
        <v>42</v>
      </c>
      <c r="M193" s="8" t="str">
        <f aca="false">IF(OR(H193="",I193=""),"",IF(I193&gt;0,H193/I193,""))</f>
        <v/>
      </c>
      <c r="N193" s="4" t="str">
        <f aca="false">IF(I193="",IF(K193="NULL","FCF yok (NULL)","FCF kapsamı dışı"),IF(I193&lt;=0,"anlamsız (FCF ≤ 0)",IF(OR(K193="KOŞULLU"),"FCF KOŞULLU — yorum yapılmaz","")))</f>
        <v>anlamsız (FCF ≤ 0)</v>
      </c>
      <c r="O193" s="9" t="n">
        <f aca="false">IF(Q193="","",F193*R193/Q193-1)</f>
        <v>-0.347726228755168</v>
      </c>
      <c r="P193" s="9" t="n">
        <f aca="false">IF(S193="","",F193*T193/S193-1)</f>
        <v>-0.192723138146674</v>
      </c>
      <c r="Q193" s="5" t="n">
        <v>21.77</v>
      </c>
      <c r="R193" s="10" t="n">
        <v>1</v>
      </c>
      <c r="S193" s="5" t="n">
        <v>17.59</v>
      </c>
      <c r="T193" s="10" t="n">
        <v>1</v>
      </c>
      <c r="U193" s="4"/>
    </row>
    <row r="194" customFormat="false" ht="15" hidden="false" customHeight="false" outlineLevel="0" collapsed="false">
      <c r="A194" s="4" t="s">
        <v>471</v>
      </c>
      <c r="B194" s="4" t="s">
        <v>472</v>
      </c>
      <c r="C194" s="4" t="s">
        <v>29</v>
      </c>
      <c r="D194" s="4" t="s">
        <v>30</v>
      </c>
      <c r="E194" s="4" t="s">
        <v>234</v>
      </c>
      <c r="F194" s="5" t="n">
        <v>5015</v>
      </c>
      <c r="G194" s="4" t="s">
        <v>26</v>
      </c>
      <c r="H194" s="6" t="n">
        <v>15797.25</v>
      </c>
      <c r="I194" s="7" t="n">
        <v>274.68024</v>
      </c>
      <c r="J194" s="4" t="s">
        <v>32</v>
      </c>
      <c r="K194" s="4" t="s">
        <v>154</v>
      </c>
      <c r="L194" s="4" t="s">
        <v>34</v>
      </c>
      <c r="M194" s="8" t="n">
        <f aca="false">IF(OR(H194="",I194=""),"",IF(I194&gt;0,H194/I194,""))</f>
        <v>57.5114176396526</v>
      </c>
      <c r="N194" s="4" t="str">
        <f aca="false">IF(I194="",IF(K194="NULL","FCF yok (NULL)","FCF kapsamı dışı"),IF(I194&lt;=0,"anlamsız (FCF ≤ 0)",IF(OR(K194="KOŞULLU"),"FCF KOŞULLU — yorum yapılmaz","")))</f>
        <v>FCF KOŞULLU — yorum yapılmaz</v>
      </c>
      <c r="O194" s="9" t="n">
        <f aca="false">IF(Q194="","",F194*R194/Q194-1)</f>
        <v>-0.384851272615762</v>
      </c>
      <c r="P194" s="9" t="n">
        <f aca="false">IF(S194="","",F194*T194/S194-1)</f>
        <v>0.0641909814323607</v>
      </c>
      <c r="Q194" s="5" t="n">
        <v>8152.5</v>
      </c>
      <c r="R194" s="10" t="n">
        <v>1</v>
      </c>
      <c r="S194" s="5" t="n">
        <v>4712.5</v>
      </c>
      <c r="T194" s="10" t="n">
        <v>1</v>
      </c>
      <c r="U194" s="4"/>
    </row>
    <row r="195" customFormat="false" ht="15" hidden="false" customHeight="false" outlineLevel="0" collapsed="false">
      <c r="A195" s="4" t="s">
        <v>473</v>
      </c>
      <c r="B195" s="4" t="s">
        <v>474</v>
      </c>
      <c r="C195" s="4" t="s">
        <v>38</v>
      </c>
      <c r="D195" s="4"/>
      <c r="E195" s="4"/>
      <c r="F195" s="5" t="n">
        <v>16.58</v>
      </c>
      <c r="G195" s="4" t="s">
        <v>26</v>
      </c>
      <c r="H195" s="6" t="n">
        <v>3316</v>
      </c>
      <c r="I195" s="7"/>
      <c r="J195" s="4"/>
      <c r="K195" s="4"/>
      <c r="L195" s="4"/>
      <c r="M195" s="8" t="str">
        <f aca="false">IF(OR(H195="",I195=""),"",IF(I195&gt;0,H195/I195,""))</f>
        <v/>
      </c>
      <c r="N195" s="4" t="str">
        <f aca="false">IF(I195="",IF(K195="NULL","FCF yok (NULL)","FCF kapsamı dışı"),IF(I195&lt;=0,"anlamsız (FCF ≤ 0)",IF(OR(K195="KOŞULLU"),"FCF KOŞULLU — yorum yapılmaz","")))</f>
        <v>FCF kapsamı dışı</v>
      </c>
      <c r="O195" s="9" t="n">
        <f aca="false">IF(Q195="","",F195*R195/Q195-1)</f>
        <v>-0.365237366003063</v>
      </c>
      <c r="P195" s="9" t="n">
        <f aca="false">IF(S195="","",F195*T195/S195-1)</f>
        <v>0.128658951667801</v>
      </c>
      <c r="Q195" s="5" t="n">
        <v>26.12</v>
      </c>
      <c r="R195" s="10" t="n">
        <v>1</v>
      </c>
      <c r="S195" s="5" t="n">
        <v>14.69</v>
      </c>
      <c r="T195" s="10" t="n">
        <v>1</v>
      </c>
      <c r="U195" s="4"/>
    </row>
    <row r="196" customFormat="false" ht="15" hidden="false" customHeight="false" outlineLevel="0" collapsed="false">
      <c r="A196" s="4" t="s">
        <v>475</v>
      </c>
      <c r="B196" s="4" t="s">
        <v>476</v>
      </c>
      <c r="C196" s="4" t="s">
        <v>29</v>
      </c>
      <c r="D196" s="4" t="s">
        <v>30</v>
      </c>
      <c r="E196" s="4" t="s">
        <v>147</v>
      </c>
      <c r="F196" s="5" t="n">
        <v>6.2</v>
      </c>
      <c r="G196" s="4" t="s">
        <v>26</v>
      </c>
      <c r="H196" s="6" t="n">
        <v>3100</v>
      </c>
      <c r="I196" s="7" t="n">
        <v>130.8450384</v>
      </c>
      <c r="J196" s="4" t="s">
        <v>32</v>
      </c>
      <c r="K196" s="4" t="s">
        <v>33</v>
      </c>
      <c r="L196" s="4" t="s">
        <v>57</v>
      </c>
      <c r="M196" s="8" t="n">
        <f aca="false">IF(OR(H196="",I196=""),"",IF(I196&gt;0,H196/I196,""))</f>
        <v>23.692147886595</v>
      </c>
      <c r="N196" s="4" t="str">
        <f aca="false">IF(I196="",IF(K196="NULL","FCF yok (NULL)","FCF kapsamı dışı"),IF(I196&lt;=0,"anlamsız (FCF ≤ 0)",IF(OR(K196="KOŞULLU"),"FCF KOŞULLU — yorum yapılmaz","")))</f>
        <v/>
      </c>
      <c r="O196" s="9" t="n">
        <f aca="false">IF(Q196="","",F196*R196/Q196-1)</f>
        <v>-0.242053789731051</v>
      </c>
      <c r="P196" s="9" t="n">
        <f aca="false">IF(S196="","",F196*T196/S196-1)</f>
        <v>-0.134078212290503</v>
      </c>
      <c r="Q196" s="5" t="n">
        <v>8.18</v>
      </c>
      <c r="R196" s="10" t="n">
        <v>1</v>
      </c>
      <c r="S196" s="5" t="n">
        <v>7.16</v>
      </c>
      <c r="T196" s="10" t="n">
        <v>1</v>
      </c>
      <c r="U196" s="4"/>
    </row>
    <row r="197" customFormat="false" ht="15" hidden="false" customHeight="false" outlineLevel="0" collapsed="false">
      <c r="A197" s="4" t="s">
        <v>477</v>
      </c>
      <c r="B197" s="4" t="s">
        <v>478</v>
      </c>
      <c r="C197" s="4" t="s">
        <v>29</v>
      </c>
      <c r="D197" s="4" t="s">
        <v>30</v>
      </c>
      <c r="E197" s="4" t="s">
        <v>41</v>
      </c>
      <c r="F197" s="5" t="n">
        <v>99.55</v>
      </c>
      <c r="G197" s="4" t="s">
        <v>26</v>
      </c>
      <c r="H197" s="6" t="n">
        <v>9955</v>
      </c>
      <c r="I197" s="7" t="n">
        <v>409.2</v>
      </c>
      <c r="J197" s="4" t="s">
        <v>32</v>
      </c>
      <c r="K197" s="4" t="s">
        <v>33</v>
      </c>
      <c r="L197" s="4" t="s">
        <v>42</v>
      </c>
      <c r="M197" s="8" t="n">
        <f aca="false">IF(OR(H197="",I197=""),"",IF(I197&gt;0,H197/I197,""))</f>
        <v>24.3279569892473</v>
      </c>
      <c r="N197" s="4" t="str">
        <f aca="false">IF(I197="",IF(K197="NULL","FCF yok (NULL)","FCF kapsamı dışı"),IF(I197&lt;=0,"anlamsız (FCF ≤ 0)",IF(OR(K197="KOŞULLU"),"FCF KOŞULLU — yorum yapılmaz","")))</f>
        <v/>
      </c>
      <c r="O197" s="9" t="n">
        <f aca="false">IF(Q197="","",F197*R197/Q197-1)</f>
        <v>-0.16344537815126</v>
      </c>
      <c r="P197" s="9" t="n">
        <f aca="false">IF(S197="","",F197*T197/S197-1)</f>
        <v>0.00555555555555554</v>
      </c>
      <c r="Q197" s="5" t="n">
        <v>119</v>
      </c>
      <c r="R197" s="10" t="n">
        <v>1</v>
      </c>
      <c r="S197" s="5" t="n">
        <v>99</v>
      </c>
      <c r="T197" s="10" t="n">
        <v>1</v>
      </c>
      <c r="U197" s="4"/>
    </row>
    <row r="198" customFormat="false" ht="15" hidden="false" customHeight="false" outlineLevel="0" collapsed="false">
      <c r="A198" s="4" t="s">
        <v>479</v>
      </c>
      <c r="B198" s="4" t="s">
        <v>480</v>
      </c>
      <c r="C198" s="4" t="s">
        <v>29</v>
      </c>
      <c r="D198" s="4" t="s">
        <v>30</v>
      </c>
      <c r="E198" s="4" t="s">
        <v>41</v>
      </c>
      <c r="F198" s="5" t="n">
        <v>34.1</v>
      </c>
      <c r="G198" s="4" t="s">
        <v>46</v>
      </c>
      <c r="H198" s="6" t="n">
        <v>18584.5</v>
      </c>
      <c r="I198" s="7" t="n">
        <v>514.402</v>
      </c>
      <c r="J198" s="4" t="s">
        <v>32</v>
      </c>
      <c r="K198" s="4" t="s">
        <v>33</v>
      </c>
      <c r="L198" s="4" t="s">
        <v>42</v>
      </c>
      <c r="M198" s="8" t="n">
        <f aca="false">IF(OR(H198="",I198=""),"",IF(I198&gt;0,H198/I198,""))</f>
        <v>36.1283587544372</v>
      </c>
      <c r="N198" s="4" t="str">
        <f aca="false">IF(I198="",IF(K198="NULL","FCF yok (NULL)","FCF kapsamı dışı"),IF(I198&lt;=0,"anlamsız (FCF ≤ 0)",IF(OR(K198="KOŞULLU"),"FCF KOŞULLU — yorum yapılmaz","")))</f>
        <v/>
      </c>
      <c r="O198" s="9" t="n">
        <f aca="false">IF(Q198="","",F198*R198/Q198-1)</f>
        <v>0.203246294989414</v>
      </c>
      <c r="P198" s="9" t="n">
        <f aca="false">IF(S198="","",F198*T198/S198-1)</f>
        <v>0.00649350649350655</v>
      </c>
      <c r="Q198" s="5" t="n">
        <v>28.34</v>
      </c>
      <c r="R198" s="10" t="n">
        <v>1</v>
      </c>
      <c r="S198" s="5" t="n">
        <v>33.88</v>
      </c>
      <c r="T198" s="10" t="n">
        <v>1</v>
      </c>
      <c r="U198" s="4"/>
    </row>
    <row r="199" customFormat="false" ht="15" hidden="false" customHeight="false" outlineLevel="0" collapsed="false">
      <c r="A199" s="4" t="s">
        <v>481</v>
      </c>
      <c r="B199" s="4" t="s">
        <v>482</v>
      </c>
      <c r="C199" s="4" t="s">
        <v>29</v>
      </c>
      <c r="D199" s="4" t="s">
        <v>30</v>
      </c>
      <c r="E199" s="4" t="s">
        <v>263</v>
      </c>
      <c r="F199" s="5" t="n">
        <v>2.65</v>
      </c>
      <c r="G199" s="4" t="s">
        <v>120</v>
      </c>
      <c r="H199" s="6" t="n">
        <v>1908</v>
      </c>
      <c r="I199" s="7" t="n">
        <v>-990.6547088</v>
      </c>
      <c r="J199" s="4" t="s">
        <v>32</v>
      </c>
      <c r="K199" s="4" t="s">
        <v>33</v>
      </c>
      <c r="L199" s="4" t="s">
        <v>34</v>
      </c>
      <c r="M199" s="8" t="str">
        <f aca="false">IF(OR(H199="",I199=""),"",IF(I199&gt;0,H199/I199,""))</f>
        <v/>
      </c>
      <c r="N199" s="4" t="str">
        <f aca="false">IF(I199="",IF(K199="NULL","FCF yok (NULL)","FCF kapsamı dışı"),IF(I199&lt;=0,"anlamsız (FCF ≤ 0)",IF(OR(K199="KOŞULLU"),"FCF KOŞULLU — yorum yapılmaz","")))</f>
        <v>anlamsız (FCF ≤ 0)</v>
      </c>
      <c r="O199" s="9" t="n">
        <f aca="false">IF(Q199="","",F199*R199/Q199-1)</f>
        <v>-0.24929178470255</v>
      </c>
      <c r="P199" s="9" t="n">
        <f aca="false">IF(S199="","",F199*T199/S199-1)</f>
        <v>0.0192307692307692</v>
      </c>
      <c r="Q199" s="5" t="n">
        <v>3.53</v>
      </c>
      <c r="R199" s="10" t="n">
        <v>1</v>
      </c>
      <c r="S199" s="5" t="n">
        <v>2.6</v>
      </c>
      <c r="T199" s="10" t="n">
        <v>1</v>
      </c>
      <c r="U199" s="4"/>
    </row>
    <row r="200" customFormat="false" ht="15" hidden="false" customHeight="false" outlineLevel="0" collapsed="false">
      <c r="A200" s="4" t="s">
        <v>483</v>
      </c>
      <c r="B200" s="4" t="s">
        <v>484</v>
      </c>
      <c r="C200" s="4" t="s">
        <v>29</v>
      </c>
      <c r="D200" s="4" t="s">
        <v>30</v>
      </c>
      <c r="E200" s="4" t="s">
        <v>295</v>
      </c>
      <c r="F200" s="5" t="n">
        <v>29.14</v>
      </c>
      <c r="G200" s="4" t="s">
        <v>64</v>
      </c>
      <c r="H200" s="6" t="n">
        <v>9324.8</v>
      </c>
      <c r="I200" s="7"/>
      <c r="J200" s="4" t="s">
        <v>32</v>
      </c>
      <c r="K200" s="4" t="s">
        <v>116</v>
      </c>
      <c r="L200" s="4" t="s">
        <v>42</v>
      </c>
      <c r="M200" s="8" t="str">
        <f aca="false">IF(OR(H200="",I200=""),"",IF(I200&gt;0,H200/I200,""))</f>
        <v/>
      </c>
      <c r="N200" s="4" t="str">
        <f aca="false">IF(I200="",IF(K200="NULL","FCF yok (NULL)","FCF kapsamı dışı"),IF(I200&lt;=0,"anlamsız (FCF ≤ 0)",IF(OR(K200="KOŞULLU"),"FCF KOŞULLU — yorum yapılmaz","")))</f>
        <v>FCF yok (NULL)</v>
      </c>
      <c r="O200" s="9" t="str">
        <f aca="false">IF(Q200="","",F200*R200/Q200-1)</f>
        <v/>
      </c>
      <c r="P200" s="9" t="n">
        <f aca="false">IF(S200="","",F200*T200/S200-1)</f>
        <v>-0.175438596491228</v>
      </c>
      <c r="Q200" s="5"/>
      <c r="R200" s="10" t="n">
        <v>1</v>
      </c>
      <c r="S200" s="5" t="n">
        <v>35.34</v>
      </c>
      <c r="T200" s="10" t="n">
        <v>1</v>
      </c>
      <c r="U200" s="4"/>
    </row>
    <row r="201" customFormat="false" ht="15" hidden="false" customHeight="false" outlineLevel="0" collapsed="false">
      <c r="A201" s="4" t="s">
        <v>485</v>
      </c>
      <c r="B201" s="4" t="s">
        <v>486</v>
      </c>
      <c r="C201" s="4" t="s">
        <v>38</v>
      </c>
      <c r="D201" s="4"/>
      <c r="E201" s="4"/>
      <c r="F201" s="5" t="n">
        <v>19.84</v>
      </c>
      <c r="G201" s="4" t="s">
        <v>76</v>
      </c>
      <c r="H201" s="6" t="n">
        <v>75392</v>
      </c>
      <c r="I201" s="7"/>
      <c r="J201" s="4"/>
      <c r="K201" s="4"/>
      <c r="L201" s="4"/>
      <c r="M201" s="8" t="str">
        <f aca="false">IF(OR(H201="",I201=""),"",IF(I201&gt;0,H201/I201,""))</f>
        <v/>
      </c>
      <c r="N201" s="4" t="str">
        <f aca="false">IF(I201="",IF(K201="NULL","FCF yok (NULL)","FCF kapsamı dışı"),IF(I201&lt;=0,"anlamsız (FCF ≤ 0)",IF(OR(K201="KOŞULLU"),"FCF KOŞULLU — yorum yapılmaz","")))</f>
        <v>FCF kapsamı dışı</v>
      </c>
      <c r="O201" s="9" t="n">
        <f aca="false">IF(Q201="","",F201*R201/Q201-1)</f>
        <v>-0.0396902226524686</v>
      </c>
      <c r="P201" s="9" t="n">
        <f aca="false">IF(S201="","",F201*T201/S201-1)</f>
        <v>0.0333333333333334</v>
      </c>
      <c r="Q201" s="5" t="n">
        <v>20.66</v>
      </c>
      <c r="R201" s="10" t="n">
        <v>1</v>
      </c>
      <c r="S201" s="5" t="n">
        <v>19.2</v>
      </c>
      <c r="T201" s="10" t="n">
        <v>1</v>
      </c>
      <c r="U201" s="4"/>
    </row>
    <row r="202" customFormat="false" ht="15" hidden="false" customHeight="false" outlineLevel="0" collapsed="false">
      <c r="A202" s="4" t="s">
        <v>487</v>
      </c>
      <c r="B202" s="4" t="s">
        <v>488</v>
      </c>
      <c r="C202" s="4" t="s">
        <v>29</v>
      </c>
      <c r="D202" s="4" t="s">
        <v>30</v>
      </c>
      <c r="E202" s="4" t="s">
        <v>305</v>
      </c>
      <c r="F202" s="5" t="n">
        <v>15.51</v>
      </c>
      <c r="G202" s="4" t="s">
        <v>64</v>
      </c>
      <c r="H202" s="6" t="n">
        <v>12904.32</v>
      </c>
      <c r="I202" s="7"/>
      <c r="J202" s="4" t="s">
        <v>32</v>
      </c>
      <c r="K202" s="4" t="s">
        <v>116</v>
      </c>
      <c r="L202" s="4" t="s">
        <v>42</v>
      </c>
      <c r="M202" s="8" t="str">
        <f aca="false">IF(OR(H202="",I202=""),"",IF(I202&gt;0,H202/I202,""))</f>
        <v/>
      </c>
      <c r="N202" s="4" t="str">
        <f aca="false">IF(I202="",IF(K202="NULL","FCF yok (NULL)","FCF kapsamı dışı"),IF(I202&lt;=0,"anlamsız (FCF ≤ 0)",IF(OR(K202="KOŞULLU"),"FCF KOŞULLU — yorum yapılmaz","")))</f>
        <v>FCF yok (NULL)</v>
      </c>
      <c r="O202" s="9" t="str">
        <f aca="false">IF(Q202="","",F202*R202/Q202-1)</f>
        <v/>
      </c>
      <c r="P202" s="9" t="n">
        <f aca="false">IF(S202="","",F202*T202/S202-1)</f>
        <v>0.0594262295081967</v>
      </c>
      <c r="Q202" s="5"/>
      <c r="R202" s="10" t="n">
        <v>1</v>
      </c>
      <c r="S202" s="5" t="n">
        <v>14.64</v>
      </c>
      <c r="T202" s="10" t="n">
        <v>1</v>
      </c>
      <c r="U202" s="4"/>
    </row>
    <row r="203" customFormat="false" ht="15" hidden="false" customHeight="false" outlineLevel="0" collapsed="false">
      <c r="A203" s="4" t="s">
        <v>489</v>
      </c>
      <c r="B203" s="4" t="s">
        <v>490</v>
      </c>
      <c r="C203" s="4" t="s">
        <v>29</v>
      </c>
      <c r="D203" s="4" t="s">
        <v>30</v>
      </c>
      <c r="E203" s="4" t="s">
        <v>41</v>
      </c>
      <c r="F203" s="5" t="n">
        <v>51.5</v>
      </c>
      <c r="G203" s="4" t="s">
        <v>141</v>
      </c>
      <c r="H203" s="6" t="n">
        <v>478.150205</v>
      </c>
      <c r="I203" s="7" t="n">
        <v>-89.544</v>
      </c>
      <c r="J203" s="4" t="s">
        <v>32</v>
      </c>
      <c r="K203" s="4" t="s">
        <v>33</v>
      </c>
      <c r="L203" s="4" t="s">
        <v>42</v>
      </c>
      <c r="M203" s="8" t="str">
        <f aca="false">IF(OR(H203="",I203=""),"",IF(I203&gt;0,H203/I203,""))</f>
        <v/>
      </c>
      <c r="N203" s="4" t="str">
        <f aca="false">IF(I203="",IF(K203="NULL","FCF yok (NULL)","FCF kapsamı dışı"),IF(I203&lt;=0,"anlamsız (FCF ≤ 0)",IF(OR(K203="KOŞULLU"),"FCF KOŞULLU — yorum yapılmaz","")))</f>
        <v>anlamsız (FCF ≤ 0)</v>
      </c>
      <c r="O203" s="9" t="n">
        <f aca="false">IF(Q203="","",F203*R203/Q203-1)</f>
        <v>-0.408385985066054</v>
      </c>
      <c r="P203" s="9" t="n">
        <f aca="false">IF(S203="","",F203*T203/S203-1)</f>
        <v>0.144444444444444</v>
      </c>
      <c r="Q203" s="5" t="n">
        <v>87.05</v>
      </c>
      <c r="R203" s="10" t="n">
        <v>1</v>
      </c>
      <c r="S203" s="5" t="n">
        <v>45</v>
      </c>
      <c r="T203" s="10" t="n">
        <v>1</v>
      </c>
      <c r="U203" s="4"/>
    </row>
    <row r="204" customFormat="false" ht="15" hidden="false" customHeight="false" outlineLevel="0" collapsed="false">
      <c r="A204" s="4" t="s">
        <v>491</v>
      </c>
      <c r="B204" s="4" t="s">
        <v>492</v>
      </c>
      <c r="C204" s="4" t="s">
        <v>29</v>
      </c>
      <c r="D204" s="4" t="s">
        <v>30</v>
      </c>
      <c r="E204" s="4" t="s">
        <v>126</v>
      </c>
      <c r="F204" s="5" t="n">
        <v>3.43</v>
      </c>
      <c r="G204" s="4" t="s">
        <v>26</v>
      </c>
      <c r="H204" s="6" t="n">
        <v>3841.6</v>
      </c>
      <c r="I204" s="7" t="n">
        <v>-840.0628896</v>
      </c>
      <c r="J204" s="4" t="s">
        <v>32</v>
      </c>
      <c r="K204" s="4" t="s">
        <v>33</v>
      </c>
      <c r="L204" s="4" t="s">
        <v>34</v>
      </c>
      <c r="M204" s="8" t="str">
        <f aca="false">IF(OR(H204="",I204=""),"",IF(I204&gt;0,H204/I204,""))</f>
        <v/>
      </c>
      <c r="N204" s="4" t="str">
        <f aca="false">IF(I204="",IF(K204="NULL","FCF yok (NULL)","FCF kapsamı dışı"),IF(I204&lt;=0,"anlamsız (FCF ≤ 0)",IF(OR(K204="KOŞULLU"),"FCF KOŞULLU — yorum yapılmaz","")))</f>
        <v>anlamsız (FCF ≤ 0)</v>
      </c>
      <c r="O204" s="9" t="n">
        <f aca="false">IF(Q204="","",F204*R204/Q204-1)</f>
        <v>-0.467391304347826</v>
      </c>
      <c r="P204" s="9" t="n">
        <f aca="false">IF(S204="","",F204*T204/S204-1)</f>
        <v>-0.122762148337596</v>
      </c>
      <c r="Q204" s="5" t="n">
        <v>6.44</v>
      </c>
      <c r="R204" s="10" t="n">
        <v>1</v>
      </c>
      <c r="S204" s="5" t="n">
        <v>3.91</v>
      </c>
      <c r="T204" s="10" t="n">
        <v>1</v>
      </c>
      <c r="U204" s="4"/>
    </row>
    <row r="205" customFormat="false" ht="15" hidden="false" customHeight="false" outlineLevel="0" collapsed="false">
      <c r="A205" s="4" t="s">
        <v>493</v>
      </c>
      <c r="B205" s="4" t="s">
        <v>494</v>
      </c>
      <c r="C205" s="4" t="s">
        <v>29</v>
      </c>
      <c r="D205" s="4" t="s">
        <v>30</v>
      </c>
      <c r="E205" s="4" t="s">
        <v>53</v>
      </c>
      <c r="F205" s="5" t="n">
        <v>4.57</v>
      </c>
      <c r="G205" s="4" t="s">
        <v>46</v>
      </c>
      <c r="H205" s="6" t="n">
        <v>2742</v>
      </c>
      <c r="I205" s="7" t="n">
        <v>-1238.664</v>
      </c>
      <c r="J205" s="4" t="s">
        <v>32</v>
      </c>
      <c r="K205" s="4" t="s">
        <v>33</v>
      </c>
      <c r="L205" s="4" t="s">
        <v>42</v>
      </c>
      <c r="M205" s="8" t="str">
        <f aca="false">IF(OR(H205="",I205=""),"",IF(I205&gt;0,H205/I205,""))</f>
        <v/>
      </c>
      <c r="N205" s="4" t="str">
        <f aca="false">IF(I205="",IF(K205="NULL","FCF yok (NULL)","FCF kapsamı dışı"),IF(I205&lt;=0,"anlamsız (FCF ≤ 0)",IF(OR(K205="KOŞULLU"),"FCF KOŞULLU — yorum yapılmaz","")))</f>
        <v>anlamsız (FCF ≤ 0)</v>
      </c>
      <c r="O205" s="9" t="n">
        <f aca="false">IF(Q205="","",F205*R205/Q205-1)</f>
        <v>-0.299079754601227</v>
      </c>
      <c r="P205" s="9" t="n">
        <f aca="false">IF(S205="","",F205*T205/S205-1)</f>
        <v>0.036281179138322</v>
      </c>
      <c r="Q205" s="5" t="n">
        <v>6.52</v>
      </c>
      <c r="R205" s="10" t="n">
        <v>1</v>
      </c>
      <c r="S205" s="5" t="n">
        <v>4.41</v>
      </c>
      <c r="T205" s="10" t="n">
        <v>1</v>
      </c>
      <c r="U205" s="4"/>
    </row>
    <row r="206" customFormat="false" ht="15" hidden="false" customHeight="false" outlineLevel="0" collapsed="false">
      <c r="A206" s="4" t="s">
        <v>495</v>
      </c>
      <c r="B206" s="4" t="s">
        <v>496</v>
      </c>
      <c r="C206" s="4" t="s">
        <v>29</v>
      </c>
      <c r="D206" s="4" t="s">
        <v>30</v>
      </c>
      <c r="E206" s="4" t="s">
        <v>53</v>
      </c>
      <c r="F206" s="5" t="n">
        <v>20.1</v>
      </c>
      <c r="G206" s="4" t="s">
        <v>46</v>
      </c>
      <c r="H206" s="6" t="n">
        <v>2604.96</v>
      </c>
      <c r="I206" s="7" t="n">
        <v>-172.025048</v>
      </c>
      <c r="J206" s="4" t="s">
        <v>32</v>
      </c>
      <c r="K206" s="4" t="s">
        <v>33</v>
      </c>
      <c r="L206" s="4" t="s">
        <v>34</v>
      </c>
      <c r="M206" s="8" t="str">
        <f aca="false">IF(OR(H206="",I206=""),"",IF(I206&gt;0,H206/I206,""))</f>
        <v/>
      </c>
      <c r="N206" s="4" t="str">
        <f aca="false">IF(I206="",IF(K206="NULL","FCF yok (NULL)","FCF kapsamı dışı"),IF(I206&lt;=0,"anlamsız (FCF ≤ 0)",IF(OR(K206="KOŞULLU"),"FCF KOŞULLU — yorum yapılmaz","")))</f>
        <v>anlamsız (FCF ≤ 0)</v>
      </c>
      <c r="O206" s="9" t="n">
        <f aca="false">IF(Q206="","",F206*R206/Q206-1)</f>
        <v>-0.415527769700494</v>
      </c>
      <c r="P206" s="9" t="n">
        <f aca="false">IF(S206="","",F206*T206/S206-1)</f>
        <v>-0.056338028169014</v>
      </c>
      <c r="Q206" s="5" t="n">
        <v>34.39</v>
      </c>
      <c r="R206" s="10" t="n">
        <v>1</v>
      </c>
      <c r="S206" s="5" t="n">
        <v>21.3</v>
      </c>
      <c r="T206" s="10" t="n">
        <v>1</v>
      </c>
      <c r="U206" s="4"/>
    </row>
    <row r="207" customFormat="false" ht="15" hidden="false" customHeight="false" outlineLevel="0" collapsed="false">
      <c r="A207" s="4" t="s">
        <v>497</v>
      </c>
      <c r="B207" s="4" t="s">
        <v>498</v>
      </c>
      <c r="C207" s="4" t="s">
        <v>29</v>
      </c>
      <c r="D207" s="4" t="s">
        <v>30</v>
      </c>
      <c r="E207" s="4" t="s">
        <v>45</v>
      </c>
      <c r="F207" s="5" t="n">
        <v>7.39</v>
      </c>
      <c r="G207" s="4" t="s">
        <v>26</v>
      </c>
      <c r="H207" s="6" t="n">
        <v>1108.5</v>
      </c>
      <c r="I207" s="7" t="n">
        <v>184.158</v>
      </c>
      <c r="J207" s="4" t="s">
        <v>32</v>
      </c>
      <c r="K207" s="4" t="s">
        <v>86</v>
      </c>
      <c r="L207" s="4" t="s">
        <v>42</v>
      </c>
      <c r="M207" s="8" t="n">
        <f aca="false">IF(OR(H207="",I207=""),"",IF(I207&gt;0,H207/I207,""))</f>
        <v>6.01928778548855</v>
      </c>
      <c r="N207" s="4" t="str">
        <f aca="false">IF(I207="",IF(K207="NULL","FCF yok (NULL)","FCF kapsamı dışı"),IF(I207&lt;=0,"anlamsız (FCF ≤ 0)",IF(OR(K207="KOŞULLU"),"FCF KOŞULLU — yorum yapılmaz","")))</f>
        <v/>
      </c>
      <c r="O207" s="9" t="n">
        <f aca="false">IF(Q207="","",F207*R207/Q207-1)</f>
        <v>-0.919102353585112</v>
      </c>
      <c r="P207" s="9" t="n">
        <f aca="false">IF(S207="","",F207*T207/S207-1)</f>
        <v>-0.190580503833516</v>
      </c>
      <c r="Q207" s="5" t="n">
        <v>91.35</v>
      </c>
      <c r="R207" s="10" t="n">
        <v>1</v>
      </c>
      <c r="S207" s="5" t="n">
        <v>9.13</v>
      </c>
      <c r="T207" s="10" t="n">
        <v>1</v>
      </c>
      <c r="U207" s="4"/>
    </row>
    <row r="208" customFormat="false" ht="15" hidden="false" customHeight="false" outlineLevel="0" collapsed="false">
      <c r="A208" s="4" t="s">
        <v>499</v>
      </c>
      <c r="B208" s="4" t="s">
        <v>500</v>
      </c>
      <c r="C208" s="4" t="s">
        <v>29</v>
      </c>
      <c r="D208" s="4" t="s">
        <v>30</v>
      </c>
      <c r="E208" s="4" t="s">
        <v>231</v>
      </c>
      <c r="F208" s="5" t="n">
        <v>133.7</v>
      </c>
      <c r="G208" s="4" t="s">
        <v>141</v>
      </c>
      <c r="H208" s="6" t="n">
        <v>828.94</v>
      </c>
      <c r="I208" s="7" t="n">
        <v>0.221</v>
      </c>
      <c r="J208" s="4" t="s">
        <v>32</v>
      </c>
      <c r="K208" s="4" t="s">
        <v>33</v>
      </c>
      <c r="L208" s="4" t="s">
        <v>42</v>
      </c>
      <c r="M208" s="8" t="n">
        <f aca="false">IF(OR(H208="",I208=""),"",IF(I208&gt;0,H208/I208,""))</f>
        <v>3750.85972850679</v>
      </c>
      <c r="N208" s="4" t="str">
        <f aca="false">IF(I208="",IF(K208="NULL","FCF yok (NULL)","FCF kapsamı dışı"),IF(I208&lt;=0,"anlamsız (FCF ≤ 0)",IF(OR(K208="KOŞULLU"),"FCF KOŞULLU — yorum yapılmaz","")))</f>
        <v/>
      </c>
      <c r="O208" s="9" t="n">
        <f aca="false">IF(Q208="","",F208*R208/Q208-1)</f>
        <v>-0.3315</v>
      </c>
      <c r="P208" s="9" t="n">
        <f aca="false">IF(S208="","",F208*T208/S208-1)</f>
        <v>-0.00962962962962977</v>
      </c>
      <c r="Q208" s="5" t="n">
        <v>200</v>
      </c>
      <c r="R208" s="10" t="n">
        <v>1</v>
      </c>
      <c r="S208" s="5" t="n">
        <v>135</v>
      </c>
      <c r="T208" s="10" t="n">
        <v>1</v>
      </c>
      <c r="U208" s="4"/>
    </row>
    <row r="209" customFormat="false" ht="15" hidden="false" customHeight="false" outlineLevel="0" collapsed="false">
      <c r="A209" s="4" t="s">
        <v>501</v>
      </c>
      <c r="B209" s="4" t="s">
        <v>502</v>
      </c>
      <c r="C209" s="4" t="s">
        <v>29</v>
      </c>
      <c r="D209" s="4" t="s">
        <v>30</v>
      </c>
      <c r="E209" s="4" t="s">
        <v>210</v>
      </c>
      <c r="F209" s="5" t="n">
        <v>45.78</v>
      </c>
      <c r="G209" s="4" t="s">
        <v>26</v>
      </c>
      <c r="H209" s="6" t="n">
        <v>7782.6</v>
      </c>
      <c r="I209" s="7" t="n">
        <v>-49.459224</v>
      </c>
      <c r="J209" s="4" t="s">
        <v>32</v>
      </c>
      <c r="K209" s="4" t="s">
        <v>33</v>
      </c>
      <c r="L209" s="4" t="s">
        <v>57</v>
      </c>
      <c r="M209" s="8" t="str">
        <f aca="false">IF(OR(H209="",I209=""),"",IF(I209&gt;0,H209/I209,""))</f>
        <v/>
      </c>
      <c r="N209" s="4" t="str">
        <f aca="false">IF(I209="",IF(K209="NULL","FCF yok (NULL)","FCF kapsamı dışı"),IF(I209&lt;=0,"anlamsız (FCF ≤ 0)",IF(OR(K209="KOŞULLU"),"FCF KOŞULLU — yorum yapılmaz","")))</f>
        <v>anlamsız (FCF ≤ 0)</v>
      </c>
      <c r="O209" s="9" t="str">
        <f aca="false">IF(Q209="","",F209*R209/Q209-1)</f>
        <v/>
      </c>
      <c r="P209" s="9" t="n">
        <f aca="false">IF(S209="","",F209*T209/S209-1)</f>
        <v>-0.112790697674419</v>
      </c>
      <c r="Q209" s="5"/>
      <c r="R209" s="10" t="n">
        <v>1</v>
      </c>
      <c r="S209" s="5" t="n">
        <v>51.6</v>
      </c>
      <c r="T209" s="10" t="n">
        <v>1</v>
      </c>
      <c r="U209" s="4"/>
    </row>
    <row r="210" customFormat="false" ht="15" hidden="false" customHeight="false" outlineLevel="0" collapsed="false">
      <c r="A210" s="4" t="s">
        <v>503</v>
      </c>
      <c r="B210" s="4" t="s">
        <v>504</v>
      </c>
      <c r="C210" s="4" t="s">
        <v>29</v>
      </c>
      <c r="D210" s="4" t="s">
        <v>30</v>
      </c>
      <c r="E210" s="4" t="s">
        <v>31</v>
      </c>
      <c r="F210" s="5" t="n">
        <v>13.05</v>
      </c>
      <c r="G210" s="4" t="s">
        <v>64</v>
      </c>
      <c r="H210" s="6" t="n">
        <v>5705.4230685</v>
      </c>
      <c r="I210" s="7" t="n">
        <v>-162.0886464</v>
      </c>
      <c r="J210" s="4" t="s">
        <v>32</v>
      </c>
      <c r="K210" s="4" t="s">
        <v>154</v>
      </c>
      <c r="L210" s="4" t="s">
        <v>34</v>
      </c>
      <c r="M210" s="8" t="str">
        <f aca="false">IF(OR(H210="",I210=""),"",IF(I210&gt;0,H210/I210,""))</f>
        <v/>
      </c>
      <c r="N210" s="4" t="str">
        <f aca="false">IF(I210="",IF(K210="NULL","FCF yok (NULL)","FCF kapsamı dışı"),IF(I210&lt;=0,"anlamsız (FCF ≤ 0)",IF(OR(K210="KOŞULLU"),"FCF KOŞULLU — yorum yapılmaz","")))</f>
        <v>anlamsız (FCF ≤ 0)</v>
      </c>
      <c r="O210" s="9" t="n">
        <f aca="false">IF(Q210="","",F210*R210/Q210-1)</f>
        <v>-0.174050632911392</v>
      </c>
      <c r="P210" s="9" t="n">
        <f aca="false">IF(S210="","",F210*T210/S210-1)</f>
        <v>-0.107997265892003</v>
      </c>
      <c r="Q210" s="5" t="n">
        <v>15.8</v>
      </c>
      <c r="R210" s="10" t="n">
        <v>1</v>
      </c>
      <c r="S210" s="5" t="n">
        <v>14.63</v>
      </c>
      <c r="T210" s="10" t="n">
        <v>1</v>
      </c>
      <c r="U210" s="4"/>
    </row>
    <row r="211" customFormat="false" ht="15" hidden="false" customHeight="false" outlineLevel="0" collapsed="false">
      <c r="A211" s="4" t="s">
        <v>505</v>
      </c>
      <c r="B211" s="4" t="s">
        <v>506</v>
      </c>
      <c r="C211" s="4" t="s">
        <v>29</v>
      </c>
      <c r="D211" s="4" t="s">
        <v>30</v>
      </c>
      <c r="E211" s="4" t="s">
        <v>31</v>
      </c>
      <c r="F211" s="5" t="n">
        <v>13.73</v>
      </c>
      <c r="G211" s="4" t="s">
        <v>26</v>
      </c>
      <c r="H211" s="6" t="n">
        <v>123570</v>
      </c>
      <c r="I211" s="7" t="n">
        <v>2451.137</v>
      </c>
      <c r="J211" s="4" t="s">
        <v>32</v>
      </c>
      <c r="K211" s="4" t="s">
        <v>33</v>
      </c>
      <c r="L211" s="4" t="s">
        <v>42</v>
      </c>
      <c r="M211" s="8" t="n">
        <f aca="false">IF(OR(H211="",I211=""),"",IF(I211&gt;0,H211/I211,""))</f>
        <v>50.4133387893047</v>
      </c>
      <c r="N211" s="4" t="str">
        <f aca="false">IF(I211="",IF(K211="NULL","FCF yok (NULL)","FCF kapsamı dışı"),IF(I211&lt;=0,"anlamsız (FCF ≤ 0)",IF(OR(K211="KOŞULLU"),"FCF KOŞULLU — yorum yapılmaz","")))</f>
        <v/>
      </c>
      <c r="O211" s="9" t="n">
        <f aca="false">IF(Q211="","",F211*R211/Q211-1)</f>
        <v>0.433194154488518</v>
      </c>
      <c r="P211" s="9" t="n">
        <f aca="false">IF(S211="","",F211*T211/S211-1)</f>
        <v>0.159628378378379</v>
      </c>
      <c r="Q211" s="5" t="n">
        <v>9.58</v>
      </c>
      <c r="R211" s="10" t="n">
        <v>1</v>
      </c>
      <c r="S211" s="5" t="n">
        <v>11.84</v>
      </c>
      <c r="T211" s="10" t="n">
        <v>1</v>
      </c>
      <c r="U211" s="4"/>
    </row>
    <row r="212" customFormat="false" ht="15" hidden="false" customHeight="false" outlineLevel="0" collapsed="false">
      <c r="A212" s="4" t="s">
        <v>507</v>
      </c>
      <c r="B212" s="4" t="s">
        <v>508</v>
      </c>
      <c r="C212" s="4" t="s">
        <v>29</v>
      </c>
      <c r="D212" s="4" t="s">
        <v>30</v>
      </c>
      <c r="E212" s="4" t="s">
        <v>31</v>
      </c>
      <c r="F212" s="5" t="n">
        <v>112.4</v>
      </c>
      <c r="G212" s="4" t="s">
        <v>26</v>
      </c>
      <c r="H212" s="6" t="n">
        <v>132752.1518908</v>
      </c>
      <c r="I212" s="7" t="n">
        <v>4327.82800000001</v>
      </c>
      <c r="J212" s="4" t="s">
        <v>32</v>
      </c>
      <c r="K212" s="4" t="s">
        <v>86</v>
      </c>
      <c r="L212" s="4" t="s">
        <v>42</v>
      </c>
      <c r="M212" s="8" t="n">
        <f aca="false">IF(OR(H212="",I212=""),"",IF(I212&gt;0,H212/I212,""))</f>
        <v>30.6740822164836</v>
      </c>
      <c r="N212" s="4" t="str">
        <f aca="false">IF(I212="",IF(K212="NULL","FCF yok (NULL)","FCF kapsamı dışı"),IF(I212&lt;=0,"anlamsız (FCF ≤ 0)",IF(OR(K212="KOŞULLU"),"FCF KOŞULLU — yorum yapılmaz","")))</f>
        <v/>
      </c>
      <c r="O212" s="9" t="n">
        <f aca="false">IF(Q212="","",F212*R212/Q212-1)</f>
        <v>0.38423645320197</v>
      </c>
      <c r="P212" s="9" t="n">
        <f aca="false">IF(S212="","",F212*T212/S212-1)</f>
        <v>0.0311926605504587</v>
      </c>
      <c r="Q212" s="5" t="n">
        <v>81.2</v>
      </c>
      <c r="R212" s="10" t="n">
        <v>1</v>
      </c>
      <c r="S212" s="5" t="n">
        <v>109</v>
      </c>
      <c r="T212" s="10" t="n">
        <v>1</v>
      </c>
      <c r="U212" s="4"/>
    </row>
    <row r="213" customFormat="false" ht="15" hidden="false" customHeight="false" outlineLevel="0" collapsed="false">
      <c r="A213" s="4" t="s">
        <v>509</v>
      </c>
      <c r="B213" s="4" t="s">
        <v>510</v>
      </c>
      <c r="C213" s="4" t="s">
        <v>29</v>
      </c>
      <c r="D213" s="4" t="s">
        <v>30</v>
      </c>
      <c r="E213" s="4" t="s">
        <v>85</v>
      </c>
      <c r="F213" s="5" t="n">
        <v>82.95</v>
      </c>
      <c r="G213" s="4" t="s">
        <v>26</v>
      </c>
      <c r="H213" s="6" t="n">
        <v>497700</v>
      </c>
      <c r="I213" s="7" t="n">
        <v>3652.893</v>
      </c>
      <c r="J213" s="4" t="s">
        <v>32</v>
      </c>
      <c r="K213" s="4" t="s">
        <v>33</v>
      </c>
      <c r="L213" s="4" t="s">
        <v>42</v>
      </c>
      <c r="M213" s="8" t="n">
        <f aca="false">IF(OR(H213="",I213=""),"",IF(I213&gt;0,H213/I213,""))</f>
        <v>136.248173707798</v>
      </c>
      <c r="N213" s="4" t="str">
        <f aca="false">IF(I213="",IF(K213="NULL","FCF yok (NULL)","FCF kapsamı dışı"),IF(I213&lt;=0,"anlamsız (FCF ≤ 0)",IF(OR(K213="KOŞULLU"),"FCF KOŞULLU — yorum yapılmaz","")))</f>
        <v/>
      </c>
      <c r="O213" s="9" t="n">
        <f aca="false">IF(Q213="","",F213*R213/Q213-1)</f>
        <v>0.189759036144578</v>
      </c>
      <c r="P213" s="9" t="n">
        <f aca="false">IF(S213="","",F213*T213/S213-1)</f>
        <v>-0.0388180764774043</v>
      </c>
      <c r="Q213" s="5" t="n">
        <v>69.72</v>
      </c>
      <c r="R213" s="10" t="n">
        <v>1</v>
      </c>
      <c r="S213" s="5" t="n">
        <v>86.3</v>
      </c>
      <c r="T213" s="10" t="n">
        <v>1</v>
      </c>
      <c r="U213" s="4"/>
    </row>
    <row r="214" customFormat="false" ht="15" hidden="false" customHeight="false" outlineLevel="0" collapsed="false">
      <c r="A214" s="4" t="s">
        <v>511</v>
      </c>
      <c r="B214" s="4" t="s">
        <v>512</v>
      </c>
      <c r="C214" s="4" t="s">
        <v>60</v>
      </c>
      <c r="D214" s="4"/>
      <c r="E214" s="4"/>
      <c r="F214" s="5" t="n">
        <v>44.02</v>
      </c>
      <c r="G214" s="4" t="s">
        <v>141</v>
      </c>
      <c r="H214" s="6" t="n">
        <v>549162.26597608</v>
      </c>
      <c r="I214" s="7"/>
      <c r="J214" s="4"/>
      <c r="K214" s="4"/>
      <c r="L214" s="4"/>
      <c r="M214" s="8" t="str">
        <f aca="false">IF(OR(H214="",I214=""),"",IF(I214&gt;0,H214/I214,""))</f>
        <v/>
      </c>
      <c r="N214" s="4" t="str">
        <f aca="false">IF(I214="",IF(K214="NULL","FCF yok (NULL)","FCF kapsamı dışı"),IF(I214&lt;=0,"anlamsız (FCF ≤ 0)",IF(OR(K214="KOŞULLU"),"FCF KOŞULLU — yorum yapılmaz","")))</f>
        <v>FCF kapsamı dışı</v>
      </c>
      <c r="O214" s="9" t="str">
        <f aca="false">IF(Q214="","",F214*R214/Q214-1)</f>
        <v/>
      </c>
      <c r="P214" s="9" t="n">
        <f aca="false">IF(S214="","",F214*T214/S214-1)</f>
        <v>0.0105601469237833</v>
      </c>
      <c r="Q214" s="5"/>
      <c r="R214" s="10" t="n">
        <v>1</v>
      </c>
      <c r="S214" s="5" t="n">
        <v>43.56</v>
      </c>
      <c r="T214" s="10" t="n">
        <v>1</v>
      </c>
      <c r="U214" s="4"/>
    </row>
    <row r="215" customFormat="false" ht="15" hidden="false" customHeight="false" outlineLevel="0" collapsed="false">
      <c r="A215" s="4" t="s">
        <v>513</v>
      </c>
      <c r="B215" s="4" t="s">
        <v>514</v>
      </c>
      <c r="C215" s="4" t="s">
        <v>29</v>
      </c>
      <c r="D215" s="4" t="s">
        <v>30</v>
      </c>
      <c r="E215" s="4" t="s">
        <v>171</v>
      </c>
      <c r="F215" s="5" t="n">
        <v>2.99</v>
      </c>
      <c r="G215" s="4" t="s">
        <v>26</v>
      </c>
      <c r="H215" s="6" t="n">
        <v>1632.54</v>
      </c>
      <c r="I215" s="7" t="n">
        <v>151.1599568</v>
      </c>
      <c r="J215" s="4" t="s">
        <v>32</v>
      </c>
      <c r="K215" s="4" t="s">
        <v>33</v>
      </c>
      <c r="L215" s="4" t="s">
        <v>57</v>
      </c>
      <c r="M215" s="8" t="n">
        <f aca="false">IF(OR(H215="",I215=""),"",IF(I215&gt;0,H215/I215,""))</f>
        <v>10.8000824726354</v>
      </c>
      <c r="N215" s="4" t="str">
        <f aca="false">IF(I215="",IF(K215="NULL","FCF yok (NULL)","FCF kapsamı dışı"),IF(I215&lt;=0,"anlamsız (FCF ≤ 0)",IF(OR(K215="KOŞULLU"),"FCF KOŞULLU — yorum yapılmaz","")))</f>
        <v/>
      </c>
      <c r="O215" s="9" t="n">
        <f aca="false">IF(Q215="","",F215*R215/Q215-1)</f>
        <v>-0.849142280524723</v>
      </c>
      <c r="P215" s="9" t="n">
        <f aca="false">IF(S215="","",F215*T215/S215-1)</f>
        <v>-0.138328530259366</v>
      </c>
      <c r="Q215" s="5" t="n">
        <v>19.82</v>
      </c>
      <c r="R215" s="10" t="n">
        <v>1</v>
      </c>
      <c r="S215" s="5" t="n">
        <v>3.47</v>
      </c>
      <c r="T215" s="10" t="n">
        <v>1</v>
      </c>
      <c r="U215" s="4"/>
    </row>
    <row r="216" customFormat="false" ht="15" hidden="false" customHeight="false" outlineLevel="0" collapsed="false">
      <c r="A216" s="4" t="s">
        <v>515</v>
      </c>
      <c r="B216" s="4" t="s">
        <v>516</v>
      </c>
      <c r="C216" s="4" t="s">
        <v>29</v>
      </c>
      <c r="D216" s="4" t="s">
        <v>30</v>
      </c>
      <c r="E216" s="4" t="s">
        <v>31</v>
      </c>
      <c r="F216" s="5" t="n">
        <v>4.24</v>
      </c>
      <c r="G216" s="4" t="s">
        <v>26</v>
      </c>
      <c r="H216" s="6" t="n">
        <v>17131.932</v>
      </c>
      <c r="I216" s="7" t="n">
        <v>2248.428</v>
      </c>
      <c r="J216" s="4" t="s">
        <v>32</v>
      </c>
      <c r="K216" s="4" t="s">
        <v>33</v>
      </c>
      <c r="L216" s="4" t="s">
        <v>42</v>
      </c>
      <c r="M216" s="8" t="n">
        <f aca="false">IF(OR(H216="",I216=""),"",IF(I216&gt;0,H216/I216,""))</f>
        <v>7.61951550149705</v>
      </c>
      <c r="N216" s="4" t="str">
        <f aca="false">IF(I216="",IF(K216="NULL","FCF yok (NULL)","FCF kapsamı dışı"),IF(I216&lt;=0,"anlamsız (FCF ≤ 0)",IF(OR(K216="KOŞULLU"),"FCF KOŞULLU — yorum yapılmaz","")))</f>
        <v/>
      </c>
      <c r="O216" s="9" t="n">
        <f aca="false">IF(Q216="","",F216*R216/Q216-1)</f>
        <v>-0.170507535013491</v>
      </c>
      <c r="P216" s="9" t="n">
        <f aca="false">IF(S216="","",F216*T216/S216-1)</f>
        <v>0.0653266331658291</v>
      </c>
      <c r="Q216" s="5" t="n">
        <v>10.99</v>
      </c>
      <c r="R216" s="10" t="n">
        <v>2.1500288184438</v>
      </c>
      <c r="S216" s="5" t="n">
        <v>3.98</v>
      </c>
      <c r="T216" s="10" t="n">
        <v>1</v>
      </c>
      <c r="U216" s="4" t="s">
        <v>517</v>
      </c>
    </row>
    <row r="217" customFormat="false" ht="15" hidden="false" customHeight="false" outlineLevel="0" collapsed="false">
      <c r="A217" s="4" t="s">
        <v>518</v>
      </c>
      <c r="B217" s="4" t="s">
        <v>519</v>
      </c>
      <c r="C217" s="4" t="s">
        <v>29</v>
      </c>
      <c r="D217" s="4" t="s">
        <v>30</v>
      </c>
      <c r="E217" s="4" t="s">
        <v>41</v>
      </c>
      <c r="F217" s="5" t="n">
        <v>5.57</v>
      </c>
      <c r="G217" s="4" t="s">
        <v>26</v>
      </c>
      <c r="H217" s="6" t="n">
        <v>1061.72679211</v>
      </c>
      <c r="I217" s="7" t="n">
        <v>-358.8252336</v>
      </c>
      <c r="J217" s="4" t="s">
        <v>32</v>
      </c>
      <c r="K217" s="4" t="s">
        <v>33</v>
      </c>
      <c r="L217" s="4" t="s">
        <v>57</v>
      </c>
      <c r="M217" s="8" t="str">
        <f aca="false">IF(OR(H217="",I217=""),"",IF(I217&gt;0,H217/I217,""))</f>
        <v/>
      </c>
      <c r="N217" s="4" t="str">
        <f aca="false">IF(I217="",IF(K217="NULL","FCF yok (NULL)","FCF kapsamı dışı"),IF(I217&lt;=0,"anlamsız (FCF ≤ 0)",IF(OR(K217="KOŞULLU"),"FCF KOŞULLU — yorum yapılmaz","")))</f>
        <v>anlamsız (FCF ≤ 0)</v>
      </c>
      <c r="O217" s="9" t="n">
        <f aca="false">IF(Q217="","",F217*R217/Q217-1)</f>
        <v>-0.224233983286908</v>
      </c>
      <c r="P217" s="9" t="n">
        <f aca="false">IF(S217="","",F217*T217/S217-1)</f>
        <v>0.0333951762523193</v>
      </c>
      <c r="Q217" s="5" t="n">
        <v>7.18</v>
      </c>
      <c r="R217" s="10" t="n">
        <v>1</v>
      </c>
      <c r="S217" s="5" t="n">
        <v>5.39</v>
      </c>
      <c r="T217" s="10" t="n">
        <v>1</v>
      </c>
      <c r="U217" s="4"/>
    </row>
    <row r="218" customFormat="false" ht="15" hidden="false" customHeight="false" outlineLevel="0" collapsed="false">
      <c r="A218" s="4" t="s">
        <v>520</v>
      </c>
      <c r="B218" s="4" t="s">
        <v>521</v>
      </c>
      <c r="C218" s="4" t="s">
        <v>29</v>
      </c>
      <c r="D218" s="4" t="s">
        <v>30</v>
      </c>
      <c r="E218" s="4" t="s">
        <v>295</v>
      </c>
      <c r="F218" s="5" t="n">
        <v>117.2</v>
      </c>
      <c r="G218" s="4" t="s">
        <v>26</v>
      </c>
      <c r="H218" s="6" t="n">
        <v>2344</v>
      </c>
      <c r="I218" s="7" t="n">
        <v>307.154</v>
      </c>
      <c r="J218" s="4" t="s">
        <v>32</v>
      </c>
      <c r="K218" s="4" t="s">
        <v>33</v>
      </c>
      <c r="L218" s="4" t="s">
        <v>42</v>
      </c>
      <c r="M218" s="8" t="n">
        <f aca="false">IF(OR(H218="",I218=""),"",IF(I218&gt;0,H218/I218,""))</f>
        <v>7.63135104865963</v>
      </c>
      <c r="N218" s="4" t="str">
        <f aca="false">IF(I218="",IF(K218="NULL","FCF yok (NULL)","FCF kapsamı dışı"),IF(I218&lt;=0,"anlamsız (FCF ≤ 0)",IF(OR(K218="KOŞULLU"),"FCF KOŞULLU — yorum yapılmaz","")))</f>
        <v/>
      </c>
      <c r="O218" s="9" t="n">
        <f aca="false">IF(Q218="","",F218*R218/Q218-1)</f>
        <v>-0.378908320084791</v>
      </c>
      <c r="P218" s="9" t="n">
        <f aca="false">IF(S218="","",F218*T218/S218-1)</f>
        <v>-0.0525464834276476</v>
      </c>
      <c r="Q218" s="5" t="n">
        <v>188.7</v>
      </c>
      <c r="R218" s="10" t="n">
        <v>1</v>
      </c>
      <c r="S218" s="5" t="n">
        <v>123.7</v>
      </c>
      <c r="T218" s="10" t="n">
        <v>1</v>
      </c>
      <c r="U218" s="4"/>
    </row>
    <row r="219" customFormat="false" ht="15" hidden="false" customHeight="false" outlineLevel="0" collapsed="false">
      <c r="A219" s="4" t="s">
        <v>522</v>
      </c>
      <c r="B219" s="4" t="s">
        <v>523</v>
      </c>
      <c r="C219" s="4" t="s">
        <v>29</v>
      </c>
      <c r="D219" s="4" t="s">
        <v>30</v>
      </c>
      <c r="E219" s="4" t="s">
        <v>295</v>
      </c>
      <c r="F219" s="5" t="n">
        <v>35.9</v>
      </c>
      <c r="G219" s="4" t="s">
        <v>26</v>
      </c>
      <c r="H219" s="6" t="n">
        <v>2791.9602679</v>
      </c>
      <c r="I219" s="7" t="n">
        <v>-2993.854</v>
      </c>
      <c r="J219" s="4" t="s">
        <v>32</v>
      </c>
      <c r="K219" s="4" t="s">
        <v>33</v>
      </c>
      <c r="L219" s="4" t="s">
        <v>42</v>
      </c>
      <c r="M219" s="8" t="str">
        <f aca="false">IF(OR(H219="",I219=""),"",IF(I219&gt;0,H219/I219,""))</f>
        <v/>
      </c>
      <c r="N219" s="4" t="str">
        <f aca="false">IF(I219="",IF(K219="NULL","FCF yok (NULL)","FCF kapsamı dışı"),IF(I219&lt;=0,"anlamsız (FCF ≤ 0)",IF(OR(K219="KOŞULLU"),"FCF KOŞULLU — yorum yapılmaz","")))</f>
        <v>anlamsız (FCF ≤ 0)</v>
      </c>
      <c r="O219" s="9" t="n">
        <f aca="false">IF(Q219="","",F219*R219/Q219-1)</f>
        <v>-0.546717171717172</v>
      </c>
      <c r="P219" s="9" t="n">
        <f aca="false">IF(S219="","",F219*T219/S219-1)</f>
        <v>-0.0775950668037</v>
      </c>
      <c r="Q219" s="5" t="n">
        <v>79.2</v>
      </c>
      <c r="R219" s="10" t="n">
        <v>1</v>
      </c>
      <c r="S219" s="5" t="n">
        <v>38.92</v>
      </c>
      <c r="T219" s="10" t="n">
        <v>1</v>
      </c>
      <c r="U219" s="4"/>
    </row>
    <row r="220" customFormat="false" ht="15" hidden="false" customHeight="false" outlineLevel="0" collapsed="false">
      <c r="A220" s="4" t="s">
        <v>524</v>
      </c>
      <c r="B220" s="4" t="s">
        <v>525</v>
      </c>
      <c r="C220" s="4" t="s">
        <v>29</v>
      </c>
      <c r="D220" s="4" t="s">
        <v>30</v>
      </c>
      <c r="E220" s="4" t="s">
        <v>295</v>
      </c>
      <c r="F220" s="5" t="n">
        <v>37.16</v>
      </c>
      <c r="G220" s="4" t="s">
        <v>26</v>
      </c>
      <c r="H220" s="6" t="n">
        <v>260120</v>
      </c>
      <c r="I220" s="7" t="n">
        <v>39345.07</v>
      </c>
      <c r="J220" s="4" t="s">
        <v>32</v>
      </c>
      <c r="K220" s="4" t="s">
        <v>33</v>
      </c>
      <c r="L220" s="4" t="s">
        <v>42</v>
      </c>
      <c r="M220" s="8" t="n">
        <f aca="false">IF(OR(H220="",I220=""),"",IF(I220&gt;0,H220/I220,""))</f>
        <v>6.61124760992928</v>
      </c>
      <c r="N220" s="4" t="str">
        <f aca="false">IF(I220="",IF(K220="NULL","FCF yok (NULL)","FCF kapsamı dışı"),IF(I220&lt;=0,"anlamsız (FCF ≤ 0)",IF(OR(K220="KOŞULLU"),"FCF KOŞULLU — yorum yapılmaz","")))</f>
        <v/>
      </c>
      <c r="O220" s="9" t="n">
        <f aca="false">IF(Q220="","",F220*R220/Q220-1)</f>
        <v>0.242809364548495</v>
      </c>
      <c r="P220" s="9" t="n">
        <f aca="false">IF(S220="","",F220*T220/S220-1)</f>
        <v>-0.00588550026752288</v>
      </c>
      <c r="Q220" s="5" t="n">
        <v>29.9</v>
      </c>
      <c r="R220" s="10" t="n">
        <v>1</v>
      </c>
      <c r="S220" s="5" t="n">
        <v>37.38</v>
      </c>
      <c r="T220" s="10" t="n">
        <v>1</v>
      </c>
      <c r="U220" s="4"/>
    </row>
    <row r="221" customFormat="false" ht="15" hidden="false" customHeight="false" outlineLevel="0" collapsed="false">
      <c r="A221" s="4" t="s">
        <v>526</v>
      </c>
      <c r="B221" s="4" t="s">
        <v>527</v>
      </c>
      <c r="C221" s="4" t="s">
        <v>29</v>
      </c>
      <c r="D221" s="4" t="s">
        <v>30</v>
      </c>
      <c r="E221" s="4" t="s">
        <v>53</v>
      </c>
      <c r="F221" s="5" t="n">
        <v>15.75</v>
      </c>
      <c r="G221" s="4" t="s">
        <v>64</v>
      </c>
      <c r="H221" s="6" t="n">
        <v>567</v>
      </c>
      <c r="I221" s="7" t="n">
        <v>-90.053</v>
      </c>
      <c r="J221" s="4" t="s">
        <v>32</v>
      </c>
      <c r="K221" s="4" t="s">
        <v>33</v>
      </c>
      <c r="L221" s="4" t="s">
        <v>42</v>
      </c>
      <c r="M221" s="8" t="str">
        <f aca="false">IF(OR(H221="",I221=""),"",IF(I221&gt;0,H221/I221,""))</f>
        <v/>
      </c>
      <c r="N221" s="4" t="str">
        <f aca="false">IF(I221="",IF(K221="NULL","FCF yok (NULL)","FCF kapsamı dışı"),IF(I221&lt;=0,"anlamsız (FCF ≤ 0)",IF(OR(K221="KOŞULLU"),"FCF KOŞULLU — yorum yapılmaz","")))</f>
        <v>anlamsız (FCF ≤ 0)</v>
      </c>
      <c r="O221" s="9" t="n">
        <f aca="false">IF(Q221="","",F221*R221/Q221-1)</f>
        <v>-0.175392670157068</v>
      </c>
      <c r="P221" s="9" t="n">
        <f aca="false">IF(S221="","",F221*T221/S221-1)</f>
        <v>0.00190839694656475</v>
      </c>
      <c r="Q221" s="5" t="n">
        <v>19.1</v>
      </c>
      <c r="R221" s="10" t="n">
        <v>1</v>
      </c>
      <c r="S221" s="5" t="n">
        <v>15.72</v>
      </c>
      <c r="T221" s="10" t="n">
        <v>1</v>
      </c>
      <c r="U221" s="4"/>
    </row>
    <row r="222" customFormat="false" ht="15" hidden="false" customHeight="false" outlineLevel="0" collapsed="false">
      <c r="A222" s="4" t="s">
        <v>528</v>
      </c>
      <c r="B222" s="4" t="s">
        <v>529</v>
      </c>
      <c r="C222" s="4" t="s">
        <v>29</v>
      </c>
      <c r="D222" s="4" t="s">
        <v>30</v>
      </c>
      <c r="E222" s="4" t="s">
        <v>305</v>
      </c>
      <c r="F222" s="5" t="n">
        <v>14.71</v>
      </c>
      <c r="G222" s="4" t="s">
        <v>64</v>
      </c>
      <c r="H222" s="6" t="n">
        <v>7355</v>
      </c>
      <c r="I222" s="7" t="n">
        <v>-178.298</v>
      </c>
      <c r="J222" s="4" t="s">
        <v>32</v>
      </c>
      <c r="K222" s="4" t="s">
        <v>33</v>
      </c>
      <c r="L222" s="4" t="s">
        <v>42</v>
      </c>
      <c r="M222" s="8" t="str">
        <f aca="false">IF(OR(H222="",I222=""),"",IF(I222&gt;0,H222/I222,""))</f>
        <v/>
      </c>
      <c r="N222" s="4" t="str">
        <f aca="false">IF(I222="",IF(K222="NULL","FCF yok (NULL)","FCF kapsamı dışı"),IF(I222&lt;=0,"anlamsız (FCF ≤ 0)",IF(OR(K222="KOŞULLU"),"FCF KOŞULLU — yorum yapılmaz","")))</f>
        <v>anlamsız (FCF ≤ 0)</v>
      </c>
      <c r="O222" s="9" t="n">
        <f aca="false">IF(Q222="","",F222*R222/Q222-1)</f>
        <v>-0.2645</v>
      </c>
      <c r="P222" s="9" t="n">
        <f aca="false">IF(S222="","",F222*T222/S222-1)</f>
        <v>-0.513879709187046</v>
      </c>
      <c r="Q222" s="5" t="n">
        <v>20</v>
      </c>
      <c r="R222" s="10" t="n">
        <v>1</v>
      </c>
      <c r="S222" s="5" t="n">
        <v>30.26</v>
      </c>
      <c r="T222" s="10" t="n">
        <v>1</v>
      </c>
      <c r="U222" s="4"/>
    </row>
    <row r="223" customFormat="false" ht="15" hidden="false" customHeight="false" outlineLevel="0" collapsed="false">
      <c r="A223" s="4" t="s">
        <v>530</v>
      </c>
      <c r="B223" s="4" t="s">
        <v>531</v>
      </c>
      <c r="C223" s="4" t="s">
        <v>29</v>
      </c>
      <c r="D223" s="4" t="s">
        <v>30</v>
      </c>
      <c r="E223" s="4" t="s">
        <v>159</v>
      </c>
      <c r="F223" s="5" t="n">
        <v>4.49</v>
      </c>
      <c r="G223" s="4" t="s">
        <v>26</v>
      </c>
      <c r="H223" s="6" t="n">
        <v>3164.74141065</v>
      </c>
      <c r="I223" s="7" t="n">
        <v>-0.457</v>
      </c>
      <c r="J223" s="4" t="s">
        <v>32</v>
      </c>
      <c r="K223" s="4" t="s">
        <v>33</v>
      </c>
      <c r="L223" s="4" t="s">
        <v>42</v>
      </c>
      <c r="M223" s="8" t="str">
        <f aca="false">IF(OR(H223="",I223=""),"",IF(I223&gt;0,H223/I223,""))</f>
        <v/>
      </c>
      <c r="N223" s="4" t="str">
        <f aca="false">IF(I223="",IF(K223="NULL","FCF yok (NULL)","FCF kapsamı dışı"),IF(I223&lt;=0,"anlamsız (FCF ≤ 0)",IF(OR(K223="KOŞULLU"),"FCF KOŞULLU — yorum yapılmaz","")))</f>
        <v>anlamsız (FCF ≤ 0)</v>
      </c>
      <c r="O223" s="9" t="n">
        <f aca="false">IF(Q223="","",F223*R223/Q223-1)</f>
        <v>0.472131147540984</v>
      </c>
      <c r="P223" s="9" t="n">
        <f aca="false">IF(S223="","",F223*T223/S223-1)</f>
        <v>-0.0196506550218341</v>
      </c>
      <c r="Q223" s="5" t="n">
        <v>3.05</v>
      </c>
      <c r="R223" s="10" t="n">
        <v>1</v>
      </c>
      <c r="S223" s="5" t="n">
        <v>4.58</v>
      </c>
      <c r="T223" s="10" t="n">
        <v>1</v>
      </c>
      <c r="U223" s="4"/>
    </row>
    <row r="224" customFormat="false" ht="15" hidden="false" customHeight="false" outlineLevel="0" collapsed="false">
      <c r="A224" s="4" t="s">
        <v>532</v>
      </c>
      <c r="B224" s="4" t="s">
        <v>533</v>
      </c>
      <c r="C224" s="4" t="s">
        <v>29</v>
      </c>
      <c r="D224" s="4" t="s">
        <v>30</v>
      </c>
      <c r="E224" s="4" t="s">
        <v>31</v>
      </c>
      <c r="F224" s="5" t="n">
        <v>2.55</v>
      </c>
      <c r="G224" s="4" t="s">
        <v>26</v>
      </c>
      <c r="H224" s="6" t="n">
        <v>4641</v>
      </c>
      <c r="I224" s="7" t="n">
        <v>507.6426352</v>
      </c>
      <c r="J224" s="4" t="s">
        <v>32</v>
      </c>
      <c r="K224" s="4" t="s">
        <v>33</v>
      </c>
      <c r="L224" s="4" t="s">
        <v>34</v>
      </c>
      <c r="M224" s="8" t="n">
        <f aca="false">IF(OR(H224="",I224=""),"",IF(I224&gt;0,H224/I224,""))</f>
        <v>9.14225811268108</v>
      </c>
      <c r="N224" s="4" t="str">
        <f aca="false">IF(I224="",IF(K224="NULL","FCF yok (NULL)","FCF kapsamı dışı"),IF(I224&lt;=0,"anlamsız (FCF ≤ 0)",IF(OR(K224="KOŞULLU"),"FCF KOŞULLU — yorum yapılmaz","")))</f>
        <v/>
      </c>
      <c r="O224" s="9" t="n">
        <f aca="false">IF(Q224="","",F224*R224/Q224-1)</f>
        <v>-0.809131736526946</v>
      </c>
      <c r="P224" s="9" t="n">
        <f aca="false">IF(S224="","",F224*T224/S224-1)</f>
        <v>-0.123711340206186</v>
      </c>
      <c r="Q224" s="5" t="n">
        <v>13.36</v>
      </c>
      <c r="R224" s="10" t="n">
        <v>1</v>
      </c>
      <c r="S224" s="5" t="n">
        <v>2.91</v>
      </c>
      <c r="T224" s="10" t="n">
        <v>1</v>
      </c>
      <c r="U224" s="4"/>
    </row>
    <row r="225" customFormat="false" ht="15" hidden="false" customHeight="false" outlineLevel="0" collapsed="false">
      <c r="A225" s="4" t="s">
        <v>534</v>
      </c>
      <c r="B225" s="4" t="s">
        <v>535</v>
      </c>
      <c r="C225" s="4" t="s">
        <v>29</v>
      </c>
      <c r="D225" s="4" t="s">
        <v>30</v>
      </c>
      <c r="E225" s="4" t="s">
        <v>210</v>
      </c>
      <c r="F225" s="5" t="n">
        <v>7.48</v>
      </c>
      <c r="G225" s="4" t="s">
        <v>26</v>
      </c>
      <c r="H225" s="6" t="n">
        <v>1872.16115152</v>
      </c>
      <c r="I225" s="7" t="n">
        <v>-135.898</v>
      </c>
      <c r="J225" s="4" t="s">
        <v>32</v>
      </c>
      <c r="K225" s="4" t="s">
        <v>33</v>
      </c>
      <c r="L225" s="4" t="s">
        <v>42</v>
      </c>
      <c r="M225" s="8" t="str">
        <f aca="false">IF(OR(H225="",I225=""),"",IF(I225&gt;0,H225/I225,""))</f>
        <v/>
      </c>
      <c r="N225" s="4" t="str">
        <f aca="false">IF(I225="",IF(K225="NULL","FCF yok (NULL)","FCF kapsamı dışı"),IF(I225&lt;=0,"anlamsız (FCF ≤ 0)",IF(OR(K225="KOŞULLU"),"FCF KOŞULLU — yorum yapılmaz","")))</f>
        <v>anlamsız (FCF ≤ 0)</v>
      </c>
      <c r="O225" s="9" t="n">
        <f aca="false">IF(Q225="","",F225*R225/Q225-1)</f>
        <v>0.62962962962963</v>
      </c>
      <c r="P225" s="9" t="n">
        <f aca="false">IF(S225="","",F225*T225/S225-1)</f>
        <v>0.289655172413793</v>
      </c>
      <c r="Q225" s="5" t="n">
        <v>4.59</v>
      </c>
      <c r="R225" s="10" t="n">
        <v>1</v>
      </c>
      <c r="S225" s="5" t="n">
        <v>5.8</v>
      </c>
      <c r="T225" s="10" t="n">
        <v>1</v>
      </c>
      <c r="U225" s="4"/>
    </row>
    <row r="226" customFormat="false" ht="15" hidden="false" customHeight="false" outlineLevel="0" collapsed="false">
      <c r="A226" s="4" t="s">
        <v>536</v>
      </c>
      <c r="B226" s="4" t="s">
        <v>537</v>
      </c>
      <c r="C226" s="4" t="s">
        <v>29</v>
      </c>
      <c r="D226" s="4"/>
      <c r="E226" s="4"/>
      <c r="F226" s="5" t="n">
        <v>9.54</v>
      </c>
      <c r="G226" s="4" t="s">
        <v>64</v>
      </c>
      <c r="H226" s="6" t="n">
        <v>572.4</v>
      </c>
      <c r="I226" s="7"/>
      <c r="J226" s="4"/>
      <c r="K226" s="4"/>
      <c r="L226" s="4"/>
      <c r="M226" s="8" t="str">
        <f aca="false">IF(OR(H226="",I226=""),"",IF(I226&gt;0,H226/I226,""))</f>
        <v/>
      </c>
      <c r="N226" s="4" t="str">
        <f aca="false">IF(I226="",IF(K226="NULL","FCF yok (NULL)","FCF kapsamı dışı"),IF(I226&lt;=0,"anlamsız (FCF ≤ 0)",IF(OR(K226="KOŞULLU"),"FCF KOŞULLU — yorum yapılmaz","")))</f>
        <v>FCF kapsamı dışı</v>
      </c>
      <c r="O226" s="9" t="n">
        <f aca="false">IF(Q226="","",F226*R226/Q226-1)</f>
        <v>0.204454526239507</v>
      </c>
      <c r="P226" s="9" t="n">
        <f aca="false">IF(S226="","",F226*T226/S226-1)</f>
        <v>0.13436385255648</v>
      </c>
      <c r="Q226" s="5" t="n">
        <v>23.2</v>
      </c>
      <c r="R226" s="10" t="n">
        <v>2.92907180385289</v>
      </c>
      <c r="S226" s="5" t="n">
        <v>8.41</v>
      </c>
      <c r="T226" s="10" t="n">
        <v>1</v>
      </c>
      <c r="U226" s="4" t="s">
        <v>538</v>
      </c>
    </row>
    <row r="227" customFormat="false" ht="15" hidden="false" customHeight="false" outlineLevel="0" collapsed="false">
      <c r="A227" s="4" t="s">
        <v>539</v>
      </c>
      <c r="B227" s="4" t="s">
        <v>540</v>
      </c>
      <c r="C227" s="4" t="s">
        <v>29</v>
      </c>
      <c r="D227" s="4" t="s">
        <v>63</v>
      </c>
      <c r="E227" s="4" t="s">
        <v>63</v>
      </c>
      <c r="F227" s="5" t="n">
        <v>8.7</v>
      </c>
      <c r="G227" s="4" t="s">
        <v>141</v>
      </c>
      <c r="H227" s="6" t="n">
        <v>1305</v>
      </c>
      <c r="I227" s="7" t="n">
        <v>-3652.7197888</v>
      </c>
      <c r="J227" s="4" t="s">
        <v>32</v>
      </c>
      <c r="K227" s="4" t="s">
        <v>33</v>
      </c>
      <c r="L227" s="4" t="s">
        <v>34</v>
      </c>
      <c r="M227" s="8" t="str">
        <f aca="false">IF(OR(H227="",I227=""),"",IF(I227&gt;0,H227/I227,""))</f>
        <v/>
      </c>
      <c r="N227" s="4" t="str">
        <f aca="false">IF(I227="",IF(K227="NULL","FCF yok (NULL)","FCF kapsamı dışı"),IF(I227&lt;=0,"anlamsız (FCF ≤ 0)",IF(OR(K227="KOŞULLU"),"FCF KOŞULLU — yorum yapılmaz","")))</f>
        <v>anlamsız (FCF ≤ 0)</v>
      </c>
      <c r="O227" s="9" t="n">
        <f aca="false">IF(Q227="","",F227*R227/Q227-1)</f>
        <v>-0.163461538461539</v>
      </c>
      <c r="P227" s="9" t="n">
        <f aca="false">IF(S227="","",F227*T227/S227-1)</f>
        <v>0.206657420249653</v>
      </c>
      <c r="Q227" s="5" t="n">
        <v>10.4</v>
      </c>
      <c r="R227" s="10" t="n">
        <v>1</v>
      </c>
      <c r="S227" s="5" t="n">
        <v>7.21</v>
      </c>
      <c r="T227" s="10" t="n">
        <v>1</v>
      </c>
      <c r="U227" s="4"/>
    </row>
    <row r="228" customFormat="false" ht="15" hidden="false" customHeight="false" outlineLevel="0" collapsed="false">
      <c r="A228" s="4" t="s">
        <v>541</v>
      </c>
      <c r="B228" s="4" t="s">
        <v>542</v>
      </c>
      <c r="C228" s="4" t="s">
        <v>29</v>
      </c>
      <c r="D228" s="4"/>
      <c r="E228" s="4"/>
      <c r="F228" s="5" t="n">
        <v>9.43</v>
      </c>
      <c r="G228" s="4" t="s">
        <v>46</v>
      </c>
      <c r="H228" s="6" t="n">
        <v>565.8</v>
      </c>
      <c r="I228" s="7"/>
      <c r="J228" s="4"/>
      <c r="K228" s="4"/>
      <c r="L228" s="4"/>
      <c r="M228" s="8" t="str">
        <f aca="false">IF(OR(H228="",I228=""),"",IF(I228&gt;0,H228/I228,""))</f>
        <v/>
      </c>
      <c r="N228" s="4" t="str">
        <f aca="false">IF(I228="",IF(K228="NULL","FCF yok (NULL)","FCF kapsamı dışı"),IF(I228&lt;=0,"anlamsız (FCF ≤ 0)",IF(OR(K228="KOŞULLU"),"FCF KOŞULLU — yorum yapılmaz","")))</f>
        <v>FCF kapsamı dışı</v>
      </c>
      <c r="O228" s="9" t="n">
        <f aca="false">IF(Q228="","",F228*R228/Q228-1)</f>
        <v>0.559317345808273</v>
      </c>
      <c r="P228" s="9" t="n">
        <f aca="false">IF(S228="","",F228*T228/S228-1)</f>
        <v>-0.162522202486678</v>
      </c>
      <c r="Q228" s="5" t="n">
        <v>18.53</v>
      </c>
      <c r="R228" s="10" t="n">
        <v>3.06406685236769</v>
      </c>
      <c r="S228" s="5" t="n">
        <v>11.26</v>
      </c>
      <c r="T228" s="10" t="n">
        <v>1</v>
      </c>
      <c r="U228" s="4" t="s">
        <v>543</v>
      </c>
    </row>
    <row r="229" customFormat="false" ht="15" hidden="false" customHeight="false" outlineLevel="0" collapsed="false">
      <c r="A229" s="4" t="s">
        <v>544</v>
      </c>
      <c r="B229" s="4" t="s">
        <v>545</v>
      </c>
      <c r="C229" s="4" t="s">
        <v>29</v>
      </c>
      <c r="D229" s="4" t="s">
        <v>30</v>
      </c>
      <c r="E229" s="4" t="s">
        <v>126</v>
      </c>
      <c r="F229" s="5" t="n">
        <v>51.6</v>
      </c>
      <c r="G229" s="4" t="s">
        <v>26</v>
      </c>
      <c r="H229" s="6" t="n">
        <v>34056</v>
      </c>
      <c r="I229" s="7" t="n">
        <v>-1975.487</v>
      </c>
      <c r="J229" s="4" t="s">
        <v>32</v>
      </c>
      <c r="K229" s="4" t="s">
        <v>86</v>
      </c>
      <c r="L229" s="4" t="s">
        <v>42</v>
      </c>
      <c r="M229" s="8" t="str">
        <f aca="false">IF(OR(H229="",I229=""),"",IF(I229&gt;0,H229/I229,""))</f>
        <v/>
      </c>
      <c r="N229" s="4" t="str">
        <f aca="false">IF(I229="",IF(K229="NULL","FCF yok (NULL)","FCF kapsamı dışı"),IF(I229&lt;=0,"anlamsız (FCF ≤ 0)",IF(OR(K229="KOŞULLU"),"FCF KOŞULLU — yorum yapılmaz","")))</f>
        <v>anlamsız (FCF ≤ 0)</v>
      </c>
      <c r="O229" s="9" t="n">
        <f aca="false">IF(Q229="","",F229*R229/Q229-1)</f>
        <v>0.804195804195804</v>
      </c>
      <c r="P229" s="9" t="n">
        <f aca="false">IF(S229="","",F229*T229/S229-1)</f>
        <v>-0.2</v>
      </c>
      <c r="Q229" s="5" t="n">
        <v>28.6</v>
      </c>
      <c r="R229" s="10" t="n">
        <v>1</v>
      </c>
      <c r="S229" s="5" t="n">
        <v>64.5</v>
      </c>
      <c r="T229" s="10" t="n">
        <v>1</v>
      </c>
      <c r="U229" s="4"/>
    </row>
    <row r="230" customFormat="false" ht="15" hidden="false" customHeight="false" outlineLevel="0" collapsed="false">
      <c r="A230" s="4" t="s">
        <v>546</v>
      </c>
      <c r="B230" s="4" t="s">
        <v>547</v>
      </c>
      <c r="C230" s="4" t="s">
        <v>29</v>
      </c>
      <c r="D230" s="4" t="s">
        <v>30</v>
      </c>
      <c r="E230" s="4" t="s">
        <v>31</v>
      </c>
      <c r="F230" s="5" t="n">
        <v>2.84</v>
      </c>
      <c r="G230" s="4" t="s">
        <v>26</v>
      </c>
      <c r="H230" s="6" t="n">
        <v>5964</v>
      </c>
      <c r="I230" s="7" t="n">
        <v>677.1220256</v>
      </c>
      <c r="J230" s="4" t="s">
        <v>32</v>
      </c>
      <c r="K230" s="4" t="s">
        <v>33</v>
      </c>
      <c r="L230" s="4" t="s">
        <v>57</v>
      </c>
      <c r="M230" s="8" t="n">
        <f aca="false">IF(OR(H230="",I230=""),"",IF(I230&gt;0,H230/I230,""))</f>
        <v>8.80786590085484</v>
      </c>
      <c r="N230" s="4" t="str">
        <f aca="false">IF(I230="",IF(K230="NULL","FCF yok (NULL)","FCF kapsamı dışı"),IF(I230&lt;=0,"anlamsız (FCF ≤ 0)",IF(OR(K230="KOŞULLU"),"FCF KOŞULLU — yorum yapılmaz","")))</f>
        <v/>
      </c>
      <c r="O230" s="9" t="n">
        <f aca="false">IF(Q230="","",F230*R230/Q230-1)</f>
        <v>-0.657831325301205</v>
      </c>
      <c r="P230" s="9" t="n">
        <f aca="false">IF(S230="","",F230*T230/S230-1)</f>
        <v>-0.0926517571884984</v>
      </c>
      <c r="Q230" s="5" t="n">
        <v>8.3</v>
      </c>
      <c r="R230" s="10" t="n">
        <v>1</v>
      </c>
      <c r="S230" s="5" t="n">
        <v>3.13</v>
      </c>
      <c r="T230" s="10" t="n">
        <v>1</v>
      </c>
      <c r="U230" s="4"/>
    </row>
    <row r="231" customFormat="false" ht="15" hidden="false" customHeight="false" outlineLevel="0" collapsed="false">
      <c r="A231" s="4" t="s">
        <v>548</v>
      </c>
      <c r="B231" s="4" t="s">
        <v>549</v>
      </c>
      <c r="C231" s="4" t="s">
        <v>38</v>
      </c>
      <c r="D231" s="4"/>
      <c r="E231" s="4"/>
      <c r="F231" s="5" t="n">
        <v>4.24</v>
      </c>
      <c r="G231" s="4" t="s">
        <v>64</v>
      </c>
      <c r="H231" s="6" t="n">
        <v>254.4</v>
      </c>
      <c r="I231" s="7"/>
      <c r="J231" s="4"/>
      <c r="K231" s="4"/>
      <c r="L231" s="4"/>
      <c r="M231" s="8" t="str">
        <f aca="false">IF(OR(H231="",I231=""),"",IF(I231&gt;0,H231/I231,""))</f>
        <v/>
      </c>
      <c r="N231" s="4" t="str">
        <f aca="false">IF(I231="",IF(K231="NULL","FCF yok (NULL)","FCF kapsamı dışı"),IF(I231&lt;=0,"anlamsız (FCF ≤ 0)",IF(OR(K231="KOŞULLU"),"FCF KOŞULLU — yorum yapılmaz","")))</f>
        <v>FCF kapsamı dışı</v>
      </c>
      <c r="O231" s="9" t="n">
        <f aca="false">IF(Q231="","",F231*R231/Q231-1)</f>
        <v>-0.0974377359758898</v>
      </c>
      <c r="P231" s="9" t="n">
        <f aca="false">IF(S231="","",F231*T231/S231-1)</f>
        <v>0.149051490514905</v>
      </c>
      <c r="Q231" s="5" t="n">
        <v>14.35</v>
      </c>
      <c r="R231" s="10" t="n">
        <v>3.05466237942122</v>
      </c>
      <c r="S231" s="5" t="n">
        <v>3.69</v>
      </c>
      <c r="T231" s="10" t="n">
        <v>1</v>
      </c>
      <c r="U231" s="4" t="s">
        <v>550</v>
      </c>
    </row>
    <row r="232" customFormat="false" ht="15" hidden="false" customHeight="false" outlineLevel="0" collapsed="false">
      <c r="A232" s="4" t="s">
        <v>551</v>
      </c>
      <c r="B232" s="4" t="s">
        <v>552</v>
      </c>
      <c r="C232" s="4" t="s">
        <v>38</v>
      </c>
      <c r="D232" s="4"/>
      <c r="E232" s="4"/>
      <c r="F232" s="5" t="n">
        <v>1.91</v>
      </c>
      <c r="G232" s="4" t="s">
        <v>26</v>
      </c>
      <c r="H232" s="6" t="n">
        <v>1337</v>
      </c>
      <c r="I232" s="7"/>
      <c r="J232" s="4"/>
      <c r="K232" s="4"/>
      <c r="L232" s="4"/>
      <c r="M232" s="8" t="str">
        <f aca="false">IF(OR(H232="",I232=""),"",IF(I232&gt;0,H232/I232,""))</f>
        <v/>
      </c>
      <c r="N232" s="4" t="str">
        <f aca="false">IF(I232="",IF(K232="NULL","FCF yok (NULL)","FCF kapsamı dışı"),IF(I232&lt;=0,"anlamsız (FCF ≤ 0)",IF(OR(K232="KOŞULLU"),"FCF KOŞULLU — yorum yapılmaz","")))</f>
        <v>FCF kapsamı dışı</v>
      </c>
      <c r="O232" s="9" t="n">
        <f aca="false">IF(Q232="","",F232*R232/Q232-1)</f>
        <v>-0.571748878923767</v>
      </c>
      <c r="P232" s="9" t="n">
        <f aca="false">IF(S232="","",F232*T232/S232-1)</f>
        <v>-0.13963963963964</v>
      </c>
      <c r="Q232" s="5" t="n">
        <v>4.46</v>
      </c>
      <c r="R232" s="10" t="n">
        <v>1</v>
      </c>
      <c r="S232" s="5" t="n">
        <v>2.22</v>
      </c>
      <c r="T232" s="10" t="n">
        <v>1</v>
      </c>
      <c r="U232" s="4"/>
    </row>
    <row r="233" customFormat="false" ht="15" hidden="false" customHeight="false" outlineLevel="0" collapsed="false">
      <c r="A233" s="4" t="s">
        <v>553</v>
      </c>
      <c r="B233" s="4" t="s">
        <v>554</v>
      </c>
      <c r="C233" s="4" t="s">
        <v>29</v>
      </c>
      <c r="D233" s="4" t="s">
        <v>30</v>
      </c>
      <c r="E233" s="4" t="s">
        <v>53</v>
      </c>
      <c r="F233" s="5" t="n">
        <v>11.85</v>
      </c>
      <c r="G233" s="4" t="s">
        <v>26</v>
      </c>
      <c r="H233" s="6" t="n">
        <v>994.15575</v>
      </c>
      <c r="I233" s="7" t="n">
        <v>36.6462448</v>
      </c>
      <c r="J233" s="4" t="s">
        <v>32</v>
      </c>
      <c r="K233" s="4" t="s">
        <v>33</v>
      </c>
      <c r="L233" s="4" t="s">
        <v>57</v>
      </c>
      <c r="M233" s="8" t="n">
        <f aca="false">IF(OR(H233="",I233=""),"",IF(I233&gt;0,H233/I233,""))</f>
        <v>27.1284480968156</v>
      </c>
      <c r="N233" s="4" t="str">
        <f aca="false">IF(I233="",IF(K233="NULL","FCF yok (NULL)","FCF kapsamı dışı"),IF(I233&lt;=0,"anlamsız (FCF ≤ 0)",IF(OR(K233="KOŞULLU"),"FCF KOŞULLU — yorum yapılmaz","")))</f>
        <v/>
      </c>
      <c r="O233" s="9" t="n">
        <f aca="false">IF(Q233="","",F233*R233/Q233-1)</f>
        <v>-0.253308128544423</v>
      </c>
      <c r="P233" s="9" t="n">
        <f aca="false">IF(S233="","",F233*T233/S233-1)</f>
        <v>-0.0214698596201486</v>
      </c>
      <c r="Q233" s="5" t="n">
        <v>15.87</v>
      </c>
      <c r="R233" s="10" t="n">
        <v>1</v>
      </c>
      <c r="S233" s="5" t="n">
        <v>12.11</v>
      </c>
      <c r="T233" s="10" t="n">
        <v>1</v>
      </c>
      <c r="U233" s="4"/>
    </row>
    <row r="234" customFormat="false" ht="15" hidden="false" customHeight="false" outlineLevel="0" collapsed="false">
      <c r="A234" s="4" t="s">
        <v>555</v>
      </c>
      <c r="B234" s="4" t="s">
        <v>556</v>
      </c>
      <c r="C234" s="4" t="s">
        <v>29</v>
      </c>
      <c r="D234" s="4" t="s">
        <v>30</v>
      </c>
      <c r="E234" s="4" t="s">
        <v>285</v>
      </c>
      <c r="F234" s="5" t="n">
        <v>2.42</v>
      </c>
      <c r="G234" s="4" t="s">
        <v>26</v>
      </c>
      <c r="H234" s="6" t="n">
        <v>15125</v>
      </c>
      <c r="I234" s="7"/>
      <c r="J234" s="4" t="s">
        <v>32</v>
      </c>
      <c r="K234" s="4" t="s">
        <v>116</v>
      </c>
      <c r="L234" s="4" t="s">
        <v>42</v>
      </c>
      <c r="M234" s="8" t="str">
        <f aca="false">IF(OR(H234="",I234=""),"",IF(I234&gt;0,H234/I234,""))</f>
        <v/>
      </c>
      <c r="N234" s="4" t="str">
        <f aca="false">IF(I234="",IF(K234="NULL","FCF yok (NULL)","FCF kapsamı dışı"),IF(I234&lt;=0,"anlamsız (FCF ≤ 0)",IF(OR(K234="KOŞULLU"),"FCF KOŞULLU — yorum yapılmaz","")))</f>
        <v>FCF yok (NULL)</v>
      </c>
      <c r="O234" s="9" t="n">
        <f aca="false">IF(Q234="","",F234*R234/Q234-1)</f>
        <v>-0.427895981087471</v>
      </c>
      <c r="P234" s="9" t="n">
        <f aca="false">IF(S234="","",F234*T234/S234-1)</f>
        <v>-0.062015503875969</v>
      </c>
      <c r="Q234" s="5" t="n">
        <v>4.23</v>
      </c>
      <c r="R234" s="10" t="n">
        <v>1</v>
      </c>
      <c r="S234" s="5" t="n">
        <v>2.58</v>
      </c>
      <c r="T234" s="10" t="n">
        <v>1</v>
      </c>
      <c r="U234" s="4"/>
    </row>
    <row r="235" customFormat="false" ht="15" hidden="false" customHeight="false" outlineLevel="0" collapsed="false">
      <c r="A235" s="4" t="s">
        <v>557</v>
      </c>
      <c r="B235" s="4" t="s">
        <v>558</v>
      </c>
      <c r="C235" s="4" t="s">
        <v>29</v>
      </c>
      <c r="D235" s="4" t="s">
        <v>30</v>
      </c>
      <c r="E235" s="4" t="s">
        <v>107</v>
      </c>
      <c r="F235" s="5" t="n">
        <v>11.85</v>
      </c>
      <c r="G235" s="4" t="s">
        <v>26</v>
      </c>
      <c r="H235" s="6" t="n">
        <v>1110.9375</v>
      </c>
      <c r="I235" s="7" t="n">
        <v>19.7460512</v>
      </c>
      <c r="J235" s="4" t="s">
        <v>32</v>
      </c>
      <c r="K235" s="4" t="s">
        <v>33</v>
      </c>
      <c r="L235" s="4" t="s">
        <v>57</v>
      </c>
      <c r="M235" s="8" t="n">
        <f aca="false">IF(OR(H235="",I235=""),"",IF(I235&gt;0,H235/I235,""))</f>
        <v>56.2612488313613</v>
      </c>
      <c r="N235" s="4" t="str">
        <f aca="false">IF(I235="",IF(K235="NULL","FCF yok (NULL)","FCF kapsamı dışı"),IF(I235&lt;=0,"anlamsız (FCF ≤ 0)",IF(OR(K235="KOŞULLU"),"FCF KOŞULLU — yorum yapılmaz","")))</f>
        <v/>
      </c>
      <c r="O235" s="9" t="n">
        <f aca="false">IF(Q235="","",F235*R235/Q235-1)</f>
        <v>0.142719382835101</v>
      </c>
      <c r="P235" s="9" t="n">
        <f aca="false">IF(S235="","",F235*T235/S235-1)</f>
        <v>0.0385626643295354</v>
      </c>
      <c r="Q235" s="5" t="n">
        <v>10.37</v>
      </c>
      <c r="R235" s="10" t="n">
        <v>1</v>
      </c>
      <c r="S235" s="5" t="n">
        <v>11.41</v>
      </c>
      <c r="T235" s="10" t="n">
        <v>1</v>
      </c>
      <c r="U235" s="4"/>
    </row>
    <row r="236" customFormat="false" ht="15" hidden="false" customHeight="false" outlineLevel="0" collapsed="false">
      <c r="A236" s="4" t="s">
        <v>559</v>
      </c>
      <c r="B236" s="4" t="s">
        <v>560</v>
      </c>
      <c r="C236" s="4" t="s">
        <v>29</v>
      </c>
      <c r="D236" s="4" t="s">
        <v>30</v>
      </c>
      <c r="E236" s="4" t="s">
        <v>234</v>
      </c>
      <c r="F236" s="5" t="n">
        <v>270.25</v>
      </c>
      <c r="G236" s="4" t="s">
        <v>26</v>
      </c>
      <c r="H236" s="6" t="n">
        <v>3858.3024975</v>
      </c>
      <c r="I236" s="7" t="n">
        <v>153.276</v>
      </c>
      <c r="J236" s="4" t="s">
        <v>32</v>
      </c>
      <c r="K236" s="4" t="s">
        <v>33</v>
      </c>
      <c r="L236" s="4" t="s">
        <v>42</v>
      </c>
      <c r="M236" s="8" t="n">
        <f aca="false">IF(OR(H236="",I236=""),"",IF(I236&gt;0,H236/I236,""))</f>
        <v>25.1722546093322</v>
      </c>
      <c r="N236" s="4" t="str">
        <f aca="false">IF(I236="",IF(K236="NULL","FCF yok (NULL)","FCF kapsamı dışı"),IF(I236&lt;=0,"anlamsız (FCF ≤ 0)",IF(OR(K236="KOŞULLU"),"FCF KOŞULLU — yorum yapılmaz","")))</f>
        <v/>
      </c>
      <c r="O236" s="9" t="n">
        <f aca="false">IF(Q236="","",F236*R236/Q236-1)</f>
        <v>-0.132351370271965</v>
      </c>
      <c r="P236" s="9" t="n">
        <f aca="false">IF(S236="","",F236*T236/S236-1)</f>
        <v>0.039423076923077</v>
      </c>
      <c r="Q236" s="5" t="n">
        <v>311.474012336895</v>
      </c>
      <c r="R236" s="10" t="n">
        <v>1</v>
      </c>
      <c r="S236" s="5" t="n">
        <v>260</v>
      </c>
      <c r="T236" s="10" t="n">
        <v>1</v>
      </c>
      <c r="U236" s="4"/>
    </row>
    <row r="237" customFormat="false" ht="15" hidden="false" customHeight="false" outlineLevel="0" collapsed="false">
      <c r="A237" s="4" t="s">
        <v>561</v>
      </c>
      <c r="B237" s="4" t="s">
        <v>562</v>
      </c>
      <c r="C237" s="4" t="s">
        <v>29</v>
      </c>
      <c r="D237" s="4" t="s">
        <v>30</v>
      </c>
      <c r="E237" s="4" t="s">
        <v>159</v>
      </c>
      <c r="F237" s="5" t="n">
        <v>4.29</v>
      </c>
      <c r="G237" s="4" t="s">
        <v>120</v>
      </c>
      <c r="H237" s="6" t="n">
        <v>4015.44</v>
      </c>
      <c r="I237" s="7" t="n">
        <v>155.455</v>
      </c>
      <c r="J237" s="4" t="s">
        <v>32</v>
      </c>
      <c r="K237" s="4" t="s">
        <v>33</v>
      </c>
      <c r="L237" s="4" t="s">
        <v>42</v>
      </c>
      <c r="M237" s="8" t="n">
        <f aca="false">IF(OR(H237="",I237=""),"",IF(I237&gt;0,H237/I237,""))</f>
        <v>25.8302402624554</v>
      </c>
      <c r="N237" s="4" t="str">
        <f aca="false">IF(I237="",IF(K237="NULL","FCF yok (NULL)","FCF kapsamı dışı"),IF(I237&lt;=0,"anlamsız (FCF ≤ 0)",IF(OR(K237="KOŞULLU"),"FCF KOŞULLU — yorum yapılmaz","")))</f>
        <v/>
      </c>
      <c r="O237" s="9" t="n">
        <f aca="false">IF(Q237="","",F237*R237/Q237-1)</f>
        <v>0.65</v>
      </c>
      <c r="P237" s="9" t="n">
        <f aca="false">IF(S237="","",F237*T237/S237-1)</f>
        <v>0.0514705882352942</v>
      </c>
      <c r="Q237" s="5" t="n">
        <v>2.6</v>
      </c>
      <c r="R237" s="10" t="n">
        <v>1</v>
      </c>
      <c r="S237" s="5" t="n">
        <v>4.08</v>
      </c>
      <c r="T237" s="10" t="n">
        <v>1</v>
      </c>
      <c r="U237" s="4"/>
    </row>
    <row r="238" customFormat="false" ht="15" hidden="false" customHeight="false" outlineLevel="0" collapsed="false">
      <c r="A238" s="4" t="s">
        <v>563</v>
      </c>
      <c r="B238" s="4" t="s">
        <v>564</v>
      </c>
      <c r="C238" s="4" t="s">
        <v>29</v>
      </c>
      <c r="D238" s="4" t="s">
        <v>30</v>
      </c>
      <c r="E238" s="4" t="s">
        <v>565</v>
      </c>
      <c r="F238" s="5" t="n">
        <v>0.98</v>
      </c>
      <c r="G238" s="4" t="s">
        <v>26</v>
      </c>
      <c r="H238" s="6" t="n">
        <v>1117.78406922</v>
      </c>
      <c r="I238" s="7" t="n">
        <v>-234.2978176</v>
      </c>
      <c r="J238" s="4" t="s">
        <v>32</v>
      </c>
      <c r="K238" s="4" t="s">
        <v>33</v>
      </c>
      <c r="L238" s="4" t="s">
        <v>34</v>
      </c>
      <c r="M238" s="8" t="str">
        <f aca="false">IF(OR(H238="",I238=""),"",IF(I238&gt;0,H238/I238,""))</f>
        <v/>
      </c>
      <c r="N238" s="4" t="str">
        <f aca="false">IF(I238="",IF(K238="NULL","FCF yok (NULL)","FCF kapsamı dışı"),IF(I238&lt;=0,"anlamsız (FCF ≤ 0)",IF(OR(K238="KOŞULLU"),"FCF KOŞULLU — yorum yapılmaz","")))</f>
        <v>anlamsız (FCF ≤ 0)</v>
      </c>
      <c r="O238" s="9" t="n">
        <f aca="false">IF(Q238="","",F238*R238/Q238-1)</f>
        <v>-0.75682382133995</v>
      </c>
      <c r="P238" s="9" t="n">
        <f aca="false">IF(S238="","",F238*T238/S238-1)</f>
        <v>-0.169491525423729</v>
      </c>
      <c r="Q238" s="5" t="n">
        <v>4.03</v>
      </c>
      <c r="R238" s="10" t="n">
        <v>1</v>
      </c>
      <c r="S238" s="5" t="n">
        <v>1.18</v>
      </c>
      <c r="T238" s="10" t="n">
        <v>1</v>
      </c>
      <c r="U238" s="4"/>
    </row>
    <row r="239" customFormat="false" ht="15" hidden="false" customHeight="false" outlineLevel="0" collapsed="false">
      <c r="A239" s="4" t="s">
        <v>566</v>
      </c>
      <c r="B239" s="4" t="s">
        <v>567</v>
      </c>
      <c r="C239" s="4" t="s">
        <v>29</v>
      </c>
      <c r="D239" s="4" t="s">
        <v>30</v>
      </c>
      <c r="E239" s="4" t="s">
        <v>159</v>
      </c>
      <c r="F239" s="5" t="n">
        <v>104.5</v>
      </c>
      <c r="G239" s="4" t="s">
        <v>64</v>
      </c>
      <c r="H239" s="6" t="n">
        <v>7001.5</v>
      </c>
      <c r="I239" s="7" t="n">
        <v>3648.832</v>
      </c>
      <c r="J239" s="4" t="s">
        <v>32</v>
      </c>
      <c r="K239" s="4" t="s">
        <v>86</v>
      </c>
      <c r="L239" s="4" t="s">
        <v>42</v>
      </c>
      <c r="M239" s="8" t="n">
        <f aca="false">IF(OR(H239="",I239=""),"",IF(I239&gt;0,H239/I239,""))</f>
        <v>1.9188332047077</v>
      </c>
      <c r="N239" s="4" t="str">
        <f aca="false">IF(I239="",IF(K239="NULL","FCF yok (NULL)","FCF kapsamı dışı"),IF(I239&lt;=0,"anlamsız (FCF ≤ 0)",IF(OR(K239="KOŞULLU"),"FCF KOŞULLU — yorum yapılmaz","")))</f>
        <v/>
      </c>
      <c r="O239" s="9" t="n">
        <f aca="false">IF(Q239="","",F239*R239/Q239-1)</f>
        <v>0.467696629213483</v>
      </c>
      <c r="P239" s="9" t="n">
        <f aca="false">IF(S239="","",F239*T239/S239-1)</f>
        <v>0.0751028806584362</v>
      </c>
      <c r="Q239" s="5" t="n">
        <v>71.2</v>
      </c>
      <c r="R239" s="10" t="n">
        <v>1</v>
      </c>
      <c r="S239" s="5" t="n">
        <v>97.2</v>
      </c>
      <c r="T239" s="10" t="n">
        <v>1</v>
      </c>
      <c r="U239" s="4"/>
    </row>
    <row r="240" customFormat="false" ht="15" hidden="false" customHeight="false" outlineLevel="0" collapsed="false">
      <c r="A240" s="4" t="s">
        <v>568</v>
      </c>
      <c r="B240" s="4" t="s">
        <v>569</v>
      </c>
      <c r="C240" s="4" t="s">
        <v>29</v>
      </c>
      <c r="D240" s="4" t="s">
        <v>30</v>
      </c>
      <c r="E240" s="4" t="s">
        <v>53</v>
      </c>
      <c r="F240" s="5" t="n">
        <v>2</v>
      </c>
      <c r="G240" s="4" t="s">
        <v>76</v>
      </c>
      <c r="H240" s="6" t="n">
        <v>1700</v>
      </c>
      <c r="I240" s="7" t="n">
        <v>168.54</v>
      </c>
      <c r="J240" s="4" t="s">
        <v>32</v>
      </c>
      <c r="K240" s="4" t="s">
        <v>33</v>
      </c>
      <c r="L240" s="4" t="s">
        <v>42</v>
      </c>
      <c r="M240" s="8" t="n">
        <f aca="false">IF(OR(H240="",I240=""),"",IF(I240&gt;0,H240/I240,""))</f>
        <v>10.0866263201614</v>
      </c>
      <c r="N240" s="4" t="str">
        <f aca="false">IF(I240="",IF(K240="NULL","FCF yok (NULL)","FCF kapsamı dışı"),IF(I240&lt;=0,"anlamsız (FCF ≤ 0)",IF(OR(K240="KOŞULLU"),"FCF KOŞULLU — yorum yapılmaz","")))</f>
        <v/>
      </c>
      <c r="O240" s="9" t="n">
        <f aca="false">IF(Q240="","",F240*R240/Q240-1)</f>
        <v>0.0881892278719398</v>
      </c>
      <c r="P240" s="9" t="n">
        <f aca="false">IF(S240="","",F240*T240/S240-1)</f>
        <v>0.169590643274854</v>
      </c>
      <c r="Q240" s="5" t="n">
        <v>5.31</v>
      </c>
      <c r="R240" s="10" t="n">
        <v>2.8891424</v>
      </c>
      <c r="S240" s="5" t="n">
        <v>1.71</v>
      </c>
      <c r="T240" s="10" t="n">
        <v>1</v>
      </c>
      <c r="U240" s="4" t="s">
        <v>570</v>
      </c>
    </row>
    <row r="241" customFormat="false" ht="15" hidden="false" customHeight="false" outlineLevel="0" collapsed="false">
      <c r="A241" s="4" t="s">
        <v>571</v>
      </c>
      <c r="B241" s="4" t="s">
        <v>572</v>
      </c>
      <c r="C241" s="4" t="s">
        <v>29</v>
      </c>
      <c r="D241" s="4" t="s">
        <v>30</v>
      </c>
      <c r="E241" s="4" t="s">
        <v>41</v>
      </c>
      <c r="F241" s="5" t="n">
        <v>23.76</v>
      </c>
      <c r="G241" s="4" t="s">
        <v>64</v>
      </c>
      <c r="H241" s="6" t="n">
        <v>3801.6</v>
      </c>
      <c r="I241" s="7" t="n">
        <v>770.415</v>
      </c>
      <c r="J241" s="4" t="s">
        <v>32</v>
      </c>
      <c r="K241" s="4" t="s">
        <v>33</v>
      </c>
      <c r="L241" s="4" t="s">
        <v>42</v>
      </c>
      <c r="M241" s="8" t="n">
        <f aca="false">IF(OR(H241="",I241=""),"",IF(I241&gt;0,H241/I241,""))</f>
        <v>4.93448336286287</v>
      </c>
      <c r="N241" s="4" t="str">
        <f aca="false">IF(I241="",IF(K241="NULL","FCF yok (NULL)","FCF kapsamı dışı"),IF(I241&lt;=0,"anlamsız (FCF ≤ 0)",IF(OR(K241="KOŞULLU"),"FCF KOŞULLU — yorum yapılmaz","")))</f>
        <v/>
      </c>
      <c r="O241" s="9" t="str">
        <f aca="false">IF(Q241="","",F241*R241/Q241-1)</f>
        <v/>
      </c>
      <c r="P241" s="9" t="n">
        <f aca="false">IF(S241="","",F241*T241/S241-1)</f>
        <v>-0.00585774058577393</v>
      </c>
      <c r="Q241" s="5"/>
      <c r="R241" s="10" t="n">
        <v>1</v>
      </c>
      <c r="S241" s="5" t="n">
        <v>23.9</v>
      </c>
      <c r="T241" s="10" t="n">
        <v>1</v>
      </c>
      <c r="U241" s="4"/>
    </row>
    <row r="242" customFormat="false" ht="15" hidden="false" customHeight="false" outlineLevel="0" collapsed="false">
      <c r="A242" s="4" t="s">
        <v>573</v>
      </c>
      <c r="B242" s="4" t="s">
        <v>574</v>
      </c>
      <c r="C242" s="4" t="s">
        <v>29</v>
      </c>
      <c r="D242" s="4" t="s">
        <v>30</v>
      </c>
      <c r="E242" s="4" t="s">
        <v>182</v>
      </c>
      <c r="F242" s="5" t="n">
        <v>74.8</v>
      </c>
      <c r="G242" s="4" t="s">
        <v>26</v>
      </c>
      <c r="H242" s="6" t="n">
        <v>262480.68</v>
      </c>
      <c r="I242" s="7" t="n">
        <v>33276.562</v>
      </c>
      <c r="J242" s="4" t="s">
        <v>32</v>
      </c>
      <c r="K242" s="4" t="s">
        <v>33</v>
      </c>
      <c r="L242" s="4" t="s">
        <v>42</v>
      </c>
      <c r="M242" s="8" t="n">
        <f aca="false">IF(OR(H242="",I242=""),"",IF(I242&gt;0,H242/I242,""))</f>
        <v>7.88785452054813</v>
      </c>
      <c r="N242" s="4" t="str">
        <f aca="false">IF(I242="",IF(K242="NULL","FCF yok (NULL)","FCF kapsamı dışı"),IF(I242&lt;=0,"anlamsız (FCF ≤ 0)",IF(OR(K242="KOŞULLU"),"FCF KOŞULLU — yorum yapılmaz","")))</f>
        <v/>
      </c>
      <c r="O242" s="9" t="n">
        <f aca="false">IF(Q242="","",F242*R242/Q242-1)</f>
        <v>-0.177994574272924</v>
      </c>
      <c r="P242" s="9" t="n">
        <f aca="false">IF(S242="","",F242*T242/S242-1)</f>
        <v>-0.0391779062299293</v>
      </c>
      <c r="Q242" s="5" t="n">
        <v>90.99696627165</v>
      </c>
      <c r="R242" s="10" t="n">
        <v>1</v>
      </c>
      <c r="S242" s="5" t="n">
        <v>77.85</v>
      </c>
      <c r="T242" s="10" t="n">
        <v>1</v>
      </c>
      <c r="U242" s="4"/>
    </row>
    <row r="243" customFormat="false" ht="15" hidden="false" customHeight="false" outlineLevel="0" collapsed="false">
      <c r="A243" s="4" t="s">
        <v>575</v>
      </c>
      <c r="B243" s="4" t="s">
        <v>576</v>
      </c>
      <c r="C243" s="4" t="s">
        <v>38</v>
      </c>
      <c r="D243" s="4"/>
      <c r="E243" s="4"/>
      <c r="F243" s="5" t="n">
        <v>5.5</v>
      </c>
      <c r="G243" s="4" t="s">
        <v>26</v>
      </c>
      <c r="H243" s="6" t="n">
        <v>6875</v>
      </c>
      <c r="I243" s="7"/>
      <c r="J243" s="4"/>
      <c r="K243" s="4"/>
      <c r="L243" s="4"/>
      <c r="M243" s="8" t="str">
        <f aca="false">IF(OR(H243="",I243=""),"",IF(I243&gt;0,H243/I243,""))</f>
        <v/>
      </c>
      <c r="N243" s="4" t="str">
        <f aca="false">IF(I243="",IF(K243="NULL","FCF yok (NULL)","FCF kapsamı dışı"),IF(I243&lt;=0,"anlamsız (FCF ≤ 0)",IF(OR(K243="KOŞULLU"),"FCF KOŞULLU — yorum yapılmaz","")))</f>
        <v>FCF kapsamı dışı</v>
      </c>
      <c r="O243" s="9" t="n">
        <f aca="false">IF(Q243="","",F243*R243/Q243-1)</f>
        <v>-0.631367292225201</v>
      </c>
      <c r="P243" s="9" t="n">
        <f aca="false">IF(S243="","",F243*T243/S243-1)</f>
        <v>-0.262734584450402</v>
      </c>
      <c r="Q243" s="5" t="n">
        <v>14.92</v>
      </c>
      <c r="R243" s="10" t="n">
        <v>1</v>
      </c>
      <c r="S243" s="5" t="n">
        <v>7.46</v>
      </c>
      <c r="T243" s="10" t="n">
        <v>1</v>
      </c>
      <c r="U243" s="4"/>
    </row>
    <row r="244" customFormat="false" ht="15" hidden="false" customHeight="false" outlineLevel="0" collapsed="false">
      <c r="A244" s="4" t="s">
        <v>577</v>
      </c>
      <c r="B244" s="4" t="s">
        <v>578</v>
      </c>
      <c r="C244" s="4" t="s">
        <v>60</v>
      </c>
      <c r="D244" s="4"/>
      <c r="E244" s="4"/>
      <c r="F244" s="5" t="n">
        <v>131.3</v>
      </c>
      <c r="G244" s="4" t="s">
        <v>26</v>
      </c>
      <c r="H244" s="6" t="n">
        <v>551460</v>
      </c>
      <c r="I244" s="7"/>
      <c r="J244" s="4"/>
      <c r="K244" s="4"/>
      <c r="L244" s="4"/>
      <c r="M244" s="8" t="str">
        <f aca="false">IF(OR(H244="",I244=""),"",IF(I244&gt;0,H244/I244,""))</f>
        <v/>
      </c>
      <c r="N244" s="4" t="str">
        <f aca="false">IF(I244="",IF(K244="NULL","FCF yok (NULL)","FCF kapsamı dışı"),IF(I244&lt;=0,"anlamsız (FCF ≤ 0)",IF(OR(K244="KOŞULLU"),"FCF KOŞULLU — yorum yapılmaz","")))</f>
        <v>FCF kapsamı dışı</v>
      </c>
      <c r="O244" s="9" t="n">
        <f aca="false">IF(Q244="","",F244*R244/Q244-1)</f>
        <v>-0.0643427394018992</v>
      </c>
      <c r="P244" s="9" t="n">
        <f aca="false">IF(S244="","",F244*T244/S244-1)</f>
        <v>-0.0135236664162283</v>
      </c>
      <c r="Q244" s="5" t="n">
        <v>140.329162749263</v>
      </c>
      <c r="R244" s="10" t="n">
        <v>1</v>
      </c>
      <c r="S244" s="5" t="n">
        <v>133.1</v>
      </c>
      <c r="T244" s="10" t="n">
        <v>1</v>
      </c>
      <c r="U244" s="4"/>
    </row>
    <row r="245" customFormat="false" ht="15" hidden="false" customHeight="false" outlineLevel="0" collapsed="false">
      <c r="A245" s="4" t="s">
        <v>579</v>
      </c>
      <c r="B245" s="4" t="s">
        <v>580</v>
      </c>
      <c r="C245" s="4" t="s">
        <v>60</v>
      </c>
      <c r="D245" s="4"/>
      <c r="E245" s="4"/>
      <c r="F245" s="5" t="n">
        <v>23.04</v>
      </c>
      <c r="G245" s="4" t="s">
        <v>26</v>
      </c>
      <c r="H245" s="6" t="n">
        <v>9158.4</v>
      </c>
      <c r="I245" s="7"/>
      <c r="J245" s="4"/>
      <c r="K245" s="4"/>
      <c r="L245" s="4"/>
      <c r="M245" s="8" t="str">
        <f aca="false">IF(OR(H245="",I245=""),"",IF(I245&gt;0,H245/I245,""))</f>
        <v/>
      </c>
      <c r="N245" s="4" t="str">
        <f aca="false">IF(I245="",IF(K245="NULL","FCF yok (NULL)","FCF kapsamı dışı"),IF(I245&lt;=0,"anlamsız (FCF ≤ 0)",IF(OR(K245="KOŞULLU"),"FCF KOŞULLU — yorum yapılmaz","")))</f>
        <v>FCF kapsamı dışı</v>
      </c>
      <c r="O245" s="9" t="n">
        <f aca="false">IF(Q245="","",F245*R245/Q245-1)</f>
        <v>-0.170028818443804</v>
      </c>
      <c r="P245" s="9" t="n">
        <f aca="false">IF(S245="","",F245*T245/S245-1)</f>
        <v>-0.0518518518518519</v>
      </c>
      <c r="Q245" s="5" t="n">
        <v>27.76</v>
      </c>
      <c r="R245" s="10" t="n">
        <v>1</v>
      </c>
      <c r="S245" s="5" t="n">
        <v>24.3</v>
      </c>
      <c r="T245" s="10" t="n">
        <v>1</v>
      </c>
      <c r="U245" s="4"/>
    </row>
    <row r="246" customFormat="false" ht="15" hidden="false" customHeight="false" outlineLevel="0" collapsed="false">
      <c r="A246" s="4" t="s">
        <v>581</v>
      </c>
      <c r="B246" s="4" t="s">
        <v>582</v>
      </c>
      <c r="C246" s="4" t="s">
        <v>29</v>
      </c>
      <c r="D246" s="4" t="s">
        <v>30</v>
      </c>
      <c r="E246" s="4" t="s">
        <v>107</v>
      </c>
      <c r="F246" s="5" t="n">
        <v>115</v>
      </c>
      <c r="G246" s="4" t="s">
        <v>141</v>
      </c>
      <c r="H246" s="6" t="n">
        <v>1301.839215</v>
      </c>
      <c r="I246" s="7" t="n">
        <v>117.882</v>
      </c>
      <c r="J246" s="4" t="s">
        <v>32</v>
      </c>
      <c r="K246" s="4" t="s">
        <v>33</v>
      </c>
      <c r="L246" s="4" t="s">
        <v>42</v>
      </c>
      <c r="M246" s="8" t="n">
        <f aca="false">IF(OR(H246="",I246=""),"",IF(I246&gt;0,H246/I246,""))</f>
        <v>11.0435792996386</v>
      </c>
      <c r="N246" s="4" t="str">
        <f aca="false">IF(I246="",IF(K246="NULL","FCF yok (NULL)","FCF kapsamı dışı"),IF(I246&lt;=0,"anlamsız (FCF ≤ 0)",IF(OR(K246="KOŞULLU"),"FCF KOŞULLU — yorum yapılmaz","")))</f>
        <v/>
      </c>
      <c r="O246" s="9" t="n">
        <f aca="false">IF(Q246="","",F246*R246/Q246-1)</f>
        <v>-0.481981981981982</v>
      </c>
      <c r="P246" s="9" t="n">
        <f aca="false">IF(S246="","",F246*T246/S246-1)</f>
        <v>-0.414460285132383</v>
      </c>
      <c r="Q246" s="5" t="n">
        <v>222</v>
      </c>
      <c r="R246" s="10" t="n">
        <v>1</v>
      </c>
      <c r="S246" s="5" t="n">
        <v>196.4</v>
      </c>
      <c r="T246" s="10" t="n">
        <v>1</v>
      </c>
      <c r="U246" s="4"/>
    </row>
    <row r="247" customFormat="false" ht="15" hidden="false" customHeight="false" outlineLevel="0" collapsed="false">
      <c r="A247" s="4" t="s">
        <v>583</v>
      </c>
      <c r="B247" s="4" t="s">
        <v>584</v>
      </c>
      <c r="C247" s="4" t="s">
        <v>25</v>
      </c>
      <c r="D247" s="4"/>
      <c r="E247" s="4"/>
      <c r="F247" s="5" t="n">
        <v>5.1</v>
      </c>
      <c r="G247" s="4" t="s">
        <v>26</v>
      </c>
      <c r="H247" s="6" t="n">
        <v>10200</v>
      </c>
      <c r="I247" s="7"/>
      <c r="J247" s="4"/>
      <c r="K247" s="4"/>
      <c r="L247" s="4"/>
      <c r="M247" s="8" t="str">
        <f aca="false">IF(OR(H247="",I247=""),"",IF(I247&gt;0,H247/I247,""))</f>
        <v/>
      </c>
      <c r="N247" s="4" t="str">
        <f aca="false">IF(I247="",IF(K247="NULL","FCF yok (NULL)","FCF kapsamı dışı"),IF(I247&lt;=0,"anlamsız (FCF ≤ 0)",IF(OR(K247="KOŞULLU"),"FCF KOŞULLU — yorum yapılmaz","")))</f>
        <v>FCF kapsamı dışı</v>
      </c>
      <c r="O247" s="9" t="n">
        <f aca="false">IF(Q247="","",F247*R247/Q247-1)</f>
        <v>-0.196479543292103</v>
      </c>
      <c r="P247" s="9" t="n">
        <f aca="false">IF(S247="","",F247*T247/S247-1)</f>
        <v>-0.0431519699812384</v>
      </c>
      <c r="Q247" s="5" t="n">
        <v>6.34706927175844</v>
      </c>
      <c r="R247" s="10" t="n">
        <v>1</v>
      </c>
      <c r="S247" s="5" t="n">
        <v>5.33</v>
      </c>
      <c r="T247" s="10" t="n">
        <v>1</v>
      </c>
      <c r="U247" s="4"/>
    </row>
    <row r="248" customFormat="false" ht="15" hidden="false" customHeight="false" outlineLevel="0" collapsed="false">
      <c r="A248" s="4" t="s">
        <v>585</v>
      </c>
      <c r="B248" s="4" t="s">
        <v>586</v>
      </c>
      <c r="C248" s="4" t="s">
        <v>29</v>
      </c>
      <c r="D248" s="4" t="s">
        <v>30</v>
      </c>
      <c r="E248" s="4" t="s">
        <v>231</v>
      </c>
      <c r="F248" s="5" t="n">
        <v>22.7</v>
      </c>
      <c r="G248" s="4" t="s">
        <v>26</v>
      </c>
      <c r="H248" s="6" t="n">
        <v>1059.0912</v>
      </c>
      <c r="I248" s="7" t="n">
        <v>-220.2254992</v>
      </c>
      <c r="J248" s="4" t="s">
        <v>32</v>
      </c>
      <c r="K248" s="4" t="s">
        <v>33</v>
      </c>
      <c r="L248" s="4" t="s">
        <v>57</v>
      </c>
      <c r="M248" s="8" t="str">
        <f aca="false">IF(OR(H248="",I248=""),"",IF(I248&gt;0,H248/I248,""))</f>
        <v/>
      </c>
      <c r="N248" s="4" t="str">
        <f aca="false">IF(I248="",IF(K248="NULL","FCF yok (NULL)","FCF kapsamı dışı"),IF(I248&lt;=0,"anlamsız (FCF ≤ 0)",IF(OR(K248="KOŞULLU"),"FCF KOŞULLU — yorum yapılmaz","")))</f>
        <v>anlamsız (FCF ≤ 0)</v>
      </c>
      <c r="O248" s="9" t="n">
        <f aca="false">IF(Q248="","",F248*R248/Q248-1)</f>
        <v>-0.276147959183674</v>
      </c>
      <c r="P248" s="9" t="n">
        <f aca="false">IF(S248="","",F248*T248/S248-1)</f>
        <v>-0.046218487394958</v>
      </c>
      <c r="Q248" s="5" t="n">
        <v>31.36</v>
      </c>
      <c r="R248" s="10" t="n">
        <v>1</v>
      </c>
      <c r="S248" s="5" t="n">
        <v>23.8</v>
      </c>
      <c r="T248" s="10" t="n">
        <v>1</v>
      </c>
      <c r="U248" s="4"/>
    </row>
    <row r="249" customFormat="false" ht="15" hidden="false" customHeight="false" outlineLevel="0" collapsed="false">
      <c r="A249" s="4" t="s">
        <v>587</v>
      </c>
      <c r="B249" s="4" t="s">
        <v>588</v>
      </c>
      <c r="C249" s="4" t="s">
        <v>29</v>
      </c>
      <c r="D249" s="4" t="s">
        <v>30</v>
      </c>
      <c r="E249" s="4" t="s">
        <v>147</v>
      </c>
      <c r="F249" s="5" t="n">
        <v>4.3</v>
      </c>
      <c r="G249" s="4" t="s">
        <v>26</v>
      </c>
      <c r="H249" s="6" t="n">
        <v>19350</v>
      </c>
      <c r="I249" s="7" t="n">
        <v>452.8670832</v>
      </c>
      <c r="J249" s="4" t="s">
        <v>32</v>
      </c>
      <c r="K249" s="4" t="s">
        <v>154</v>
      </c>
      <c r="L249" s="4" t="s">
        <v>34</v>
      </c>
      <c r="M249" s="8" t="n">
        <f aca="false">IF(OR(H249="",I249=""),"",IF(I249&gt;0,H249/I249,""))</f>
        <v>42.727768737951</v>
      </c>
      <c r="N249" s="4" t="str">
        <f aca="false">IF(I249="",IF(K249="NULL","FCF yok (NULL)","FCF kapsamı dışı"),IF(I249&lt;=0,"anlamsız (FCF ≤ 0)",IF(OR(K249="KOŞULLU"),"FCF KOŞULLU — yorum yapılmaz","")))</f>
        <v>FCF KOŞULLU — yorum yapılmaz</v>
      </c>
      <c r="O249" s="9" t="n">
        <f aca="false">IF(Q249="","",F249*R249/Q249-1)</f>
        <v>-0.668158666460874</v>
      </c>
      <c r="P249" s="9" t="n">
        <f aca="false">IF(S249="","",F249*T249/S249-1)</f>
        <v>-0.414965986394558</v>
      </c>
      <c r="Q249" s="5" t="n">
        <v>12.958</v>
      </c>
      <c r="R249" s="10" t="n">
        <v>1</v>
      </c>
      <c r="S249" s="5" t="n">
        <v>7.35</v>
      </c>
      <c r="T249" s="10" t="n">
        <v>1</v>
      </c>
      <c r="U249" s="4"/>
    </row>
    <row r="250" customFormat="false" ht="15" hidden="false" customHeight="false" outlineLevel="0" collapsed="false">
      <c r="A250" s="4" t="s">
        <v>589</v>
      </c>
      <c r="B250" s="4" t="s">
        <v>590</v>
      </c>
      <c r="C250" s="4" t="s">
        <v>29</v>
      </c>
      <c r="D250" s="4" t="s">
        <v>30</v>
      </c>
      <c r="E250" s="4" t="s">
        <v>41</v>
      </c>
      <c r="F250" s="5" t="n">
        <v>7.68</v>
      </c>
      <c r="G250" s="4" t="s">
        <v>26</v>
      </c>
      <c r="H250" s="6" t="n">
        <v>4677.12</v>
      </c>
      <c r="I250" s="7" t="n">
        <v>225.751</v>
      </c>
      <c r="J250" s="4" t="s">
        <v>32</v>
      </c>
      <c r="K250" s="4" t="s">
        <v>33</v>
      </c>
      <c r="L250" s="4" t="s">
        <v>42</v>
      </c>
      <c r="M250" s="8" t="n">
        <f aca="false">IF(OR(H250="",I250=""),"",IF(I250&gt;0,H250/I250,""))</f>
        <v>20.7180477605858</v>
      </c>
      <c r="N250" s="4" t="str">
        <f aca="false">IF(I250="",IF(K250="NULL","FCF yok (NULL)","FCF kapsamı dışı"),IF(I250&lt;=0,"anlamsız (FCF ≤ 0)",IF(OR(K250="KOŞULLU"),"FCF KOŞULLU — yorum yapılmaz","")))</f>
        <v/>
      </c>
      <c r="O250" s="9" t="str">
        <f aca="false">IF(Q250="","",F250*R250/Q250-1)</f>
        <v/>
      </c>
      <c r="P250" s="9" t="n">
        <f aca="false">IF(S250="","",F250*T250/S250-1)</f>
        <v>-0.0471464019851118</v>
      </c>
      <c r="Q250" s="5"/>
      <c r="R250" s="10" t="n">
        <v>1</v>
      </c>
      <c r="S250" s="5" t="n">
        <v>8.06</v>
      </c>
      <c r="T250" s="10" t="n">
        <v>1</v>
      </c>
      <c r="U250" s="4"/>
    </row>
    <row r="251" customFormat="false" ht="15" hidden="false" customHeight="false" outlineLevel="0" collapsed="false">
      <c r="A251" s="4" t="s">
        <v>591</v>
      </c>
      <c r="B251" s="4" t="s">
        <v>592</v>
      </c>
      <c r="C251" s="4" t="s">
        <v>29</v>
      </c>
      <c r="D251" s="4" t="s">
        <v>30</v>
      </c>
      <c r="E251" s="4" t="s">
        <v>418</v>
      </c>
      <c r="F251" s="5" t="n">
        <v>4.33</v>
      </c>
      <c r="G251" s="4" t="s">
        <v>26</v>
      </c>
      <c r="H251" s="6" t="n">
        <v>3247.5</v>
      </c>
      <c r="I251" s="7" t="n">
        <v>124.593</v>
      </c>
      <c r="J251" s="4" t="s">
        <v>32</v>
      </c>
      <c r="K251" s="4" t="s">
        <v>86</v>
      </c>
      <c r="L251" s="4" t="s">
        <v>42</v>
      </c>
      <c r="M251" s="8" t="n">
        <f aca="false">IF(OR(H251="",I251=""),"",IF(I251&gt;0,H251/I251,""))</f>
        <v>26.064867207628</v>
      </c>
      <c r="N251" s="4" t="str">
        <f aca="false">IF(I251="",IF(K251="NULL","FCF yok (NULL)","FCF kapsamı dışı"),IF(I251&lt;=0,"anlamsız (FCF ≤ 0)",IF(OR(K251="KOŞULLU"),"FCF KOŞULLU — yorum yapılmaz","")))</f>
        <v/>
      </c>
      <c r="O251" s="9" t="n">
        <f aca="false">IF(Q251="","",F251*R251/Q251-1)</f>
        <v>-0.512935883014623</v>
      </c>
      <c r="P251" s="9" t="n">
        <f aca="false">IF(S251="","",F251*T251/S251-1)</f>
        <v>-0.0291479820627802</v>
      </c>
      <c r="Q251" s="5" t="n">
        <v>8.89</v>
      </c>
      <c r="R251" s="10" t="n">
        <v>1</v>
      </c>
      <c r="S251" s="5" t="n">
        <v>4.46</v>
      </c>
      <c r="T251" s="10" t="n">
        <v>1</v>
      </c>
      <c r="U251" s="4"/>
    </row>
    <row r="252" customFormat="false" ht="15" hidden="false" customHeight="false" outlineLevel="0" collapsed="false">
      <c r="A252" s="4" t="s">
        <v>593</v>
      </c>
      <c r="B252" s="4" t="s">
        <v>594</v>
      </c>
      <c r="C252" s="4" t="s">
        <v>29</v>
      </c>
      <c r="D252" s="4" t="s">
        <v>30</v>
      </c>
      <c r="E252" s="4" t="s">
        <v>565</v>
      </c>
      <c r="F252" s="5" t="n">
        <v>19.69</v>
      </c>
      <c r="G252" s="4" t="s">
        <v>213</v>
      </c>
      <c r="H252" s="6" t="n">
        <v>7334.04056693</v>
      </c>
      <c r="I252" s="7" t="n">
        <v>-2527.0057248</v>
      </c>
      <c r="J252" s="4" t="s">
        <v>32</v>
      </c>
      <c r="K252" s="4" t="s">
        <v>33</v>
      </c>
      <c r="L252" s="4" t="s">
        <v>34</v>
      </c>
      <c r="M252" s="8" t="str">
        <f aca="false">IF(OR(H252="",I252=""),"",IF(I252&gt;0,H252/I252,""))</f>
        <v/>
      </c>
      <c r="N252" s="4" t="str">
        <f aca="false">IF(I252="",IF(K252="NULL","FCF yok (NULL)","FCF kapsamı dışı"),IF(I252&lt;=0,"anlamsız (FCF ≤ 0)",IF(OR(K252="KOŞULLU"),"FCF KOŞULLU — yorum yapılmaz","")))</f>
        <v>anlamsız (FCF ≤ 0)</v>
      </c>
      <c r="O252" s="9" t="n">
        <f aca="false">IF(Q252="","",F252*R252/Q252-1)</f>
        <v>-0.122549019607843</v>
      </c>
      <c r="P252" s="9" t="n">
        <f aca="false">IF(S252="","",F252*T252/S252-1)</f>
        <v>-0.236229635376261</v>
      </c>
      <c r="Q252" s="5" t="n">
        <v>22.44</v>
      </c>
      <c r="R252" s="10" t="n">
        <v>1</v>
      </c>
      <c r="S252" s="5" t="n">
        <v>25.78</v>
      </c>
      <c r="T252" s="10" t="n">
        <v>1</v>
      </c>
      <c r="U252" s="4"/>
    </row>
    <row r="253" customFormat="false" ht="15" hidden="false" customHeight="false" outlineLevel="0" collapsed="false">
      <c r="A253" s="4" t="s">
        <v>595</v>
      </c>
      <c r="B253" s="4" t="s">
        <v>596</v>
      </c>
      <c r="C253" s="4" t="s">
        <v>29</v>
      </c>
      <c r="D253" s="4" t="s">
        <v>30</v>
      </c>
      <c r="E253" s="4" t="s">
        <v>126</v>
      </c>
      <c r="F253" s="5" t="n">
        <v>42.36</v>
      </c>
      <c r="G253" s="4" t="s">
        <v>26</v>
      </c>
      <c r="H253" s="6" t="n">
        <v>19485.6</v>
      </c>
      <c r="I253" s="7" t="n">
        <v>-2537.479</v>
      </c>
      <c r="J253" s="4" t="s">
        <v>32</v>
      </c>
      <c r="K253" s="4" t="s">
        <v>86</v>
      </c>
      <c r="L253" s="4" t="s">
        <v>42</v>
      </c>
      <c r="M253" s="8" t="str">
        <f aca="false">IF(OR(H253="",I253=""),"",IF(I253&gt;0,H253/I253,""))</f>
        <v/>
      </c>
      <c r="N253" s="4" t="str">
        <f aca="false">IF(I253="",IF(K253="NULL","FCF yok (NULL)","FCF kapsamı dışı"),IF(I253&lt;=0,"anlamsız (FCF ≤ 0)",IF(OR(K253="KOŞULLU"),"FCF KOŞULLU — yorum yapılmaz","")))</f>
        <v>anlamsız (FCF ≤ 0)</v>
      </c>
      <c r="O253" s="9" t="n">
        <f aca="false">IF(Q253="","",F253*R253/Q253-1)</f>
        <v>-0.0779277318241184</v>
      </c>
      <c r="P253" s="9" t="n">
        <f aca="false">IF(S253="","",F253*T253/S253-1)</f>
        <v>-0.069828722002635</v>
      </c>
      <c r="Q253" s="5" t="n">
        <v>45.94</v>
      </c>
      <c r="R253" s="10" t="n">
        <v>1</v>
      </c>
      <c r="S253" s="5" t="n">
        <v>45.54</v>
      </c>
      <c r="T253" s="10" t="n">
        <v>1</v>
      </c>
      <c r="U253" s="4"/>
    </row>
    <row r="254" customFormat="false" ht="15" hidden="false" customHeight="false" outlineLevel="0" collapsed="false">
      <c r="A254" s="4" t="s">
        <v>597</v>
      </c>
      <c r="B254" s="4" t="s">
        <v>598</v>
      </c>
      <c r="C254" s="4" t="s">
        <v>29</v>
      </c>
      <c r="D254" s="4" t="s">
        <v>30</v>
      </c>
      <c r="E254" s="4" t="s">
        <v>45</v>
      </c>
      <c r="F254" s="5" t="n">
        <v>27.98</v>
      </c>
      <c r="G254" s="4" t="s">
        <v>26</v>
      </c>
      <c r="H254" s="6" t="n">
        <v>3693.36</v>
      </c>
      <c r="I254" s="7" t="n">
        <v>109.520648</v>
      </c>
      <c r="J254" s="4" t="s">
        <v>32</v>
      </c>
      <c r="K254" s="4" t="s">
        <v>154</v>
      </c>
      <c r="L254" s="4" t="s">
        <v>57</v>
      </c>
      <c r="M254" s="8" t="n">
        <f aca="false">IF(OR(H254="",I254=""),"",IF(I254&gt;0,H254/I254,""))</f>
        <v>33.7229560584777</v>
      </c>
      <c r="N254" s="4" t="str">
        <f aca="false">IF(I254="",IF(K254="NULL","FCF yok (NULL)","FCF kapsamı dışı"),IF(I254&lt;=0,"anlamsız (FCF ≤ 0)",IF(OR(K254="KOŞULLU"),"FCF KOŞULLU — yorum yapılmaz","")))</f>
        <v>FCF KOŞULLU — yorum yapılmaz</v>
      </c>
      <c r="O254" s="9" t="n">
        <f aca="false">IF(Q254="","",F254*R254/Q254-1)</f>
        <v>-0.799426523297491</v>
      </c>
      <c r="P254" s="9" t="n">
        <f aca="false">IF(S254="","",F254*T254/S254-1)</f>
        <v>-0.378114911113251</v>
      </c>
      <c r="Q254" s="5" t="n">
        <v>139.5</v>
      </c>
      <c r="R254" s="10" t="n">
        <v>1</v>
      </c>
      <c r="S254" s="5" t="n">
        <v>44.9922349</v>
      </c>
      <c r="T254" s="10" t="n">
        <v>1</v>
      </c>
      <c r="U254" s="4"/>
    </row>
    <row r="255" customFormat="false" ht="15" hidden="false" customHeight="false" outlineLevel="0" collapsed="false">
      <c r="A255" s="4" t="s">
        <v>599</v>
      </c>
      <c r="B255" s="4" t="s">
        <v>600</v>
      </c>
      <c r="C255" s="4" t="s">
        <v>25</v>
      </c>
      <c r="D255" s="4"/>
      <c r="E255" s="4"/>
      <c r="F255" s="5" t="n">
        <v>10.55</v>
      </c>
      <c r="G255" s="4" t="s">
        <v>144</v>
      </c>
      <c r="H255" s="6" t="n">
        <v>1244.9</v>
      </c>
      <c r="I255" s="7"/>
      <c r="J255" s="4"/>
      <c r="K255" s="4"/>
      <c r="L255" s="4"/>
      <c r="M255" s="8" t="str">
        <f aca="false">IF(OR(H255="",I255=""),"",IF(I255&gt;0,H255/I255,""))</f>
        <v/>
      </c>
      <c r="N255" s="4" t="str">
        <f aca="false">IF(I255="",IF(K255="NULL","FCF yok (NULL)","FCF kapsamı dışı"),IF(I255&lt;=0,"anlamsız (FCF ≤ 0)",IF(OR(K255="KOŞULLU"),"FCF KOŞULLU — yorum yapılmaz","")))</f>
        <v>FCF kapsamı dışı</v>
      </c>
      <c r="O255" s="9" t="n">
        <f aca="false">IF(Q255="","",F255*R255/Q255-1)</f>
        <v>-0.19218989280245</v>
      </c>
      <c r="P255" s="9" t="n">
        <f aca="false">IF(S255="","",F255*T255/S255-1)</f>
        <v>0.0842754367934224</v>
      </c>
      <c r="Q255" s="5" t="n">
        <v>13.06</v>
      </c>
      <c r="R255" s="10" t="n">
        <v>1</v>
      </c>
      <c r="S255" s="5" t="n">
        <v>9.73</v>
      </c>
      <c r="T255" s="10" t="n">
        <v>1</v>
      </c>
      <c r="U255" s="4"/>
    </row>
    <row r="256" customFormat="false" ht="15" hidden="false" customHeight="false" outlineLevel="0" collapsed="false">
      <c r="A256" s="4" t="s">
        <v>601</v>
      </c>
      <c r="B256" s="4" t="s">
        <v>602</v>
      </c>
      <c r="C256" s="4" t="s">
        <v>60</v>
      </c>
      <c r="D256" s="4"/>
      <c r="E256" s="4"/>
      <c r="F256" s="5" t="n">
        <v>40.64</v>
      </c>
      <c r="G256" s="4" t="s">
        <v>64</v>
      </c>
      <c r="H256" s="6" t="n">
        <v>5677.408</v>
      </c>
      <c r="I256" s="7"/>
      <c r="J256" s="4"/>
      <c r="K256" s="4"/>
      <c r="L256" s="4"/>
      <c r="M256" s="8" t="str">
        <f aca="false">IF(OR(H256="",I256=""),"",IF(I256&gt;0,H256/I256,""))</f>
        <v/>
      </c>
      <c r="N256" s="4" t="str">
        <f aca="false">IF(I256="",IF(K256="NULL","FCF yok (NULL)","FCF kapsamı dışı"),IF(I256&lt;=0,"anlamsız (FCF ≤ 0)",IF(OR(K256="KOŞULLU"),"FCF KOŞULLU — yorum yapılmaz","")))</f>
        <v>FCF kapsamı dışı</v>
      </c>
      <c r="O256" s="9" t="n">
        <f aca="false">IF(Q256="","",F256*R256/Q256-1)</f>
        <v>-0.365</v>
      </c>
      <c r="P256" s="9" t="n">
        <f aca="false">IF(S256="","",F256*T256/S256-1)</f>
        <v>-0.118820468343452</v>
      </c>
      <c r="Q256" s="5" t="n">
        <v>64</v>
      </c>
      <c r="R256" s="10" t="n">
        <v>1</v>
      </c>
      <c r="S256" s="5" t="n">
        <v>46.12</v>
      </c>
      <c r="T256" s="10" t="n">
        <v>1</v>
      </c>
      <c r="U256" s="4"/>
    </row>
    <row r="257" customFormat="false" ht="15" hidden="false" customHeight="false" outlineLevel="0" collapsed="false">
      <c r="A257" s="4" t="s">
        <v>603</v>
      </c>
      <c r="B257" s="4" t="s">
        <v>604</v>
      </c>
      <c r="C257" s="4" t="s">
        <v>29</v>
      </c>
      <c r="D257" s="4" t="s">
        <v>30</v>
      </c>
      <c r="E257" s="4" t="s">
        <v>85</v>
      </c>
      <c r="F257" s="5" t="n">
        <v>137.4</v>
      </c>
      <c r="G257" s="4" t="s">
        <v>26</v>
      </c>
      <c r="H257" s="6" t="n">
        <v>44325.24</v>
      </c>
      <c r="I257" s="7" t="n">
        <v>1765.323</v>
      </c>
      <c r="J257" s="4" t="s">
        <v>32</v>
      </c>
      <c r="K257" s="4" t="s">
        <v>33</v>
      </c>
      <c r="L257" s="4" t="s">
        <v>42</v>
      </c>
      <c r="M257" s="8" t="n">
        <f aca="false">IF(OR(H257="",I257=""),"",IF(I257&gt;0,H257/I257,""))</f>
        <v>25.108855433255</v>
      </c>
      <c r="N257" s="4" t="str">
        <f aca="false">IF(I257="",IF(K257="NULL","FCF yok (NULL)","FCF kapsamı dışı"),IF(I257&lt;=0,"anlamsız (FCF ≤ 0)",IF(OR(K257="KOŞULLU"),"FCF KOŞULLU — yorum yapılmaz","")))</f>
        <v/>
      </c>
      <c r="O257" s="9" t="n">
        <f aca="false">IF(Q257="","",F257*R257/Q257-1)</f>
        <v>-0.221970554926387</v>
      </c>
      <c r="P257" s="9" t="n">
        <f aca="false">IF(S257="","",F257*T257/S257-1)</f>
        <v>-0.0213675213675214</v>
      </c>
      <c r="Q257" s="5" t="n">
        <v>176.6</v>
      </c>
      <c r="R257" s="10" t="n">
        <v>1</v>
      </c>
      <c r="S257" s="5" t="n">
        <v>140.4</v>
      </c>
      <c r="T257" s="10" t="n">
        <v>1</v>
      </c>
      <c r="U257" s="4"/>
    </row>
    <row r="258" customFormat="false" ht="15" hidden="false" customHeight="false" outlineLevel="0" collapsed="false">
      <c r="A258" s="4" t="s">
        <v>605</v>
      </c>
      <c r="B258" s="4" t="s">
        <v>606</v>
      </c>
      <c r="C258" s="4" t="s">
        <v>25</v>
      </c>
      <c r="D258" s="4"/>
      <c r="E258" s="4"/>
      <c r="F258" s="5" t="n">
        <v>1.88</v>
      </c>
      <c r="G258" s="4" t="s">
        <v>120</v>
      </c>
      <c r="H258" s="6" t="n">
        <v>1128</v>
      </c>
      <c r="I258" s="7"/>
      <c r="J258" s="4"/>
      <c r="K258" s="4"/>
      <c r="L258" s="4"/>
      <c r="M258" s="8" t="str">
        <f aca="false">IF(OR(H258="",I258=""),"",IF(I258&gt;0,H258/I258,""))</f>
        <v/>
      </c>
      <c r="N258" s="4" t="str">
        <f aca="false">IF(I258="",IF(K258="NULL","FCF yok (NULL)","FCF kapsamı dışı"),IF(I258&lt;=0,"anlamsız (FCF ≤ 0)",IF(OR(K258="KOŞULLU"),"FCF KOŞULLU — yorum yapılmaz","")))</f>
        <v>FCF kapsamı dışı</v>
      </c>
      <c r="O258" s="9" t="n">
        <f aca="false">IF(Q258="","",F258*R258/Q258-1)</f>
        <v>-0.56979405034325</v>
      </c>
      <c r="P258" s="9" t="n">
        <f aca="false">IF(S258="","",F258*T258/S258-1)</f>
        <v>-0.0456852791878173</v>
      </c>
      <c r="Q258" s="5" t="n">
        <v>4.37</v>
      </c>
      <c r="R258" s="10" t="n">
        <v>1</v>
      </c>
      <c r="S258" s="5" t="n">
        <v>1.97</v>
      </c>
      <c r="T258" s="10" t="n">
        <v>1</v>
      </c>
      <c r="U258" s="4"/>
    </row>
    <row r="259" customFormat="false" ht="15" hidden="false" customHeight="false" outlineLevel="0" collapsed="false">
      <c r="A259" s="4" t="s">
        <v>607</v>
      </c>
      <c r="B259" s="4" t="s">
        <v>608</v>
      </c>
      <c r="C259" s="4" t="s">
        <v>29</v>
      </c>
      <c r="D259" s="4" t="s">
        <v>63</v>
      </c>
      <c r="E259" s="4" t="s">
        <v>63</v>
      </c>
      <c r="F259" s="5" t="n">
        <v>16.37</v>
      </c>
      <c r="G259" s="4" t="s">
        <v>26</v>
      </c>
      <c r="H259" s="6" t="n">
        <v>31921.5</v>
      </c>
      <c r="I259" s="7" t="n">
        <v>-2212.888608</v>
      </c>
      <c r="J259" s="4" t="s">
        <v>32</v>
      </c>
      <c r="K259" s="4" t="s">
        <v>33</v>
      </c>
      <c r="L259" s="4" t="s">
        <v>34</v>
      </c>
      <c r="M259" s="8" t="str">
        <f aca="false">IF(OR(H259="",I259=""),"",IF(I259&gt;0,H259/I259,""))</f>
        <v/>
      </c>
      <c r="N259" s="4" t="str">
        <f aca="false">IF(I259="",IF(K259="NULL","FCF yok (NULL)","FCF kapsamı dışı"),IF(I259&lt;=0,"anlamsız (FCF ≤ 0)",IF(OR(K259="KOŞULLU"),"FCF KOŞULLU — yorum yapılmaz","")))</f>
        <v>anlamsız (FCF ≤ 0)</v>
      </c>
      <c r="O259" s="9" t="n">
        <f aca="false">IF(Q259="","",F259*R259/Q259-1)</f>
        <v>0.907925407925408</v>
      </c>
      <c r="P259" s="9" t="n">
        <f aca="false">IF(S259="","",F259*T259/S259-1)</f>
        <v>0.0547680412371134</v>
      </c>
      <c r="Q259" s="5" t="n">
        <v>8.58</v>
      </c>
      <c r="R259" s="10" t="n">
        <v>1</v>
      </c>
      <c r="S259" s="5" t="n">
        <v>15.52</v>
      </c>
      <c r="T259" s="10" t="n">
        <v>1</v>
      </c>
      <c r="U259" s="4"/>
    </row>
    <row r="260" customFormat="false" ht="15" hidden="false" customHeight="false" outlineLevel="0" collapsed="false">
      <c r="A260" s="4" t="s">
        <v>609</v>
      </c>
      <c r="B260" s="4" t="s">
        <v>610</v>
      </c>
      <c r="C260" s="4" t="s">
        <v>29</v>
      </c>
      <c r="D260" s="4" t="s">
        <v>30</v>
      </c>
      <c r="E260" s="4" t="s">
        <v>210</v>
      </c>
      <c r="F260" s="5" t="n">
        <v>43.86</v>
      </c>
      <c r="G260" s="4" t="s">
        <v>26</v>
      </c>
      <c r="H260" s="6" t="n">
        <v>13158</v>
      </c>
      <c r="I260" s="7" t="n">
        <v>-15.8319632</v>
      </c>
      <c r="J260" s="4" t="s">
        <v>32</v>
      </c>
      <c r="K260" s="4" t="s">
        <v>33</v>
      </c>
      <c r="L260" s="4" t="s">
        <v>57</v>
      </c>
      <c r="M260" s="8" t="str">
        <f aca="false">IF(OR(H260="",I260=""),"",IF(I260&gt;0,H260/I260,""))</f>
        <v/>
      </c>
      <c r="N260" s="4" t="str">
        <f aca="false">IF(I260="",IF(K260="NULL","FCF yok (NULL)","FCF kapsamı dışı"),IF(I260&lt;=0,"anlamsız (FCF ≤ 0)",IF(OR(K260="KOŞULLU"),"FCF KOŞULLU — yorum yapılmaz","")))</f>
        <v>anlamsız (FCF ≤ 0)</v>
      </c>
      <c r="O260" s="9" t="n">
        <f aca="false">IF(Q260="","",F260*R260/Q260-1)</f>
        <v>1.38110749185668</v>
      </c>
      <c r="P260" s="9" t="n">
        <f aca="false">IF(S260="","",F260*T260/S260-1)</f>
        <v>-0.0465217391304348</v>
      </c>
      <c r="Q260" s="5" t="n">
        <v>18.42</v>
      </c>
      <c r="R260" s="10" t="n">
        <v>1</v>
      </c>
      <c r="S260" s="5" t="n">
        <v>46</v>
      </c>
      <c r="T260" s="10" t="n">
        <v>1</v>
      </c>
      <c r="U260" s="4"/>
    </row>
    <row r="261" customFormat="false" ht="15" hidden="false" customHeight="false" outlineLevel="0" collapsed="false">
      <c r="A261" s="4" t="s">
        <v>611</v>
      </c>
      <c r="B261" s="4" t="s">
        <v>612</v>
      </c>
      <c r="C261" s="4" t="s">
        <v>29</v>
      </c>
      <c r="D261" s="4" t="s">
        <v>30</v>
      </c>
      <c r="E261" s="4" t="s">
        <v>53</v>
      </c>
      <c r="F261" s="5" t="n">
        <v>14.49</v>
      </c>
      <c r="G261" s="4" t="s">
        <v>26</v>
      </c>
      <c r="H261" s="6" t="n">
        <v>5071.5</v>
      </c>
      <c r="I261" s="7" t="n">
        <v>1531.1472896</v>
      </c>
      <c r="J261" s="4" t="s">
        <v>32</v>
      </c>
      <c r="K261" s="4" t="s">
        <v>154</v>
      </c>
      <c r="L261" s="4" t="s">
        <v>34</v>
      </c>
      <c r="M261" s="8" t="n">
        <f aca="false">IF(OR(H261="",I261=""),"",IF(I261&gt;0,H261/I261,""))</f>
        <v>3.3122221712092</v>
      </c>
      <c r="N261" s="4" t="str">
        <f aca="false">IF(I261="",IF(K261="NULL","FCF yok (NULL)","FCF kapsamı dışı"),IF(I261&lt;=0,"anlamsız (FCF ≤ 0)",IF(OR(K261="KOŞULLU"),"FCF KOŞULLU — yorum yapılmaz","")))</f>
        <v>FCF KOŞULLU — yorum yapılmaz</v>
      </c>
      <c r="O261" s="9" t="n">
        <f aca="false">IF(Q261="","",F261*R261/Q261-1)</f>
        <v>-0.353413654618474</v>
      </c>
      <c r="P261" s="9" t="n">
        <f aca="false">IF(S261="","",F261*T261/S261-1)</f>
        <v>-0.08</v>
      </c>
      <c r="Q261" s="5" t="n">
        <v>22.41</v>
      </c>
      <c r="R261" s="10" t="n">
        <v>1</v>
      </c>
      <c r="S261" s="5" t="n">
        <v>15.75</v>
      </c>
      <c r="T261" s="10" t="n">
        <v>1</v>
      </c>
      <c r="U261" s="4"/>
    </row>
    <row r="262" customFormat="false" ht="15" hidden="false" customHeight="false" outlineLevel="0" collapsed="false">
      <c r="A262" s="4" t="s">
        <v>613</v>
      </c>
      <c r="B262" s="4" t="s">
        <v>614</v>
      </c>
      <c r="C262" s="4" t="s">
        <v>29</v>
      </c>
      <c r="D262" s="4" t="s">
        <v>30</v>
      </c>
      <c r="E262" s="4" t="s">
        <v>53</v>
      </c>
      <c r="F262" s="5" t="n">
        <v>8.74</v>
      </c>
      <c r="G262" s="4" t="s">
        <v>26</v>
      </c>
      <c r="H262" s="6" t="n">
        <v>2185</v>
      </c>
      <c r="I262" s="7"/>
      <c r="J262" s="4" t="s">
        <v>32</v>
      </c>
      <c r="K262" s="4" t="s">
        <v>116</v>
      </c>
      <c r="L262" s="4" t="s">
        <v>42</v>
      </c>
      <c r="M262" s="8" t="str">
        <f aca="false">IF(OR(H262="",I262=""),"",IF(I262&gt;0,H262/I262,""))</f>
        <v/>
      </c>
      <c r="N262" s="4" t="str">
        <f aca="false">IF(I262="",IF(K262="NULL","FCF yok (NULL)","FCF kapsamı dışı"),IF(I262&lt;=0,"anlamsız (FCF ≤ 0)",IF(OR(K262="KOŞULLU"),"FCF KOŞULLU — yorum yapılmaz","")))</f>
        <v>FCF yok (NULL)</v>
      </c>
      <c r="O262" s="9" t="str">
        <f aca="false">IF(Q262="","",F262*R262/Q262-1)</f>
        <v/>
      </c>
      <c r="P262" s="9" t="n">
        <f aca="false">IF(S262="","",F262*T262/S262-1)</f>
        <v>-0.11088504577823</v>
      </c>
      <c r="Q262" s="5"/>
      <c r="R262" s="10" t="n">
        <v>1</v>
      </c>
      <c r="S262" s="5" t="n">
        <v>9.83</v>
      </c>
      <c r="T262" s="10" t="n">
        <v>1</v>
      </c>
      <c r="U262" s="4"/>
    </row>
    <row r="263" customFormat="false" ht="15" hidden="false" customHeight="false" outlineLevel="0" collapsed="false">
      <c r="A263" s="4" t="s">
        <v>615</v>
      </c>
      <c r="B263" s="4" t="s">
        <v>616</v>
      </c>
      <c r="C263" s="4" t="s">
        <v>29</v>
      </c>
      <c r="D263" s="4" t="s">
        <v>30</v>
      </c>
      <c r="E263" s="4" t="s">
        <v>56</v>
      </c>
      <c r="F263" s="5" t="n">
        <v>259.5</v>
      </c>
      <c r="G263" s="4" t="s">
        <v>26</v>
      </c>
      <c r="H263" s="6" t="n">
        <v>4671</v>
      </c>
      <c r="I263" s="7" t="n">
        <v>694.082</v>
      </c>
      <c r="J263" s="4" t="s">
        <v>32</v>
      </c>
      <c r="K263" s="4" t="s">
        <v>33</v>
      </c>
      <c r="L263" s="4" t="s">
        <v>42</v>
      </c>
      <c r="M263" s="8" t="n">
        <f aca="false">IF(OR(H263="",I263=""),"",IF(I263&gt;0,H263/I263,""))</f>
        <v>6.72975239236863</v>
      </c>
      <c r="N263" s="4" t="str">
        <f aca="false">IF(I263="",IF(K263="NULL","FCF yok (NULL)","FCF kapsamı dışı"),IF(I263&lt;=0,"anlamsız (FCF ≤ 0)",IF(OR(K263="KOŞULLU"),"FCF KOŞULLU — yorum yapılmaz","")))</f>
        <v/>
      </c>
      <c r="O263" s="9" t="n">
        <f aca="false">IF(Q263="","",F263*R263/Q263-1)</f>
        <v>-0.198802062428602</v>
      </c>
      <c r="P263" s="9" t="n">
        <f aca="false">IF(S263="","",F263*T263/S263-1)</f>
        <v>0.000964320154291265</v>
      </c>
      <c r="Q263" s="5" t="n">
        <v>323.89</v>
      </c>
      <c r="R263" s="10" t="n">
        <v>1</v>
      </c>
      <c r="S263" s="5" t="n">
        <v>259.25</v>
      </c>
      <c r="T263" s="10" t="n">
        <v>1</v>
      </c>
      <c r="U263" s="4"/>
    </row>
    <row r="264" customFormat="false" ht="15" hidden="false" customHeight="false" outlineLevel="0" collapsed="false">
      <c r="A264" s="4" t="s">
        <v>617</v>
      </c>
      <c r="B264" s="4" t="s">
        <v>618</v>
      </c>
      <c r="C264" s="4" t="s">
        <v>29</v>
      </c>
      <c r="D264" s="4" t="s">
        <v>30</v>
      </c>
      <c r="E264" s="4" t="s">
        <v>234</v>
      </c>
      <c r="F264" s="5" t="n">
        <v>2.18</v>
      </c>
      <c r="G264" s="4" t="s">
        <v>26</v>
      </c>
      <c r="H264" s="6" t="n">
        <v>3313.6</v>
      </c>
      <c r="I264" s="7" t="n">
        <v>3092.547</v>
      </c>
      <c r="J264" s="4" t="s">
        <v>32</v>
      </c>
      <c r="K264" s="4" t="s">
        <v>33</v>
      </c>
      <c r="L264" s="4" t="s">
        <v>42</v>
      </c>
      <c r="M264" s="8" t="n">
        <f aca="false">IF(OR(H264="",I264=""),"",IF(I264&gt;0,H264/I264,""))</f>
        <v>1.07147926935306</v>
      </c>
      <c r="N264" s="4" t="str">
        <f aca="false">IF(I264="",IF(K264="NULL","FCF yok (NULL)","FCF kapsamı dışı"),IF(I264&lt;=0,"anlamsız (FCF ≤ 0)",IF(OR(K264="KOŞULLU"),"FCF KOŞULLU — yorum yapılmaz","")))</f>
        <v/>
      </c>
      <c r="O264" s="9" t="n">
        <f aca="false">IF(Q264="","",F264*R264/Q264-1)</f>
        <v>-0.319701079379157</v>
      </c>
      <c r="P264" s="9" t="n">
        <f aca="false">IF(S264="","",F264*T264/S264-1)</f>
        <v>-0.0603448275862067</v>
      </c>
      <c r="Q264" s="5" t="n">
        <v>18.04</v>
      </c>
      <c r="R264" s="10" t="n">
        <v>5.6296296</v>
      </c>
      <c r="S264" s="5" t="n">
        <v>2.32</v>
      </c>
      <c r="T264" s="10" t="n">
        <v>1</v>
      </c>
      <c r="U264" s="4" t="s">
        <v>619</v>
      </c>
    </row>
    <row r="265" customFormat="false" ht="15" hidden="false" customHeight="false" outlineLevel="0" collapsed="false">
      <c r="A265" s="4" t="s">
        <v>620</v>
      </c>
      <c r="B265" s="4" t="s">
        <v>621</v>
      </c>
      <c r="C265" s="4" t="s">
        <v>38</v>
      </c>
      <c r="D265" s="4"/>
      <c r="E265" s="4"/>
      <c r="F265" s="5" t="n">
        <v>19.32</v>
      </c>
      <c r="G265" s="4" t="s">
        <v>26</v>
      </c>
      <c r="H265" s="6" t="n">
        <v>7438.2</v>
      </c>
      <c r="I265" s="7"/>
      <c r="J265" s="4"/>
      <c r="K265" s="4"/>
      <c r="L265" s="4"/>
      <c r="M265" s="8" t="str">
        <f aca="false">IF(OR(H265="",I265=""),"",IF(I265&gt;0,H265/I265,""))</f>
        <v/>
      </c>
      <c r="N265" s="4" t="str">
        <f aca="false">IF(I265="",IF(K265="NULL","FCF yok (NULL)","FCF kapsamı dışı"),IF(I265&lt;=0,"anlamsız (FCF ≤ 0)",IF(OR(K265="KOŞULLU"),"FCF KOŞULLU — yorum yapılmaz","")))</f>
        <v>FCF kapsamı dışı</v>
      </c>
      <c r="O265" s="9" t="n">
        <f aca="false">IF(Q265="","",F265*R265/Q265-1)</f>
        <v>-0.105555555555556</v>
      </c>
      <c r="P265" s="9" t="n">
        <f aca="false">IF(S265="","",F265*T265/S265-1)</f>
        <v>-0.0202839756592291</v>
      </c>
      <c r="Q265" s="5" t="n">
        <v>21.6</v>
      </c>
      <c r="R265" s="10" t="n">
        <v>1</v>
      </c>
      <c r="S265" s="5" t="n">
        <v>19.72</v>
      </c>
      <c r="T265" s="10" t="n">
        <v>1</v>
      </c>
      <c r="U265" s="4"/>
    </row>
    <row r="266" customFormat="false" ht="15" hidden="false" customHeight="false" outlineLevel="0" collapsed="false">
      <c r="A266" s="4" t="s">
        <v>622</v>
      </c>
      <c r="B266" s="4" t="s">
        <v>623</v>
      </c>
      <c r="C266" s="4" t="s">
        <v>29</v>
      </c>
      <c r="D266" s="4"/>
      <c r="E266" s="4"/>
      <c r="F266" s="5" t="n">
        <v>9.22</v>
      </c>
      <c r="G266" s="4" t="s">
        <v>26</v>
      </c>
      <c r="H266" s="6" t="n">
        <v>345.75</v>
      </c>
      <c r="I266" s="7"/>
      <c r="J266" s="4"/>
      <c r="K266" s="4"/>
      <c r="L266" s="4"/>
      <c r="M266" s="8" t="str">
        <f aca="false">IF(OR(H266="",I266=""),"",IF(I266&gt;0,H266/I266,""))</f>
        <v/>
      </c>
      <c r="N266" s="4" t="str">
        <f aca="false">IF(I266="",IF(K266="NULL","FCF yok (NULL)","FCF kapsamı dışı"),IF(I266&lt;=0,"anlamsız (FCF ≤ 0)",IF(OR(K266="KOŞULLU"),"FCF KOŞULLU — yorum yapılmaz","")))</f>
        <v>FCF kapsamı dışı</v>
      </c>
      <c r="O266" s="9" t="n">
        <f aca="false">IF(Q266="","",F266*R266/Q266-1)</f>
        <v>-0.365450791465933</v>
      </c>
      <c r="P266" s="9" t="n">
        <f aca="false">IF(S266="","",F266*T266/S266-1)</f>
        <v>0.0336322869955157</v>
      </c>
      <c r="Q266" s="5" t="n">
        <v>14.53</v>
      </c>
      <c r="R266" s="10" t="n">
        <v>1</v>
      </c>
      <c r="S266" s="5" t="n">
        <v>8.92</v>
      </c>
      <c r="T266" s="10" t="n">
        <v>1</v>
      </c>
      <c r="U266" s="4"/>
    </row>
    <row r="267" customFormat="false" ht="15" hidden="false" customHeight="false" outlineLevel="0" collapsed="false">
      <c r="A267" s="4" t="s">
        <v>624</v>
      </c>
      <c r="B267" s="4" t="s">
        <v>625</v>
      </c>
      <c r="C267" s="4" t="s">
        <v>29</v>
      </c>
      <c r="D267" s="4" t="s">
        <v>30</v>
      </c>
      <c r="E267" s="4" t="s">
        <v>305</v>
      </c>
      <c r="F267" s="5" t="n">
        <v>272.25</v>
      </c>
      <c r="G267" s="4" t="s">
        <v>76</v>
      </c>
      <c r="H267" s="6" t="n">
        <v>27769.5</v>
      </c>
      <c r="I267" s="7" t="n">
        <v>373.263</v>
      </c>
      <c r="J267" s="4" t="s">
        <v>32</v>
      </c>
      <c r="K267" s="4" t="s">
        <v>33</v>
      </c>
      <c r="L267" s="4" t="s">
        <v>42</v>
      </c>
      <c r="M267" s="8" t="n">
        <f aca="false">IF(OR(H267="",I267=""),"",IF(I267&gt;0,H267/I267,""))</f>
        <v>74.3966050747061</v>
      </c>
      <c r="N267" s="4" t="str">
        <f aca="false">IF(I267="",IF(K267="NULL","FCF yok (NULL)","FCF kapsamı dışı"),IF(I267&lt;=0,"anlamsız (FCF ≤ 0)",IF(OR(K267="KOŞULLU"),"FCF KOŞULLU — yorum yapılmaz","")))</f>
        <v/>
      </c>
      <c r="O267" s="9" t="n">
        <f aca="false">IF(Q267="","",F267*R267/Q267-1)</f>
        <v>-0.244798890429958</v>
      </c>
      <c r="P267" s="9" t="n">
        <f aca="false">IF(S267="","",F267*T267/S267-1)</f>
        <v>0.0168067226890756</v>
      </c>
      <c r="Q267" s="5" t="n">
        <v>360.5</v>
      </c>
      <c r="R267" s="10" t="n">
        <v>1</v>
      </c>
      <c r="S267" s="5" t="n">
        <v>267.75</v>
      </c>
      <c r="T267" s="10" t="n">
        <v>1</v>
      </c>
      <c r="U267" s="4"/>
    </row>
    <row r="268" customFormat="false" ht="15" hidden="false" customHeight="false" outlineLevel="0" collapsed="false">
      <c r="A268" s="4" t="s">
        <v>626</v>
      </c>
      <c r="B268" s="4" t="s">
        <v>627</v>
      </c>
      <c r="C268" s="4" t="s">
        <v>29</v>
      </c>
      <c r="D268" s="4" t="s">
        <v>30</v>
      </c>
      <c r="E268" s="4" t="s">
        <v>53</v>
      </c>
      <c r="F268" s="5" t="n">
        <v>116</v>
      </c>
      <c r="G268" s="4" t="s">
        <v>26</v>
      </c>
      <c r="H268" s="6" t="n">
        <v>14500</v>
      </c>
      <c r="I268" s="7" t="n">
        <v>-452.524792</v>
      </c>
      <c r="J268" s="4" t="s">
        <v>32</v>
      </c>
      <c r="K268" s="4" t="s">
        <v>86</v>
      </c>
      <c r="L268" s="4" t="s">
        <v>42</v>
      </c>
      <c r="M268" s="8" t="str">
        <f aca="false">IF(OR(H268="",I268=""),"",IF(I268&gt;0,H268/I268,""))</f>
        <v/>
      </c>
      <c r="N268" s="4" t="str">
        <f aca="false">IF(I268="",IF(K268="NULL","FCF yok (NULL)","FCF kapsamı dışı"),IF(I268&lt;=0,"anlamsız (FCF ≤ 0)",IF(OR(K268="KOŞULLU"),"FCF KOŞULLU — yorum yapılmaz","")))</f>
        <v>anlamsız (FCF ≤ 0)</v>
      </c>
      <c r="O268" s="9" t="n">
        <f aca="false">IF(Q268="","",F268*R268/Q268-1)</f>
        <v>-0.764705882352941</v>
      </c>
      <c r="P268" s="9" t="n">
        <f aca="false">IF(S268="","",F268*T268/S268-1)</f>
        <v>-0.198341395991707</v>
      </c>
      <c r="Q268" s="5" t="n">
        <v>493</v>
      </c>
      <c r="R268" s="10" t="n">
        <v>1</v>
      </c>
      <c r="S268" s="5" t="n">
        <v>144.7</v>
      </c>
      <c r="T268" s="10" t="n">
        <v>1</v>
      </c>
      <c r="U268" s="4"/>
    </row>
    <row r="269" customFormat="false" ht="15" hidden="false" customHeight="false" outlineLevel="0" collapsed="false">
      <c r="A269" s="4" t="s">
        <v>628</v>
      </c>
      <c r="B269" s="4" t="s">
        <v>629</v>
      </c>
      <c r="C269" s="4" t="s">
        <v>29</v>
      </c>
      <c r="D269" s="4" t="s">
        <v>30</v>
      </c>
      <c r="E269" s="4" t="s">
        <v>276</v>
      </c>
      <c r="F269" s="5" t="n">
        <v>11.78</v>
      </c>
      <c r="G269" s="4" t="s">
        <v>26</v>
      </c>
      <c r="H269" s="6" t="n">
        <v>1767</v>
      </c>
      <c r="I269" s="7" t="n">
        <v>-51.768056</v>
      </c>
      <c r="J269" s="4" t="s">
        <v>32</v>
      </c>
      <c r="K269" s="4" t="s">
        <v>33</v>
      </c>
      <c r="L269" s="4" t="s">
        <v>34</v>
      </c>
      <c r="M269" s="8" t="str">
        <f aca="false">IF(OR(H269="",I269=""),"",IF(I269&gt;0,H269/I269,""))</f>
        <v/>
      </c>
      <c r="N269" s="4" t="str">
        <f aca="false">IF(I269="",IF(K269="NULL","FCF yok (NULL)","FCF kapsamı dışı"),IF(I269&lt;=0,"anlamsız (FCF ≤ 0)",IF(OR(K269="KOŞULLU"),"FCF KOŞULLU — yorum yapılmaz","")))</f>
        <v>anlamsız (FCF ≤ 0)</v>
      </c>
      <c r="O269" s="9" t="n">
        <f aca="false">IF(Q269="","",F269*R269/Q269-1)</f>
        <v>0.165182987141444</v>
      </c>
      <c r="P269" s="9" t="n">
        <f aca="false">IF(S269="","",F269*T269/S269-1)</f>
        <v>-0.0344262295081967</v>
      </c>
      <c r="Q269" s="5" t="n">
        <v>10.11</v>
      </c>
      <c r="R269" s="10" t="n">
        <v>1</v>
      </c>
      <c r="S269" s="5" t="n">
        <v>12.2</v>
      </c>
      <c r="T269" s="10" t="n">
        <v>1</v>
      </c>
      <c r="U269" s="4"/>
    </row>
    <row r="270" customFormat="false" ht="15" hidden="false" customHeight="false" outlineLevel="0" collapsed="false">
      <c r="A270" s="4" t="s">
        <v>630</v>
      </c>
      <c r="B270" s="4" t="s">
        <v>631</v>
      </c>
      <c r="C270" s="4" t="s">
        <v>29</v>
      </c>
      <c r="D270" s="4" t="s">
        <v>30</v>
      </c>
      <c r="E270" s="4" t="s">
        <v>276</v>
      </c>
      <c r="F270" s="5" t="n">
        <v>4.07</v>
      </c>
      <c r="G270" s="4" t="s">
        <v>64</v>
      </c>
      <c r="H270" s="6" t="n">
        <v>4070</v>
      </c>
      <c r="I270" s="7" t="n">
        <v>297.363000000001</v>
      </c>
      <c r="J270" s="4" t="s">
        <v>32</v>
      </c>
      <c r="K270" s="4" t="s">
        <v>33</v>
      </c>
      <c r="L270" s="4" t="s">
        <v>42</v>
      </c>
      <c r="M270" s="8" t="n">
        <f aca="false">IF(OR(H270="",I270=""),"",IF(I270&gt;0,H270/I270,""))</f>
        <v>13.6869751784855</v>
      </c>
      <c r="N270" s="4" t="str">
        <f aca="false">IF(I270="",IF(K270="NULL","FCF yok (NULL)","FCF kapsamı dışı"),IF(I270&lt;=0,"anlamsız (FCF ≤ 0)",IF(OR(K270="KOŞULLU"),"FCF KOŞULLU — yorum yapılmaz","")))</f>
        <v/>
      </c>
      <c r="O270" s="9" t="n">
        <f aca="false">IF(Q270="","",F270*R270/Q270-1)</f>
        <v>-0.119047619047619</v>
      </c>
      <c r="P270" s="9" t="n">
        <f aca="false">IF(S270="","",F270*T270/S270-1)</f>
        <v>0</v>
      </c>
      <c r="Q270" s="5" t="n">
        <v>4.62</v>
      </c>
      <c r="R270" s="10" t="n">
        <v>1</v>
      </c>
      <c r="S270" s="5" t="n">
        <v>4.07</v>
      </c>
      <c r="T270" s="10" t="n">
        <v>1</v>
      </c>
      <c r="U270" s="4"/>
    </row>
    <row r="271" customFormat="false" ht="15" hidden="false" customHeight="false" outlineLevel="0" collapsed="false">
      <c r="A271" s="4" t="s">
        <v>632</v>
      </c>
      <c r="B271" s="4" t="s">
        <v>633</v>
      </c>
      <c r="C271" s="4" t="s">
        <v>29</v>
      </c>
      <c r="D271" s="4" t="s">
        <v>30</v>
      </c>
      <c r="E271" s="4" t="s">
        <v>285</v>
      </c>
      <c r="F271" s="5" t="n">
        <v>0.8</v>
      </c>
      <c r="G271" s="4" t="s">
        <v>26</v>
      </c>
      <c r="H271" s="6" t="n">
        <v>10800</v>
      </c>
      <c r="I271" s="7"/>
      <c r="J271" s="4" t="s">
        <v>32</v>
      </c>
      <c r="K271" s="4" t="s">
        <v>116</v>
      </c>
      <c r="L271" s="4" t="s">
        <v>42</v>
      </c>
      <c r="M271" s="8" t="str">
        <f aca="false">IF(OR(H271="",I271=""),"",IF(I271&gt;0,H271/I271,""))</f>
        <v/>
      </c>
      <c r="N271" s="4" t="str">
        <f aca="false">IF(I271="",IF(K271="NULL","FCF yok (NULL)","FCF kapsamı dışı"),IF(I271&lt;=0,"anlamsız (FCF ≤ 0)",IF(OR(K271="KOŞULLU"),"FCF KOŞULLU — yorum yapılmaz","")))</f>
        <v>FCF yok (NULL)</v>
      </c>
      <c r="O271" s="9" t="n">
        <f aca="false">IF(Q271="","",F271*R271/Q271-1)</f>
        <v>-0.452054794520548</v>
      </c>
      <c r="P271" s="9" t="n">
        <f aca="false">IF(S271="","",F271*T271/S271-1)</f>
        <v>-0.120879120879121</v>
      </c>
      <c r="Q271" s="5" t="n">
        <v>1.46</v>
      </c>
      <c r="R271" s="10" t="n">
        <v>1</v>
      </c>
      <c r="S271" s="5" t="n">
        <v>0.91</v>
      </c>
      <c r="T271" s="10" t="n">
        <v>1</v>
      </c>
      <c r="U271" s="4"/>
    </row>
    <row r="272" customFormat="false" ht="15" hidden="false" customHeight="false" outlineLevel="0" collapsed="false">
      <c r="A272" s="4" t="s">
        <v>634</v>
      </c>
      <c r="B272" s="4" t="s">
        <v>635</v>
      </c>
      <c r="C272" s="4" t="s">
        <v>29</v>
      </c>
      <c r="D272" s="4" t="s">
        <v>30</v>
      </c>
      <c r="E272" s="4" t="s">
        <v>41</v>
      </c>
      <c r="F272" s="5" t="n">
        <v>412.5</v>
      </c>
      <c r="G272" s="4" t="s">
        <v>26</v>
      </c>
      <c r="H272" s="6" t="n">
        <v>137775</v>
      </c>
      <c r="I272" s="7" t="n">
        <v>11617.7373744</v>
      </c>
      <c r="J272" s="4" t="s">
        <v>32</v>
      </c>
      <c r="K272" s="4" t="s">
        <v>33</v>
      </c>
      <c r="L272" s="4" t="s">
        <v>34</v>
      </c>
      <c r="M272" s="8" t="n">
        <f aca="false">IF(OR(H272="",I272=""),"",IF(I272&gt;0,H272/I272,""))</f>
        <v>11.8590217320277</v>
      </c>
      <c r="N272" s="4" t="str">
        <f aca="false">IF(I272="",IF(K272="NULL","FCF yok (NULL)","FCF kapsamı dışı"),IF(I272&lt;=0,"anlamsız (FCF ≤ 0)",IF(OR(K272="KOŞULLU"),"FCF KOŞULLU — yorum yapılmaz","")))</f>
        <v/>
      </c>
      <c r="O272" s="9" t="n">
        <f aca="false">IF(Q272="","",F272*R272/Q272-1)</f>
        <v>0.452464788732394</v>
      </c>
      <c r="P272" s="9" t="n">
        <f aca="false">IF(S272="","",F272*T272/S272-1)</f>
        <v>-0.0698985343855694</v>
      </c>
      <c r="Q272" s="5" t="n">
        <v>284</v>
      </c>
      <c r="R272" s="10" t="n">
        <v>1</v>
      </c>
      <c r="S272" s="5" t="n">
        <v>443.5</v>
      </c>
      <c r="T272" s="10" t="n">
        <v>1</v>
      </c>
      <c r="U272" s="4"/>
    </row>
    <row r="273" customFormat="false" ht="15" hidden="false" customHeight="false" outlineLevel="0" collapsed="false">
      <c r="A273" s="4" t="s">
        <v>636</v>
      </c>
      <c r="B273" s="4" t="s">
        <v>637</v>
      </c>
      <c r="C273" s="4" t="s">
        <v>29</v>
      </c>
      <c r="D273" s="4" t="s">
        <v>30</v>
      </c>
      <c r="E273" s="4" t="s">
        <v>53</v>
      </c>
      <c r="F273" s="5" t="n">
        <v>151.7</v>
      </c>
      <c r="G273" s="4" t="s">
        <v>638</v>
      </c>
      <c r="H273" s="6" t="n">
        <v>5916.3</v>
      </c>
      <c r="I273" s="7" t="n">
        <v>-536.473</v>
      </c>
      <c r="J273" s="4" t="s">
        <v>32</v>
      </c>
      <c r="K273" s="4" t="s">
        <v>33</v>
      </c>
      <c r="L273" s="4" t="s">
        <v>42</v>
      </c>
      <c r="M273" s="8" t="str">
        <f aca="false">IF(OR(H273="",I273=""),"",IF(I273&gt;0,H273/I273,""))</f>
        <v/>
      </c>
      <c r="N273" s="4" t="str">
        <f aca="false">IF(I273="",IF(K273="NULL","FCF yok (NULL)","FCF kapsamı dışı"),IF(I273&lt;=0,"anlamsız (FCF ≤ 0)",IF(OR(K273="KOŞULLU"),"FCF KOŞULLU — yorum yapılmaz","")))</f>
        <v>anlamsız (FCF ≤ 0)</v>
      </c>
      <c r="O273" s="9" t="n">
        <f aca="false">IF(Q273="","",F273*R273/Q273-1)</f>
        <v>0.605800783317455</v>
      </c>
      <c r="P273" s="9" t="n">
        <f aca="false">IF(S273="","",F273*T273/S273-1)</f>
        <v>-0.685269709543569</v>
      </c>
      <c r="Q273" s="5" t="n">
        <v>94.47</v>
      </c>
      <c r="R273" s="10" t="n">
        <v>1</v>
      </c>
      <c r="S273" s="5" t="n">
        <v>482</v>
      </c>
      <c r="T273" s="10" t="n">
        <v>1</v>
      </c>
      <c r="U273" s="4"/>
    </row>
    <row r="274" customFormat="false" ht="15" hidden="false" customHeight="false" outlineLevel="0" collapsed="false">
      <c r="A274" s="4" t="s">
        <v>639</v>
      </c>
      <c r="B274" s="4" t="s">
        <v>640</v>
      </c>
      <c r="C274" s="4" t="s">
        <v>29</v>
      </c>
      <c r="D274" s="4" t="s">
        <v>30</v>
      </c>
      <c r="E274" s="4" t="s">
        <v>31</v>
      </c>
      <c r="F274" s="5" t="n">
        <v>20.28</v>
      </c>
      <c r="G274" s="4" t="s">
        <v>26</v>
      </c>
      <c r="H274" s="6" t="n">
        <v>10951.2</v>
      </c>
      <c r="I274" s="7" t="n">
        <v>-450.0443776</v>
      </c>
      <c r="J274" s="4" t="s">
        <v>32</v>
      </c>
      <c r="K274" s="4" t="s">
        <v>33</v>
      </c>
      <c r="L274" s="4" t="s">
        <v>57</v>
      </c>
      <c r="M274" s="8" t="str">
        <f aca="false">IF(OR(H274="",I274=""),"",IF(I274&gt;0,H274/I274,""))</f>
        <v/>
      </c>
      <c r="N274" s="4" t="str">
        <f aca="false">IF(I274="",IF(K274="NULL","FCF yok (NULL)","FCF kapsamı dışı"),IF(I274&lt;=0,"anlamsız (FCF ≤ 0)",IF(OR(K274="KOŞULLU"),"FCF KOŞULLU — yorum yapılmaz","")))</f>
        <v>anlamsız (FCF ≤ 0)</v>
      </c>
      <c r="O274" s="9" t="n">
        <f aca="false">IF(Q274="","",F274*R274/Q274-1)</f>
        <v>-0.172920065252855</v>
      </c>
      <c r="P274" s="9" t="n">
        <f aca="false">IF(S274="","",F274*T274/S274-1)</f>
        <v>-0.025</v>
      </c>
      <c r="Q274" s="5" t="n">
        <v>24.52</v>
      </c>
      <c r="R274" s="10" t="n">
        <v>1</v>
      </c>
      <c r="S274" s="5" t="n">
        <v>20.8</v>
      </c>
      <c r="T274" s="10" t="n">
        <v>1</v>
      </c>
      <c r="U274" s="4"/>
    </row>
    <row r="275" customFormat="false" ht="15" hidden="false" customHeight="false" outlineLevel="0" collapsed="false">
      <c r="A275" s="4" t="s">
        <v>641</v>
      </c>
      <c r="B275" s="4" t="s">
        <v>642</v>
      </c>
      <c r="C275" s="4" t="s">
        <v>29</v>
      </c>
      <c r="D275" s="4" t="s">
        <v>30</v>
      </c>
      <c r="E275" s="4" t="s">
        <v>192</v>
      </c>
      <c r="F275" s="5" t="n">
        <v>30.66</v>
      </c>
      <c r="G275" s="4" t="s">
        <v>26</v>
      </c>
      <c r="H275" s="6" t="n">
        <v>1992.9</v>
      </c>
      <c r="I275" s="7" t="n">
        <v>-582.558512</v>
      </c>
      <c r="J275" s="4" t="s">
        <v>32</v>
      </c>
      <c r="K275" s="4" t="s">
        <v>33</v>
      </c>
      <c r="L275" s="4" t="s">
        <v>34</v>
      </c>
      <c r="M275" s="8" t="str">
        <f aca="false">IF(OR(H275="",I275=""),"",IF(I275&gt;0,H275/I275,""))</f>
        <v/>
      </c>
      <c r="N275" s="4" t="str">
        <f aca="false">IF(I275="",IF(K275="NULL","FCF yok (NULL)","FCF kapsamı dışı"),IF(I275&lt;=0,"anlamsız (FCF ≤ 0)",IF(OR(K275="KOŞULLU"),"FCF KOŞULLU — yorum yapılmaz","")))</f>
        <v>anlamsız (FCF ≤ 0)</v>
      </c>
      <c r="O275" s="9" t="n">
        <f aca="false">IF(Q275="","",F275*R275/Q275-1)</f>
        <v>-0.886654343807763</v>
      </c>
      <c r="P275" s="9" t="n">
        <f aca="false">IF(S275="","",F275*T275/S275-1)</f>
        <v>-0.188888888888889</v>
      </c>
      <c r="Q275" s="5" t="n">
        <v>270.5</v>
      </c>
      <c r="R275" s="10" t="n">
        <v>1</v>
      </c>
      <c r="S275" s="5" t="n">
        <v>37.8</v>
      </c>
      <c r="T275" s="10" t="n">
        <v>1</v>
      </c>
      <c r="U275" s="4"/>
    </row>
    <row r="276" customFormat="false" ht="15" hidden="false" customHeight="false" outlineLevel="0" collapsed="false">
      <c r="A276" s="4" t="s">
        <v>643</v>
      </c>
      <c r="B276" s="4" t="s">
        <v>644</v>
      </c>
      <c r="C276" s="4" t="s">
        <v>60</v>
      </c>
      <c r="D276" s="4"/>
      <c r="E276" s="4"/>
      <c r="F276" s="5" t="n">
        <v>45.16</v>
      </c>
      <c r="G276" s="4" t="s">
        <v>26</v>
      </c>
      <c r="H276" s="6" t="n">
        <v>324464.57633156</v>
      </c>
      <c r="I276" s="7"/>
      <c r="J276" s="4"/>
      <c r="K276" s="4"/>
      <c r="L276" s="4"/>
      <c r="M276" s="8" t="str">
        <f aca="false">IF(OR(H276="",I276=""),"",IF(I276&gt;0,H276/I276,""))</f>
        <v/>
      </c>
      <c r="N276" s="4" t="str">
        <f aca="false">IF(I276="",IF(K276="NULL","FCF yok (NULL)","FCF kapsamı dışı"),IF(I276&lt;=0,"anlamsız (FCF ≤ 0)",IF(OR(K276="KOŞULLU"),"FCF KOŞULLU — yorum yapılmaz","")))</f>
        <v>FCF kapsamı dışı</v>
      </c>
      <c r="O276" s="9" t="n">
        <f aca="false">IF(Q276="","",F276*R276/Q276-1)</f>
        <v>0.55939226519337</v>
      </c>
      <c r="P276" s="9" t="n">
        <f aca="false">IF(S276="","",F276*T276/S276-1)</f>
        <v>-0.0440304826418291</v>
      </c>
      <c r="Q276" s="5" t="n">
        <v>28.96</v>
      </c>
      <c r="R276" s="10" t="n">
        <v>1</v>
      </c>
      <c r="S276" s="5" t="n">
        <v>47.24</v>
      </c>
      <c r="T276" s="10" t="n">
        <v>1</v>
      </c>
      <c r="U276" s="4"/>
    </row>
    <row r="277" customFormat="false" ht="15" hidden="false" customHeight="false" outlineLevel="0" collapsed="false">
      <c r="A277" s="4" t="s">
        <v>645</v>
      </c>
      <c r="B277" s="4" t="s">
        <v>646</v>
      </c>
      <c r="C277" s="4" t="s">
        <v>29</v>
      </c>
      <c r="D277" s="4" t="s">
        <v>30</v>
      </c>
      <c r="E277" s="4" t="s">
        <v>171</v>
      </c>
      <c r="F277" s="5" t="n">
        <v>7.96</v>
      </c>
      <c r="G277" s="4" t="s">
        <v>108</v>
      </c>
      <c r="H277" s="6" t="n">
        <v>501.48</v>
      </c>
      <c r="I277" s="7" t="n">
        <v>232.134</v>
      </c>
      <c r="J277" s="4" t="s">
        <v>32</v>
      </c>
      <c r="K277" s="4" t="s">
        <v>33</v>
      </c>
      <c r="L277" s="4" t="s">
        <v>42</v>
      </c>
      <c r="M277" s="8" t="n">
        <f aca="false">IF(OR(H277="",I277=""),"",IF(I277&gt;0,H277/I277,""))</f>
        <v>2.16030396236656</v>
      </c>
      <c r="N277" s="4" t="str">
        <f aca="false">IF(I277="",IF(K277="NULL","FCF yok (NULL)","FCF kapsamı dışı"),IF(I277&lt;=0,"anlamsız (FCF ≤ 0)",IF(OR(K277="KOŞULLU"),"FCF KOŞULLU — yorum yapılmaz","")))</f>
        <v/>
      </c>
      <c r="O277" s="9" t="n">
        <f aca="false">IF(Q277="","",F277*R277/Q277-1)</f>
        <v>-0.508034610630408</v>
      </c>
      <c r="P277" s="9" t="n">
        <f aca="false">IF(S277="","",F277*T277/S277-1)</f>
        <v>-0.273059360730594</v>
      </c>
      <c r="Q277" s="5" t="n">
        <v>16.18</v>
      </c>
      <c r="R277" s="10" t="n">
        <v>1</v>
      </c>
      <c r="S277" s="5" t="n">
        <v>10.95</v>
      </c>
      <c r="T277" s="10" t="n">
        <v>1</v>
      </c>
      <c r="U277" s="4"/>
    </row>
    <row r="278" customFormat="false" ht="15" hidden="false" customHeight="false" outlineLevel="0" collapsed="false">
      <c r="A278" s="4" t="s">
        <v>647</v>
      </c>
      <c r="B278" s="4" t="s">
        <v>648</v>
      </c>
      <c r="C278" s="4" t="s">
        <v>29</v>
      </c>
      <c r="D278" s="4" t="s">
        <v>30</v>
      </c>
      <c r="E278" s="4" t="s">
        <v>45</v>
      </c>
      <c r="F278" s="5" t="n">
        <v>30.4</v>
      </c>
      <c r="G278" s="4" t="s">
        <v>26</v>
      </c>
      <c r="H278" s="6" t="n">
        <v>6733.6</v>
      </c>
      <c r="I278" s="7" t="n">
        <v>131.06</v>
      </c>
      <c r="J278" s="4" t="s">
        <v>32</v>
      </c>
      <c r="K278" s="4" t="s">
        <v>33</v>
      </c>
      <c r="L278" s="4" t="s">
        <v>42</v>
      </c>
      <c r="M278" s="8" t="n">
        <f aca="false">IF(OR(H278="",I278=""),"",IF(I278&gt;0,H278/I278,""))</f>
        <v>51.3779948115367</v>
      </c>
      <c r="N278" s="4" t="str">
        <f aca="false">IF(I278="",IF(K278="NULL","FCF yok (NULL)","FCF kapsamı dışı"),IF(I278&lt;=0,"anlamsız (FCF ≤ 0)",IF(OR(K278="KOŞULLU"),"FCF KOŞULLU — yorum yapılmaz","")))</f>
        <v/>
      </c>
      <c r="O278" s="9" t="n">
        <f aca="false">IF(Q278="","",F278*R278/Q278-1)</f>
        <v>-0.372419488026424</v>
      </c>
      <c r="P278" s="9" t="n">
        <f aca="false">IF(S278="","",F278*T278/S278-1)</f>
        <v>-0.228817858954845</v>
      </c>
      <c r="Q278" s="5" t="n">
        <v>48.44</v>
      </c>
      <c r="R278" s="10" t="n">
        <v>1</v>
      </c>
      <c r="S278" s="5" t="n">
        <v>39.42</v>
      </c>
      <c r="T278" s="10" t="n">
        <v>1</v>
      </c>
      <c r="U278" s="4"/>
    </row>
    <row r="279" customFormat="false" ht="15" hidden="false" customHeight="false" outlineLevel="0" collapsed="false">
      <c r="A279" s="4" t="s">
        <v>649</v>
      </c>
      <c r="B279" s="4" t="s">
        <v>650</v>
      </c>
      <c r="C279" s="4" t="s">
        <v>38</v>
      </c>
      <c r="D279" s="4"/>
      <c r="E279" s="4"/>
      <c r="F279" s="5" t="n">
        <v>1.1</v>
      </c>
      <c r="G279" s="4" t="s">
        <v>26</v>
      </c>
      <c r="H279" s="6" t="n">
        <v>1243</v>
      </c>
      <c r="I279" s="7"/>
      <c r="J279" s="4"/>
      <c r="K279" s="4"/>
      <c r="L279" s="4"/>
      <c r="M279" s="8" t="str">
        <f aca="false">IF(OR(H279="",I279=""),"",IF(I279&gt;0,H279/I279,""))</f>
        <v/>
      </c>
      <c r="N279" s="4" t="str">
        <f aca="false">IF(I279="",IF(K279="NULL","FCF yok (NULL)","FCF kapsamı dışı"),IF(I279&lt;=0,"anlamsız (FCF ≤ 0)",IF(OR(K279="KOŞULLU"),"FCF KOŞULLU — yorum yapılmaz","")))</f>
        <v>FCF kapsamı dışı</v>
      </c>
      <c r="O279" s="9" t="n">
        <f aca="false">IF(Q279="","",F279*R279/Q279-1)</f>
        <v>-0.581749049429658</v>
      </c>
      <c r="P279" s="9" t="n">
        <f aca="false">IF(S279="","",F279*T279/S279-1)</f>
        <v>-0.202898550724638</v>
      </c>
      <c r="Q279" s="5" t="n">
        <v>2.63</v>
      </c>
      <c r="R279" s="10" t="n">
        <v>1</v>
      </c>
      <c r="S279" s="5" t="n">
        <v>1.38</v>
      </c>
      <c r="T279" s="10" t="n">
        <v>1</v>
      </c>
      <c r="U279" s="4"/>
    </row>
    <row r="280" customFormat="false" ht="15" hidden="false" customHeight="false" outlineLevel="0" collapsed="false">
      <c r="A280" s="4" t="s">
        <v>651</v>
      </c>
      <c r="B280" s="4" t="s">
        <v>652</v>
      </c>
      <c r="C280" s="4" t="s">
        <v>25</v>
      </c>
      <c r="D280" s="4"/>
      <c r="E280" s="4"/>
      <c r="F280" s="5" t="n">
        <v>10.32</v>
      </c>
      <c r="G280" s="4" t="s">
        <v>26</v>
      </c>
      <c r="H280" s="6" t="n">
        <v>30960</v>
      </c>
      <c r="I280" s="7"/>
      <c r="J280" s="4"/>
      <c r="K280" s="4"/>
      <c r="L280" s="4"/>
      <c r="M280" s="8" t="str">
        <f aca="false">IF(OR(H280="",I280=""),"",IF(I280&gt;0,H280/I280,""))</f>
        <v/>
      </c>
      <c r="N280" s="4" t="str">
        <f aca="false">IF(I280="",IF(K280="NULL","FCF yok (NULL)","FCF kapsamı dışı"),IF(I280&lt;=0,"anlamsız (FCF ≤ 0)",IF(OR(K280="KOŞULLU"),"FCF KOŞULLU — yorum yapılmaz","")))</f>
        <v>FCF kapsamı dışı</v>
      </c>
      <c r="O280" s="9" t="n">
        <f aca="false">IF(Q280="","",F280*R280/Q280-1)</f>
        <v>-0.721338612901587</v>
      </c>
      <c r="P280" s="9" t="n">
        <f aca="false">IF(S280="","",F280*T280/S280-1)</f>
        <v>-0.407577497129736</v>
      </c>
      <c r="Q280" s="5" t="n">
        <v>58.05</v>
      </c>
      <c r="R280" s="10" t="n">
        <v>1.56747030242857</v>
      </c>
      <c r="S280" s="5" t="n">
        <v>17.42</v>
      </c>
      <c r="T280" s="10" t="n">
        <v>1</v>
      </c>
      <c r="U280" s="4" t="s">
        <v>653</v>
      </c>
    </row>
    <row r="281" customFormat="false" ht="15" hidden="false" customHeight="false" outlineLevel="0" collapsed="false">
      <c r="A281" s="4" t="s">
        <v>654</v>
      </c>
      <c r="B281" s="4" t="s">
        <v>655</v>
      </c>
      <c r="C281" s="4" t="s">
        <v>29</v>
      </c>
      <c r="D281" s="4" t="s">
        <v>30</v>
      </c>
      <c r="E281" s="4" t="s">
        <v>41</v>
      </c>
      <c r="F281" s="5" t="n">
        <v>2.17</v>
      </c>
      <c r="G281" s="4" t="s">
        <v>26</v>
      </c>
      <c r="H281" s="6" t="n">
        <v>18293.1</v>
      </c>
      <c r="I281" s="7" t="n">
        <v>-475.72</v>
      </c>
      <c r="J281" s="4" t="s">
        <v>32</v>
      </c>
      <c r="K281" s="4" t="s">
        <v>33</v>
      </c>
      <c r="L281" s="4" t="s">
        <v>42</v>
      </c>
      <c r="M281" s="8" t="str">
        <f aca="false">IF(OR(H281="",I281=""),"",IF(I281&gt;0,H281/I281,""))</f>
        <v/>
      </c>
      <c r="N281" s="4" t="str">
        <f aca="false">IF(I281="",IF(K281="NULL","FCF yok (NULL)","FCF kapsamı dışı"),IF(I281&lt;=0,"anlamsız (FCF ≤ 0)",IF(OR(K281="KOŞULLU"),"FCF KOŞULLU — yorum yapılmaz","")))</f>
        <v>anlamsız (FCF ≤ 0)</v>
      </c>
      <c r="O281" s="9" t="n">
        <f aca="false">IF(Q281="","",F281*R281/Q281-1)</f>
        <v>-0.398891966759003</v>
      </c>
      <c r="P281" s="9" t="n">
        <f aca="false">IF(S281="","",F281*T281/S281-1)</f>
        <v>-0.0440528634361234</v>
      </c>
      <c r="Q281" s="5" t="n">
        <v>3.61</v>
      </c>
      <c r="R281" s="10" t="n">
        <v>1</v>
      </c>
      <c r="S281" s="5" t="n">
        <v>2.27</v>
      </c>
      <c r="T281" s="10" t="n">
        <v>1</v>
      </c>
      <c r="U281" s="4"/>
    </row>
    <row r="282" customFormat="false" ht="15" hidden="false" customHeight="false" outlineLevel="0" collapsed="false">
      <c r="A282" s="4" t="s">
        <v>656</v>
      </c>
      <c r="B282" s="4" t="s">
        <v>657</v>
      </c>
      <c r="C282" s="4" t="s">
        <v>29</v>
      </c>
      <c r="D282" s="4" t="s">
        <v>30</v>
      </c>
      <c r="E282" s="4" t="s">
        <v>565</v>
      </c>
      <c r="F282" s="5" t="n">
        <v>11.66</v>
      </c>
      <c r="G282" s="4" t="s">
        <v>26</v>
      </c>
      <c r="H282" s="6" t="n">
        <v>1224.3</v>
      </c>
      <c r="I282" s="7" t="n">
        <v>-11.4410096</v>
      </c>
      <c r="J282" s="4" t="s">
        <v>32</v>
      </c>
      <c r="K282" s="4" t="s">
        <v>33</v>
      </c>
      <c r="L282" s="4" t="s">
        <v>34</v>
      </c>
      <c r="M282" s="8" t="str">
        <f aca="false">IF(OR(H282="",I282=""),"",IF(I282&gt;0,H282/I282,""))</f>
        <v/>
      </c>
      <c r="N282" s="4" t="str">
        <f aca="false">IF(I282="",IF(K282="NULL","FCF yok (NULL)","FCF kapsamı dışı"),IF(I282&lt;=0,"anlamsız (FCF ≤ 0)",IF(OR(K282="KOŞULLU"),"FCF KOŞULLU — yorum yapılmaz","")))</f>
        <v>anlamsız (FCF ≤ 0)</v>
      </c>
      <c r="O282" s="9" t="n">
        <f aca="false">IF(Q282="","",F282*R282/Q282-1)</f>
        <v>-0.12</v>
      </c>
      <c r="P282" s="9" t="n">
        <f aca="false">IF(S282="","",F282*T282/S282-1)</f>
        <v>0.0786308973172987</v>
      </c>
      <c r="Q282" s="5" t="n">
        <v>13.25</v>
      </c>
      <c r="R282" s="10" t="n">
        <v>1</v>
      </c>
      <c r="S282" s="5" t="n">
        <v>10.81</v>
      </c>
      <c r="T282" s="10" t="n">
        <v>1</v>
      </c>
      <c r="U282" s="4"/>
    </row>
    <row r="283" customFormat="false" ht="15" hidden="false" customHeight="false" outlineLevel="0" collapsed="false">
      <c r="A283" s="4" t="s">
        <v>658</v>
      </c>
      <c r="B283" s="4" t="s">
        <v>659</v>
      </c>
      <c r="C283" s="4" t="s">
        <v>38</v>
      </c>
      <c r="D283" s="4"/>
      <c r="E283" s="4"/>
      <c r="F283" s="5" t="n">
        <v>4.22</v>
      </c>
      <c r="G283" s="4" t="s">
        <v>213</v>
      </c>
      <c r="H283" s="6" t="n">
        <v>16204.8</v>
      </c>
      <c r="I283" s="7"/>
      <c r="J283" s="4"/>
      <c r="K283" s="4"/>
      <c r="L283" s="4"/>
      <c r="M283" s="8" t="str">
        <f aca="false">IF(OR(H283="",I283=""),"",IF(I283&gt;0,H283/I283,""))</f>
        <v/>
      </c>
      <c r="N283" s="4" t="str">
        <f aca="false">IF(I283="",IF(K283="NULL","FCF yok (NULL)","FCF kapsamı dışı"),IF(I283&lt;=0,"anlamsız (FCF ≤ 0)",IF(OR(K283="KOŞULLU"),"FCF KOŞULLU — yorum yapılmaz","")))</f>
        <v>FCF kapsamı dışı</v>
      </c>
      <c r="O283" s="9" t="n">
        <f aca="false">IF(Q283="","",F283*R283/Q283-1)</f>
        <v>0.119363395225464</v>
      </c>
      <c r="P283" s="9" t="n">
        <f aca="false">IF(S283="","",F283*T283/S283-1)</f>
        <v>0.0629722921914357</v>
      </c>
      <c r="Q283" s="5" t="n">
        <v>3.77</v>
      </c>
      <c r="R283" s="10" t="n">
        <v>1</v>
      </c>
      <c r="S283" s="5" t="n">
        <v>3.97</v>
      </c>
      <c r="T283" s="10" t="n">
        <v>1</v>
      </c>
      <c r="U283" s="4"/>
    </row>
    <row r="284" customFormat="false" ht="15" hidden="false" customHeight="false" outlineLevel="0" collapsed="false">
      <c r="A284" s="4" t="s">
        <v>660</v>
      </c>
      <c r="B284" s="4" t="s">
        <v>661</v>
      </c>
      <c r="C284" s="4" t="s">
        <v>29</v>
      </c>
      <c r="D284" s="4" t="s">
        <v>30</v>
      </c>
      <c r="E284" s="4" t="s">
        <v>276</v>
      </c>
      <c r="F284" s="5" t="n">
        <v>44.24</v>
      </c>
      <c r="G284" s="4" t="s">
        <v>26</v>
      </c>
      <c r="H284" s="6" t="n">
        <v>4003.19283616</v>
      </c>
      <c r="I284" s="7" t="n">
        <v>-771.953312</v>
      </c>
      <c r="J284" s="4" t="s">
        <v>32</v>
      </c>
      <c r="K284" s="4" t="s">
        <v>33</v>
      </c>
      <c r="L284" s="4" t="s">
        <v>34</v>
      </c>
      <c r="M284" s="8" t="str">
        <f aca="false">IF(OR(H284="",I284=""),"",IF(I284&gt;0,H284/I284,""))</f>
        <v/>
      </c>
      <c r="N284" s="4" t="str">
        <f aca="false">IF(I284="",IF(K284="NULL","FCF yok (NULL)","FCF kapsamı dışı"),IF(I284&lt;=0,"anlamsız (FCF ≤ 0)",IF(OR(K284="KOŞULLU"),"FCF KOŞULLU — yorum yapılmaz","")))</f>
        <v>anlamsız (FCF ≤ 0)</v>
      </c>
      <c r="O284" s="9" t="n">
        <f aca="false">IF(Q284="","",F284*R284/Q284-1)</f>
        <v>-0.258961474036851</v>
      </c>
      <c r="P284" s="9" t="n">
        <f aca="false">IF(S284="","",F284*T284/S284-1)</f>
        <v>-0.0365853658536586</v>
      </c>
      <c r="Q284" s="5" t="n">
        <v>59.7</v>
      </c>
      <c r="R284" s="10" t="n">
        <v>1</v>
      </c>
      <c r="S284" s="5" t="n">
        <v>45.92</v>
      </c>
      <c r="T284" s="10" t="n">
        <v>1</v>
      </c>
      <c r="U284" s="4"/>
    </row>
    <row r="285" customFormat="false" ht="15" hidden="false" customHeight="false" outlineLevel="0" collapsed="false">
      <c r="A285" s="4" t="s">
        <v>662</v>
      </c>
      <c r="B285" s="4" t="s">
        <v>663</v>
      </c>
      <c r="C285" s="4" t="s">
        <v>29</v>
      </c>
      <c r="D285" s="4" t="s">
        <v>30</v>
      </c>
      <c r="E285" s="4" t="s">
        <v>107</v>
      </c>
      <c r="F285" s="5" t="n">
        <v>8.43</v>
      </c>
      <c r="G285" s="4" t="s">
        <v>26</v>
      </c>
      <c r="H285" s="6" t="n">
        <v>13595.904</v>
      </c>
      <c r="I285" s="7" t="n">
        <v>-1173.776</v>
      </c>
      <c r="J285" s="4" t="s">
        <v>32</v>
      </c>
      <c r="K285" s="4" t="s">
        <v>33</v>
      </c>
      <c r="L285" s="4" t="s">
        <v>42</v>
      </c>
      <c r="M285" s="8" t="str">
        <f aca="false">IF(OR(H285="",I285=""),"",IF(I285&gt;0,H285/I285,""))</f>
        <v/>
      </c>
      <c r="N285" s="4" t="str">
        <f aca="false">IF(I285="",IF(K285="NULL","FCF yok (NULL)","FCF kapsamı dışı"),IF(I285&lt;=0,"anlamsız (FCF ≤ 0)",IF(OR(K285="KOŞULLU"),"FCF KOŞULLU — yorum yapılmaz","")))</f>
        <v>anlamsız (FCF ≤ 0)</v>
      </c>
      <c r="O285" s="9" t="n">
        <f aca="false">IF(Q285="","",F285*R285/Q285-1)</f>
        <v>0.420604452027741</v>
      </c>
      <c r="P285" s="9" t="n">
        <f aca="false">IF(S285="","",F285*T285/S285-1)</f>
        <v>0.219971056439942</v>
      </c>
      <c r="Q285" s="5" t="n">
        <v>81.9</v>
      </c>
      <c r="R285" s="10" t="n">
        <v>13.8016019716574</v>
      </c>
      <c r="S285" s="5" t="n">
        <v>6.91</v>
      </c>
      <c r="T285" s="10" t="n">
        <v>1</v>
      </c>
      <c r="U285" s="4" t="s">
        <v>664</v>
      </c>
    </row>
    <row r="286" customFormat="false" ht="15" hidden="false" customHeight="false" outlineLevel="0" collapsed="false">
      <c r="A286" s="4" t="s">
        <v>665</v>
      </c>
      <c r="B286" s="4" t="s">
        <v>666</v>
      </c>
      <c r="C286" s="4" t="s">
        <v>29</v>
      </c>
      <c r="D286" s="4" t="s">
        <v>30</v>
      </c>
      <c r="E286" s="4" t="s">
        <v>159</v>
      </c>
      <c r="F286" s="5" t="n">
        <v>34.8</v>
      </c>
      <c r="G286" s="4" t="s">
        <v>64</v>
      </c>
      <c r="H286" s="6" t="n">
        <v>10440</v>
      </c>
      <c r="I286" s="7" t="n">
        <v>-198.141</v>
      </c>
      <c r="J286" s="4" t="s">
        <v>32</v>
      </c>
      <c r="K286" s="4" t="s">
        <v>33</v>
      </c>
      <c r="L286" s="4" t="s">
        <v>42</v>
      </c>
      <c r="M286" s="8" t="str">
        <f aca="false">IF(OR(H286="",I286=""),"",IF(I286&gt;0,H286/I286,""))</f>
        <v/>
      </c>
      <c r="N286" s="4" t="str">
        <f aca="false">IF(I286="",IF(K286="NULL","FCF yok (NULL)","FCF kapsamı dışı"),IF(I286&lt;=0,"anlamsız (FCF ≤ 0)",IF(OR(K286="KOŞULLU"),"FCF KOŞULLU — yorum yapılmaz","")))</f>
        <v>anlamsız (FCF ≤ 0)</v>
      </c>
      <c r="O286" s="9" t="n">
        <f aca="false">IF(Q286="","",F286*R286/Q286-1)</f>
        <v>-0.313609467455621</v>
      </c>
      <c r="P286" s="9" t="n">
        <f aca="false">IF(S286="","",F286*T286/S286-1)</f>
        <v>0.132075471698113</v>
      </c>
      <c r="Q286" s="5" t="n">
        <v>50.7</v>
      </c>
      <c r="R286" s="10" t="n">
        <v>1</v>
      </c>
      <c r="S286" s="5" t="n">
        <v>30.74</v>
      </c>
      <c r="T286" s="10" t="n">
        <v>1</v>
      </c>
      <c r="U286" s="4"/>
    </row>
    <row r="287" customFormat="false" ht="15" hidden="false" customHeight="false" outlineLevel="0" collapsed="false">
      <c r="A287" s="4" t="s">
        <v>667</v>
      </c>
      <c r="B287" s="4" t="s">
        <v>668</v>
      </c>
      <c r="C287" s="4" t="s">
        <v>38</v>
      </c>
      <c r="D287" s="4"/>
      <c r="E287" s="4"/>
      <c r="F287" s="5" t="n">
        <v>1.67</v>
      </c>
      <c r="G287" s="4" t="s">
        <v>26</v>
      </c>
      <c r="H287" s="6" t="n">
        <v>467.6</v>
      </c>
      <c r="I287" s="7"/>
      <c r="J287" s="4"/>
      <c r="K287" s="4"/>
      <c r="L287" s="4"/>
      <c r="M287" s="8" t="str">
        <f aca="false">IF(OR(H287="",I287=""),"",IF(I287&gt;0,H287/I287,""))</f>
        <v/>
      </c>
      <c r="N287" s="4" t="str">
        <f aca="false">IF(I287="",IF(K287="NULL","FCF yok (NULL)","FCF kapsamı dışı"),IF(I287&lt;=0,"anlamsız (FCF ≤ 0)",IF(OR(K287="KOŞULLU"),"FCF KOŞULLU — yorum yapılmaz","")))</f>
        <v>FCF kapsamı dışı</v>
      </c>
      <c r="O287" s="9" t="n">
        <f aca="false">IF(Q287="","",F287*R287/Q287-1)</f>
        <v>-0.441471571906355</v>
      </c>
      <c r="P287" s="9" t="n">
        <f aca="false">IF(S287="","",F287*T287/S287-1)</f>
        <v>-0.0511363636363636</v>
      </c>
      <c r="Q287" s="5" t="n">
        <v>2.99</v>
      </c>
      <c r="R287" s="10" t="n">
        <v>1</v>
      </c>
      <c r="S287" s="5" t="n">
        <v>1.76</v>
      </c>
      <c r="T287" s="10" t="n">
        <v>1</v>
      </c>
      <c r="U287" s="4"/>
    </row>
    <row r="288" customFormat="false" ht="15" hidden="false" customHeight="false" outlineLevel="0" collapsed="false">
      <c r="A288" s="4" t="s">
        <v>669</v>
      </c>
      <c r="B288" s="4" t="s">
        <v>670</v>
      </c>
      <c r="C288" s="4" t="s">
        <v>29</v>
      </c>
      <c r="D288" s="4" t="s">
        <v>30</v>
      </c>
      <c r="E288" s="4" t="s">
        <v>31</v>
      </c>
      <c r="F288" s="5" t="n">
        <v>4.17</v>
      </c>
      <c r="G288" s="4" t="s">
        <v>76</v>
      </c>
      <c r="H288" s="6" t="n">
        <v>4170</v>
      </c>
      <c r="I288" s="7" t="n">
        <v>-1009.685</v>
      </c>
      <c r="J288" s="4" t="s">
        <v>32</v>
      </c>
      <c r="K288" s="4" t="s">
        <v>33</v>
      </c>
      <c r="L288" s="4" t="s">
        <v>42</v>
      </c>
      <c r="M288" s="8" t="str">
        <f aca="false">IF(OR(H288="",I288=""),"",IF(I288&gt;0,H288/I288,""))</f>
        <v/>
      </c>
      <c r="N288" s="4" t="str">
        <f aca="false">IF(I288="",IF(K288="NULL","FCF yok (NULL)","FCF kapsamı dışı"),IF(I288&lt;=0,"anlamsız (FCF ≤ 0)",IF(OR(K288="KOŞULLU"),"FCF KOŞULLU — yorum yapılmaz","")))</f>
        <v>anlamsız (FCF ≤ 0)</v>
      </c>
      <c r="O288" s="9" t="n">
        <f aca="false">IF(Q288="","",F288*R288/Q288-1)</f>
        <v>0.127027027027027</v>
      </c>
      <c r="P288" s="9" t="n">
        <f aca="false">IF(S288="","",F288*T288/S288-1)</f>
        <v>0.0803108808290156</v>
      </c>
      <c r="Q288" s="5" t="n">
        <v>3.7</v>
      </c>
      <c r="R288" s="10" t="n">
        <v>1</v>
      </c>
      <c r="S288" s="5" t="n">
        <v>3.86</v>
      </c>
      <c r="T288" s="10" t="n">
        <v>1</v>
      </c>
      <c r="U288" s="4"/>
    </row>
    <row r="289" customFormat="false" ht="15" hidden="false" customHeight="false" outlineLevel="0" collapsed="false">
      <c r="A289" s="4" t="s">
        <v>671</v>
      </c>
      <c r="B289" s="4" t="s">
        <v>672</v>
      </c>
      <c r="C289" s="4" t="s">
        <v>29</v>
      </c>
      <c r="D289" s="4" t="s">
        <v>30</v>
      </c>
      <c r="E289" s="4" t="s">
        <v>131</v>
      </c>
      <c r="F289" s="5" t="n">
        <v>5.18</v>
      </c>
      <c r="G289" s="4" t="s">
        <v>26</v>
      </c>
      <c r="H289" s="6" t="n">
        <v>3066.56</v>
      </c>
      <c r="I289" s="7" t="n">
        <v>-1111.504</v>
      </c>
      <c r="J289" s="4" t="s">
        <v>32</v>
      </c>
      <c r="K289" s="4" t="s">
        <v>33</v>
      </c>
      <c r="L289" s="4" t="s">
        <v>42</v>
      </c>
      <c r="M289" s="8" t="str">
        <f aca="false">IF(OR(H289="",I289=""),"",IF(I289&gt;0,H289/I289,""))</f>
        <v/>
      </c>
      <c r="N289" s="4" t="str">
        <f aca="false">IF(I289="",IF(K289="NULL","FCF yok (NULL)","FCF kapsamı dışı"),IF(I289&lt;=0,"anlamsız (FCF ≤ 0)",IF(OR(K289="KOŞULLU"),"FCF KOŞULLU — yorum yapılmaz","")))</f>
        <v>anlamsız (FCF ≤ 0)</v>
      </c>
      <c r="O289" s="9" t="n">
        <f aca="false">IF(Q289="","",F289*R289/Q289-1)</f>
        <v>-0.343472750316857</v>
      </c>
      <c r="P289" s="9" t="n">
        <f aca="false">IF(S289="","",F289*T289/S289-1)</f>
        <v>-0.201848998459168</v>
      </c>
      <c r="Q289" s="5" t="n">
        <v>7.89</v>
      </c>
      <c r="R289" s="10" t="n">
        <v>1</v>
      </c>
      <c r="S289" s="5" t="n">
        <v>6.49</v>
      </c>
      <c r="T289" s="10" t="n">
        <v>1</v>
      </c>
      <c r="U289" s="4"/>
    </row>
    <row r="290" customFormat="false" ht="15" hidden="false" customHeight="false" outlineLevel="0" collapsed="false">
      <c r="A290" s="4" t="s">
        <v>673</v>
      </c>
      <c r="B290" s="4" t="s">
        <v>674</v>
      </c>
      <c r="C290" s="4" t="s">
        <v>60</v>
      </c>
      <c r="D290" s="4"/>
      <c r="E290" s="4"/>
      <c r="F290" s="5" t="n">
        <v>15.49</v>
      </c>
      <c r="G290" s="4" t="s">
        <v>26</v>
      </c>
      <c r="H290" s="6" t="n">
        <v>13321.4</v>
      </c>
      <c r="I290" s="7"/>
      <c r="J290" s="4"/>
      <c r="K290" s="4"/>
      <c r="L290" s="4"/>
      <c r="M290" s="8" t="str">
        <f aca="false">IF(OR(H290="",I290=""),"",IF(I290&gt;0,H290/I290,""))</f>
        <v/>
      </c>
      <c r="N290" s="4" t="str">
        <f aca="false">IF(I290="",IF(K290="NULL","FCF yok (NULL)","FCF kapsamı dışı"),IF(I290&lt;=0,"anlamsız (FCF ≤ 0)",IF(OR(K290="KOŞULLU"),"FCF KOŞULLU — yorum yapılmaz","")))</f>
        <v>FCF kapsamı dışı</v>
      </c>
      <c r="O290" s="9" t="n">
        <f aca="false">IF(Q290="","",F290*R290/Q290-1)</f>
        <v>-0.0962660443407235</v>
      </c>
      <c r="P290" s="9" t="n">
        <f aca="false">IF(S290="","",F290*T290/S290-1)</f>
        <v>-0.0679903730445247</v>
      </c>
      <c r="Q290" s="5" t="n">
        <v>17.14</v>
      </c>
      <c r="R290" s="10" t="n">
        <v>1</v>
      </c>
      <c r="S290" s="5" t="n">
        <v>16.62</v>
      </c>
      <c r="T290" s="10" t="n">
        <v>1</v>
      </c>
      <c r="U290" s="4"/>
    </row>
    <row r="291" customFormat="false" ht="15" hidden="false" customHeight="false" outlineLevel="0" collapsed="false">
      <c r="A291" s="4" t="s">
        <v>675</v>
      </c>
      <c r="B291" s="4" t="s">
        <v>676</v>
      </c>
      <c r="C291" s="4" t="s">
        <v>38</v>
      </c>
      <c r="D291" s="4"/>
      <c r="E291" s="4"/>
      <c r="F291" s="5" t="n">
        <v>1.24</v>
      </c>
      <c r="G291" s="4" t="s">
        <v>207</v>
      </c>
      <c r="H291" s="6" t="n">
        <v>430.9</v>
      </c>
      <c r="I291" s="7"/>
      <c r="J291" s="4"/>
      <c r="K291" s="4"/>
      <c r="L291" s="4"/>
      <c r="M291" s="8" t="str">
        <f aca="false">IF(OR(H291="",I291=""),"",IF(I291&gt;0,H291/I291,""))</f>
        <v/>
      </c>
      <c r="N291" s="4" t="str">
        <f aca="false">IF(I291="",IF(K291="NULL","FCF yok (NULL)","FCF kapsamı dışı"),IF(I291&lt;=0,"anlamsız (FCF ≤ 0)",IF(OR(K291="KOŞULLU"),"FCF KOŞULLU — yorum yapılmaz","")))</f>
        <v>FCF kapsamı dışı</v>
      </c>
      <c r="O291" s="9" t="n">
        <f aca="false">IF(Q291="","",F291*R291/Q291-1)</f>
        <v>-0.602564102564103</v>
      </c>
      <c r="P291" s="9" t="n">
        <f aca="false">IF(S291="","",F291*T291/S291-1)</f>
        <v>-0.47008547008547</v>
      </c>
      <c r="Q291" s="5" t="n">
        <v>3.12</v>
      </c>
      <c r="R291" s="10" t="n">
        <v>1</v>
      </c>
      <c r="S291" s="5" t="n">
        <v>2.34</v>
      </c>
      <c r="T291" s="10" t="n">
        <v>1</v>
      </c>
      <c r="U291" s="4"/>
    </row>
    <row r="292" customFormat="false" ht="15" hidden="false" customHeight="false" outlineLevel="0" collapsed="false">
      <c r="A292" s="4" t="s">
        <v>677</v>
      </c>
      <c r="B292" s="4" t="s">
        <v>678</v>
      </c>
      <c r="C292" s="4" t="s">
        <v>38</v>
      </c>
      <c r="D292" s="4"/>
      <c r="E292" s="4"/>
      <c r="F292" s="5" t="n">
        <v>2.11</v>
      </c>
      <c r="G292" s="4" t="s">
        <v>679</v>
      </c>
      <c r="H292" s="6" t="n">
        <v>316.5</v>
      </c>
      <c r="I292" s="7"/>
      <c r="J292" s="4"/>
      <c r="K292" s="4"/>
      <c r="L292" s="4"/>
      <c r="M292" s="8" t="str">
        <f aca="false">IF(OR(H292="",I292=""),"",IF(I292&gt;0,H292/I292,""))</f>
        <v/>
      </c>
      <c r="N292" s="4" t="str">
        <f aca="false">IF(I292="",IF(K292="NULL","FCF yok (NULL)","FCF kapsamı dışı"),IF(I292&lt;=0,"anlamsız (FCF ≤ 0)",IF(OR(K292="KOŞULLU"),"FCF KOŞULLU — yorum yapılmaz","")))</f>
        <v>FCF kapsamı dışı</v>
      </c>
      <c r="O292" s="9" t="n">
        <f aca="false">IF(Q292="","",F292*R292/Q292-1)</f>
        <v>-0.428184281842818</v>
      </c>
      <c r="P292" s="9" t="n">
        <f aca="false">IF(S292="","",F292*T292/S292-1)</f>
        <v>-0.138775510204082</v>
      </c>
      <c r="Q292" s="5" t="n">
        <v>3.69</v>
      </c>
      <c r="R292" s="10" t="n">
        <v>1</v>
      </c>
      <c r="S292" s="5" t="n">
        <v>2.45</v>
      </c>
      <c r="T292" s="10" t="n">
        <v>1</v>
      </c>
      <c r="U292" s="4"/>
    </row>
    <row r="293" customFormat="false" ht="15" hidden="false" customHeight="false" outlineLevel="0" collapsed="false">
      <c r="A293" s="4" t="s">
        <v>680</v>
      </c>
      <c r="B293" s="4" t="s">
        <v>681</v>
      </c>
      <c r="C293" s="4" t="s">
        <v>29</v>
      </c>
      <c r="D293" s="4" t="s">
        <v>63</v>
      </c>
      <c r="E293" s="4" t="s">
        <v>63</v>
      </c>
      <c r="F293" s="5" t="n">
        <v>47.58</v>
      </c>
      <c r="G293" s="4" t="s">
        <v>213</v>
      </c>
      <c r="H293" s="6" t="n">
        <v>25864.28497614</v>
      </c>
      <c r="I293" s="7" t="n">
        <v>1170.5732704</v>
      </c>
      <c r="J293" s="4" t="s">
        <v>32</v>
      </c>
      <c r="K293" s="4" t="s">
        <v>33</v>
      </c>
      <c r="L293" s="4" t="s">
        <v>34</v>
      </c>
      <c r="M293" s="8" t="n">
        <f aca="false">IF(OR(H293="",I293=""),"",IF(I293&gt;0,H293/I293,""))</f>
        <v>22.0954002881869</v>
      </c>
      <c r="N293" s="4" t="str">
        <f aca="false">IF(I293="",IF(K293="NULL","FCF yok (NULL)","FCF kapsamı dışı"),IF(I293&lt;=0,"anlamsız (FCF ≤ 0)",IF(OR(K293="KOŞULLU"),"FCF KOŞULLU — yorum yapılmaz","")))</f>
        <v/>
      </c>
      <c r="O293" s="9" t="n">
        <f aca="false">IF(Q293="","",F293*R293/Q293-1)</f>
        <v>0.536821705426356</v>
      </c>
      <c r="P293" s="9" t="n">
        <f aca="false">IF(S293="","",F293*T293/S293-1)</f>
        <v>-0.684900662251656</v>
      </c>
      <c r="Q293" s="5" t="n">
        <v>30.96</v>
      </c>
      <c r="R293" s="10" t="n">
        <v>1</v>
      </c>
      <c r="S293" s="5" t="n">
        <v>151</v>
      </c>
      <c r="T293" s="10" t="n">
        <v>1</v>
      </c>
      <c r="U293" s="4"/>
    </row>
    <row r="294" customFormat="false" ht="15" hidden="false" customHeight="false" outlineLevel="0" collapsed="false">
      <c r="A294" s="4" t="s">
        <v>682</v>
      </c>
      <c r="B294" s="4" t="s">
        <v>683</v>
      </c>
      <c r="C294" s="4" t="s">
        <v>29</v>
      </c>
      <c r="D294" s="4" t="s">
        <v>30</v>
      </c>
      <c r="E294" s="4" t="s">
        <v>123</v>
      </c>
      <c r="F294" s="5" t="n">
        <v>15.87</v>
      </c>
      <c r="G294" s="4" t="s">
        <v>26</v>
      </c>
      <c r="H294" s="6" t="n">
        <v>2586.81</v>
      </c>
      <c r="I294" s="7" t="n">
        <v>-73.316</v>
      </c>
      <c r="J294" s="4" t="s">
        <v>32</v>
      </c>
      <c r="K294" s="4" t="s">
        <v>33</v>
      </c>
      <c r="L294" s="4" t="s">
        <v>42</v>
      </c>
      <c r="M294" s="8" t="str">
        <f aca="false">IF(OR(H294="",I294=""),"",IF(I294&gt;0,H294/I294,""))</f>
        <v/>
      </c>
      <c r="N294" s="4" t="str">
        <f aca="false">IF(I294="",IF(K294="NULL","FCF yok (NULL)","FCF kapsamı dışı"),IF(I294&lt;=0,"anlamsız (FCF ≤ 0)",IF(OR(K294="KOŞULLU"),"FCF KOŞULLU — yorum yapılmaz","")))</f>
        <v>anlamsız (FCF ≤ 0)</v>
      </c>
      <c r="O294" s="9" t="n">
        <f aca="false">IF(Q294="","",F294*R294/Q294-1)</f>
        <v>-0.526833631484794</v>
      </c>
      <c r="P294" s="9" t="n">
        <f aca="false">IF(S294="","",F294*T294/S294-1)</f>
        <v>-0.575668449197861</v>
      </c>
      <c r="Q294" s="5" t="n">
        <v>33.54</v>
      </c>
      <c r="R294" s="10" t="n">
        <v>1</v>
      </c>
      <c r="S294" s="5" t="n">
        <v>37.4</v>
      </c>
      <c r="T294" s="10" t="n">
        <v>1</v>
      </c>
      <c r="U294" s="4"/>
    </row>
    <row r="295" customFormat="false" ht="15" hidden="false" customHeight="false" outlineLevel="0" collapsed="false">
      <c r="A295" s="4" t="s">
        <v>684</v>
      </c>
      <c r="B295" s="4" t="s">
        <v>685</v>
      </c>
      <c r="C295" s="4" t="s">
        <v>29</v>
      </c>
      <c r="D295" s="4" t="s">
        <v>30</v>
      </c>
      <c r="E295" s="4" t="s">
        <v>119</v>
      </c>
      <c r="F295" s="5" t="n">
        <v>1.64</v>
      </c>
      <c r="G295" s="4" t="s">
        <v>686</v>
      </c>
      <c r="H295" s="6" t="n">
        <v>574.82</v>
      </c>
      <c r="I295" s="7" t="n">
        <v>-91.541</v>
      </c>
      <c r="J295" s="4" t="s">
        <v>32</v>
      </c>
      <c r="K295" s="4" t="s">
        <v>33</v>
      </c>
      <c r="L295" s="4" t="s">
        <v>42</v>
      </c>
      <c r="M295" s="8" t="str">
        <f aca="false">IF(OR(H295="",I295=""),"",IF(I295&gt;0,H295/I295,""))</f>
        <v/>
      </c>
      <c r="N295" s="4" t="str">
        <f aca="false">IF(I295="",IF(K295="NULL","FCF yok (NULL)","FCF kapsamı dışı"),IF(I295&lt;=0,"anlamsız (FCF ≤ 0)",IF(OR(K295="KOŞULLU"),"FCF KOŞULLU — yorum yapılmaz","")))</f>
        <v>anlamsız (FCF ≤ 0)</v>
      </c>
      <c r="O295" s="9" t="n">
        <f aca="false">IF(Q295="","",F295*R295/Q295-1)</f>
        <v>-0.453333333333333</v>
      </c>
      <c r="P295" s="9" t="n">
        <f aca="false">IF(S295="","",F295*T295/S295-1)</f>
        <v>-0.0179640718562875</v>
      </c>
      <c r="Q295" s="5" t="n">
        <v>3</v>
      </c>
      <c r="R295" s="10" t="n">
        <v>1</v>
      </c>
      <c r="S295" s="5" t="n">
        <v>1.67</v>
      </c>
      <c r="T295" s="10" t="n">
        <v>1</v>
      </c>
      <c r="U295" s="4"/>
    </row>
    <row r="296" customFormat="false" ht="15" hidden="false" customHeight="false" outlineLevel="0" collapsed="false">
      <c r="A296" s="4" t="s">
        <v>687</v>
      </c>
      <c r="B296" s="4" t="s">
        <v>688</v>
      </c>
      <c r="C296" s="4" t="s">
        <v>29</v>
      </c>
      <c r="D296" s="4" t="s">
        <v>30</v>
      </c>
      <c r="E296" s="4" t="s">
        <v>131</v>
      </c>
      <c r="F296" s="5" t="n">
        <v>0.96</v>
      </c>
      <c r="G296" s="4" t="s">
        <v>26</v>
      </c>
      <c r="H296" s="6" t="n">
        <v>768</v>
      </c>
      <c r="I296" s="7" t="n">
        <v>-598.2655248</v>
      </c>
      <c r="J296" s="4" t="s">
        <v>32</v>
      </c>
      <c r="K296" s="4" t="s">
        <v>33</v>
      </c>
      <c r="L296" s="4" t="s">
        <v>57</v>
      </c>
      <c r="M296" s="8" t="str">
        <f aca="false">IF(OR(H296="",I296=""),"",IF(I296&gt;0,H296/I296,""))</f>
        <v/>
      </c>
      <c r="N296" s="4" t="str">
        <f aca="false">IF(I296="",IF(K296="NULL","FCF yok (NULL)","FCF kapsamı dışı"),IF(I296&lt;=0,"anlamsız (FCF ≤ 0)",IF(OR(K296="KOŞULLU"),"FCF KOŞULLU — yorum yapılmaz","")))</f>
        <v>anlamsız (FCF ≤ 0)</v>
      </c>
      <c r="O296" s="9" t="n">
        <f aca="false">IF(Q296="","",F296*R296/Q296-1)</f>
        <v>-0.486631016042781</v>
      </c>
      <c r="P296" s="9" t="n">
        <f aca="false">IF(S296="","",F296*T296/S296-1)</f>
        <v>-0.0857142857142857</v>
      </c>
      <c r="Q296" s="5" t="n">
        <v>1.87</v>
      </c>
      <c r="R296" s="10" t="n">
        <v>1</v>
      </c>
      <c r="S296" s="5" t="n">
        <v>1.05</v>
      </c>
      <c r="T296" s="10" t="n">
        <v>1</v>
      </c>
      <c r="U296" s="4"/>
    </row>
    <row r="297" customFormat="false" ht="15" hidden="false" customHeight="false" outlineLevel="0" collapsed="false">
      <c r="A297" s="4" t="s">
        <v>689</v>
      </c>
      <c r="B297" s="4" t="s">
        <v>690</v>
      </c>
      <c r="C297" s="4" t="s">
        <v>29</v>
      </c>
      <c r="D297" s="4" t="s">
        <v>63</v>
      </c>
      <c r="E297" s="4" t="s">
        <v>63</v>
      </c>
      <c r="F297" s="5" t="n">
        <v>0.89</v>
      </c>
      <c r="G297" s="4" t="s">
        <v>26</v>
      </c>
      <c r="H297" s="6" t="n">
        <v>2670</v>
      </c>
      <c r="I297" s="7" t="n">
        <v>-788.015</v>
      </c>
      <c r="J297" s="4" t="s">
        <v>32</v>
      </c>
      <c r="K297" s="4" t="s">
        <v>33</v>
      </c>
      <c r="L297" s="4" t="s">
        <v>42</v>
      </c>
      <c r="M297" s="8" t="str">
        <f aca="false">IF(OR(H297="",I297=""),"",IF(I297&gt;0,H297/I297,""))</f>
        <v/>
      </c>
      <c r="N297" s="4" t="str">
        <f aca="false">IF(I297="",IF(K297="NULL","FCF yok (NULL)","FCF kapsamı dışı"),IF(I297&lt;=0,"anlamsız (FCF ≤ 0)",IF(OR(K297="KOŞULLU"),"FCF KOŞULLU — yorum yapılmaz","")))</f>
        <v>anlamsız (FCF ≤ 0)</v>
      </c>
      <c r="O297" s="9" t="n">
        <f aca="false">IF(Q297="","",F297*R297/Q297-1)</f>
        <v>-0.671341537175166</v>
      </c>
      <c r="P297" s="9" t="n">
        <f aca="false">IF(S297="","",F297*T297/S297-1)</f>
        <v>-0.0824742268041236</v>
      </c>
      <c r="Q297" s="5" t="n">
        <v>3.53</v>
      </c>
      <c r="R297" s="10" t="n">
        <v>1.30355547614794</v>
      </c>
      <c r="S297" s="5" t="n">
        <v>0.97</v>
      </c>
      <c r="T297" s="10" t="n">
        <v>1</v>
      </c>
      <c r="U297" s="4" t="s">
        <v>691</v>
      </c>
    </row>
    <row r="298" customFormat="false" ht="15" hidden="false" customHeight="false" outlineLevel="0" collapsed="false">
      <c r="A298" s="4" t="s">
        <v>692</v>
      </c>
      <c r="B298" s="4" t="s">
        <v>693</v>
      </c>
      <c r="C298" s="4" t="s">
        <v>29</v>
      </c>
      <c r="D298" s="4"/>
      <c r="E298" s="4"/>
      <c r="F298" s="5" t="n">
        <v>1.2</v>
      </c>
      <c r="G298" s="4" t="s">
        <v>120</v>
      </c>
      <c r="H298" s="6" t="n">
        <v>1200</v>
      </c>
      <c r="I298" s="7"/>
      <c r="J298" s="4"/>
      <c r="K298" s="4"/>
      <c r="L298" s="4"/>
      <c r="M298" s="8" t="str">
        <f aca="false">IF(OR(H298="",I298=""),"",IF(I298&gt;0,H298/I298,""))</f>
        <v/>
      </c>
      <c r="N298" s="4" t="str">
        <f aca="false">IF(I298="",IF(K298="NULL","FCF yok (NULL)","FCF kapsamı dışı"),IF(I298&lt;=0,"anlamsız (FCF ≤ 0)",IF(OR(K298="KOŞULLU"),"FCF KOŞULLU — yorum yapılmaz","")))</f>
        <v>FCF kapsamı dışı</v>
      </c>
      <c r="O298" s="9" t="n">
        <f aca="false">IF(Q298="","",F298*R298/Q298-1)</f>
        <v>-0.601328903654485</v>
      </c>
      <c r="P298" s="9" t="n">
        <f aca="false">IF(S298="","",F298*T298/S298-1)</f>
        <v>-0.124087591240876</v>
      </c>
      <c r="Q298" s="5" t="n">
        <v>3.01</v>
      </c>
      <c r="R298" s="10" t="n">
        <v>1</v>
      </c>
      <c r="S298" s="5" t="n">
        <v>1.37</v>
      </c>
      <c r="T298" s="10" t="n">
        <v>1</v>
      </c>
      <c r="U298" s="4"/>
    </row>
    <row r="299" customFormat="false" ht="15" hidden="false" customHeight="false" outlineLevel="0" collapsed="false">
      <c r="A299" s="4" t="s">
        <v>694</v>
      </c>
      <c r="B299" s="4" t="s">
        <v>695</v>
      </c>
      <c r="C299" s="4" t="s">
        <v>29</v>
      </c>
      <c r="D299" s="4" t="s">
        <v>63</v>
      </c>
      <c r="E299" s="4" t="s">
        <v>63</v>
      </c>
      <c r="F299" s="5" t="n">
        <v>1.03</v>
      </c>
      <c r="G299" s="4" t="s">
        <v>120</v>
      </c>
      <c r="H299" s="6" t="n">
        <v>463.5</v>
      </c>
      <c r="I299" s="7" t="n">
        <v>-414.291248</v>
      </c>
      <c r="J299" s="4" t="s">
        <v>111</v>
      </c>
      <c r="K299" s="4" t="s">
        <v>33</v>
      </c>
      <c r="L299" s="4" t="s">
        <v>57</v>
      </c>
      <c r="M299" s="8" t="str">
        <f aca="false">IF(OR(H299="",I299=""),"",IF(I299&gt;0,H299/I299,""))</f>
        <v/>
      </c>
      <c r="N299" s="4" t="str">
        <f aca="false">IF(I299="",IF(K299="NULL","FCF yok (NULL)","FCF kapsamı dışı"),IF(I299&lt;=0,"anlamsız (FCF ≤ 0)",IF(OR(K299="KOŞULLU"),"FCF KOŞULLU — yorum yapılmaz","")))</f>
        <v>anlamsız (FCF ≤ 0)</v>
      </c>
      <c r="O299" s="9" t="n">
        <f aca="false">IF(Q299="","",F299*R299/Q299-1)</f>
        <v>-0.612781954887218</v>
      </c>
      <c r="P299" s="9" t="n">
        <f aca="false">IF(S299="","",F299*T299/S299-1)</f>
        <v>-0.0373831775700935</v>
      </c>
      <c r="Q299" s="5" t="n">
        <v>2.66</v>
      </c>
      <c r="R299" s="10" t="n">
        <v>1</v>
      </c>
      <c r="S299" s="5" t="n">
        <v>1.07</v>
      </c>
      <c r="T299" s="10" t="n">
        <v>1</v>
      </c>
      <c r="U299" s="4"/>
    </row>
    <row r="300" customFormat="false" ht="15" hidden="false" customHeight="false" outlineLevel="0" collapsed="false">
      <c r="A300" s="4" t="s">
        <v>696</v>
      </c>
      <c r="B300" s="4" t="s">
        <v>697</v>
      </c>
      <c r="C300" s="4" t="s">
        <v>29</v>
      </c>
      <c r="D300" s="4" t="s">
        <v>30</v>
      </c>
      <c r="E300" s="4" t="s">
        <v>565</v>
      </c>
      <c r="F300" s="5" t="n">
        <v>1.61</v>
      </c>
      <c r="G300" s="4" t="s">
        <v>64</v>
      </c>
      <c r="H300" s="6" t="n">
        <v>1489.25</v>
      </c>
      <c r="I300" s="7" t="n">
        <v>-607.5560928</v>
      </c>
      <c r="J300" s="4" t="s">
        <v>32</v>
      </c>
      <c r="K300" s="4" t="s">
        <v>33</v>
      </c>
      <c r="L300" s="4" t="s">
        <v>34</v>
      </c>
      <c r="M300" s="8" t="str">
        <f aca="false">IF(OR(H300="",I300=""),"",IF(I300&gt;0,H300/I300,""))</f>
        <v/>
      </c>
      <c r="N300" s="4" t="str">
        <f aca="false">IF(I300="",IF(K300="NULL","FCF yok (NULL)","FCF kapsamı dışı"),IF(I300&lt;=0,"anlamsız (FCF ≤ 0)",IF(OR(K300="KOŞULLU"),"FCF KOŞULLU — yorum yapılmaz","")))</f>
        <v>anlamsız (FCF ≤ 0)</v>
      </c>
      <c r="O300" s="9" t="n">
        <f aca="false">IF(Q300="","",F300*R300/Q300-1)</f>
        <v>-0.617577197149644</v>
      </c>
      <c r="P300" s="9" t="n">
        <f aca="false">IF(S300="","",F300*T300/S300-1)</f>
        <v>-0.0955056179775281</v>
      </c>
      <c r="Q300" s="5" t="n">
        <v>4.21</v>
      </c>
      <c r="R300" s="10" t="n">
        <v>1</v>
      </c>
      <c r="S300" s="5" t="n">
        <v>1.78</v>
      </c>
      <c r="T300" s="10" t="n">
        <v>1</v>
      </c>
      <c r="U300" s="4"/>
    </row>
    <row r="301" customFormat="false" ht="15" hidden="false" customHeight="false" outlineLevel="0" collapsed="false">
      <c r="A301" s="4" t="s">
        <v>698</v>
      </c>
      <c r="B301" s="4" t="s">
        <v>699</v>
      </c>
      <c r="C301" s="4" t="s">
        <v>29</v>
      </c>
      <c r="D301" s="4" t="s">
        <v>30</v>
      </c>
      <c r="E301" s="4" t="s">
        <v>162</v>
      </c>
      <c r="F301" s="5" t="n">
        <v>11.95</v>
      </c>
      <c r="G301" s="4" t="s">
        <v>26</v>
      </c>
      <c r="H301" s="6" t="n">
        <v>8962.5</v>
      </c>
      <c r="I301" s="7" t="n">
        <v>2250.343</v>
      </c>
      <c r="J301" s="4" t="s">
        <v>32</v>
      </c>
      <c r="K301" s="4" t="s">
        <v>33</v>
      </c>
      <c r="L301" s="4" t="s">
        <v>42</v>
      </c>
      <c r="M301" s="8" t="n">
        <f aca="false">IF(OR(H301="",I301=""),"",IF(I301&gt;0,H301/I301,""))</f>
        <v>3.9827261888521</v>
      </c>
      <c r="N301" s="4" t="str">
        <f aca="false">IF(I301="",IF(K301="NULL","FCF yok (NULL)","FCF kapsamı dışı"),IF(I301&lt;=0,"anlamsız (FCF ≤ 0)",IF(OR(K301="KOŞULLU"),"FCF KOŞULLU — yorum yapılmaz","")))</f>
        <v/>
      </c>
      <c r="O301" s="9" t="n">
        <f aca="false">IF(Q301="","",F301*R301/Q301-1)</f>
        <v>0.443236714975845</v>
      </c>
      <c r="P301" s="9" t="n">
        <f aca="false">IF(S301="","",F301*T301/S301-1)</f>
        <v>0.138095238095238</v>
      </c>
      <c r="Q301" s="5" t="n">
        <v>8.28</v>
      </c>
      <c r="R301" s="10" t="n">
        <v>1</v>
      </c>
      <c r="S301" s="5" t="n">
        <v>10.5</v>
      </c>
      <c r="T301" s="10" t="n">
        <v>1</v>
      </c>
      <c r="U301" s="4"/>
    </row>
    <row r="302" customFormat="false" ht="15" hidden="false" customHeight="false" outlineLevel="0" collapsed="false">
      <c r="A302" s="4" t="s">
        <v>700</v>
      </c>
      <c r="B302" s="4" t="s">
        <v>701</v>
      </c>
      <c r="C302" s="4" t="s">
        <v>25</v>
      </c>
      <c r="D302" s="4"/>
      <c r="E302" s="4"/>
      <c r="F302" s="5" t="n">
        <v>1.15</v>
      </c>
      <c r="G302" s="4" t="s">
        <v>144</v>
      </c>
      <c r="H302" s="6" t="n">
        <v>2208.7728</v>
      </c>
      <c r="I302" s="7"/>
      <c r="J302" s="4"/>
      <c r="K302" s="4"/>
      <c r="L302" s="4"/>
      <c r="M302" s="8" t="str">
        <f aca="false">IF(OR(H302="",I302=""),"",IF(I302&gt;0,H302/I302,""))</f>
        <v/>
      </c>
      <c r="N302" s="4" t="str">
        <f aca="false">IF(I302="",IF(K302="NULL","FCF yok (NULL)","FCF kapsamı dışı"),IF(I302&lt;=0,"anlamsız (FCF ≤ 0)",IF(OR(K302="KOŞULLU"),"FCF KOŞULLU — yorum yapılmaz","")))</f>
        <v>FCF kapsamı dışı</v>
      </c>
      <c r="O302" s="9" t="n">
        <f aca="false">IF(Q302="","",F302*R302/Q302-1)</f>
        <v>-0.337081837081837</v>
      </c>
      <c r="P302" s="9" t="n">
        <f aca="false">IF(S302="","",F302*T302/S302-1)</f>
        <v>-0.285714285714286</v>
      </c>
      <c r="Q302" s="5" t="n">
        <v>3.52</v>
      </c>
      <c r="R302" s="10" t="n">
        <v>2.02910602910603</v>
      </c>
      <c r="S302" s="5" t="n">
        <v>1.61</v>
      </c>
      <c r="T302" s="10" t="n">
        <v>1</v>
      </c>
      <c r="U302" s="4" t="s">
        <v>702</v>
      </c>
    </row>
    <row r="303" customFormat="false" ht="15" hidden="false" customHeight="false" outlineLevel="0" collapsed="false">
      <c r="A303" s="4" t="s">
        <v>703</v>
      </c>
      <c r="B303" s="4" t="s">
        <v>704</v>
      </c>
      <c r="C303" s="4" t="s">
        <v>29</v>
      </c>
      <c r="D303" s="4" t="s">
        <v>30</v>
      </c>
      <c r="E303" s="4" t="s">
        <v>162</v>
      </c>
      <c r="F303" s="5" t="n">
        <v>305.75</v>
      </c>
      <c r="G303" s="4" t="s">
        <v>108</v>
      </c>
      <c r="H303" s="6" t="n">
        <v>7338</v>
      </c>
      <c r="I303" s="7" t="n">
        <v>-111.086</v>
      </c>
      <c r="J303" s="4" t="s">
        <v>32</v>
      </c>
      <c r="K303" s="4" t="s">
        <v>33</v>
      </c>
      <c r="L303" s="4" t="s">
        <v>42</v>
      </c>
      <c r="M303" s="8" t="str">
        <f aca="false">IF(OR(H303="",I303=""),"",IF(I303&gt;0,H303/I303,""))</f>
        <v/>
      </c>
      <c r="N303" s="4" t="str">
        <f aca="false">IF(I303="",IF(K303="NULL","FCF yok (NULL)","FCF kapsamı dışı"),IF(I303&lt;=0,"anlamsız (FCF ≤ 0)",IF(OR(K303="KOŞULLU"),"FCF KOŞULLU — yorum yapılmaz","")))</f>
        <v>anlamsız (FCF ≤ 0)</v>
      </c>
      <c r="O303" s="9" t="n">
        <f aca="false">IF(Q303="","",F303*R303/Q303-1)</f>
        <v>-0.31484593837535</v>
      </c>
      <c r="P303" s="9" t="n">
        <f aca="false">IF(S303="","",F303*T303/S303-1)</f>
        <v>-0.0400313971742543</v>
      </c>
      <c r="Q303" s="5" t="n">
        <v>446.25</v>
      </c>
      <c r="R303" s="10" t="n">
        <v>1</v>
      </c>
      <c r="S303" s="5" t="n">
        <v>318.5</v>
      </c>
      <c r="T303" s="10" t="n">
        <v>1</v>
      </c>
      <c r="U303" s="4"/>
    </row>
    <row r="304" customFormat="false" ht="15" hidden="false" customHeight="false" outlineLevel="0" collapsed="false">
      <c r="A304" s="4" t="s">
        <v>705</v>
      </c>
      <c r="B304" s="4" t="s">
        <v>706</v>
      </c>
      <c r="C304" s="4" t="s">
        <v>29</v>
      </c>
      <c r="D304" s="4" t="s">
        <v>30</v>
      </c>
      <c r="E304" s="4" t="s">
        <v>159</v>
      </c>
      <c r="F304" s="5" t="n">
        <v>177</v>
      </c>
      <c r="G304" s="4" t="s">
        <v>141</v>
      </c>
      <c r="H304" s="6" t="n">
        <v>1416</v>
      </c>
      <c r="I304" s="7" t="n">
        <v>8.6325984</v>
      </c>
      <c r="J304" s="4" t="s">
        <v>32</v>
      </c>
      <c r="K304" s="4" t="s">
        <v>33</v>
      </c>
      <c r="L304" s="4" t="s">
        <v>57</v>
      </c>
      <c r="M304" s="8" t="n">
        <f aca="false">IF(OR(H304="",I304=""),"",IF(I304&gt;0,H304/I304,""))</f>
        <v>164.029407414574</v>
      </c>
      <c r="N304" s="4" t="str">
        <f aca="false">IF(I304="",IF(K304="NULL","FCF yok (NULL)","FCF kapsamı dışı"),IF(I304&lt;=0,"anlamsız (FCF ≤ 0)",IF(OR(K304="KOŞULLU"),"FCF KOŞULLU — yorum yapılmaz","")))</f>
        <v/>
      </c>
      <c r="O304" s="9" t="n">
        <f aca="false">IF(Q304="","",F304*R304/Q304-1)</f>
        <v>-0.49247311827957</v>
      </c>
      <c r="P304" s="9" t="n">
        <f aca="false">IF(S304="","",F304*T304/S304-1)</f>
        <v>0.0243055555555556</v>
      </c>
      <c r="Q304" s="5" t="n">
        <v>348.75</v>
      </c>
      <c r="R304" s="10" t="n">
        <v>1</v>
      </c>
      <c r="S304" s="5" t="n">
        <v>172.8</v>
      </c>
      <c r="T304" s="10" t="n">
        <v>1</v>
      </c>
      <c r="U304" s="4"/>
    </row>
    <row r="305" customFormat="false" ht="15" hidden="false" customHeight="false" outlineLevel="0" collapsed="false">
      <c r="A305" s="4" t="s">
        <v>707</v>
      </c>
      <c r="B305" s="4" t="s">
        <v>708</v>
      </c>
      <c r="C305" s="4" t="s">
        <v>29</v>
      </c>
      <c r="D305" s="4" t="s">
        <v>30</v>
      </c>
      <c r="E305" s="4" t="s">
        <v>210</v>
      </c>
      <c r="F305" s="5" t="n">
        <v>198.5</v>
      </c>
      <c r="G305" s="4" t="s">
        <v>213</v>
      </c>
      <c r="H305" s="6" t="n">
        <v>3858.84</v>
      </c>
      <c r="I305" s="7" t="n">
        <v>-0.335999999999984</v>
      </c>
      <c r="J305" s="4" t="s">
        <v>32</v>
      </c>
      <c r="K305" s="4" t="s">
        <v>33</v>
      </c>
      <c r="L305" s="4" t="s">
        <v>42</v>
      </c>
      <c r="M305" s="8" t="str">
        <f aca="false">IF(OR(H305="",I305=""),"",IF(I305&gt;0,H305/I305,""))</f>
        <v/>
      </c>
      <c r="N305" s="4" t="str">
        <f aca="false">IF(I305="",IF(K305="NULL","FCF yok (NULL)","FCF kapsamı dışı"),IF(I305&lt;=0,"anlamsız (FCF ≤ 0)",IF(OR(K305="KOŞULLU"),"FCF KOŞULLU — yorum yapılmaz","")))</f>
        <v>anlamsız (FCF ≤ 0)</v>
      </c>
      <c r="O305" s="9" t="n">
        <f aca="false">IF(Q305="","",F305*R305/Q305-1)</f>
        <v>-0.224609375</v>
      </c>
      <c r="P305" s="9" t="n">
        <f aca="false">IF(S305="","",F305*T305/S305-1)</f>
        <v>-0.068075117370892</v>
      </c>
      <c r="Q305" s="5" t="n">
        <v>256</v>
      </c>
      <c r="R305" s="10" t="n">
        <v>1</v>
      </c>
      <c r="S305" s="5" t="n">
        <v>213</v>
      </c>
      <c r="T305" s="10" t="n">
        <v>1</v>
      </c>
      <c r="U305" s="4"/>
    </row>
    <row r="306" customFormat="false" ht="15" hidden="false" customHeight="false" outlineLevel="0" collapsed="false">
      <c r="A306" s="4" t="s">
        <v>709</v>
      </c>
      <c r="B306" s="4" t="s">
        <v>710</v>
      </c>
      <c r="C306" s="4" t="s">
        <v>29</v>
      </c>
      <c r="D306" s="4" t="s">
        <v>30</v>
      </c>
      <c r="E306" s="4" t="s">
        <v>159</v>
      </c>
      <c r="F306" s="5" t="n">
        <v>54.2</v>
      </c>
      <c r="G306" s="4" t="s">
        <v>26</v>
      </c>
      <c r="H306" s="6" t="n">
        <v>8672</v>
      </c>
      <c r="I306" s="7"/>
      <c r="J306" s="4" t="s">
        <v>32</v>
      </c>
      <c r="K306" s="4" t="s">
        <v>116</v>
      </c>
      <c r="L306" s="4" t="s">
        <v>42</v>
      </c>
      <c r="M306" s="8" t="str">
        <f aca="false">IF(OR(H306="",I306=""),"",IF(I306&gt;0,H306/I306,""))</f>
        <v/>
      </c>
      <c r="N306" s="4" t="str">
        <f aca="false">IF(I306="",IF(K306="NULL","FCF yok (NULL)","FCF kapsamı dışı"),IF(I306&lt;=0,"anlamsız (FCF ≤ 0)",IF(OR(K306="KOŞULLU"),"FCF KOŞULLU — yorum yapılmaz","")))</f>
        <v>FCF yok (NULL)</v>
      </c>
      <c r="O306" s="9" t="str">
        <f aca="false">IF(Q306="","",F306*R306/Q306-1)</f>
        <v/>
      </c>
      <c r="P306" s="9" t="n">
        <f aca="false">IF(S306="","",F306*T306/S306-1)</f>
        <v>0.0483558994197293</v>
      </c>
      <c r="Q306" s="5"/>
      <c r="R306" s="10" t="n">
        <v>1</v>
      </c>
      <c r="S306" s="5" t="n">
        <v>51.7</v>
      </c>
      <c r="T306" s="10" t="n">
        <v>1</v>
      </c>
      <c r="U306" s="4"/>
    </row>
    <row r="307" customFormat="false" ht="15" hidden="false" customHeight="false" outlineLevel="0" collapsed="false">
      <c r="A307" s="4" t="s">
        <v>711</v>
      </c>
      <c r="B307" s="4" t="s">
        <v>712</v>
      </c>
      <c r="C307" s="4" t="s">
        <v>25</v>
      </c>
      <c r="D307" s="4"/>
      <c r="E307" s="4"/>
      <c r="F307" s="5" t="n">
        <v>5.6</v>
      </c>
      <c r="G307" s="4" t="s">
        <v>26</v>
      </c>
      <c r="H307" s="6" t="n">
        <v>5600</v>
      </c>
      <c r="I307" s="7"/>
      <c r="J307" s="4"/>
      <c r="K307" s="4"/>
      <c r="L307" s="4"/>
      <c r="M307" s="8" t="str">
        <f aca="false">IF(OR(H307="",I307=""),"",IF(I307&gt;0,H307/I307,""))</f>
        <v/>
      </c>
      <c r="N307" s="4" t="str">
        <f aca="false">IF(I307="",IF(K307="NULL","FCF yok (NULL)","FCF kapsamı dışı"),IF(I307&lt;=0,"anlamsız (FCF ≤ 0)",IF(OR(K307="KOŞULLU"),"FCF KOŞULLU — yorum yapılmaz","")))</f>
        <v>FCF kapsamı dışı</v>
      </c>
      <c r="O307" s="9" t="n">
        <f aca="false">IF(Q307="","",F307*R307/Q307-1)</f>
        <v>-0.46969696969697</v>
      </c>
      <c r="P307" s="9" t="n">
        <f aca="false">IF(S307="","",F307*T307/S307-1)</f>
        <v>-0.119496855345912</v>
      </c>
      <c r="Q307" s="5" t="n">
        <v>10.56</v>
      </c>
      <c r="R307" s="10" t="n">
        <v>1</v>
      </c>
      <c r="S307" s="5" t="n">
        <v>6.36</v>
      </c>
      <c r="T307" s="10" t="n">
        <v>1</v>
      </c>
      <c r="U307" s="4"/>
    </row>
    <row r="308" customFormat="false" ht="15" hidden="false" customHeight="false" outlineLevel="0" collapsed="false">
      <c r="A308" s="4" t="s">
        <v>713</v>
      </c>
      <c r="B308" s="4" t="s">
        <v>714</v>
      </c>
      <c r="C308" s="4" t="s">
        <v>29</v>
      </c>
      <c r="D308" s="4" t="s">
        <v>63</v>
      </c>
      <c r="E308" s="4" t="s">
        <v>63</v>
      </c>
      <c r="F308" s="5" t="n">
        <v>713</v>
      </c>
      <c r="G308" s="4" t="s">
        <v>46</v>
      </c>
      <c r="H308" s="6" t="n">
        <v>133687.5</v>
      </c>
      <c r="I308" s="7" t="n">
        <v>-12.4285744</v>
      </c>
      <c r="J308" s="4" t="s">
        <v>111</v>
      </c>
      <c r="K308" s="4" t="s">
        <v>33</v>
      </c>
      <c r="L308" s="4" t="s">
        <v>57</v>
      </c>
      <c r="M308" s="8" t="str">
        <f aca="false">IF(OR(H308="",I308=""),"",IF(I308&gt;0,H308/I308,""))</f>
        <v/>
      </c>
      <c r="N308" s="4" t="str">
        <f aca="false">IF(I308="",IF(K308="NULL","FCF yok (NULL)","FCF kapsamı dışı"),IF(I308&lt;=0,"anlamsız (FCF ≤ 0)",IF(OR(K308="KOŞULLU"),"FCF KOŞULLU — yorum yapılmaz","")))</f>
        <v>anlamsız (FCF ≤ 0)</v>
      </c>
      <c r="O308" s="9" t="n">
        <f aca="false">IF(Q308="","",F308*R308/Q308-1)</f>
        <v>1.22986708365911</v>
      </c>
      <c r="P308" s="9" t="n">
        <f aca="false">IF(S308="","",F308*T308/S308-1)</f>
        <v>-0.0474281897127589</v>
      </c>
      <c r="Q308" s="5" t="n">
        <v>319.75</v>
      </c>
      <c r="R308" s="10" t="n">
        <v>1</v>
      </c>
      <c r="S308" s="5" t="n">
        <v>748.5</v>
      </c>
      <c r="T308" s="10" t="n">
        <v>1</v>
      </c>
      <c r="U308" s="4"/>
    </row>
    <row r="309" customFormat="false" ht="15" hidden="false" customHeight="false" outlineLevel="0" collapsed="false">
      <c r="A309" s="4" t="s">
        <v>715</v>
      </c>
      <c r="B309" s="4" t="s">
        <v>716</v>
      </c>
      <c r="C309" s="4" t="s">
        <v>60</v>
      </c>
      <c r="D309" s="4"/>
      <c r="E309" s="4"/>
      <c r="F309" s="5" t="n">
        <v>4949952.5</v>
      </c>
      <c r="G309" s="4" t="s">
        <v>717</v>
      </c>
      <c r="H309" s="6" t="n">
        <v>123748812500</v>
      </c>
      <c r="I309" s="7"/>
      <c r="J309" s="4"/>
      <c r="K309" s="4"/>
      <c r="L309" s="4"/>
      <c r="M309" s="8" t="str">
        <f aca="false">IF(OR(H309="",I309=""),"",IF(I309&gt;0,H309/I309,""))</f>
        <v/>
      </c>
      <c r="N309" s="4" t="str">
        <f aca="false">IF(I309="",IF(K309="NULL","FCF yok (NULL)","FCF kapsamı dışı"),IF(I309&lt;=0,"anlamsız (FCF ≤ 0)",IF(OR(K309="KOŞULLU"),"FCF KOŞULLU — yorum yapılmaz","")))</f>
        <v>FCF kapsamı dışı</v>
      </c>
      <c r="O309" s="9" t="n">
        <f aca="false">IF(Q309="","",F309*R309/Q309-1)</f>
        <v>-1.16496053803594E-007</v>
      </c>
      <c r="P309" s="9" t="str">
        <f aca="false">IF(S309="","",F309*T309/S309-1)</f>
        <v/>
      </c>
      <c r="Q309" s="5" t="n">
        <v>4949953.07665</v>
      </c>
      <c r="R309" s="10" t="n">
        <v>1</v>
      </c>
      <c r="S309" s="5"/>
      <c r="T309" s="10" t="n">
        <v>1</v>
      </c>
      <c r="U309" s="4"/>
    </row>
    <row r="310" customFormat="false" ht="15" hidden="false" customHeight="false" outlineLevel="0" collapsed="false">
      <c r="A310" s="4" t="s">
        <v>718</v>
      </c>
      <c r="B310" s="4" t="s">
        <v>719</v>
      </c>
      <c r="C310" s="4" t="s">
        <v>29</v>
      </c>
      <c r="D310" s="4" t="s">
        <v>63</v>
      </c>
      <c r="E310" s="4" t="s">
        <v>63</v>
      </c>
      <c r="F310" s="5" t="n">
        <v>60.8</v>
      </c>
      <c r="G310" s="4" t="s">
        <v>141</v>
      </c>
      <c r="H310" s="6" t="n">
        <v>1969.132032</v>
      </c>
      <c r="I310" s="7" t="n">
        <v>-645.322704</v>
      </c>
      <c r="J310" s="4" t="s">
        <v>111</v>
      </c>
      <c r="K310" s="4" t="s">
        <v>33</v>
      </c>
      <c r="L310" s="4" t="s">
        <v>57</v>
      </c>
      <c r="M310" s="8" t="str">
        <f aca="false">IF(OR(H310="",I310=""),"",IF(I310&gt;0,H310/I310,""))</f>
        <v/>
      </c>
      <c r="N310" s="4" t="str">
        <f aca="false">IF(I310="",IF(K310="NULL","FCF yok (NULL)","FCF kapsamı dışı"),IF(I310&lt;=0,"anlamsız (FCF ≤ 0)",IF(OR(K310="KOŞULLU"),"FCF KOŞULLU — yorum yapılmaz","")))</f>
        <v>anlamsız (FCF ≤ 0)</v>
      </c>
      <c r="O310" s="9" t="n">
        <f aca="false">IF(Q310="","",F310*R310/Q310-1)</f>
        <v>-0.532307692307692</v>
      </c>
      <c r="P310" s="9" t="n">
        <f aca="false">IF(S310="","",F310*T310/S310-1)</f>
        <v>-0.034920634920635</v>
      </c>
      <c r="Q310" s="5" t="n">
        <v>130</v>
      </c>
      <c r="R310" s="10" t="n">
        <v>1</v>
      </c>
      <c r="S310" s="5" t="n">
        <v>63</v>
      </c>
      <c r="T310" s="10" t="n">
        <v>1</v>
      </c>
      <c r="U310" s="4"/>
    </row>
    <row r="311" customFormat="false" ht="15" hidden="false" customHeight="false" outlineLevel="0" collapsed="false">
      <c r="A311" s="4" t="s">
        <v>720</v>
      </c>
      <c r="B311" s="4" t="s">
        <v>716</v>
      </c>
      <c r="C311" s="4" t="s">
        <v>60</v>
      </c>
      <c r="D311" s="4"/>
      <c r="E311" s="4"/>
      <c r="F311" s="5" t="n">
        <v>425000</v>
      </c>
      <c r="G311" s="4" t="s">
        <v>717</v>
      </c>
      <c r="H311" s="6" t="n">
        <v>10625000000</v>
      </c>
      <c r="I311" s="7"/>
      <c r="J311" s="4"/>
      <c r="K311" s="4"/>
      <c r="L311" s="4"/>
      <c r="M311" s="8" t="str">
        <f aca="false">IF(OR(H311="",I311=""),"",IF(I311&gt;0,H311/I311,""))</f>
        <v/>
      </c>
      <c r="N311" s="4" t="str">
        <f aca="false">IF(I311="",IF(K311="NULL","FCF yok (NULL)","FCF kapsamı dışı"),IF(I311&lt;=0,"anlamsız (FCF ≤ 0)",IF(OR(K311="KOŞULLU"),"FCF KOŞULLU — yorum yapılmaz","")))</f>
        <v>FCF kapsamı dışı</v>
      </c>
      <c r="O311" s="9" t="n">
        <f aca="false">IF(Q311="","",F311*R311/Q311-1)</f>
        <v>-0.267237660504049</v>
      </c>
      <c r="P311" s="9" t="n">
        <f aca="false">IF(S311="","",F311*T311/S311-1)</f>
        <v>-0.0481522956326987</v>
      </c>
      <c r="Q311" s="5" t="n">
        <v>579997.056470379</v>
      </c>
      <c r="R311" s="10" t="n">
        <v>1</v>
      </c>
      <c r="S311" s="5" t="n">
        <v>446500</v>
      </c>
      <c r="T311" s="10" t="n">
        <v>1</v>
      </c>
      <c r="U311" s="4"/>
    </row>
    <row r="312" customFormat="false" ht="15" hidden="false" customHeight="false" outlineLevel="0" collapsed="false">
      <c r="A312" s="4" t="s">
        <v>721</v>
      </c>
      <c r="B312" s="4" t="s">
        <v>716</v>
      </c>
      <c r="C312" s="4" t="s">
        <v>60</v>
      </c>
      <c r="D312" s="4"/>
      <c r="E312" s="4"/>
      <c r="F312" s="5" t="n">
        <v>12.93</v>
      </c>
      <c r="G312" s="4" t="s">
        <v>26</v>
      </c>
      <c r="H312" s="6" t="n">
        <v>323250</v>
      </c>
      <c r="I312" s="7"/>
      <c r="J312" s="4"/>
      <c r="K312" s="4"/>
      <c r="L312" s="4"/>
      <c r="M312" s="8" t="str">
        <f aca="false">IF(OR(H312="",I312=""),"",IF(I312&gt;0,H312/I312,""))</f>
        <v/>
      </c>
      <c r="N312" s="4" t="str">
        <f aca="false">IF(I312="",IF(K312="NULL","FCF yok (NULL)","FCF kapsamı dışı"),IF(I312&lt;=0,"anlamsız (FCF ≤ 0)",IF(OR(K312="KOŞULLU"),"FCF KOŞULLU — yorum yapılmaz","")))</f>
        <v>FCF kapsamı dışı</v>
      </c>
      <c r="O312" s="9" t="n">
        <f aca="false">IF(Q312="","",F312*R312/Q312-1)</f>
        <v>-0.0727431105890698</v>
      </c>
      <c r="P312" s="9" t="n">
        <f aca="false">IF(S312="","",F312*T312/S312-1)</f>
        <v>-0.0464601769911505</v>
      </c>
      <c r="Q312" s="5" t="n">
        <v>13.9443558173121</v>
      </c>
      <c r="R312" s="10" t="n">
        <v>1</v>
      </c>
      <c r="S312" s="5" t="n">
        <v>13.56</v>
      </c>
      <c r="T312" s="10" t="n">
        <v>1</v>
      </c>
      <c r="U312" s="4"/>
    </row>
    <row r="313" customFormat="false" ht="15" hidden="false" customHeight="false" outlineLevel="0" collapsed="false">
      <c r="A313" s="4" t="s">
        <v>722</v>
      </c>
      <c r="B313" s="4" t="s">
        <v>723</v>
      </c>
      <c r="C313" s="4" t="s">
        <v>29</v>
      </c>
      <c r="D313" s="4" t="s">
        <v>30</v>
      </c>
      <c r="E313" s="4" t="s">
        <v>295</v>
      </c>
      <c r="F313" s="5" t="n">
        <v>62.45</v>
      </c>
      <c r="G313" s="4" t="s">
        <v>26</v>
      </c>
      <c r="H313" s="6" t="n">
        <v>181105</v>
      </c>
      <c r="I313" s="7" t="n">
        <v>19562.446</v>
      </c>
      <c r="J313" s="4" t="s">
        <v>32</v>
      </c>
      <c r="K313" s="4" t="s">
        <v>33</v>
      </c>
      <c r="L313" s="4" t="s">
        <v>42</v>
      </c>
      <c r="M313" s="8" t="n">
        <f aca="false">IF(OR(H313="",I313=""),"",IF(I313&gt;0,H313/I313,""))</f>
        <v>9.25778913332208</v>
      </c>
      <c r="N313" s="4" t="str">
        <f aca="false">IF(I313="",IF(K313="NULL","FCF yok (NULL)","FCF kapsamı dışı"),IF(I313&lt;=0,"anlamsız (FCF ≤ 0)",IF(OR(K313="KOŞULLU"),"FCF KOŞULLU — yorum yapılmaz","")))</f>
        <v/>
      </c>
      <c r="O313" s="9" t="n">
        <f aca="false">IF(Q313="","",F313*R313/Q313-1)</f>
        <v>0.630548302872063</v>
      </c>
      <c r="P313" s="9" t="n">
        <f aca="false">IF(S313="","",F313*T313/S313-1)</f>
        <v>0.00080128205128216</v>
      </c>
      <c r="Q313" s="5" t="n">
        <v>38.3</v>
      </c>
      <c r="R313" s="10" t="n">
        <v>1</v>
      </c>
      <c r="S313" s="5" t="n">
        <v>62.4</v>
      </c>
      <c r="T313" s="10" t="n">
        <v>1</v>
      </c>
      <c r="U313" s="4"/>
    </row>
    <row r="314" customFormat="false" ht="15" hidden="false" customHeight="false" outlineLevel="0" collapsed="false">
      <c r="A314" s="4" t="s">
        <v>724</v>
      </c>
      <c r="B314" s="4" t="s">
        <v>725</v>
      </c>
      <c r="C314" s="4" t="s">
        <v>60</v>
      </c>
      <c r="D314" s="4"/>
      <c r="E314" s="4"/>
      <c r="F314" s="5" t="n">
        <v>17.16</v>
      </c>
      <c r="G314" s="4" t="s">
        <v>26</v>
      </c>
      <c r="H314" s="6" t="n">
        <v>11931.3933882</v>
      </c>
      <c r="I314" s="7"/>
      <c r="J314" s="4"/>
      <c r="K314" s="4"/>
      <c r="L314" s="4"/>
      <c r="M314" s="8" t="str">
        <f aca="false">IF(OR(H314="",I314=""),"",IF(I314&gt;0,H314/I314,""))</f>
        <v/>
      </c>
      <c r="N314" s="4" t="str">
        <f aca="false">IF(I314="",IF(K314="NULL","FCF yok (NULL)","FCF kapsamı dışı"),IF(I314&lt;=0,"anlamsız (FCF ≤ 0)",IF(OR(K314="KOŞULLU"),"FCF KOŞULLU — yorum yapılmaz","")))</f>
        <v>FCF kapsamı dışı</v>
      </c>
      <c r="O314" s="9" t="n">
        <f aca="false">IF(Q314="","",F314*R314/Q314-1)</f>
        <v>0.0135853514471354</v>
      </c>
      <c r="P314" s="9" t="n">
        <f aca="false">IF(S314="","",F314*T314/S314-1)</f>
        <v>-0.0896551724137932</v>
      </c>
      <c r="Q314" s="5" t="n">
        <v>16.93</v>
      </c>
      <c r="R314" s="10" t="n">
        <v>1</v>
      </c>
      <c r="S314" s="5" t="n">
        <v>18.85</v>
      </c>
      <c r="T314" s="10" t="n">
        <v>1</v>
      </c>
      <c r="U314" s="4"/>
    </row>
    <row r="315" customFormat="false" ht="15" hidden="false" customHeight="false" outlineLevel="0" collapsed="false">
      <c r="A315" s="4" t="s">
        <v>726</v>
      </c>
      <c r="B315" s="4" t="s">
        <v>727</v>
      </c>
      <c r="C315" s="4" t="s">
        <v>38</v>
      </c>
      <c r="D315" s="4"/>
      <c r="E315" s="4"/>
      <c r="F315" s="5" t="n">
        <v>12.66</v>
      </c>
      <c r="G315" s="4" t="s">
        <v>26</v>
      </c>
      <c r="H315" s="6" t="n">
        <v>6330</v>
      </c>
      <c r="I315" s="7"/>
      <c r="J315" s="4"/>
      <c r="K315" s="4"/>
      <c r="L315" s="4"/>
      <c r="M315" s="8" t="str">
        <f aca="false">IF(OR(H315="",I315=""),"",IF(I315&gt;0,H315/I315,""))</f>
        <v/>
      </c>
      <c r="N315" s="4" t="str">
        <f aca="false">IF(I315="",IF(K315="NULL","FCF yok (NULL)","FCF kapsamı dışı"),IF(I315&lt;=0,"anlamsız (FCF ≤ 0)",IF(OR(K315="KOŞULLU"),"FCF KOŞULLU — yorum yapılmaz","")))</f>
        <v>FCF kapsamı dışı</v>
      </c>
      <c r="O315" s="9" t="n">
        <f aca="false">IF(Q315="","",F315*R315/Q315-1)</f>
        <v>-0.0765323774718161</v>
      </c>
      <c r="P315" s="9" t="n">
        <f aca="false">IF(S315="","",F315*T315/S315-1)</f>
        <v>-0.118997912317328</v>
      </c>
      <c r="Q315" s="5" t="n">
        <v>80</v>
      </c>
      <c r="R315" s="10" t="n">
        <v>5.83549840460148</v>
      </c>
      <c r="S315" s="5" t="n">
        <v>14.37</v>
      </c>
      <c r="T315" s="10" t="n">
        <v>1</v>
      </c>
      <c r="U315" s="4" t="s">
        <v>728</v>
      </c>
    </row>
    <row r="316" customFormat="false" ht="15" hidden="false" customHeight="false" outlineLevel="0" collapsed="false">
      <c r="A316" s="4" t="s">
        <v>729</v>
      </c>
      <c r="B316" s="4" t="s">
        <v>730</v>
      </c>
      <c r="C316" s="4" t="s">
        <v>38</v>
      </c>
      <c r="D316" s="4"/>
      <c r="E316" s="4"/>
      <c r="F316" s="5" t="n">
        <v>23.06</v>
      </c>
      <c r="G316" s="4" t="s">
        <v>26</v>
      </c>
      <c r="H316" s="6" t="n">
        <v>22108.775</v>
      </c>
      <c r="I316" s="7"/>
      <c r="J316" s="4"/>
      <c r="K316" s="4"/>
      <c r="L316" s="4"/>
      <c r="M316" s="8" t="str">
        <f aca="false">IF(OR(H316="",I316=""),"",IF(I316&gt;0,H316/I316,""))</f>
        <v/>
      </c>
      <c r="N316" s="4" t="str">
        <f aca="false">IF(I316="",IF(K316="NULL","FCF yok (NULL)","FCF kapsamı dışı"),IF(I316&lt;=0,"anlamsız (FCF ≤ 0)",IF(OR(K316="KOŞULLU"),"FCF KOŞULLU — yorum yapılmaz","")))</f>
        <v>FCF kapsamı dışı</v>
      </c>
      <c r="O316" s="9" t="n">
        <f aca="false">IF(Q316="","",F316*R316/Q316-1)</f>
        <v>0.207935781172784</v>
      </c>
      <c r="P316" s="9" t="n">
        <f aca="false">IF(S316="","",F316*T316/S316-1)</f>
        <v>-0.0431535269709544</v>
      </c>
      <c r="Q316" s="5" t="n">
        <v>19.0904188446269</v>
      </c>
      <c r="R316" s="10" t="n">
        <v>1</v>
      </c>
      <c r="S316" s="5" t="n">
        <v>24.1</v>
      </c>
      <c r="T316" s="10" t="n">
        <v>1</v>
      </c>
      <c r="U316" s="4"/>
    </row>
    <row r="317" customFormat="false" ht="15" hidden="false" customHeight="false" outlineLevel="0" collapsed="false">
      <c r="A317" s="4" t="s">
        <v>731</v>
      </c>
      <c r="B317" s="4" t="s">
        <v>732</v>
      </c>
      <c r="C317" s="4" t="s">
        <v>29</v>
      </c>
      <c r="D317" s="4" t="s">
        <v>30</v>
      </c>
      <c r="E317" s="4" t="s">
        <v>41</v>
      </c>
      <c r="F317" s="5" t="n">
        <v>4.01</v>
      </c>
      <c r="G317" s="4" t="s">
        <v>26</v>
      </c>
      <c r="H317" s="6" t="n">
        <v>6015</v>
      </c>
      <c r="I317" s="7" t="n">
        <v>10.557</v>
      </c>
      <c r="J317" s="4" t="s">
        <v>32</v>
      </c>
      <c r="K317" s="4" t="s">
        <v>33</v>
      </c>
      <c r="L317" s="4" t="s">
        <v>42</v>
      </c>
      <c r="M317" s="8" t="n">
        <f aca="false">IF(OR(H317="",I317=""),"",IF(I317&gt;0,H317/I317,""))</f>
        <v>569.764137539074</v>
      </c>
      <c r="N317" s="4" t="str">
        <f aca="false">IF(I317="",IF(K317="NULL","FCF yok (NULL)","FCF kapsamı dışı"),IF(I317&lt;=0,"anlamsız (FCF ≤ 0)",IF(OR(K317="KOŞULLU"),"FCF KOŞULLU — yorum yapılmaz","")))</f>
        <v/>
      </c>
      <c r="O317" s="9" t="n">
        <f aca="false">IF(Q317="","",F317*R317/Q317-1)</f>
        <v>-0.443055555555556</v>
      </c>
      <c r="P317" s="9" t="n">
        <f aca="false">IF(S317="","",F317*T317/S317-1)</f>
        <v>-0.0608899297423887</v>
      </c>
      <c r="Q317" s="5" t="n">
        <v>7.2</v>
      </c>
      <c r="R317" s="10" t="n">
        <v>1</v>
      </c>
      <c r="S317" s="5" t="n">
        <v>4.27</v>
      </c>
      <c r="T317" s="10" t="n">
        <v>1</v>
      </c>
      <c r="U317" s="4"/>
    </row>
    <row r="318" customFormat="false" ht="15" hidden="false" customHeight="false" outlineLevel="0" collapsed="false">
      <c r="A318" s="4" t="s">
        <v>733</v>
      </c>
      <c r="B318" s="4" t="s">
        <v>716</v>
      </c>
      <c r="C318" s="4" t="s">
        <v>60</v>
      </c>
      <c r="D318" s="4"/>
      <c r="E318" s="4"/>
      <c r="F318" s="5" t="n">
        <v>4125000</v>
      </c>
      <c r="G318" s="4" t="s">
        <v>717</v>
      </c>
      <c r="H318" s="6" t="n">
        <v>103125000000</v>
      </c>
      <c r="I318" s="7"/>
      <c r="J318" s="4"/>
      <c r="K318" s="4"/>
      <c r="L318" s="4"/>
      <c r="M318" s="8" t="str">
        <f aca="false">IF(OR(H318="",I318=""),"",IF(I318&gt;0,H318/I318,""))</f>
        <v/>
      </c>
      <c r="N318" s="4" t="str">
        <f aca="false">IF(I318="",IF(K318="NULL","FCF yok (NULL)","FCF kapsamı dışı"),IF(I318&lt;=0,"anlamsız (FCF ≤ 0)",IF(OR(K318="KOŞULLU"),"FCF KOŞULLU — yorum yapılmaz","")))</f>
        <v>FCF kapsamı dışı</v>
      </c>
      <c r="O318" s="9" t="n">
        <f aca="false">IF(Q318="","",F318*R318/Q318-1)</f>
        <v>0.0312532641792309</v>
      </c>
      <c r="P318" s="9" t="str">
        <f aca="false">IF(S318="","",F318*T318/S318-1)</f>
        <v/>
      </c>
      <c r="Q318" s="5" t="n">
        <v>3999987.33898124</v>
      </c>
      <c r="R318" s="10" t="n">
        <v>1</v>
      </c>
      <c r="S318" s="5"/>
      <c r="T318" s="10" t="n">
        <v>1</v>
      </c>
      <c r="U318" s="4"/>
    </row>
    <row r="319" customFormat="false" ht="15" hidden="false" customHeight="false" outlineLevel="0" collapsed="false">
      <c r="A319" s="4" t="s">
        <v>734</v>
      </c>
      <c r="B319" s="4" t="s">
        <v>735</v>
      </c>
      <c r="C319" s="4" t="s">
        <v>25</v>
      </c>
      <c r="D319" s="4"/>
      <c r="E319" s="4"/>
      <c r="F319" s="5" t="n">
        <v>30.24</v>
      </c>
      <c r="G319" s="4" t="s">
        <v>26</v>
      </c>
      <c r="H319" s="6" t="n">
        <v>45360</v>
      </c>
      <c r="I319" s="7"/>
      <c r="J319" s="4"/>
      <c r="K319" s="4"/>
      <c r="L319" s="4"/>
      <c r="M319" s="8" t="str">
        <f aca="false">IF(OR(H319="",I319=""),"",IF(I319&gt;0,H319/I319,""))</f>
        <v/>
      </c>
      <c r="N319" s="4" t="str">
        <f aca="false">IF(I319="",IF(K319="NULL","FCF yok (NULL)","FCF kapsamı dışı"),IF(I319&lt;=0,"anlamsız (FCF ≤ 0)",IF(OR(K319="KOŞULLU"),"FCF KOŞULLU — yorum yapılmaz","")))</f>
        <v>FCF kapsamı dışı</v>
      </c>
      <c r="O319" s="9" t="n">
        <f aca="false">IF(Q319="","",F319*R319/Q319-1)</f>
        <v>-0.263664282217704</v>
      </c>
      <c r="P319" s="9" t="n">
        <f aca="false">IF(S319="","",F319*T319/S319-1)</f>
        <v>-0.101604278074866</v>
      </c>
      <c r="Q319" s="5" t="n">
        <v>41.0682237323448</v>
      </c>
      <c r="R319" s="10" t="n">
        <v>1</v>
      </c>
      <c r="S319" s="5" t="n">
        <v>33.66</v>
      </c>
      <c r="T319" s="10" t="n">
        <v>1</v>
      </c>
      <c r="U319" s="4"/>
    </row>
    <row r="320" customFormat="false" ht="15" hidden="false" customHeight="false" outlineLevel="0" collapsed="false">
      <c r="A320" s="4" t="s">
        <v>736</v>
      </c>
      <c r="B320" s="4" t="s">
        <v>737</v>
      </c>
      <c r="C320" s="4" t="s">
        <v>29</v>
      </c>
      <c r="D320" s="4" t="s">
        <v>30</v>
      </c>
      <c r="E320" s="4" t="s">
        <v>41</v>
      </c>
      <c r="F320" s="5" t="n">
        <v>5.63</v>
      </c>
      <c r="G320" s="4" t="s">
        <v>26</v>
      </c>
      <c r="H320" s="6" t="n">
        <v>2389.36063303</v>
      </c>
      <c r="I320" s="7" t="n">
        <v>-926.641</v>
      </c>
      <c r="J320" s="4" t="s">
        <v>32</v>
      </c>
      <c r="K320" s="4" t="s">
        <v>33</v>
      </c>
      <c r="L320" s="4" t="s">
        <v>42</v>
      </c>
      <c r="M320" s="8" t="str">
        <f aca="false">IF(OR(H320="",I320=""),"",IF(I320&gt;0,H320/I320,""))</f>
        <v/>
      </c>
      <c r="N320" s="4" t="str">
        <f aca="false">IF(I320="",IF(K320="NULL","FCF yok (NULL)","FCF kapsamı dışı"),IF(I320&lt;=0,"anlamsız (FCF ≤ 0)",IF(OR(K320="KOŞULLU"),"FCF KOŞULLU — yorum yapılmaz","")))</f>
        <v>anlamsız (FCF ≤ 0)</v>
      </c>
      <c r="O320" s="9" t="n">
        <f aca="false">IF(Q320="","",F320*R320/Q320-1)</f>
        <v>-0.362400906002265</v>
      </c>
      <c r="P320" s="9" t="n">
        <f aca="false">IF(S320="","",F320*T320/S320-1)</f>
        <v>-0.0585284280936456</v>
      </c>
      <c r="Q320" s="5" t="n">
        <v>8.83</v>
      </c>
      <c r="R320" s="10" t="n">
        <v>1</v>
      </c>
      <c r="S320" s="5" t="n">
        <v>5.98</v>
      </c>
      <c r="T320" s="10" t="n">
        <v>1</v>
      </c>
      <c r="U320" s="4"/>
    </row>
    <row r="321" customFormat="false" ht="15" hidden="false" customHeight="false" outlineLevel="0" collapsed="false">
      <c r="A321" s="4" t="s">
        <v>738</v>
      </c>
      <c r="B321" s="4" t="s">
        <v>739</v>
      </c>
      <c r="C321" s="4" t="s">
        <v>29</v>
      </c>
      <c r="D321" s="4" t="s">
        <v>30</v>
      </c>
      <c r="E321" s="4" t="s">
        <v>263</v>
      </c>
      <c r="F321" s="5" t="n">
        <v>24.54</v>
      </c>
      <c r="G321" s="4" t="s">
        <v>26</v>
      </c>
      <c r="H321" s="6" t="n">
        <v>6871.2</v>
      </c>
      <c r="I321" s="7"/>
      <c r="J321" s="4" t="s">
        <v>32</v>
      </c>
      <c r="K321" s="4" t="s">
        <v>116</v>
      </c>
      <c r="L321" s="4" t="s">
        <v>42</v>
      </c>
      <c r="M321" s="8" t="str">
        <f aca="false">IF(OR(H321="",I321=""),"",IF(I321&gt;0,H321/I321,""))</f>
        <v/>
      </c>
      <c r="N321" s="4" t="str">
        <f aca="false">IF(I321="",IF(K321="NULL","FCF yok (NULL)","FCF kapsamı dışı"),IF(I321&lt;=0,"anlamsız (FCF ≤ 0)",IF(OR(K321="KOŞULLU"),"FCF KOŞULLU — yorum yapılmaz","")))</f>
        <v>FCF yok (NULL)</v>
      </c>
      <c r="O321" s="9" t="str">
        <f aca="false">IF(Q321="","",F321*R321/Q321-1)</f>
        <v/>
      </c>
      <c r="P321" s="9" t="n">
        <f aca="false">IF(S321="","",F321*T321/S321-1)</f>
        <v>-0.615360501567398</v>
      </c>
      <c r="Q321" s="5"/>
      <c r="R321" s="10" t="n">
        <v>1</v>
      </c>
      <c r="S321" s="5" t="n">
        <v>63.8</v>
      </c>
      <c r="T321" s="10" t="n">
        <v>1</v>
      </c>
      <c r="U321" s="4"/>
    </row>
    <row r="322" customFormat="false" ht="15" hidden="false" customHeight="false" outlineLevel="0" collapsed="false">
      <c r="A322" s="4" t="s">
        <v>740</v>
      </c>
      <c r="B322" s="4" t="s">
        <v>741</v>
      </c>
      <c r="C322" s="4" t="s">
        <v>29</v>
      </c>
      <c r="D322" s="4"/>
      <c r="E322" s="4"/>
      <c r="F322" s="5" t="n">
        <v>6.68</v>
      </c>
      <c r="G322" s="4" t="s">
        <v>26</v>
      </c>
      <c r="H322" s="6" t="n">
        <v>1072.80321712</v>
      </c>
      <c r="I322" s="7"/>
      <c r="J322" s="4"/>
      <c r="K322" s="4"/>
      <c r="L322" s="4"/>
      <c r="M322" s="8" t="str">
        <f aca="false">IF(OR(H322="",I322=""),"",IF(I322&gt;0,H322/I322,""))</f>
        <v/>
      </c>
      <c r="N322" s="4" t="str">
        <f aca="false">IF(I322="",IF(K322="NULL","FCF yok (NULL)","FCF kapsamı dışı"),IF(I322&lt;=0,"anlamsız (FCF ≤ 0)",IF(OR(K322="KOŞULLU"),"FCF KOŞULLU — yorum yapılmaz","")))</f>
        <v>FCF kapsamı dışı</v>
      </c>
      <c r="O322" s="9" t="n">
        <f aca="false">IF(Q322="","",F322*R322/Q322-1)</f>
        <v>-0.287086446104589</v>
      </c>
      <c r="P322" s="9" t="n">
        <f aca="false">IF(S322="","",F322*T322/S322-1)</f>
        <v>-0.0233918128654971</v>
      </c>
      <c r="Q322" s="5" t="n">
        <v>9.37</v>
      </c>
      <c r="R322" s="10" t="n">
        <v>1</v>
      </c>
      <c r="S322" s="5" t="n">
        <v>6.84</v>
      </c>
      <c r="T322" s="10" t="n">
        <v>1</v>
      </c>
      <c r="U322" s="4"/>
    </row>
    <row r="323" customFormat="false" ht="15" hidden="false" customHeight="false" outlineLevel="0" collapsed="false">
      <c r="A323" s="4" t="s">
        <v>742</v>
      </c>
      <c r="B323" s="4" t="s">
        <v>743</v>
      </c>
      <c r="C323" s="4" t="s">
        <v>29</v>
      </c>
      <c r="D323" s="4" t="s">
        <v>30</v>
      </c>
      <c r="E323" s="4" t="s">
        <v>31</v>
      </c>
      <c r="F323" s="5" t="n">
        <v>3.92</v>
      </c>
      <c r="G323" s="4" t="s">
        <v>26</v>
      </c>
      <c r="H323" s="6" t="n">
        <v>9579.5</v>
      </c>
      <c r="I323" s="7" t="n">
        <v>504.07848</v>
      </c>
      <c r="J323" s="4" t="s">
        <v>32</v>
      </c>
      <c r="K323" s="4" t="s">
        <v>33</v>
      </c>
      <c r="L323" s="4" t="s">
        <v>34</v>
      </c>
      <c r="M323" s="8" t="n">
        <f aca="false">IF(OR(H323="",I323=""),"",IF(I323&gt;0,H323/I323,""))</f>
        <v>19.0039852524551</v>
      </c>
      <c r="N323" s="4" t="str">
        <f aca="false">IF(I323="",IF(K323="NULL","FCF yok (NULL)","FCF kapsamı dışı"),IF(I323&lt;=0,"anlamsız (FCF ≤ 0)",IF(OR(K323="KOŞULLU"),"FCF KOŞULLU — yorum yapılmaz","")))</f>
        <v/>
      </c>
      <c r="O323" s="9" t="n">
        <f aca="false">IF(Q323="","",F323*R323/Q323-1)</f>
        <v>-0.580299785867238</v>
      </c>
      <c r="P323" s="9" t="n">
        <f aca="false">IF(S323="","",F323*T323/S323-1)</f>
        <v>-0.0967741935483871</v>
      </c>
      <c r="Q323" s="5" t="n">
        <v>9.34</v>
      </c>
      <c r="R323" s="10" t="n">
        <v>1</v>
      </c>
      <c r="S323" s="5" t="n">
        <v>4.34</v>
      </c>
      <c r="T323" s="10" t="n">
        <v>1</v>
      </c>
      <c r="U323" s="4"/>
    </row>
    <row r="324" customFormat="false" ht="15" hidden="false" customHeight="false" outlineLevel="0" collapsed="false">
      <c r="A324" s="4" t="s">
        <v>744</v>
      </c>
      <c r="B324" s="4" t="s">
        <v>745</v>
      </c>
      <c r="C324" s="4" t="s">
        <v>29</v>
      </c>
      <c r="D324" s="4" t="s">
        <v>30</v>
      </c>
      <c r="E324" s="4" t="s">
        <v>41</v>
      </c>
      <c r="F324" s="5" t="n">
        <v>10.53</v>
      </c>
      <c r="G324" s="4" t="s">
        <v>26</v>
      </c>
      <c r="H324" s="6" t="n">
        <v>1865.784375</v>
      </c>
      <c r="I324" s="7" t="n">
        <v>-64.476536</v>
      </c>
      <c r="J324" s="4" t="s">
        <v>32</v>
      </c>
      <c r="K324" s="4" t="s">
        <v>33</v>
      </c>
      <c r="L324" s="4" t="s">
        <v>34</v>
      </c>
      <c r="M324" s="8" t="str">
        <f aca="false">IF(OR(H324="",I324=""),"",IF(I324&gt;0,H324/I324,""))</f>
        <v/>
      </c>
      <c r="N324" s="4" t="str">
        <f aca="false">IF(I324="",IF(K324="NULL","FCF yok (NULL)","FCF kapsamı dışı"),IF(I324&lt;=0,"anlamsız (FCF ≤ 0)",IF(OR(K324="KOŞULLU"),"FCF KOŞULLU — yorum yapılmaz","")))</f>
        <v>anlamsız (FCF ≤ 0)</v>
      </c>
      <c r="O324" s="9" t="n">
        <f aca="false">IF(Q324="","",F324*R324/Q324-1)</f>
        <v>-0.777707409753008</v>
      </c>
      <c r="P324" s="9" t="n">
        <f aca="false">IF(S324="","",F324*T324/S324-1)</f>
        <v>-0.685483870967742</v>
      </c>
      <c r="Q324" s="5" t="n">
        <v>47.37</v>
      </c>
      <c r="R324" s="10" t="n">
        <v>1</v>
      </c>
      <c r="S324" s="5" t="n">
        <v>33.48</v>
      </c>
      <c r="T324" s="10" t="n">
        <v>1</v>
      </c>
      <c r="U324" s="4"/>
    </row>
    <row r="325" customFormat="false" ht="15" hidden="false" customHeight="false" outlineLevel="0" collapsed="false">
      <c r="A325" s="4" t="s">
        <v>746</v>
      </c>
      <c r="B325" s="4" t="s">
        <v>747</v>
      </c>
      <c r="C325" s="4" t="s">
        <v>29</v>
      </c>
      <c r="D325" s="4" t="s">
        <v>63</v>
      </c>
      <c r="E325" s="4" t="s">
        <v>63</v>
      </c>
      <c r="F325" s="5" t="n">
        <v>31.12</v>
      </c>
      <c r="G325" s="4" t="s">
        <v>213</v>
      </c>
      <c r="H325" s="6" t="n">
        <v>544.98763072</v>
      </c>
      <c r="I325" s="7" t="n">
        <v>-34.827</v>
      </c>
      <c r="J325" s="4" t="s">
        <v>32</v>
      </c>
      <c r="K325" s="4" t="s">
        <v>33</v>
      </c>
      <c r="L325" s="4" t="s">
        <v>42</v>
      </c>
      <c r="M325" s="8" t="str">
        <f aca="false">IF(OR(H325="",I325=""),"",IF(I325&gt;0,H325/I325,""))</f>
        <v/>
      </c>
      <c r="N325" s="4" t="str">
        <f aca="false">IF(I325="",IF(K325="NULL","FCF yok (NULL)","FCF kapsamı dışı"),IF(I325&lt;=0,"anlamsız (FCF ≤ 0)",IF(OR(K325="KOŞULLU"),"FCF KOŞULLU — yorum yapılmaz","")))</f>
        <v>anlamsız (FCF ≤ 0)</v>
      </c>
      <c r="O325" s="9" t="n">
        <f aca="false">IF(Q325="","",F325*R325/Q325-1)</f>
        <v>-0.51601866251944</v>
      </c>
      <c r="P325" s="9" t="n">
        <f aca="false">IF(S325="","",F325*T325/S325-1)</f>
        <v>-0.149261891744122</v>
      </c>
      <c r="Q325" s="5" t="n">
        <v>64.3</v>
      </c>
      <c r="R325" s="10" t="n">
        <v>1</v>
      </c>
      <c r="S325" s="5" t="n">
        <v>36.58</v>
      </c>
      <c r="T325" s="10" t="n">
        <v>1</v>
      </c>
      <c r="U325" s="4"/>
    </row>
    <row r="326" customFormat="false" ht="15" hidden="false" customHeight="false" outlineLevel="0" collapsed="false">
      <c r="A326" s="4" t="s">
        <v>748</v>
      </c>
      <c r="B326" s="4" t="s">
        <v>749</v>
      </c>
      <c r="C326" s="4" t="s">
        <v>29</v>
      </c>
      <c r="D326" s="4" t="s">
        <v>30</v>
      </c>
      <c r="E326" s="4" t="s">
        <v>295</v>
      </c>
      <c r="F326" s="5" t="n">
        <v>6.73</v>
      </c>
      <c r="G326" s="4" t="s">
        <v>64</v>
      </c>
      <c r="H326" s="6" t="n">
        <v>10095</v>
      </c>
      <c r="I326" s="7" t="n">
        <v>915.6774576</v>
      </c>
      <c r="J326" s="4" t="s">
        <v>32</v>
      </c>
      <c r="K326" s="4" t="s">
        <v>33</v>
      </c>
      <c r="L326" s="4" t="s">
        <v>34</v>
      </c>
      <c r="M326" s="8" t="n">
        <f aca="false">IF(OR(H326="",I326=""),"",IF(I326&gt;0,H326/I326,""))</f>
        <v>11.0246243545834</v>
      </c>
      <c r="N326" s="4" t="str">
        <f aca="false">IF(I326="",IF(K326="NULL","FCF yok (NULL)","FCF kapsamı dışı"),IF(I326&lt;=0,"anlamsız (FCF ≤ 0)",IF(OR(K326="KOŞULLU"),"FCF KOŞULLU — yorum yapılmaz","")))</f>
        <v/>
      </c>
      <c r="O326" s="9" t="n">
        <f aca="false">IF(Q326="","",F326*R326/Q326-1)</f>
        <v>-0.0330459770114941</v>
      </c>
      <c r="P326" s="9" t="n">
        <f aca="false">IF(S326="","",F326*T326/S326-1)</f>
        <v>-0.0385714285714285</v>
      </c>
      <c r="Q326" s="5" t="n">
        <v>6.96</v>
      </c>
      <c r="R326" s="10" t="n">
        <v>1</v>
      </c>
      <c r="S326" s="5" t="n">
        <v>7</v>
      </c>
      <c r="T326" s="10" t="n">
        <v>1</v>
      </c>
      <c r="U326" s="4"/>
    </row>
    <row r="327" customFormat="false" ht="15" hidden="false" customHeight="false" outlineLevel="0" collapsed="false">
      <c r="A327" s="4" t="s">
        <v>750</v>
      </c>
      <c r="B327" s="4" t="s">
        <v>751</v>
      </c>
      <c r="C327" s="4" t="s">
        <v>29</v>
      </c>
      <c r="D327" s="4" t="s">
        <v>30</v>
      </c>
      <c r="E327" s="4" t="s">
        <v>234</v>
      </c>
      <c r="F327" s="5" t="n">
        <v>13.39</v>
      </c>
      <c r="G327" s="4" t="s">
        <v>26</v>
      </c>
      <c r="H327" s="6" t="n">
        <v>9373</v>
      </c>
      <c r="I327" s="7" t="n">
        <v>21.2830000000001</v>
      </c>
      <c r="J327" s="4" t="s">
        <v>32</v>
      </c>
      <c r="K327" s="4" t="s">
        <v>33</v>
      </c>
      <c r="L327" s="4" t="s">
        <v>42</v>
      </c>
      <c r="M327" s="8" t="n">
        <f aca="false">IF(OR(H327="",I327=""),"",IF(I327&gt;0,H327/I327,""))</f>
        <v>440.398440069537</v>
      </c>
      <c r="N327" s="4" t="str">
        <f aca="false">IF(I327="",IF(K327="NULL","FCF yok (NULL)","FCF kapsamı dışı"),IF(I327&lt;=0,"anlamsız (FCF ≤ 0)",IF(OR(K327="KOŞULLU"),"FCF KOŞULLU — yorum yapılmaz","")))</f>
        <v/>
      </c>
      <c r="O327" s="9" t="n">
        <f aca="false">IF(Q327="","",F327*R327/Q327-1)</f>
        <v>-0.396302975653742</v>
      </c>
      <c r="P327" s="9" t="n">
        <f aca="false">IF(S327="","",F327*T327/S327-1)</f>
        <v>-0.0983164983164983</v>
      </c>
      <c r="Q327" s="5" t="n">
        <v>22.18</v>
      </c>
      <c r="R327" s="10" t="n">
        <v>1</v>
      </c>
      <c r="S327" s="5" t="n">
        <v>14.85</v>
      </c>
      <c r="T327" s="10" t="n">
        <v>1</v>
      </c>
      <c r="U327" s="4"/>
    </row>
    <row r="328" customFormat="false" ht="15" hidden="false" customHeight="false" outlineLevel="0" collapsed="false">
      <c r="A328" s="4" t="s">
        <v>752</v>
      </c>
      <c r="B328" s="4" t="s">
        <v>753</v>
      </c>
      <c r="C328" s="4" t="s">
        <v>29</v>
      </c>
      <c r="D328" s="4" t="s">
        <v>30</v>
      </c>
      <c r="E328" s="4" t="s">
        <v>231</v>
      </c>
      <c r="F328" s="5" t="n">
        <v>141.3</v>
      </c>
      <c r="G328" s="4" t="s">
        <v>26</v>
      </c>
      <c r="H328" s="6" t="n">
        <v>2826</v>
      </c>
      <c r="I328" s="7" t="n">
        <v>-205.251</v>
      </c>
      <c r="J328" s="4" t="s">
        <v>32</v>
      </c>
      <c r="K328" s="4" t="s">
        <v>33</v>
      </c>
      <c r="L328" s="4" t="s">
        <v>42</v>
      </c>
      <c r="M328" s="8" t="str">
        <f aca="false">IF(OR(H328="",I328=""),"",IF(I328&gt;0,H328/I328,""))</f>
        <v/>
      </c>
      <c r="N328" s="4" t="str">
        <f aca="false">IF(I328="",IF(K328="NULL","FCF yok (NULL)","FCF kapsamı dışı"),IF(I328&lt;=0,"anlamsız (FCF ≤ 0)",IF(OR(K328="KOŞULLU"),"FCF KOŞULLU — yorum yapılmaz","")))</f>
        <v>anlamsız (FCF ≤ 0)</v>
      </c>
      <c r="O328" s="9" t="n">
        <f aca="false">IF(Q328="","",F328*R328/Q328-1)</f>
        <v>-0.740733944954128</v>
      </c>
      <c r="P328" s="9" t="n">
        <f aca="false">IF(S328="","",F328*T328/S328-1)</f>
        <v>-0.357727272727273</v>
      </c>
      <c r="Q328" s="5" t="n">
        <v>545</v>
      </c>
      <c r="R328" s="10" t="n">
        <v>1</v>
      </c>
      <c r="S328" s="5" t="n">
        <v>220</v>
      </c>
      <c r="T328" s="10" t="n">
        <v>1</v>
      </c>
      <c r="U328" s="4"/>
    </row>
    <row r="329" customFormat="false" ht="15" hidden="false" customHeight="false" outlineLevel="0" collapsed="false">
      <c r="A329" s="4" t="s">
        <v>754</v>
      </c>
      <c r="B329" s="4" t="s">
        <v>755</v>
      </c>
      <c r="C329" s="4" t="s">
        <v>29</v>
      </c>
      <c r="D329" s="4" t="s">
        <v>30</v>
      </c>
      <c r="E329" s="4" t="s">
        <v>295</v>
      </c>
      <c r="F329" s="5" t="n">
        <v>48.2</v>
      </c>
      <c r="G329" s="4" t="s">
        <v>26</v>
      </c>
      <c r="H329" s="6" t="n">
        <v>40006</v>
      </c>
      <c r="I329" s="7" t="n">
        <v>242.6477</v>
      </c>
      <c r="J329" s="4" t="s">
        <v>32</v>
      </c>
      <c r="K329" s="4" t="s">
        <v>154</v>
      </c>
      <c r="L329" s="4" t="s">
        <v>42</v>
      </c>
      <c r="M329" s="8" t="n">
        <f aca="false">IF(OR(H329="",I329=""),"",IF(I329&gt;0,H329/I329,""))</f>
        <v>164.872776457391</v>
      </c>
      <c r="N329" s="4" t="str">
        <f aca="false">IF(I329="",IF(K329="NULL","FCF yok (NULL)","FCF kapsamı dışı"),IF(I329&lt;=0,"anlamsız (FCF ≤ 0)",IF(OR(K329="KOŞULLU"),"FCF KOŞULLU — yorum yapılmaz","")))</f>
        <v>FCF KOŞULLU — yorum yapılmaz</v>
      </c>
      <c r="O329" s="9" t="str">
        <f aca="false">IF(Q329="","",F329*R329/Q329-1)</f>
        <v/>
      </c>
      <c r="P329" s="9" t="n">
        <f aca="false">IF(S329="","",F329*T329/S329-1)</f>
        <v>-0.684967320261438</v>
      </c>
      <c r="Q329" s="5"/>
      <c r="R329" s="10" t="n">
        <v>1</v>
      </c>
      <c r="S329" s="5" t="n">
        <v>153</v>
      </c>
      <c r="T329" s="10" t="n">
        <v>1</v>
      </c>
      <c r="U329" s="4"/>
    </row>
    <row r="330" customFormat="false" ht="15" hidden="false" customHeight="false" outlineLevel="0" collapsed="false">
      <c r="A330" s="4" t="s">
        <v>756</v>
      </c>
      <c r="B330" s="4" t="s">
        <v>757</v>
      </c>
      <c r="C330" s="4" t="s">
        <v>29</v>
      </c>
      <c r="D330" s="4" t="s">
        <v>30</v>
      </c>
      <c r="E330" s="4" t="s">
        <v>123</v>
      </c>
      <c r="F330" s="5" t="n">
        <v>6.21</v>
      </c>
      <c r="G330" s="4" t="s">
        <v>207</v>
      </c>
      <c r="H330" s="6" t="n">
        <v>5004.5491413</v>
      </c>
      <c r="I330" s="7" t="n">
        <v>1458.385</v>
      </c>
      <c r="J330" s="4" t="s">
        <v>32</v>
      </c>
      <c r="K330" s="4" t="s">
        <v>33</v>
      </c>
      <c r="L330" s="4" t="s">
        <v>42</v>
      </c>
      <c r="M330" s="8" t="n">
        <f aca="false">IF(OR(H330="",I330=""),"",IF(I330&gt;0,H330/I330,""))</f>
        <v>3.43156926415178</v>
      </c>
      <c r="N330" s="4" t="str">
        <f aca="false">IF(I330="",IF(K330="NULL","FCF yok (NULL)","FCF kapsamı dışı"),IF(I330&lt;=0,"anlamsız (FCF ≤ 0)",IF(OR(K330="KOŞULLU"),"FCF KOŞULLU — yorum yapılmaz","")))</f>
        <v/>
      </c>
      <c r="O330" s="9" t="n">
        <f aca="false">IF(Q330="","",F330*R330/Q330-1)</f>
        <v>-0.327193932827736</v>
      </c>
      <c r="P330" s="9" t="n">
        <f aca="false">IF(S330="","",F330*T330/S330-1)</f>
        <v>0.0213815789473684</v>
      </c>
      <c r="Q330" s="5" t="n">
        <v>9.23</v>
      </c>
      <c r="R330" s="10" t="n">
        <v>1</v>
      </c>
      <c r="S330" s="5" t="n">
        <v>6.08</v>
      </c>
      <c r="T330" s="10" t="n">
        <v>1</v>
      </c>
      <c r="U330" s="4"/>
    </row>
    <row r="331" customFormat="false" ht="15" hidden="false" customHeight="false" outlineLevel="0" collapsed="false">
      <c r="A331" s="4" t="s">
        <v>758</v>
      </c>
      <c r="B331" s="4" t="s">
        <v>759</v>
      </c>
      <c r="C331" s="4" t="s">
        <v>29</v>
      </c>
      <c r="D331" s="4" t="s">
        <v>30</v>
      </c>
      <c r="E331" s="4" t="s">
        <v>182</v>
      </c>
      <c r="F331" s="5" t="n">
        <v>9.05</v>
      </c>
      <c r="G331" s="4" t="s">
        <v>26</v>
      </c>
      <c r="H331" s="6" t="n">
        <v>8145</v>
      </c>
      <c r="I331" s="7" t="n">
        <v>1330.31672</v>
      </c>
      <c r="J331" s="4" t="s">
        <v>32</v>
      </c>
      <c r="K331" s="4" t="s">
        <v>33</v>
      </c>
      <c r="L331" s="4" t="s">
        <v>57</v>
      </c>
      <c r="M331" s="8" t="n">
        <f aca="false">IF(OR(H331="",I331=""),"",IF(I331&gt;0,H331/I331,""))</f>
        <v>6.12260214244319</v>
      </c>
      <c r="N331" s="4" t="str">
        <f aca="false">IF(I331="",IF(K331="NULL","FCF yok (NULL)","FCF kapsamı dışı"),IF(I331&lt;=0,"anlamsız (FCF ≤ 0)",IF(OR(K331="KOŞULLU"),"FCF KOŞULLU — yorum yapılmaz","")))</f>
        <v/>
      </c>
      <c r="O331" s="9" t="n">
        <f aca="false">IF(Q331="","",F331*R331/Q331-1)</f>
        <v>-0.160482374768089</v>
      </c>
      <c r="P331" s="9" t="n">
        <f aca="false">IF(S331="","",F331*T331/S331-1)</f>
        <v>-0.0109289617486339</v>
      </c>
      <c r="Q331" s="5" t="n">
        <v>10.78</v>
      </c>
      <c r="R331" s="10" t="n">
        <v>1</v>
      </c>
      <c r="S331" s="5" t="n">
        <v>9.15</v>
      </c>
      <c r="T331" s="10" t="n">
        <v>1</v>
      </c>
      <c r="U331" s="4"/>
    </row>
    <row r="332" customFormat="false" ht="15" hidden="false" customHeight="false" outlineLevel="0" collapsed="false">
      <c r="A332" s="4" t="s">
        <v>760</v>
      </c>
      <c r="B332" s="4" t="s">
        <v>761</v>
      </c>
      <c r="C332" s="4" t="s">
        <v>29</v>
      </c>
      <c r="D332" s="4" t="s">
        <v>30</v>
      </c>
      <c r="E332" s="4" t="s">
        <v>231</v>
      </c>
      <c r="F332" s="5" t="n">
        <v>91.3</v>
      </c>
      <c r="G332" s="4" t="s">
        <v>638</v>
      </c>
      <c r="H332" s="6" t="n">
        <v>6847.5</v>
      </c>
      <c r="I332" s="7" t="n">
        <v>-861.2210192</v>
      </c>
      <c r="J332" s="4" t="s">
        <v>32</v>
      </c>
      <c r="K332" s="4" t="s">
        <v>33</v>
      </c>
      <c r="L332" s="4" t="s">
        <v>34</v>
      </c>
      <c r="M332" s="8" t="str">
        <f aca="false">IF(OR(H332="",I332=""),"",IF(I332&gt;0,H332/I332,""))</f>
        <v/>
      </c>
      <c r="N332" s="4" t="str">
        <f aca="false">IF(I332="",IF(K332="NULL","FCF yok (NULL)","FCF kapsamı dışı"),IF(I332&lt;=0,"anlamsız (FCF ≤ 0)",IF(OR(K332="KOŞULLU"),"FCF KOŞULLU — yorum yapılmaz","")))</f>
        <v>anlamsız (FCF ≤ 0)</v>
      </c>
      <c r="O332" s="9" t="n">
        <f aca="false">IF(Q332="","",F332*R332/Q332-1)</f>
        <v>0.0672121566335477</v>
      </c>
      <c r="P332" s="9" t="n">
        <f aca="false">IF(S332="","",F332*T332/S332-1)</f>
        <v>-0.192749778956675</v>
      </c>
      <c r="Q332" s="5" t="n">
        <v>85.55</v>
      </c>
      <c r="R332" s="10" t="n">
        <v>1</v>
      </c>
      <c r="S332" s="5" t="n">
        <v>113.1</v>
      </c>
      <c r="T332" s="10" t="n">
        <v>1</v>
      </c>
      <c r="U332" s="4"/>
    </row>
    <row r="333" customFormat="false" ht="15" hidden="false" customHeight="false" outlineLevel="0" collapsed="false">
      <c r="A333" s="4" t="s">
        <v>762</v>
      </c>
      <c r="B333" s="4" t="s">
        <v>763</v>
      </c>
      <c r="C333" s="4" t="s">
        <v>29</v>
      </c>
      <c r="D333" s="4" t="s">
        <v>30</v>
      </c>
      <c r="E333" s="4" t="s">
        <v>565</v>
      </c>
      <c r="F333" s="5" t="n">
        <v>1.53</v>
      </c>
      <c r="G333" s="4" t="s">
        <v>26</v>
      </c>
      <c r="H333" s="6" t="n">
        <v>3294.4725</v>
      </c>
      <c r="I333" s="7" t="n">
        <v>-767.4290128</v>
      </c>
      <c r="J333" s="4" t="s">
        <v>32</v>
      </c>
      <c r="K333" s="4" t="s">
        <v>33</v>
      </c>
      <c r="L333" s="4" t="s">
        <v>34</v>
      </c>
      <c r="M333" s="8" t="str">
        <f aca="false">IF(OR(H333="",I333=""),"",IF(I333&gt;0,H333/I333,""))</f>
        <v/>
      </c>
      <c r="N333" s="4" t="str">
        <f aca="false">IF(I333="",IF(K333="NULL","FCF yok (NULL)","FCF kapsamı dışı"),IF(I333&lt;=0,"anlamsız (FCF ≤ 0)",IF(OR(K333="KOŞULLU"),"FCF KOŞULLU — yorum yapılmaz","")))</f>
        <v>anlamsız (FCF ≤ 0)</v>
      </c>
      <c r="O333" s="9" t="n">
        <f aca="false">IF(Q333="","",F333*R333/Q333-1)</f>
        <v>-0.493377483443709</v>
      </c>
      <c r="P333" s="9" t="n">
        <f aca="false">IF(S333="","",F333*T333/S333-1)</f>
        <v>-0.0316455696202532</v>
      </c>
      <c r="Q333" s="5" t="n">
        <v>3.02</v>
      </c>
      <c r="R333" s="10" t="n">
        <v>1</v>
      </c>
      <c r="S333" s="5" t="n">
        <v>1.58</v>
      </c>
      <c r="T333" s="10" t="n">
        <v>1</v>
      </c>
      <c r="U333" s="4"/>
    </row>
    <row r="334" customFormat="false" ht="15" hidden="false" customHeight="false" outlineLevel="0" collapsed="false">
      <c r="A334" s="4" t="s">
        <v>764</v>
      </c>
      <c r="B334" s="4" t="s">
        <v>765</v>
      </c>
      <c r="C334" s="4" t="s">
        <v>29</v>
      </c>
      <c r="D334" s="4" t="s">
        <v>30</v>
      </c>
      <c r="E334" s="4" t="s">
        <v>53</v>
      </c>
      <c r="F334" s="5" t="n">
        <v>3.12</v>
      </c>
      <c r="G334" s="4" t="s">
        <v>26</v>
      </c>
      <c r="H334" s="6" t="n">
        <v>9360</v>
      </c>
      <c r="I334" s="7"/>
      <c r="J334" s="4" t="s">
        <v>32</v>
      </c>
      <c r="K334" s="4" t="s">
        <v>116</v>
      </c>
      <c r="L334" s="4" t="s">
        <v>42</v>
      </c>
      <c r="M334" s="8" t="str">
        <f aca="false">IF(OR(H334="",I334=""),"",IF(I334&gt;0,H334/I334,""))</f>
        <v/>
      </c>
      <c r="N334" s="4" t="str">
        <f aca="false">IF(I334="",IF(K334="NULL","FCF yok (NULL)","FCF kapsamı dışı"),IF(I334&lt;=0,"anlamsız (FCF ≤ 0)",IF(OR(K334="KOŞULLU"),"FCF KOŞULLU — yorum yapılmaz","")))</f>
        <v>FCF yok (NULL)</v>
      </c>
      <c r="O334" s="9" t="n">
        <f aca="false">IF(Q334="","",F334*R334/Q334-1)</f>
        <v>-0.302013422818792</v>
      </c>
      <c r="P334" s="9" t="n">
        <f aca="false">IF(S334="","",F334*T334/S334-1)</f>
        <v>-0.0823529411764705</v>
      </c>
      <c r="Q334" s="5" t="n">
        <v>4.47</v>
      </c>
      <c r="R334" s="10" t="n">
        <v>1</v>
      </c>
      <c r="S334" s="5" t="n">
        <v>3.4</v>
      </c>
      <c r="T334" s="10" t="n">
        <v>1</v>
      </c>
      <c r="U334" s="4"/>
    </row>
    <row r="335" customFormat="false" ht="15" hidden="false" customHeight="false" outlineLevel="0" collapsed="false">
      <c r="A335" s="4" t="s">
        <v>766</v>
      </c>
      <c r="B335" s="4" t="s">
        <v>767</v>
      </c>
      <c r="C335" s="4" t="s">
        <v>29</v>
      </c>
      <c r="D335" s="4" t="s">
        <v>30</v>
      </c>
      <c r="E335" s="4" t="s">
        <v>295</v>
      </c>
      <c r="F335" s="5" t="n">
        <v>12.09</v>
      </c>
      <c r="G335" s="4" t="s">
        <v>26</v>
      </c>
      <c r="H335" s="6" t="n">
        <v>7254</v>
      </c>
      <c r="I335" s="7" t="n">
        <v>-1826.1865072</v>
      </c>
      <c r="J335" s="4" t="s">
        <v>32</v>
      </c>
      <c r="K335" s="4" t="s">
        <v>33</v>
      </c>
      <c r="L335" s="4" t="s">
        <v>34</v>
      </c>
      <c r="M335" s="8" t="str">
        <f aca="false">IF(OR(H335="",I335=""),"",IF(I335&gt;0,H335/I335,""))</f>
        <v/>
      </c>
      <c r="N335" s="4" t="str">
        <f aca="false">IF(I335="",IF(K335="NULL","FCF yok (NULL)","FCF kapsamı dışı"),IF(I335&lt;=0,"anlamsız (FCF ≤ 0)",IF(OR(K335="KOŞULLU"),"FCF KOŞULLU — yorum yapılmaz","")))</f>
        <v>anlamsız (FCF ≤ 0)</v>
      </c>
      <c r="O335" s="9" t="n">
        <f aca="false">IF(Q335="","",F335*R335/Q335-1)</f>
        <v>-0.191304347826087</v>
      </c>
      <c r="P335" s="9" t="n">
        <f aca="false">IF(S335="","",F335*T335/S335-1)</f>
        <v>0.0549738219895286</v>
      </c>
      <c r="Q335" s="5" t="n">
        <v>14.95</v>
      </c>
      <c r="R335" s="10" t="n">
        <v>1</v>
      </c>
      <c r="S335" s="5" t="n">
        <v>11.46</v>
      </c>
      <c r="T335" s="10" t="n">
        <v>1</v>
      </c>
      <c r="U335" s="4"/>
    </row>
    <row r="336" customFormat="false" ht="15" hidden="false" customHeight="false" outlineLevel="0" collapsed="false">
      <c r="A336" s="4" t="s">
        <v>768</v>
      </c>
      <c r="B336" s="4" t="s">
        <v>769</v>
      </c>
      <c r="C336" s="4" t="s">
        <v>29</v>
      </c>
      <c r="D336" s="4" t="s">
        <v>30</v>
      </c>
      <c r="E336" s="4" t="s">
        <v>295</v>
      </c>
      <c r="F336" s="5" t="n">
        <v>10.35</v>
      </c>
      <c r="G336" s="4" t="s">
        <v>26</v>
      </c>
      <c r="H336" s="6" t="n">
        <v>19820.25</v>
      </c>
      <c r="I336" s="7" t="n">
        <v>-965.871152</v>
      </c>
      <c r="J336" s="4" t="s">
        <v>32</v>
      </c>
      <c r="K336" s="4" t="s">
        <v>33</v>
      </c>
      <c r="L336" s="4" t="s">
        <v>57</v>
      </c>
      <c r="M336" s="8" t="str">
        <f aca="false">IF(OR(H336="",I336=""),"",IF(I336&gt;0,H336/I336,""))</f>
        <v/>
      </c>
      <c r="N336" s="4" t="str">
        <f aca="false">IF(I336="",IF(K336="NULL","FCF yok (NULL)","FCF kapsamı dışı"),IF(I336&lt;=0,"anlamsız (FCF ≤ 0)",IF(OR(K336="KOŞULLU"),"FCF KOŞULLU — yorum yapılmaz","")))</f>
        <v>anlamsız (FCF ≤ 0)</v>
      </c>
      <c r="O336" s="9" t="n">
        <f aca="false">IF(Q336="","",F336*R336/Q336-1)</f>
        <v>-0.260185847033596</v>
      </c>
      <c r="P336" s="9" t="n">
        <f aca="false">IF(S336="","",F336*T336/S336-1)</f>
        <v>-0.0478380864765409</v>
      </c>
      <c r="Q336" s="5" t="n">
        <v>13.99</v>
      </c>
      <c r="R336" s="10" t="n">
        <v>1</v>
      </c>
      <c r="S336" s="5" t="n">
        <v>10.87</v>
      </c>
      <c r="T336" s="10" t="n">
        <v>1</v>
      </c>
      <c r="U336" s="4"/>
    </row>
    <row r="337" customFormat="false" ht="15" hidden="false" customHeight="false" outlineLevel="0" collapsed="false">
      <c r="A337" s="4" t="s">
        <v>770</v>
      </c>
      <c r="B337" s="4" t="s">
        <v>771</v>
      </c>
      <c r="C337" s="4" t="s">
        <v>29</v>
      </c>
      <c r="D337" s="4" t="s">
        <v>63</v>
      </c>
      <c r="E337" s="4" t="s">
        <v>63</v>
      </c>
      <c r="F337" s="5" t="n">
        <v>214.6</v>
      </c>
      <c r="G337" s="4" t="s">
        <v>26</v>
      </c>
      <c r="H337" s="6" t="n">
        <v>544203.72153</v>
      </c>
      <c r="I337" s="7" t="n">
        <v>-192410.4928</v>
      </c>
      <c r="J337" s="4" t="s">
        <v>111</v>
      </c>
      <c r="K337" s="4" t="s">
        <v>154</v>
      </c>
      <c r="L337" s="4" t="s">
        <v>34</v>
      </c>
      <c r="M337" s="8" t="str">
        <f aca="false">IF(OR(H337="",I337=""),"",IF(I337&gt;0,H337/I337,""))</f>
        <v/>
      </c>
      <c r="N337" s="4" t="str">
        <f aca="false">IF(I337="",IF(K337="NULL","FCF yok (NULL)","FCF kapsamı dışı"),IF(I337&lt;=0,"anlamsız (FCF ≤ 0)",IF(OR(K337="KOŞULLU"),"FCF KOŞULLU — yorum yapılmaz","")))</f>
        <v>anlamsız (FCF ≤ 0)</v>
      </c>
      <c r="O337" s="9" t="n">
        <f aca="false">IF(Q337="","",F337*R337/Q337-1)</f>
        <v>0.264908279709561</v>
      </c>
      <c r="P337" s="9" t="n">
        <f aca="false">IF(S337="","",F337*T337/S337-1)</f>
        <v>-0.03463787674314</v>
      </c>
      <c r="Q337" s="5" t="n">
        <v>169.656569920844</v>
      </c>
      <c r="R337" s="10" t="n">
        <v>1</v>
      </c>
      <c r="S337" s="5" t="n">
        <v>222.3</v>
      </c>
      <c r="T337" s="10" t="n">
        <v>1</v>
      </c>
      <c r="U337" s="4"/>
    </row>
    <row r="338" customFormat="false" ht="15" hidden="false" customHeight="false" outlineLevel="0" collapsed="false">
      <c r="A338" s="4" t="s">
        <v>772</v>
      </c>
      <c r="B338" s="4" t="s">
        <v>773</v>
      </c>
      <c r="C338" s="4" t="s">
        <v>29</v>
      </c>
      <c r="D338" s="4" t="s">
        <v>30</v>
      </c>
      <c r="E338" s="4" t="s">
        <v>53</v>
      </c>
      <c r="F338" s="5" t="n">
        <v>291.75</v>
      </c>
      <c r="G338" s="4" t="s">
        <v>141</v>
      </c>
      <c r="H338" s="6" t="n">
        <v>96277.5</v>
      </c>
      <c r="I338" s="7" t="n">
        <v>346.461</v>
      </c>
      <c r="J338" s="4" t="s">
        <v>32</v>
      </c>
      <c r="K338" s="4" t="s">
        <v>33</v>
      </c>
      <c r="L338" s="4" t="s">
        <v>42</v>
      </c>
      <c r="M338" s="8" t="n">
        <f aca="false">IF(OR(H338="",I338=""),"",IF(I338&gt;0,H338/I338,""))</f>
        <v>277.888420341683</v>
      </c>
      <c r="N338" s="4" t="str">
        <f aca="false">IF(I338="",IF(K338="NULL","FCF yok (NULL)","FCF kapsamı dışı"),IF(I338&lt;=0,"anlamsız (FCF ≤ 0)",IF(OR(K338="KOŞULLU"),"FCF KOŞULLU — yorum yapılmaz","")))</f>
        <v/>
      </c>
      <c r="O338" s="9" t="n">
        <f aca="false">IF(Q338="","",F338*R338/Q338-1)</f>
        <v>-0.471749125104292</v>
      </c>
      <c r="P338" s="9" t="n">
        <f aca="false">IF(S338="","",F338*T338/S338-1)</f>
        <v>-0.0457890433360588</v>
      </c>
      <c r="Q338" s="5" t="n">
        <v>552.2944</v>
      </c>
      <c r="R338" s="10" t="n">
        <v>1</v>
      </c>
      <c r="S338" s="5" t="n">
        <v>305.75</v>
      </c>
      <c r="T338" s="10" t="n">
        <v>1</v>
      </c>
      <c r="U338" s="4"/>
    </row>
    <row r="339" customFormat="false" ht="15" hidden="false" customHeight="false" outlineLevel="0" collapsed="false">
      <c r="A339" s="4" t="s">
        <v>774</v>
      </c>
      <c r="B339" s="4" t="s">
        <v>775</v>
      </c>
      <c r="C339" s="4" t="s">
        <v>29</v>
      </c>
      <c r="D339" s="4" t="s">
        <v>63</v>
      </c>
      <c r="E339" s="4" t="s">
        <v>63</v>
      </c>
      <c r="F339" s="5" t="n">
        <v>8</v>
      </c>
      <c r="G339" s="4" t="s">
        <v>141</v>
      </c>
      <c r="H339" s="6" t="n">
        <v>4708.04064</v>
      </c>
      <c r="I339" s="7" t="n">
        <v>-177.8681952</v>
      </c>
      <c r="J339" s="4" t="s">
        <v>32</v>
      </c>
      <c r="K339" s="4" t="s">
        <v>33</v>
      </c>
      <c r="L339" s="4" t="s">
        <v>34</v>
      </c>
      <c r="M339" s="8" t="str">
        <f aca="false">IF(OR(H339="",I339=""),"",IF(I339&gt;0,H339/I339,""))</f>
        <v/>
      </c>
      <c r="N339" s="4" t="str">
        <f aca="false">IF(I339="",IF(K339="NULL","FCF yok (NULL)","FCF kapsamı dışı"),IF(I339&lt;=0,"anlamsız (FCF ≤ 0)",IF(OR(K339="KOŞULLU"),"FCF KOŞULLU — yorum yapılmaz","")))</f>
        <v>anlamsız (FCF ≤ 0)</v>
      </c>
      <c r="O339" s="9" t="n">
        <f aca="false">IF(Q339="","",F339*R339/Q339-1)</f>
        <v>2.07692307692308</v>
      </c>
      <c r="P339" s="9" t="n">
        <f aca="false">IF(S339="","",F339*T339/S339-1)</f>
        <v>0.151079136690647</v>
      </c>
      <c r="Q339" s="5" t="n">
        <v>2.6</v>
      </c>
      <c r="R339" s="10" t="n">
        <v>1</v>
      </c>
      <c r="S339" s="5" t="n">
        <v>6.95</v>
      </c>
      <c r="T339" s="10" t="n">
        <v>1</v>
      </c>
      <c r="U339" s="4"/>
    </row>
    <row r="340" customFormat="false" ht="15" hidden="false" customHeight="false" outlineLevel="0" collapsed="false">
      <c r="A340" s="4" t="s">
        <v>776</v>
      </c>
      <c r="B340" s="4" t="s">
        <v>777</v>
      </c>
      <c r="C340" s="4" t="s">
        <v>29</v>
      </c>
      <c r="D340" s="4" t="s">
        <v>30</v>
      </c>
      <c r="E340" s="4" t="s">
        <v>159</v>
      </c>
      <c r="F340" s="5" t="n">
        <v>6.29</v>
      </c>
      <c r="G340" s="4" t="s">
        <v>26</v>
      </c>
      <c r="H340" s="6" t="n">
        <v>1242.275</v>
      </c>
      <c r="I340" s="7" t="n">
        <v>-112.7346528</v>
      </c>
      <c r="J340" s="4" t="s">
        <v>32</v>
      </c>
      <c r="K340" s="4" t="s">
        <v>33</v>
      </c>
      <c r="L340" s="4" t="s">
        <v>57</v>
      </c>
      <c r="M340" s="8" t="str">
        <f aca="false">IF(OR(H340="",I340=""),"",IF(I340&gt;0,H340/I340,""))</f>
        <v/>
      </c>
      <c r="N340" s="4" t="str">
        <f aca="false">IF(I340="",IF(K340="NULL","FCF yok (NULL)","FCF kapsamı dışı"),IF(I340&lt;=0,"anlamsız (FCF ≤ 0)",IF(OR(K340="KOŞULLU"),"FCF KOŞULLU — yorum yapılmaz","")))</f>
        <v>anlamsız (FCF ≤ 0)</v>
      </c>
      <c r="O340" s="9" t="n">
        <f aca="false">IF(Q340="","",F340*R340/Q340-1)</f>
        <v>-0.332979851537646</v>
      </c>
      <c r="P340" s="9" t="n">
        <f aca="false">IF(S340="","",F340*T340/S340-1)</f>
        <v>-0.0141065830721003</v>
      </c>
      <c r="Q340" s="5" t="n">
        <v>9.43</v>
      </c>
      <c r="R340" s="10" t="n">
        <v>1</v>
      </c>
      <c r="S340" s="5" t="n">
        <v>6.38</v>
      </c>
      <c r="T340" s="10" t="n">
        <v>1</v>
      </c>
      <c r="U340" s="4"/>
    </row>
    <row r="341" customFormat="false" ht="15" hidden="false" customHeight="false" outlineLevel="0" collapsed="false">
      <c r="A341" s="4" t="s">
        <v>778</v>
      </c>
      <c r="B341" s="4" t="s">
        <v>779</v>
      </c>
      <c r="C341" s="4" t="s">
        <v>38</v>
      </c>
      <c r="D341" s="4"/>
      <c r="E341" s="4"/>
      <c r="F341" s="5" t="n">
        <v>8.87</v>
      </c>
      <c r="G341" s="4" t="s">
        <v>26</v>
      </c>
      <c r="H341" s="6" t="n">
        <v>8870</v>
      </c>
      <c r="I341" s="7"/>
      <c r="J341" s="4"/>
      <c r="K341" s="4"/>
      <c r="L341" s="4"/>
      <c r="M341" s="8" t="str">
        <f aca="false">IF(OR(H341="",I341=""),"",IF(I341&gt;0,H341/I341,""))</f>
        <v/>
      </c>
      <c r="N341" s="4" t="str">
        <f aca="false">IF(I341="",IF(K341="NULL","FCF yok (NULL)","FCF kapsamı dışı"),IF(I341&lt;=0,"anlamsız (FCF ≤ 0)",IF(OR(K341="KOŞULLU"),"FCF KOŞULLU — yorum yapılmaz","")))</f>
        <v>FCF kapsamı dışı</v>
      </c>
      <c r="O341" s="9" t="n">
        <f aca="false">IF(Q341="","",F341*R341/Q341-1)</f>
        <v>1.35278514588859</v>
      </c>
      <c r="P341" s="9" t="n">
        <f aca="false">IF(S341="","",F341*T341/S341-1)</f>
        <v>-0.164783427495292</v>
      </c>
      <c r="Q341" s="5" t="n">
        <v>3.77</v>
      </c>
      <c r="R341" s="10" t="n">
        <v>1</v>
      </c>
      <c r="S341" s="5" t="n">
        <v>10.62</v>
      </c>
      <c r="T341" s="10" t="n">
        <v>1</v>
      </c>
      <c r="U341" s="4"/>
    </row>
    <row r="342" customFormat="false" ht="15" hidden="false" customHeight="false" outlineLevel="0" collapsed="false">
      <c r="A342" s="4" t="s">
        <v>780</v>
      </c>
      <c r="B342" s="4" t="s">
        <v>781</v>
      </c>
      <c r="C342" s="4" t="s">
        <v>29</v>
      </c>
      <c r="D342" s="4" t="s">
        <v>30</v>
      </c>
      <c r="E342" s="4" t="s">
        <v>272</v>
      </c>
      <c r="F342" s="5" t="n">
        <v>10.83</v>
      </c>
      <c r="G342" s="4" t="s">
        <v>213</v>
      </c>
      <c r="H342" s="6" t="n">
        <v>2599.2</v>
      </c>
      <c r="I342" s="7" t="n">
        <v>381.4355936</v>
      </c>
      <c r="J342" s="4" t="s">
        <v>32</v>
      </c>
      <c r="K342" s="4" t="s">
        <v>33</v>
      </c>
      <c r="L342" s="4" t="s">
        <v>57</v>
      </c>
      <c r="M342" s="8" t="n">
        <f aca="false">IF(OR(H342="",I342=""),"",IF(I342&gt;0,H342/I342,""))</f>
        <v>6.81425657073237</v>
      </c>
      <c r="N342" s="4" t="str">
        <f aca="false">IF(I342="",IF(K342="NULL","FCF yok (NULL)","FCF kapsamı dışı"),IF(I342&lt;=0,"anlamsız (FCF ≤ 0)",IF(OR(K342="KOŞULLU"),"FCF KOŞULLU — yorum yapılmaz","")))</f>
        <v/>
      </c>
      <c r="O342" s="9" t="n">
        <f aca="false">IF(Q342="","",F342*R342/Q342-1)</f>
        <v>-0.266756939742722</v>
      </c>
      <c r="P342" s="9" t="n">
        <f aca="false">IF(S342="","",F342*T342/S342-1)</f>
        <v>-0.0598958333333333</v>
      </c>
      <c r="Q342" s="5" t="n">
        <v>14.77</v>
      </c>
      <c r="R342" s="10" t="n">
        <v>1</v>
      </c>
      <c r="S342" s="5" t="n">
        <v>11.52</v>
      </c>
      <c r="T342" s="10" t="n">
        <v>1</v>
      </c>
      <c r="U342" s="4"/>
    </row>
    <row r="343" customFormat="false" ht="15" hidden="false" customHeight="false" outlineLevel="0" collapsed="false">
      <c r="A343" s="4" t="s">
        <v>782</v>
      </c>
      <c r="B343" s="4" t="s">
        <v>783</v>
      </c>
      <c r="C343" s="4" t="s">
        <v>38</v>
      </c>
      <c r="D343" s="4"/>
      <c r="E343" s="4"/>
      <c r="F343" s="5" t="n">
        <v>4.32</v>
      </c>
      <c r="G343" s="4" t="s">
        <v>26</v>
      </c>
      <c r="H343" s="6" t="n">
        <v>6026.4</v>
      </c>
      <c r="I343" s="7"/>
      <c r="J343" s="4"/>
      <c r="K343" s="4"/>
      <c r="L343" s="4"/>
      <c r="M343" s="8" t="str">
        <f aca="false">IF(OR(H343="",I343=""),"",IF(I343&gt;0,H343/I343,""))</f>
        <v/>
      </c>
      <c r="N343" s="4" t="str">
        <f aca="false">IF(I343="",IF(K343="NULL","FCF yok (NULL)","FCF kapsamı dışı"),IF(I343&lt;=0,"anlamsız (FCF ≤ 0)",IF(OR(K343="KOŞULLU"),"FCF KOŞULLU — yorum yapılmaz","")))</f>
        <v>FCF kapsamı dışı</v>
      </c>
      <c r="O343" s="9" t="n">
        <f aca="false">IF(Q343="","",F343*R343/Q343-1)</f>
        <v>-0.3088</v>
      </c>
      <c r="P343" s="9" t="n">
        <f aca="false">IF(S343="","",F343*T343/S343-1)</f>
        <v>0.0666666666666669</v>
      </c>
      <c r="Q343" s="5" t="n">
        <v>6.25</v>
      </c>
      <c r="R343" s="10" t="n">
        <v>1</v>
      </c>
      <c r="S343" s="5" t="n">
        <v>4.05</v>
      </c>
      <c r="T343" s="10" t="n">
        <v>1</v>
      </c>
      <c r="U343" s="4"/>
    </row>
    <row r="344" customFormat="false" ht="15" hidden="false" customHeight="false" outlineLevel="0" collapsed="false">
      <c r="A344" s="4" t="s">
        <v>784</v>
      </c>
      <c r="B344" s="4" t="s">
        <v>785</v>
      </c>
      <c r="C344" s="4" t="s">
        <v>29</v>
      </c>
      <c r="D344" s="4" t="s">
        <v>30</v>
      </c>
      <c r="E344" s="4" t="s">
        <v>41</v>
      </c>
      <c r="F344" s="5" t="n">
        <v>22.7</v>
      </c>
      <c r="G344" s="4" t="s">
        <v>26</v>
      </c>
      <c r="H344" s="6" t="n">
        <v>10442</v>
      </c>
      <c r="I344" s="7" t="n">
        <v>367.938</v>
      </c>
      <c r="J344" s="4" t="s">
        <v>32</v>
      </c>
      <c r="K344" s="4" t="s">
        <v>33</v>
      </c>
      <c r="L344" s="4" t="s">
        <v>42</v>
      </c>
      <c r="M344" s="8" t="n">
        <f aca="false">IF(OR(H344="",I344=""),"",IF(I344&gt;0,H344/I344,""))</f>
        <v>28.3797813762101</v>
      </c>
      <c r="N344" s="4" t="str">
        <f aca="false">IF(I344="",IF(K344="NULL","FCF yok (NULL)","FCF kapsamı dışı"),IF(I344&lt;=0,"anlamsız (FCF ≤ 0)",IF(OR(K344="KOŞULLU"),"FCF KOŞULLU — yorum yapılmaz","")))</f>
        <v/>
      </c>
      <c r="O344" s="9" t="n">
        <f aca="false">IF(Q344="","",F344*R344/Q344-1)</f>
        <v>-0.344688221709007</v>
      </c>
      <c r="P344" s="9" t="n">
        <f aca="false">IF(S344="","",F344*T344/S344-1)</f>
        <v>-0.0290846877673225</v>
      </c>
      <c r="Q344" s="5" t="n">
        <v>34.64</v>
      </c>
      <c r="R344" s="10" t="n">
        <v>1</v>
      </c>
      <c r="S344" s="5" t="n">
        <v>23.38</v>
      </c>
      <c r="T344" s="10" t="n">
        <v>1</v>
      </c>
      <c r="U344" s="4"/>
    </row>
    <row r="345" customFormat="false" ht="15" hidden="false" customHeight="false" outlineLevel="0" collapsed="false">
      <c r="A345" s="4" t="s">
        <v>786</v>
      </c>
      <c r="B345" s="4" t="s">
        <v>787</v>
      </c>
      <c r="C345" s="4" t="s">
        <v>29</v>
      </c>
      <c r="D345" s="4" t="s">
        <v>30</v>
      </c>
      <c r="E345" s="4" t="s">
        <v>119</v>
      </c>
      <c r="F345" s="5" t="n">
        <v>22.44</v>
      </c>
      <c r="G345" s="4" t="s">
        <v>26</v>
      </c>
      <c r="H345" s="6" t="n">
        <v>1777.248</v>
      </c>
      <c r="I345" s="7" t="n">
        <v>200.863</v>
      </c>
      <c r="J345" s="4" t="s">
        <v>32</v>
      </c>
      <c r="K345" s="4" t="s">
        <v>33</v>
      </c>
      <c r="L345" s="4" t="s">
        <v>42</v>
      </c>
      <c r="M345" s="8" t="n">
        <f aca="false">IF(OR(H345="",I345=""),"",IF(I345&gt;0,H345/I345,""))</f>
        <v>8.84806061843147</v>
      </c>
      <c r="N345" s="4" t="str">
        <f aca="false">IF(I345="",IF(K345="NULL","FCF yok (NULL)","FCF kapsamı dışı"),IF(I345&lt;=0,"anlamsız (FCF ≤ 0)",IF(OR(K345="KOŞULLU"),"FCF KOŞULLU — yorum yapılmaz","")))</f>
        <v/>
      </c>
      <c r="O345" s="9" t="n">
        <f aca="false">IF(Q345="","",F345*R345/Q345-1)</f>
        <v>-0.477653631284916</v>
      </c>
      <c r="P345" s="9" t="n">
        <f aca="false">IF(S345="","",F345*T345/S345-1)</f>
        <v>-0.0234986945169713</v>
      </c>
      <c r="Q345" s="5" t="n">
        <v>42.96</v>
      </c>
      <c r="R345" s="10" t="n">
        <v>1</v>
      </c>
      <c r="S345" s="5" t="n">
        <v>22.98</v>
      </c>
      <c r="T345" s="10" t="n">
        <v>1</v>
      </c>
      <c r="U345" s="4"/>
    </row>
    <row r="346" customFormat="false" ht="15" hidden="false" customHeight="false" outlineLevel="0" collapsed="false">
      <c r="A346" s="4" t="s">
        <v>788</v>
      </c>
      <c r="B346" s="4" t="s">
        <v>789</v>
      </c>
      <c r="C346" s="4" t="s">
        <v>60</v>
      </c>
      <c r="D346" s="4"/>
      <c r="E346" s="4"/>
      <c r="F346" s="5" t="n">
        <v>7.52</v>
      </c>
      <c r="G346" s="4" t="s">
        <v>141</v>
      </c>
      <c r="H346" s="6" t="n">
        <v>75200</v>
      </c>
      <c r="I346" s="7"/>
      <c r="J346" s="4"/>
      <c r="K346" s="4"/>
      <c r="L346" s="4"/>
      <c r="M346" s="8" t="str">
        <f aca="false">IF(OR(H346="",I346=""),"",IF(I346&gt;0,H346/I346,""))</f>
        <v/>
      </c>
      <c r="N346" s="4" t="str">
        <f aca="false">IF(I346="",IF(K346="NULL","FCF yok (NULL)","FCF kapsamı dışı"),IF(I346&lt;=0,"anlamsız (FCF ≤ 0)",IF(OR(K346="KOŞULLU"),"FCF KOŞULLU — yorum yapılmaz","")))</f>
        <v>FCF kapsamı dışı</v>
      </c>
      <c r="O346" s="9" t="n">
        <f aca="false">IF(Q346="","",F346*R346/Q346-1)</f>
        <v>-0.383606557377049</v>
      </c>
      <c r="P346" s="9" t="n">
        <f aca="false">IF(S346="","",F346*T346/S346-1)</f>
        <v>-0.101553166069295</v>
      </c>
      <c r="Q346" s="5" t="n">
        <v>12.2</v>
      </c>
      <c r="R346" s="10" t="n">
        <v>1</v>
      </c>
      <c r="S346" s="5" t="n">
        <v>8.37</v>
      </c>
      <c r="T346" s="10" t="n">
        <v>1</v>
      </c>
      <c r="U346" s="4"/>
    </row>
    <row r="347" customFormat="false" ht="15" hidden="false" customHeight="false" outlineLevel="0" collapsed="false">
      <c r="A347" s="4" t="s">
        <v>790</v>
      </c>
      <c r="B347" s="4" t="s">
        <v>791</v>
      </c>
      <c r="C347" s="4" t="s">
        <v>29</v>
      </c>
      <c r="D347" s="4" t="s">
        <v>63</v>
      </c>
      <c r="E347" s="4" t="s">
        <v>63</v>
      </c>
      <c r="F347" s="5" t="n">
        <v>13.62</v>
      </c>
      <c r="G347" s="4" t="s">
        <v>120</v>
      </c>
      <c r="H347" s="6" t="n">
        <v>39838.5</v>
      </c>
      <c r="I347" s="7" t="n">
        <v>-2948.232856</v>
      </c>
      <c r="J347" s="4" t="s">
        <v>111</v>
      </c>
      <c r="K347" s="4" t="s">
        <v>33</v>
      </c>
      <c r="L347" s="4" t="s">
        <v>57</v>
      </c>
      <c r="M347" s="8" t="str">
        <f aca="false">IF(OR(H347="",I347=""),"",IF(I347&gt;0,H347/I347,""))</f>
        <v/>
      </c>
      <c r="N347" s="4" t="str">
        <f aca="false">IF(I347="",IF(K347="NULL","FCF yok (NULL)","FCF kapsamı dışı"),IF(I347&lt;=0,"anlamsız (FCF ≤ 0)",IF(OR(K347="KOŞULLU"),"FCF KOŞULLU — yorum yapılmaz","")))</f>
        <v>anlamsız (FCF ≤ 0)</v>
      </c>
      <c r="O347" s="9" t="n">
        <f aca="false">IF(Q347="","",F347*R347/Q347-1)</f>
        <v>-0.767419590715282</v>
      </c>
      <c r="P347" s="9" t="n">
        <f aca="false">IF(S347="","",F347*T347/S347-1)</f>
        <v>-0.285541292569768</v>
      </c>
      <c r="Q347" s="5" t="n">
        <v>117.1</v>
      </c>
      <c r="R347" s="10" t="n">
        <v>1.99964507542147</v>
      </c>
      <c r="S347" s="5" t="n">
        <v>38.12</v>
      </c>
      <c r="T347" s="10" t="n">
        <v>1.99964507542147</v>
      </c>
      <c r="U347" s="4" t="s">
        <v>792</v>
      </c>
    </row>
    <row r="348" customFormat="false" ht="15" hidden="false" customHeight="false" outlineLevel="0" collapsed="false">
      <c r="A348" s="4" t="s">
        <v>793</v>
      </c>
      <c r="B348" s="4" t="s">
        <v>794</v>
      </c>
      <c r="C348" s="4" t="s">
        <v>29</v>
      </c>
      <c r="D348" s="4" t="s">
        <v>30</v>
      </c>
      <c r="E348" s="4" t="s">
        <v>263</v>
      </c>
      <c r="F348" s="5" t="n">
        <v>19.1</v>
      </c>
      <c r="G348" s="4" t="s">
        <v>64</v>
      </c>
      <c r="H348" s="6" t="n">
        <v>9832.272406</v>
      </c>
      <c r="I348" s="7" t="n">
        <v>-661.3838272</v>
      </c>
      <c r="J348" s="4" t="s">
        <v>32</v>
      </c>
      <c r="K348" s="4" t="s">
        <v>33</v>
      </c>
      <c r="L348" s="4" t="s">
        <v>57</v>
      </c>
      <c r="M348" s="8" t="str">
        <f aca="false">IF(OR(H348="",I348=""),"",IF(I348&gt;0,H348/I348,""))</f>
        <v/>
      </c>
      <c r="N348" s="4" t="str">
        <f aca="false">IF(I348="",IF(K348="NULL","FCF yok (NULL)","FCF kapsamı dışı"),IF(I348&lt;=0,"anlamsız (FCF ≤ 0)",IF(OR(K348="KOŞULLU"),"FCF KOŞULLU — yorum yapılmaz","")))</f>
        <v>anlamsız (FCF ≤ 0)</v>
      </c>
      <c r="O348" s="9" t="n">
        <f aca="false">IF(Q348="","",F348*R348/Q348-1)</f>
        <v>-0.376631853785901</v>
      </c>
      <c r="P348" s="9" t="n">
        <f aca="false">IF(S348="","",F348*T348/S348-1)</f>
        <v>-0.0497512437810945</v>
      </c>
      <c r="Q348" s="5" t="n">
        <v>30.64</v>
      </c>
      <c r="R348" s="10" t="n">
        <v>1</v>
      </c>
      <c r="S348" s="5" t="n">
        <v>20.1</v>
      </c>
      <c r="T348" s="10" t="n">
        <v>1</v>
      </c>
      <c r="U348" s="4"/>
    </row>
    <row r="349" customFormat="false" ht="15" hidden="false" customHeight="false" outlineLevel="0" collapsed="false">
      <c r="A349" s="4" t="s">
        <v>795</v>
      </c>
      <c r="B349" s="4" t="s">
        <v>796</v>
      </c>
      <c r="C349" s="4" t="s">
        <v>29</v>
      </c>
      <c r="D349" s="4" t="s">
        <v>30</v>
      </c>
      <c r="E349" s="4" t="s">
        <v>418</v>
      </c>
      <c r="F349" s="5" t="n">
        <v>14.24</v>
      </c>
      <c r="G349" s="4" t="s">
        <v>120</v>
      </c>
      <c r="H349" s="6" t="n">
        <v>6143.41817984</v>
      </c>
      <c r="I349" s="7" t="n">
        <v>-399.1507248</v>
      </c>
      <c r="J349" s="4" t="s">
        <v>32</v>
      </c>
      <c r="K349" s="4" t="s">
        <v>33</v>
      </c>
      <c r="L349" s="4" t="s">
        <v>57</v>
      </c>
      <c r="M349" s="8" t="str">
        <f aca="false">IF(OR(H349="",I349=""),"",IF(I349&gt;0,H349/I349,""))</f>
        <v/>
      </c>
      <c r="N349" s="4" t="str">
        <f aca="false">IF(I349="",IF(K349="NULL","FCF yok (NULL)","FCF kapsamı dışı"),IF(I349&lt;=0,"anlamsız (FCF ≤ 0)",IF(OR(K349="KOŞULLU"),"FCF KOŞULLU — yorum yapılmaz","")))</f>
        <v>anlamsız (FCF ≤ 0)</v>
      </c>
      <c r="O349" s="9" t="n">
        <f aca="false">IF(Q349="","",F349*R349/Q349-1)</f>
        <v>1.19753086419753</v>
      </c>
      <c r="P349" s="9" t="n">
        <f aca="false">IF(S349="","",F349*T349/S349-1)</f>
        <v>0.0626865671641792</v>
      </c>
      <c r="Q349" s="5" t="n">
        <v>6.48</v>
      </c>
      <c r="R349" s="10" t="n">
        <v>1</v>
      </c>
      <c r="S349" s="5" t="n">
        <v>13.4</v>
      </c>
      <c r="T349" s="10" t="n">
        <v>1</v>
      </c>
      <c r="U349" s="4"/>
    </row>
    <row r="350" customFormat="false" ht="15" hidden="false" customHeight="false" outlineLevel="0" collapsed="false">
      <c r="A350" s="4" t="s">
        <v>797</v>
      </c>
      <c r="B350" s="4" t="s">
        <v>798</v>
      </c>
      <c r="C350" s="4" t="s">
        <v>29</v>
      </c>
      <c r="D350" s="4" t="s">
        <v>30</v>
      </c>
      <c r="E350" s="4" t="s">
        <v>126</v>
      </c>
      <c r="F350" s="5" t="n">
        <v>54.1</v>
      </c>
      <c r="G350" s="4" t="s">
        <v>64</v>
      </c>
      <c r="H350" s="6" t="n">
        <v>24890.2397629</v>
      </c>
      <c r="I350" s="7" t="n">
        <v>-3519.361</v>
      </c>
      <c r="J350" s="4" t="s">
        <v>32</v>
      </c>
      <c r="K350" s="4" t="s">
        <v>33</v>
      </c>
      <c r="L350" s="4" t="s">
        <v>42</v>
      </c>
      <c r="M350" s="8" t="str">
        <f aca="false">IF(OR(H350="",I350=""),"",IF(I350&gt;0,H350/I350,""))</f>
        <v/>
      </c>
      <c r="N350" s="4" t="str">
        <f aca="false">IF(I350="",IF(K350="NULL","FCF yok (NULL)","FCF kapsamı dışı"),IF(I350&lt;=0,"anlamsız (FCF ≤ 0)",IF(OR(K350="KOŞULLU"),"FCF KOŞULLU — yorum yapılmaz","")))</f>
        <v>anlamsız (FCF ≤ 0)</v>
      </c>
      <c r="O350" s="9" t="n">
        <f aca="false">IF(Q350="","",F350*R350/Q350-1)</f>
        <v>-0.146014206787687</v>
      </c>
      <c r="P350" s="9" t="n">
        <f aca="false">IF(S350="","",F350*T350/S350-1)</f>
        <v>-0.0508771929824561</v>
      </c>
      <c r="Q350" s="5" t="n">
        <v>63.35</v>
      </c>
      <c r="R350" s="10" t="n">
        <v>1</v>
      </c>
      <c r="S350" s="5" t="n">
        <v>57</v>
      </c>
      <c r="T350" s="10" t="n">
        <v>1</v>
      </c>
      <c r="U350" s="4"/>
    </row>
    <row r="351" customFormat="false" ht="15" hidden="false" customHeight="false" outlineLevel="0" collapsed="false">
      <c r="A351" s="4" t="s">
        <v>799</v>
      </c>
      <c r="B351" s="4" t="s">
        <v>800</v>
      </c>
      <c r="C351" s="4" t="s">
        <v>29</v>
      </c>
      <c r="D351" s="4" t="s">
        <v>30</v>
      </c>
      <c r="E351" s="4" t="s">
        <v>41</v>
      </c>
      <c r="F351" s="5" t="n">
        <v>14.41</v>
      </c>
      <c r="G351" s="4" t="s">
        <v>26</v>
      </c>
      <c r="H351" s="6" t="n">
        <v>7006.142</v>
      </c>
      <c r="I351" s="7" t="n">
        <v>-91.518</v>
      </c>
      <c r="J351" s="4" t="s">
        <v>32</v>
      </c>
      <c r="K351" s="4" t="s">
        <v>33</v>
      </c>
      <c r="L351" s="4" t="s">
        <v>42</v>
      </c>
      <c r="M351" s="8" t="str">
        <f aca="false">IF(OR(H351="",I351=""),"",IF(I351&gt;0,H351/I351,""))</f>
        <v/>
      </c>
      <c r="N351" s="4" t="str">
        <f aca="false">IF(I351="",IF(K351="NULL","FCF yok (NULL)","FCF kapsamı dışı"),IF(I351&lt;=0,"anlamsız (FCF ≤ 0)",IF(OR(K351="KOŞULLU"),"FCF KOŞULLU — yorum yapılmaz","")))</f>
        <v>anlamsız (FCF ≤ 0)</v>
      </c>
      <c r="O351" s="9" t="n">
        <f aca="false">IF(Q351="","",F351*R351/Q351-1)</f>
        <v>-0.215568862275449</v>
      </c>
      <c r="P351" s="9" t="n">
        <f aca="false">IF(S351="","",F351*T351/S351-1)</f>
        <v>-0.060625814863103</v>
      </c>
      <c r="Q351" s="5" t="n">
        <v>18.37</v>
      </c>
      <c r="R351" s="10" t="n">
        <v>1</v>
      </c>
      <c r="S351" s="5" t="n">
        <v>15.34</v>
      </c>
      <c r="T351" s="10" t="n">
        <v>1</v>
      </c>
      <c r="U351" s="4"/>
    </row>
    <row r="352" customFormat="false" ht="15" hidden="false" customHeight="false" outlineLevel="0" collapsed="false">
      <c r="A352" s="4" t="s">
        <v>801</v>
      </c>
      <c r="B352" s="4" t="s">
        <v>802</v>
      </c>
      <c r="C352" s="4" t="s">
        <v>29</v>
      </c>
      <c r="D352" s="4" t="s">
        <v>30</v>
      </c>
      <c r="E352" s="4" t="s">
        <v>53</v>
      </c>
      <c r="F352" s="5" t="n">
        <v>11.4</v>
      </c>
      <c r="G352" s="4" t="s">
        <v>64</v>
      </c>
      <c r="H352" s="6" t="n">
        <v>3009.6</v>
      </c>
      <c r="I352" s="7" t="n">
        <v>35.639</v>
      </c>
      <c r="J352" s="4" t="s">
        <v>32</v>
      </c>
      <c r="K352" s="4" t="s">
        <v>33</v>
      </c>
      <c r="L352" s="4" t="s">
        <v>42</v>
      </c>
      <c r="M352" s="8" t="n">
        <f aca="false">IF(OR(H352="",I352=""),"",IF(I352&gt;0,H352/I352,""))</f>
        <v>84.4468138836668</v>
      </c>
      <c r="N352" s="4" t="str">
        <f aca="false">IF(I352="",IF(K352="NULL","FCF yok (NULL)","FCF kapsamı dışı"),IF(I352&lt;=0,"anlamsız (FCF ≤ 0)",IF(OR(K352="KOŞULLU"),"FCF KOŞULLU — yorum yapılmaz","")))</f>
        <v/>
      </c>
      <c r="O352" s="9" t="n">
        <f aca="false">IF(Q352="","",F352*R352/Q352-1)</f>
        <v>-0.466292134831461</v>
      </c>
      <c r="P352" s="9" t="n">
        <f aca="false">IF(S352="","",F352*T352/S352-1)</f>
        <v>0.103581800580833</v>
      </c>
      <c r="Q352" s="5" t="n">
        <v>21.36</v>
      </c>
      <c r="R352" s="10" t="n">
        <v>1</v>
      </c>
      <c r="S352" s="5" t="n">
        <v>10.33</v>
      </c>
      <c r="T352" s="10" t="n">
        <v>1</v>
      </c>
      <c r="U352" s="4"/>
    </row>
    <row r="353" customFormat="false" ht="15" hidden="false" customHeight="false" outlineLevel="0" collapsed="false">
      <c r="A353" s="4" t="s">
        <v>803</v>
      </c>
      <c r="B353" s="4" t="s">
        <v>804</v>
      </c>
      <c r="C353" s="4" t="s">
        <v>29</v>
      </c>
      <c r="D353" s="4" t="s">
        <v>30</v>
      </c>
      <c r="E353" s="4" t="s">
        <v>295</v>
      </c>
      <c r="F353" s="5" t="n">
        <v>2.9</v>
      </c>
      <c r="G353" s="4" t="s">
        <v>26</v>
      </c>
      <c r="H353" s="6" t="n">
        <v>7250</v>
      </c>
      <c r="I353" s="7" t="n">
        <v>81.1100000000001</v>
      </c>
      <c r="J353" s="4" t="s">
        <v>32</v>
      </c>
      <c r="K353" s="4" t="s">
        <v>33</v>
      </c>
      <c r="L353" s="4" t="s">
        <v>42</v>
      </c>
      <c r="M353" s="8" t="n">
        <f aca="false">IF(OR(H353="",I353=""),"",IF(I353&gt;0,H353/I353,""))</f>
        <v>89.3847860929601</v>
      </c>
      <c r="N353" s="4" t="str">
        <f aca="false">IF(I353="",IF(K353="NULL","FCF yok (NULL)","FCF kapsamı dışı"),IF(I353&lt;=0,"anlamsız (FCF ≤ 0)",IF(OR(K353="KOŞULLU"),"FCF KOŞULLU — yorum yapılmaz","")))</f>
        <v/>
      </c>
      <c r="O353" s="9" t="n">
        <f aca="false">IF(Q353="","",F353*R353/Q353-1)</f>
        <v>-0.0202702702702703</v>
      </c>
      <c r="P353" s="9" t="n">
        <f aca="false">IF(S353="","",F353*T353/S353-1)</f>
        <v>0.0431654676258992</v>
      </c>
      <c r="Q353" s="5" t="n">
        <v>2.96</v>
      </c>
      <c r="R353" s="10" t="n">
        <v>1</v>
      </c>
      <c r="S353" s="5" t="n">
        <v>2.78</v>
      </c>
      <c r="T353" s="10" t="n">
        <v>1</v>
      </c>
      <c r="U353" s="4"/>
    </row>
    <row r="354" customFormat="false" ht="15" hidden="false" customHeight="false" outlineLevel="0" collapsed="false">
      <c r="A354" s="4" t="s">
        <v>805</v>
      </c>
      <c r="B354" s="4" t="s">
        <v>806</v>
      </c>
      <c r="C354" s="4" t="s">
        <v>29</v>
      </c>
      <c r="D354" s="4" t="s">
        <v>30</v>
      </c>
      <c r="E354" s="4" t="s">
        <v>131</v>
      </c>
      <c r="F354" s="5" t="n">
        <v>8.68</v>
      </c>
      <c r="G354" s="4" t="s">
        <v>26</v>
      </c>
      <c r="H354" s="6" t="n">
        <v>3385.2</v>
      </c>
      <c r="I354" s="7" t="n">
        <v>-2.76193760000001</v>
      </c>
      <c r="J354" s="4" t="s">
        <v>32</v>
      </c>
      <c r="K354" s="4" t="s">
        <v>33</v>
      </c>
      <c r="L354" s="4" t="s">
        <v>57</v>
      </c>
      <c r="M354" s="8" t="str">
        <f aca="false">IF(OR(H354="",I354=""),"",IF(I354&gt;0,H354/I354,""))</f>
        <v/>
      </c>
      <c r="N354" s="4" t="str">
        <f aca="false">IF(I354="",IF(K354="NULL","FCF yok (NULL)","FCF kapsamı dışı"),IF(I354&lt;=0,"anlamsız (FCF ≤ 0)",IF(OR(K354="KOŞULLU"),"FCF KOŞULLU — yorum yapılmaz","")))</f>
        <v>anlamsız (FCF ≤ 0)</v>
      </c>
      <c r="O354" s="9" t="n">
        <f aca="false">IF(Q354="","",F354*R354/Q354-1)</f>
        <v>-0.497685185185185</v>
      </c>
      <c r="P354" s="9" t="n">
        <f aca="false">IF(S354="","",F354*T354/S354-1)</f>
        <v>0.134640522875817</v>
      </c>
      <c r="Q354" s="5" t="n">
        <v>17.28</v>
      </c>
      <c r="R354" s="10" t="n">
        <v>1</v>
      </c>
      <c r="S354" s="5" t="n">
        <v>7.65</v>
      </c>
      <c r="T354" s="10" t="n">
        <v>1</v>
      </c>
      <c r="U354" s="4"/>
    </row>
    <row r="355" customFormat="false" ht="15" hidden="false" customHeight="false" outlineLevel="0" collapsed="false">
      <c r="A355" s="4" t="s">
        <v>807</v>
      </c>
      <c r="B355" s="4" t="s">
        <v>808</v>
      </c>
      <c r="C355" s="4" t="s">
        <v>29</v>
      </c>
      <c r="D355" s="4" t="s">
        <v>30</v>
      </c>
      <c r="E355" s="4" t="s">
        <v>126</v>
      </c>
      <c r="F355" s="5" t="n">
        <v>2.19</v>
      </c>
      <c r="G355" s="4" t="s">
        <v>141</v>
      </c>
      <c r="H355" s="6" t="n">
        <v>2847</v>
      </c>
      <c r="I355" s="7" t="n">
        <v>3721.919</v>
      </c>
      <c r="J355" s="4" t="s">
        <v>32</v>
      </c>
      <c r="K355" s="4" t="s">
        <v>33</v>
      </c>
      <c r="L355" s="4" t="s">
        <v>42</v>
      </c>
      <c r="M355" s="8" t="n">
        <f aca="false">IF(OR(H355="",I355=""),"",IF(I355&gt;0,H355/I355,""))</f>
        <v>0.764927984730458</v>
      </c>
      <c r="N355" s="4" t="str">
        <f aca="false">IF(I355="",IF(K355="NULL","FCF yok (NULL)","FCF kapsamı dışı"),IF(I355&lt;=0,"anlamsız (FCF ≤ 0)",IF(OR(K355="KOŞULLU"),"FCF KOŞULLU — yorum yapılmaz","")))</f>
        <v/>
      </c>
      <c r="O355" s="9" t="n">
        <f aca="false">IF(Q355="","",F355*R355/Q355-1)</f>
        <v>-0.873483535528596</v>
      </c>
      <c r="P355" s="9" t="n">
        <f aca="false">IF(S355="","",F355*T355/S355-1)</f>
        <v>-0.14453125</v>
      </c>
      <c r="Q355" s="5" t="n">
        <v>17.31</v>
      </c>
      <c r="R355" s="10" t="n">
        <v>1</v>
      </c>
      <c r="S355" s="5" t="n">
        <v>2.56</v>
      </c>
      <c r="T355" s="10" t="n">
        <v>1</v>
      </c>
      <c r="U355" s="4"/>
    </row>
    <row r="356" customFormat="false" ht="15" hidden="false" customHeight="false" outlineLevel="0" collapsed="false">
      <c r="A356" s="4" t="s">
        <v>809</v>
      </c>
      <c r="B356" s="4" t="s">
        <v>810</v>
      </c>
      <c r="C356" s="4" t="s">
        <v>29</v>
      </c>
      <c r="D356" s="4" t="s">
        <v>30</v>
      </c>
      <c r="E356" s="4" t="s">
        <v>56</v>
      </c>
      <c r="F356" s="5" t="n">
        <v>3540</v>
      </c>
      <c r="G356" s="4" t="s">
        <v>46</v>
      </c>
      <c r="H356" s="6" t="n">
        <v>17251.9776</v>
      </c>
      <c r="I356" s="7" t="n">
        <v>-207.905</v>
      </c>
      <c r="J356" s="4" t="s">
        <v>32</v>
      </c>
      <c r="K356" s="4" t="s">
        <v>33</v>
      </c>
      <c r="L356" s="4" t="s">
        <v>42</v>
      </c>
      <c r="M356" s="8" t="str">
        <f aca="false">IF(OR(H356="",I356=""),"",IF(I356&gt;0,H356/I356,""))</f>
        <v/>
      </c>
      <c r="N356" s="4" t="str">
        <f aca="false">IF(I356="",IF(K356="NULL","FCF yok (NULL)","FCF kapsamı dışı"),IF(I356&lt;=0,"anlamsız (FCF ≤ 0)",IF(OR(K356="KOŞULLU"),"FCF KOŞULLU — yorum yapılmaz","")))</f>
        <v>anlamsız (FCF ≤ 0)</v>
      </c>
      <c r="O356" s="9" t="n">
        <f aca="false">IF(Q356="","",F356*R356/Q356-1)</f>
        <v>-0.296921549155909</v>
      </c>
      <c r="P356" s="9" t="n">
        <f aca="false">IF(S356="","",F356*T356/S356-1)</f>
        <v>-0.00909727081875433</v>
      </c>
      <c r="Q356" s="5" t="n">
        <v>5035</v>
      </c>
      <c r="R356" s="10" t="n">
        <v>1</v>
      </c>
      <c r="S356" s="5" t="n">
        <v>3572.5</v>
      </c>
      <c r="T356" s="10" t="n">
        <v>1</v>
      </c>
      <c r="U356" s="4"/>
    </row>
    <row r="357" customFormat="false" ht="15" hidden="false" customHeight="false" outlineLevel="0" collapsed="false">
      <c r="A357" s="4" t="s">
        <v>811</v>
      </c>
      <c r="B357" s="4" t="s">
        <v>812</v>
      </c>
      <c r="C357" s="4" t="s">
        <v>29</v>
      </c>
      <c r="D357" s="4" t="s">
        <v>30</v>
      </c>
      <c r="E357" s="4" t="s">
        <v>41</v>
      </c>
      <c r="F357" s="5" t="n">
        <v>3.2</v>
      </c>
      <c r="G357" s="4" t="s">
        <v>64</v>
      </c>
      <c r="H357" s="6" t="n">
        <v>4150.272</v>
      </c>
      <c r="I357" s="7" t="n">
        <v>-565.604</v>
      </c>
      <c r="J357" s="4" t="s">
        <v>32</v>
      </c>
      <c r="K357" s="4" t="s">
        <v>33</v>
      </c>
      <c r="L357" s="4" t="s">
        <v>42</v>
      </c>
      <c r="M357" s="8" t="str">
        <f aca="false">IF(OR(H357="",I357=""),"",IF(I357&gt;0,H357/I357,""))</f>
        <v/>
      </c>
      <c r="N357" s="4" t="str">
        <f aca="false">IF(I357="",IF(K357="NULL","FCF yok (NULL)","FCF kapsamı dışı"),IF(I357&lt;=0,"anlamsız (FCF ≤ 0)",IF(OR(K357="KOŞULLU"),"FCF KOŞULLU — yorum yapılmaz","")))</f>
        <v>anlamsız (FCF ≤ 0)</v>
      </c>
      <c r="O357" s="9" t="n">
        <f aca="false">IF(Q357="","",F357*R357/Q357-1)</f>
        <v>-0.522388059701493</v>
      </c>
      <c r="P357" s="9" t="n">
        <f aca="false">IF(S357="","",F357*T357/S357-1)</f>
        <v>-0.12568306010929</v>
      </c>
      <c r="Q357" s="5" t="n">
        <v>6.7</v>
      </c>
      <c r="R357" s="10" t="n">
        <v>1</v>
      </c>
      <c r="S357" s="5" t="n">
        <v>3.66</v>
      </c>
      <c r="T357" s="10" t="n">
        <v>1</v>
      </c>
      <c r="U357" s="4"/>
    </row>
    <row r="358" customFormat="false" ht="15" hidden="false" customHeight="false" outlineLevel="0" collapsed="false">
      <c r="A358" s="4" t="s">
        <v>813</v>
      </c>
      <c r="B358" s="4" t="s">
        <v>814</v>
      </c>
      <c r="C358" s="4" t="s">
        <v>29</v>
      </c>
      <c r="D358" s="4" t="s">
        <v>30</v>
      </c>
      <c r="E358" s="4" t="s">
        <v>41</v>
      </c>
      <c r="F358" s="5" t="n">
        <v>3.04</v>
      </c>
      <c r="G358" s="4" t="s">
        <v>26</v>
      </c>
      <c r="H358" s="6" t="n">
        <v>11235.41522384</v>
      </c>
      <c r="I358" s="7" t="n">
        <v>2990.912</v>
      </c>
      <c r="J358" s="4" t="s">
        <v>32</v>
      </c>
      <c r="K358" s="4" t="s">
        <v>33</v>
      </c>
      <c r="L358" s="4" t="s">
        <v>57</v>
      </c>
      <c r="M358" s="8" t="n">
        <f aca="false">IF(OR(H358="",I358=""),"",IF(I358&gt;0,H358/I358,""))</f>
        <v>3.75651815360666</v>
      </c>
      <c r="N358" s="4" t="str">
        <f aca="false">IF(I358="",IF(K358="NULL","FCF yok (NULL)","FCF kapsamı dışı"),IF(I358&lt;=0,"anlamsız (FCF ≤ 0)",IF(OR(K358="KOŞULLU"),"FCF KOŞULLU — yorum yapılmaz","")))</f>
        <v/>
      </c>
      <c r="O358" s="9" t="n">
        <f aca="false">IF(Q358="","",F358*R358/Q358-1)</f>
        <v>-0.0937602798025899</v>
      </c>
      <c r="P358" s="9" t="n">
        <f aca="false">IF(S358="","",F358*T358/S358-1)</f>
        <v>-0.00977198697068393</v>
      </c>
      <c r="Q358" s="5" t="n">
        <v>63.1</v>
      </c>
      <c r="R358" s="10" t="n">
        <v>18.8104362975186</v>
      </c>
      <c r="S358" s="5" t="n">
        <v>3.07</v>
      </c>
      <c r="T358" s="10" t="n">
        <v>1</v>
      </c>
      <c r="U358" s="4" t="s">
        <v>815</v>
      </c>
    </row>
    <row r="359" customFormat="false" ht="15" hidden="false" customHeight="false" outlineLevel="0" collapsed="false">
      <c r="A359" s="4" t="s">
        <v>816</v>
      </c>
      <c r="B359" s="4" t="s">
        <v>817</v>
      </c>
      <c r="C359" s="4" t="s">
        <v>29</v>
      </c>
      <c r="D359" s="4" t="s">
        <v>30</v>
      </c>
      <c r="E359" s="4" t="s">
        <v>818</v>
      </c>
      <c r="F359" s="5" t="n">
        <v>9.94</v>
      </c>
      <c r="G359" s="4" t="s">
        <v>26</v>
      </c>
      <c r="H359" s="6" t="n">
        <v>8246.721</v>
      </c>
      <c r="I359" s="7" t="n">
        <v>1840.582</v>
      </c>
      <c r="J359" s="4" t="s">
        <v>32</v>
      </c>
      <c r="K359" s="4" t="s">
        <v>33</v>
      </c>
      <c r="L359" s="4" t="s">
        <v>42</v>
      </c>
      <c r="M359" s="8" t="n">
        <f aca="false">IF(OR(H359="",I359=""),"",IF(I359&gt;0,H359/I359,""))</f>
        <v>4.48049638646906</v>
      </c>
      <c r="N359" s="4" t="str">
        <f aca="false">IF(I359="",IF(K359="NULL","FCF yok (NULL)","FCF kapsamı dışı"),IF(I359&lt;=0,"anlamsız (FCF ≤ 0)",IF(OR(K359="KOŞULLU"),"FCF KOŞULLU — yorum yapılmaz","")))</f>
        <v/>
      </c>
      <c r="O359" s="9" t="n">
        <f aca="false">IF(Q359="","",F359*R359/Q359-1)</f>
        <v>-0.462992976769314</v>
      </c>
      <c r="P359" s="9" t="n">
        <f aca="false">IF(S359="","",F359*T359/S359-1)</f>
        <v>-0.0897435897435898</v>
      </c>
      <c r="Q359" s="5" t="n">
        <v>18.51</v>
      </c>
      <c r="R359" s="10" t="n">
        <v>1</v>
      </c>
      <c r="S359" s="5" t="n">
        <v>10.92</v>
      </c>
      <c r="T359" s="10" t="n">
        <v>1</v>
      </c>
      <c r="U359" s="4"/>
    </row>
    <row r="360" customFormat="false" ht="15" hidden="false" customHeight="false" outlineLevel="0" collapsed="false">
      <c r="A360" s="4" t="s">
        <v>819</v>
      </c>
      <c r="B360" s="4" t="s">
        <v>820</v>
      </c>
      <c r="C360" s="4" t="s">
        <v>29</v>
      </c>
      <c r="D360" s="4" t="s">
        <v>30</v>
      </c>
      <c r="E360" s="4" t="s">
        <v>41</v>
      </c>
      <c r="F360" s="5" t="n">
        <v>54.15</v>
      </c>
      <c r="G360" s="4" t="s">
        <v>26</v>
      </c>
      <c r="H360" s="6" t="n">
        <v>6774.165</v>
      </c>
      <c r="I360" s="7"/>
      <c r="J360" s="4" t="s">
        <v>32</v>
      </c>
      <c r="K360" s="4" t="s">
        <v>116</v>
      </c>
      <c r="L360" s="4" t="s">
        <v>42</v>
      </c>
      <c r="M360" s="8" t="str">
        <f aca="false">IF(OR(H360="",I360=""),"",IF(I360&gt;0,H360/I360,""))</f>
        <v/>
      </c>
      <c r="N360" s="4" t="str">
        <f aca="false">IF(I360="",IF(K360="NULL","FCF yok (NULL)","FCF kapsamı dışı"),IF(I360&lt;=0,"anlamsız (FCF ≤ 0)",IF(OR(K360="KOŞULLU"),"FCF KOŞULLU — yorum yapılmaz","")))</f>
        <v>FCF yok (NULL)</v>
      </c>
      <c r="O360" s="9" t="str">
        <f aca="false">IF(Q360="","",F360*R360/Q360-1)</f>
        <v/>
      </c>
      <c r="P360" s="9" t="n">
        <f aca="false">IF(S360="","",F360*T360/S360-1)</f>
        <v>-0.214078374455733</v>
      </c>
      <c r="Q360" s="5"/>
      <c r="R360" s="10" t="n">
        <v>1</v>
      </c>
      <c r="S360" s="5" t="n">
        <v>68.9</v>
      </c>
      <c r="T360" s="10" t="n">
        <v>1</v>
      </c>
      <c r="U360" s="4"/>
    </row>
    <row r="361" customFormat="false" ht="15" hidden="false" customHeight="false" outlineLevel="0" collapsed="false">
      <c r="A361" s="4" t="s">
        <v>821</v>
      </c>
      <c r="B361" s="4" t="s">
        <v>822</v>
      </c>
      <c r="C361" s="4" t="s">
        <v>29</v>
      </c>
      <c r="D361" s="4" t="s">
        <v>30</v>
      </c>
      <c r="E361" s="4" t="s">
        <v>295</v>
      </c>
      <c r="F361" s="5" t="n">
        <v>41.04</v>
      </c>
      <c r="G361" s="4" t="s">
        <v>26</v>
      </c>
      <c r="H361" s="6" t="n">
        <v>46785.6</v>
      </c>
      <c r="I361" s="7" t="n">
        <v>8542.0069072</v>
      </c>
      <c r="J361" s="4" t="s">
        <v>32</v>
      </c>
      <c r="K361" s="4" t="s">
        <v>33</v>
      </c>
      <c r="L361" s="4" t="s">
        <v>57</v>
      </c>
      <c r="M361" s="8" t="n">
        <f aca="false">IF(OR(H361="",I361=""),"",IF(I361&gt;0,H361/I361,""))</f>
        <v>5.47712036624142</v>
      </c>
      <c r="N361" s="4" t="str">
        <f aca="false">IF(I361="",IF(K361="NULL","FCF yok (NULL)","FCF kapsamı dışı"),IF(I361&lt;=0,"anlamsız (FCF ≤ 0)",IF(OR(K361="KOŞULLU"),"FCF KOŞULLU — yorum yapılmaz","")))</f>
        <v/>
      </c>
      <c r="O361" s="9" t="n">
        <f aca="false">IF(Q361="","",F361*R361/Q361-1)</f>
        <v>0.2674490426189</v>
      </c>
      <c r="P361" s="9" t="n">
        <f aca="false">IF(S361="","",F361*T361/S361-1)</f>
        <v>-0.0668485675306957</v>
      </c>
      <c r="Q361" s="5" t="n">
        <v>32.38</v>
      </c>
      <c r="R361" s="10" t="n">
        <v>1</v>
      </c>
      <c r="S361" s="5" t="n">
        <v>43.98</v>
      </c>
      <c r="T361" s="10" t="n">
        <v>1</v>
      </c>
      <c r="U361" s="4"/>
    </row>
    <row r="362" customFormat="false" ht="15" hidden="false" customHeight="false" outlineLevel="0" collapsed="false">
      <c r="A362" s="4" t="s">
        <v>823</v>
      </c>
      <c r="B362" s="4" t="s">
        <v>822</v>
      </c>
      <c r="C362" s="4" t="s">
        <v>29</v>
      </c>
      <c r="D362" s="4" t="s">
        <v>30</v>
      </c>
      <c r="E362" s="4" t="s">
        <v>295</v>
      </c>
      <c r="F362" s="5" t="n">
        <v>76.1</v>
      </c>
      <c r="G362" s="4" t="s">
        <v>76</v>
      </c>
      <c r="H362" s="6" t="n">
        <v>86754</v>
      </c>
      <c r="I362" s="7" t="n">
        <v>8542.0069072</v>
      </c>
      <c r="J362" s="4" t="s">
        <v>32</v>
      </c>
      <c r="K362" s="4" t="s">
        <v>33</v>
      </c>
      <c r="L362" s="4" t="s">
        <v>57</v>
      </c>
      <c r="M362" s="8" t="n">
        <f aca="false">IF(OR(H362="",I362=""),"",IF(I362&gt;0,H362/I362,""))</f>
        <v>10.1561613028989</v>
      </c>
      <c r="N362" s="4" t="str">
        <f aca="false">IF(I362="",IF(K362="NULL","FCF yok (NULL)","FCF kapsamı dışı"),IF(I362&lt;=0,"anlamsız (FCF ≤ 0)",IF(OR(K362="KOŞULLU"),"FCF KOŞULLU — yorum yapılmaz","")))</f>
        <v/>
      </c>
      <c r="O362" s="9" t="n">
        <f aca="false">IF(Q362="","",F362*R362/Q362-1)</f>
        <v>1.78550512445095</v>
      </c>
      <c r="P362" s="9" t="n">
        <f aca="false">IF(S362="","",F362*T362/S362-1)</f>
        <v>-0.0427672955974844</v>
      </c>
      <c r="Q362" s="5" t="n">
        <v>27.32</v>
      </c>
      <c r="R362" s="10" t="n">
        <v>1</v>
      </c>
      <c r="S362" s="5" t="n">
        <v>79.5</v>
      </c>
      <c r="T362" s="10" t="n">
        <v>1</v>
      </c>
      <c r="U362" s="4"/>
    </row>
    <row r="363" customFormat="false" ht="15" hidden="false" customHeight="false" outlineLevel="0" collapsed="false">
      <c r="A363" s="4" t="s">
        <v>824</v>
      </c>
      <c r="B363" s="4" t="s">
        <v>822</v>
      </c>
      <c r="C363" s="4" t="s">
        <v>29</v>
      </c>
      <c r="D363" s="4" t="s">
        <v>30</v>
      </c>
      <c r="E363" s="4" t="s">
        <v>295</v>
      </c>
      <c r="F363" s="5" t="n">
        <v>44.36</v>
      </c>
      <c r="G363" s="4" t="s">
        <v>26</v>
      </c>
      <c r="H363" s="6" t="n">
        <v>50570.4</v>
      </c>
      <c r="I363" s="7" t="n">
        <v>8542.0069072</v>
      </c>
      <c r="J363" s="4" t="s">
        <v>32</v>
      </c>
      <c r="K363" s="4" t="s">
        <v>33</v>
      </c>
      <c r="L363" s="4" t="s">
        <v>57</v>
      </c>
      <c r="M363" s="8" t="n">
        <f aca="false">IF(OR(H363="",I363=""),"",IF(I363&gt;0,H363/I363,""))</f>
        <v>5.92020125356894</v>
      </c>
      <c r="N363" s="4" t="str">
        <f aca="false">IF(I363="",IF(K363="NULL","FCF yok (NULL)","FCF kapsamı dışı"),IF(I363&lt;=0,"anlamsız (FCF ≤ 0)",IF(OR(K363="KOŞULLU"),"FCF KOŞULLU — yorum yapılmaz","")))</f>
        <v/>
      </c>
      <c r="O363" s="9" t="n">
        <f aca="false">IF(Q363="","",F363*R363/Q363-1)</f>
        <v>0.545644599303136</v>
      </c>
      <c r="P363" s="9" t="n">
        <f aca="false">IF(S363="","",F363*T363/S363-1)</f>
        <v>-0.0229074889867841</v>
      </c>
      <c r="Q363" s="5" t="n">
        <v>28.7</v>
      </c>
      <c r="R363" s="10" t="n">
        <v>1</v>
      </c>
      <c r="S363" s="5" t="n">
        <v>45.4</v>
      </c>
      <c r="T363" s="10" t="n">
        <v>1</v>
      </c>
      <c r="U363" s="4"/>
    </row>
    <row r="364" customFormat="false" ht="15" hidden="false" customHeight="false" outlineLevel="0" collapsed="false">
      <c r="A364" s="4" t="s">
        <v>825</v>
      </c>
      <c r="B364" s="4" t="s">
        <v>826</v>
      </c>
      <c r="C364" s="4" t="s">
        <v>38</v>
      </c>
      <c r="D364" s="4"/>
      <c r="E364" s="4"/>
      <c r="F364" s="5" t="n">
        <v>3.36</v>
      </c>
      <c r="G364" s="4" t="s">
        <v>26</v>
      </c>
      <c r="H364" s="6" t="n">
        <v>3326.4</v>
      </c>
      <c r="I364" s="7"/>
      <c r="J364" s="4"/>
      <c r="K364" s="4"/>
      <c r="L364" s="4"/>
      <c r="M364" s="8" t="str">
        <f aca="false">IF(OR(H364="",I364=""),"",IF(I364&gt;0,H364/I364,""))</f>
        <v/>
      </c>
      <c r="N364" s="4" t="str">
        <f aca="false">IF(I364="",IF(K364="NULL","FCF yok (NULL)","FCF kapsamı dışı"),IF(I364&lt;=0,"anlamsız (FCF ≤ 0)",IF(OR(K364="KOŞULLU"),"FCF KOŞULLU — yorum yapılmaz","")))</f>
        <v>FCF kapsamı dışı</v>
      </c>
      <c r="O364" s="9" t="n">
        <f aca="false">IF(Q364="","",F364*R364/Q364-1)</f>
        <v>0.037037037037037</v>
      </c>
      <c r="P364" s="9" t="n">
        <f aca="false">IF(S364="","",F364*T364/S364-1)</f>
        <v>0.0434782608695652</v>
      </c>
      <c r="Q364" s="5" t="n">
        <v>3.24</v>
      </c>
      <c r="R364" s="10" t="n">
        <v>1</v>
      </c>
      <c r="S364" s="5" t="n">
        <v>3.22</v>
      </c>
      <c r="T364" s="10" t="n">
        <v>1</v>
      </c>
      <c r="U364" s="4"/>
    </row>
    <row r="365" customFormat="false" ht="15" hidden="false" customHeight="false" outlineLevel="0" collapsed="false">
      <c r="A365" s="4" t="s">
        <v>827</v>
      </c>
      <c r="B365" s="4" t="s">
        <v>828</v>
      </c>
      <c r="C365" s="4" t="s">
        <v>29</v>
      </c>
      <c r="D365" s="4" t="s">
        <v>30</v>
      </c>
      <c r="E365" s="4" t="s">
        <v>123</v>
      </c>
      <c r="F365" s="5" t="n">
        <v>20.56</v>
      </c>
      <c r="G365" s="4" t="s">
        <v>26</v>
      </c>
      <c r="H365" s="6" t="n">
        <v>3520.32752736</v>
      </c>
      <c r="I365" s="7" t="n">
        <v>19.066</v>
      </c>
      <c r="J365" s="4" t="s">
        <v>32</v>
      </c>
      <c r="K365" s="4" t="s">
        <v>33</v>
      </c>
      <c r="L365" s="4" t="s">
        <v>42</v>
      </c>
      <c r="M365" s="8" t="n">
        <f aca="false">IF(OR(H365="",I365=""),"",IF(I365&gt;0,H365/I365,""))</f>
        <v>184.639018533515</v>
      </c>
      <c r="N365" s="4" t="str">
        <f aca="false">IF(I365="",IF(K365="NULL","FCF yok (NULL)","FCF kapsamı dışı"),IF(I365&lt;=0,"anlamsız (FCF ≤ 0)",IF(OR(K365="KOŞULLU"),"FCF KOŞULLU — yorum yapılmaz","")))</f>
        <v/>
      </c>
      <c r="O365" s="9" t="n">
        <f aca="false">IF(Q365="","",F365*R365/Q365-1)</f>
        <v>0.206572769953052</v>
      </c>
      <c r="P365" s="9" t="n">
        <f aca="false">IF(S365="","",F365*T365/S365-1)</f>
        <v>0.0815360336664912</v>
      </c>
      <c r="Q365" s="5" t="n">
        <v>17.04</v>
      </c>
      <c r="R365" s="10" t="n">
        <v>1</v>
      </c>
      <c r="S365" s="5" t="n">
        <v>19.01</v>
      </c>
      <c r="T365" s="10" t="n">
        <v>1</v>
      </c>
      <c r="U365" s="4"/>
    </row>
    <row r="366" customFormat="false" ht="15" hidden="false" customHeight="false" outlineLevel="0" collapsed="false">
      <c r="A366" s="4" t="s">
        <v>829</v>
      </c>
      <c r="B366" s="4" t="s">
        <v>830</v>
      </c>
      <c r="C366" s="4" t="s">
        <v>29</v>
      </c>
      <c r="D366" s="4" t="s">
        <v>30</v>
      </c>
      <c r="E366" s="4" t="s">
        <v>231</v>
      </c>
      <c r="F366" s="5" t="n">
        <v>11.63</v>
      </c>
      <c r="G366" s="4" t="s">
        <v>26</v>
      </c>
      <c r="H366" s="6" t="n">
        <v>2030.598</v>
      </c>
      <c r="I366" s="7" t="n">
        <v>169.9854912</v>
      </c>
      <c r="J366" s="4" t="s">
        <v>32</v>
      </c>
      <c r="K366" s="4" t="s">
        <v>33</v>
      </c>
      <c r="L366" s="4" t="s">
        <v>34</v>
      </c>
      <c r="M366" s="8" t="n">
        <f aca="false">IF(OR(H366="",I366=""),"",IF(I366&gt;0,H366/I366,""))</f>
        <v>11.9457136351176</v>
      </c>
      <c r="N366" s="4" t="str">
        <f aca="false">IF(I366="",IF(K366="NULL","FCF yok (NULL)","FCF kapsamı dışı"),IF(I366&lt;=0,"anlamsız (FCF ≤ 0)",IF(OR(K366="KOŞULLU"),"FCF KOŞULLU — yorum yapılmaz","")))</f>
        <v/>
      </c>
      <c r="O366" s="9" t="n">
        <f aca="false">IF(Q366="","",F366*R366/Q366-1)</f>
        <v>0.353899883585565</v>
      </c>
      <c r="P366" s="9" t="n">
        <f aca="false">IF(S366="","",F366*T366/S366-1)</f>
        <v>0.00605536332179923</v>
      </c>
      <c r="Q366" s="5" t="n">
        <v>8.59</v>
      </c>
      <c r="R366" s="10" t="n">
        <v>1</v>
      </c>
      <c r="S366" s="5" t="n">
        <v>11.56</v>
      </c>
      <c r="T366" s="10" t="n">
        <v>1</v>
      </c>
      <c r="U366" s="4"/>
    </row>
    <row r="367" customFormat="false" ht="15" hidden="false" customHeight="false" outlineLevel="0" collapsed="false">
      <c r="A367" s="4" t="s">
        <v>831</v>
      </c>
      <c r="B367" s="4" t="s">
        <v>832</v>
      </c>
      <c r="C367" s="4" t="s">
        <v>29</v>
      </c>
      <c r="D367" s="4" t="s">
        <v>30</v>
      </c>
      <c r="E367" s="4" t="s">
        <v>53</v>
      </c>
      <c r="F367" s="5" t="n">
        <v>7.67</v>
      </c>
      <c r="G367" s="4" t="s">
        <v>26</v>
      </c>
      <c r="H367" s="6" t="n">
        <v>1472.64</v>
      </c>
      <c r="I367" s="7" t="n">
        <v>80.426</v>
      </c>
      <c r="J367" s="4" t="s">
        <v>32</v>
      </c>
      <c r="K367" s="4" t="s">
        <v>33</v>
      </c>
      <c r="L367" s="4" t="s">
        <v>42</v>
      </c>
      <c r="M367" s="8" t="n">
        <f aca="false">IF(OR(H367="",I367=""),"",IF(I367&gt;0,H367/I367,""))</f>
        <v>18.3104966055753</v>
      </c>
      <c r="N367" s="4" t="str">
        <f aca="false">IF(I367="",IF(K367="NULL","FCF yok (NULL)","FCF kapsamı dışı"),IF(I367&lt;=0,"anlamsız (FCF ≤ 0)",IF(OR(K367="KOŞULLU"),"FCF KOŞULLU — yorum yapılmaz","")))</f>
        <v/>
      </c>
      <c r="O367" s="9" t="n">
        <f aca="false">IF(Q367="","",F367*R367/Q367-1)</f>
        <v>-0.238331678252234</v>
      </c>
      <c r="P367" s="9" t="n">
        <f aca="false">IF(S367="","",F367*T367/S367-1)</f>
        <v>-0.0216836734693877</v>
      </c>
      <c r="Q367" s="5" t="n">
        <v>10.07</v>
      </c>
      <c r="R367" s="10" t="n">
        <v>1</v>
      </c>
      <c r="S367" s="5" t="n">
        <v>7.84</v>
      </c>
      <c r="T367" s="10" t="n">
        <v>1</v>
      </c>
      <c r="U367" s="4"/>
    </row>
    <row r="368" customFormat="false" ht="15" hidden="false" customHeight="false" outlineLevel="0" collapsed="false">
      <c r="A368" s="4" t="s">
        <v>833</v>
      </c>
      <c r="B368" s="4" t="s">
        <v>834</v>
      </c>
      <c r="C368" s="4" t="s">
        <v>29</v>
      </c>
      <c r="D368" s="4" t="s">
        <v>30</v>
      </c>
      <c r="E368" s="4" t="s">
        <v>171</v>
      </c>
      <c r="F368" s="5" t="n">
        <v>6.18</v>
      </c>
      <c r="G368" s="4" t="s">
        <v>26</v>
      </c>
      <c r="H368" s="6" t="n">
        <v>852.74490834</v>
      </c>
      <c r="I368" s="7" t="n">
        <v>441.648</v>
      </c>
      <c r="J368" s="4" t="s">
        <v>32</v>
      </c>
      <c r="K368" s="4" t="s">
        <v>33</v>
      </c>
      <c r="L368" s="4" t="s">
        <v>42</v>
      </c>
      <c r="M368" s="8" t="n">
        <f aca="false">IF(OR(H368="",I368=""),"",IF(I368&gt;0,H368/I368,""))</f>
        <v>1.93082479336485</v>
      </c>
      <c r="N368" s="4" t="str">
        <f aca="false">IF(I368="",IF(K368="NULL","FCF yok (NULL)","FCF kapsamı dışı"),IF(I368&lt;=0,"anlamsız (FCF ≤ 0)",IF(OR(K368="KOŞULLU"),"FCF KOŞULLU — yorum yapılmaz","")))</f>
        <v/>
      </c>
      <c r="O368" s="9" t="n">
        <f aca="false">IF(Q368="","",F368*R368/Q368-1)</f>
        <v>-0.283259522713379</v>
      </c>
      <c r="P368" s="9" t="n">
        <f aca="false">IF(S368="","",F368*T368/S368-1)</f>
        <v>0.188461538461538</v>
      </c>
      <c r="Q368" s="5" t="n">
        <v>29.84</v>
      </c>
      <c r="R368" s="10" t="n">
        <v>3.46076631751339</v>
      </c>
      <c r="S368" s="5" t="n">
        <v>5.2</v>
      </c>
      <c r="T368" s="10" t="n">
        <v>1</v>
      </c>
      <c r="U368" s="4" t="s">
        <v>835</v>
      </c>
    </row>
    <row r="369" customFormat="false" ht="15" hidden="false" customHeight="false" outlineLevel="0" collapsed="false">
      <c r="A369" s="4" t="s">
        <v>836</v>
      </c>
      <c r="B369" s="4" t="s">
        <v>837</v>
      </c>
      <c r="C369" s="4" t="s">
        <v>29</v>
      </c>
      <c r="D369" s="4" t="s">
        <v>30</v>
      </c>
      <c r="E369" s="4" t="s">
        <v>53</v>
      </c>
      <c r="F369" s="5" t="n">
        <v>2.1</v>
      </c>
      <c r="G369" s="4" t="s">
        <v>64</v>
      </c>
      <c r="H369" s="6" t="n">
        <v>4536</v>
      </c>
      <c r="I369" s="7" t="n">
        <v>276.877</v>
      </c>
      <c r="J369" s="4" t="s">
        <v>32</v>
      </c>
      <c r="K369" s="4" t="s">
        <v>33</v>
      </c>
      <c r="L369" s="4" t="s">
        <v>42</v>
      </c>
      <c r="M369" s="8" t="n">
        <f aca="false">IF(OR(H369="",I369=""),"",IF(I369&gt;0,H369/I369,""))</f>
        <v>16.3827259035601</v>
      </c>
      <c r="N369" s="4" t="str">
        <f aca="false">IF(I369="",IF(K369="NULL","FCF yok (NULL)","FCF kapsamı dışı"),IF(I369&lt;=0,"anlamsız (FCF ≤ 0)",IF(OR(K369="KOŞULLU"),"FCF KOŞULLU — yorum yapılmaz","")))</f>
        <v/>
      </c>
      <c r="O369" s="9" t="n">
        <f aca="false">IF(Q369="","",F369*R369/Q369-1)</f>
        <v>-0.1699604743083</v>
      </c>
      <c r="P369" s="9" t="n">
        <f aca="false">IF(S369="","",F369*T369/S369-1)</f>
        <v>0.0344827586206897</v>
      </c>
      <c r="Q369" s="5" t="n">
        <v>2.53</v>
      </c>
      <c r="R369" s="10" t="n">
        <v>1</v>
      </c>
      <c r="S369" s="5" t="n">
        <v>2.03</v>
      </c>
      <c r="T369" s="10" t="n">
        <v>1</v>
      </c>
      <c r="U369" s="4"/>
    </row>
    <row r="370" customFormat="false" ht="15" hidden="false" customHeight="false" outlineLevel="0" collapsed="false">
      <c r="A370" s="4" t="s">
        <v>838</v>
      </c>
      <c r="B370" s="4" t="s">
        <v>839</v>
      </c>
      <c r="C370" s="4" t="s">
        <v>29</v>
      </c>
      <c r="D370" s="4" t="s">
        <v>30</v>
      </c>
      <c r="E370" s="4" t="s">
        <v>192</v>
      </c>
      <c r="F370" s="5" t="n">
        <v>1997</v>
      </c>
      <c r="G370" s="4" t="s">
        <v>141</v>
      </c>
      <c r="H370" s="6" t="n">
        <v>8476.438242</v>
      </c>
      <c r="I370" s="7" t="n">
        <v>367.8155456</v>
      </c>
      <c r="J370" s="4" t="s">
        <v>32</v>
      </c>
      <c r="K370" s="4" t="s">
        <v>33</v>
      </c>
      <c r="L370" s="4" t="s">
        <v>57</v>
      </c>
      <c r="M370" s="8" t="n">
        <f aca="false">IF(OR(H370="",I370=""),"",IF(I370&gt;0,H370/I370,""))</f>
        <v>23.0453507020014</v>
      </c>
      <c r="N370" s="4" t="str">
        <f aca="false">IF(I370="",IF(K370="NULL","FCF yok (NULL)","FCF kapsamı dışı"),IF(I370&lt;=0,"anlamsız (FCF ≤ 0)",IF(OR(K370="KOŞULLU"),"FCF KOŞULLU — yorum yapılmaz","")))</f>
        <v/>
      </c>
      <c r="O370" s="9" t="n">
        <f aca="false">IF(Q370="","",F370*R370/Q370-1)</f>
        <v>-0.445277777777778</v>
      </c>
      <c r="P370" s="9" t="n">
        <f aca="false">IF(S370="","",F370*T370/S370-1)</f>
        <v>-0.049047619047619</v>
      </c>
      <c r="Q370" s="5" t="n">
        <v>3600</v>
      </c>
      <c r="R370" s="10" t="n">
        <v>1</v>
      </c>
      <c r="S370" s="5" t="n">
        <v>2100</v>
      </c>
      <c r="T370" s="10" t="n">
        <v>1</v>
      </c>
      <c r="U370" s="4"/>
    </row>
    <row r="371" customFormat="false" ht="15" hidden="false" customHeight="false" outlineLevel="0" collapsed="false">
      <c r="A371" s="4" t="s">
        <v>840</v>
      </c>
      <c r="B371" s="4" t="s">
        <v>841</v>
      </c>
      <c r="C371" s="4" t="s">
        <v>60</v>
      </c>
      <c r="D371" s="4"/>
      <c r="E371" s="4"/>
      <c r="F371" s="5" t="n">
        <v>7.45</v>
      </c>
      <c r="G371" s="4" t="s">
        <v>76</v>
      </c>
      <c r="H371" s="6" t="n">
        <v>52150</v>
      </c>
      <c r="I371" s="7"/>
      <c r="J371" s="4"/>
      <c r="K371" s="4"/>
      <c r="L371" s="4"/>
      <c r="M371" s="8" t="str">
        <f aca="false">IF(OR(H371="",I371=""),"",IF(I371&gt;0,H371/I371,""))</f>
        <v/>
      </c>
      <c r="N371" s="4" t="str">
        <f aca="false">IF(I371="",IF(K371="NULL","FCF yok (NULL)","FCF kapsamı dışı"),IF(I371&lt;=0,"anlamsız (FCF ≤ 0)",IF(OR(K371="KOŞULLU"),"FCF KOŞULLU — yorum yapılmaz","")))</f>
        <v>FCF kapsamı dışı</v>
      </c>
      <c r="O371" s="9" t="n">
        <f aca="false">IF(Q371="","",F371*R371/Q371-1)</f>
        <v>0.954510990090818</v>
      </c>
      <c r="P371" s="9" t="n">
        <f aca="false">IF(S371="","",F371*T371/S371-1)</f>
        <v>-0.628243512974052</v>
      </c>
      <c r="Q371" s="5" t="n">
        <v>12.76</v>
      </c>
      <c r="R371" s="10" t="n">
        <v>3.34759197765891</v>
      </c>
      <c r="S371" s="5" t="n">
        <v>20.04</v>
      </c>
      <c r="T371" s="10" t="n">
        <v>1</v>
      </c>
      <c r="U371" s="4" t="s">
        <v>842</v>
      </c>
    </row>
    <row r="372" customFormat="false" ht="15" hidden="false" customHeight="false" outlineLevel="0" collapsed="false">
      <c r="A372" s="4" t="s">
        <v>843</v>
      </c>
      <c r="B372" s="4" t="s">
        <v>844</v>
      </c>
      <c r="C372" s="4" t="s">
        <v>29</v>
      </c>
      <c r="D372" s="4" t="s">
        <v>30</v>
      </c>
      <c r="E372" s="4" t="s">
        <v>53</v>
      </c>
      <c r="F372" s="5" t="n">
        <v>64.9</v>
      </c>
      <c r="G372" s="4" t="s">
        <v>26</v>
      </c>
      <c r="H372" s="6" t="n">
        <v>2985.4</v>
      </c>
      <c r="I372" s="7" t="n">
        <v>-290.3524896</v>
      </c>
      <c r="J372" s="4" t="s">
        <v>32</v>
      </c>
      <c r="K372" s="4" t="s">
        <v>33</v>
      </c>
      <c r="L372" s="4" t="s">
        <v>34</v>
      </c>
      <c r="M372" s="8" t="str">
        <f aca="false">IF(OR(H372="",I372=""),"",IF(I372&gt;0,H372/I372,""))</f>
        <v/>
      </c>
      <c r="N372" s="4" t="str">
        <f aca="false">IF(I372="",IF(K372="NULL","FCF yok (NULL)","FCF kapsamı dışı"),IF(I372&lt;=0,"anlamsız (FCF ≤ 0)",IF(OR(K372="KOŞULLU"),"FCF KOŞULLU — yorum yapılmaz","")))</f>
        <v>anlamsız (FCF ≤ 0)</v>
      </c>
      <c r="O372" s="9" t="n">
        <f aca="false">IF(Q372="","",F372*R372/Q372-1)</f>
        <v>-0.0907817315774725</v>
      </c>
      <c r="P372" s="9" t="n">
        <f aca="false">IF(S372="","",F372*T372/S372-1)</f>
        <v>0.0683127572016462</v>
      </c>
      <c r="Q372" s="5" t="n">
        <v>71.38</v>
      </c>
      <c r="R372" s="10" t="n">
        <v>1</v>
      </c>
      <c r="S372" s="5" t="n">
        <v>60.75</v>
      </c>
      <c r="T372" s="10" t="n">
        <v>1</v>
      </c>
      <c r="U372" s="4"/>
    </row>
    <row r="373" customFormat="false" ht="15" hidden="false" customHeight="false" outlineLevel="0" collapsed="false">
      <c r="A373" s="4" t="s">
        <v>845</v>
      </c>
      <c r="B373" s="4" t="s">
        <v>846</v>
      </c>
      <c r="C373" s="4" t="s">
        <v>29</v>
      </c>
      <c r="D373" s="4" t="s">
        <v>30</v>
      </c>
      <c r="E373" s="4" t="s">
        <v>263</v>
      </c>
      <c r="F373" s="5" t="n">
        <v>67</v>
      </c>
      <c r="G373" s="4" t="s">
        <v>26</v>
      </c>
      <c r="H373" s="6" t="n">
        <v>2674.4256</v>
      </c>
      <c r="I373" s="7" t="n">
        <v>368.763</v>
      </c>
      <c r="J373" s="4" t="s">
        <v>32</v>
      </c>
      <c r="K373" s="4" t="s">
        <v>33</v>
      </c>
      <c r="L373" s="4" t="s">
        <v>42</v>
      </c>
      <c r="M373" s="8" t="n">
        <f aca="false">IF(OR(H373="",I373=""),"",IF(I373&gt;0,H373/I373,""))</f>
        <v>7.25242391454674</v>
      </c>
      <c r="N373" s="4" t="str">
        <f aca="false">IF(I373="",IF(K373="NULL","FCF yok (NULL)","FCF kapsamı dışı"),IF(I373&lt;=0,"anlamsız (FCF ≤ 0)",IF(OR(K373="KOŞULLU"),"FCF KOŞULLU — yorum yapılmaz","")))</f>
        <v/>
      </c>
      <c r="O373" s="9" t="n">
        <f aca="false">IF(Q373="","",F373*R373/Q373-1)</f>
        <v>-0.444904722452361</v>
      </c>
      <c r="P373" s="9" t="n">
        <f aca="false">IF(S373="","",F373*T373/S373-1)</f>
        <v>-0.0648988136775995</v>
      </c>
      <c r="Q373" s="5" t="n">
        <v>120.7</v>
      </c>
      <c r="R373" s="10" t="n">
        <v>1</v>
      </c>
      <c r="S373" s="5" t="n">
        <v>71.65</v>
      </c>
      <c r="T373" s="10" t="n">
        <v>1</v>
      </c>
      <c r="U373" s="4"/>
    </row>
    <row r="374" customFormat="false" ht="15" hidden="false" customHeight="false" outlineLevel="0" collapsed="false">
      <c r="A374" s="4" t="s">
        <v>847</v>
      </c>
      <c r="B374" s="4" t="s">
        <v>848</v>
      </c>
      <c r="C374" s="4" t="s">
        <v>29</v>
      </c>
      <c r="D374" s="4" t="s">
        <v>30</v>
      </c>
      <c r="E374" s="4" t="s">
        <v>53</v>
      </c>
      <c r="F374" s="5" t="n">
        <v>79.25</v>
      </c>
      <c r="G374" s="4" t="s">
        <v>849</v>
      </c>
      <c r="H374" s="6" t="n">
        <v>2460.07905475</v>
      </c>
      <c r="I374" s="7" t="n">
        <v>-262.8915056</v>
      </c>
      <c r="J374" s="4" t="s">
        <v>32</v>
      </c>
      <c r="K374" s="4" t="s">
        <v>33</v>
      </c>
      <c r="L374" s="4" t="s">
        <v>57</v>
      </c>
      <c r="M374" s="8" t="str">
        <f aca="false">IF(OR(H374="",I374=""),"",IF(I374&gt;0,H374/I374,""))</f>
        <v/>
      </c>
      <c r="N374" s="4" t="str">
        <f aca="false">IF(I374="",IF(K374="NULL","FCF yok (NULL)","FCF kapsamı dışı"),IF(I374&lt;=0,"anlamsız (FCF ≤ 0)",IF(OR(K374="KOŞULLU"),"FCF KOŞULLU — yorum yapılmaz","")))</f>
        <v>anlamsız (FCF ≤ 0)</v>
      </c>
      <c r="O374" s="9" t="n">
        <f aca="false">IF(Q374="","",F374*R374/Q374-1)</f>
        <v>-0.412962962962963</v>
      </c>
      <c r="P374" s="9" t="n">
        <f aca="false">IF(S374="","",F374*T374/S374-1)</f>
        <v>-0.379890453834116</v>
      </c>
      <c r="Q374" s="5" t="n">
        <v>135</v>
      </c>
      <c r="R374" s="10" t="n">
        <v>1</v>
      </c>
      <c r="S374" s="5" t="n">
        <v>127.8</v>
      </c>
      <c r="T374" s="10" t="n">
        <v>1</v>
      </c>
      <c r="U374" s="4"/>
    </row>
    <row r="375" customFormat="false" ht="15" hidden="false" customHeight="false" outlineLevel="0" collapsed="false">
      <c r="A375" s="4" t="s">
        <v>850</v>
      </c>
      <c r="B375" s="4" t="s">
        <v>851</v>
      </c>
      <c r="C375" s="4" t="s">
        <v>29</v>
      </c>
      <c r="D375" s="4"/>
      <c r="E375" s="4"/>
      <c r="F375" s="5" t="n">
        <v>17.62</v>
      </c>
      <c r="G375" s="4" t="s">
        <v>108</v>
      </c>
      <c r="H375" s="6" t="n">
        <v>7048</v>
      </c>
      <c r="I375" s="7"/>
      <c r="J375" s="4"/>
      <c r="K375" s="4"/>
      <c r="L375" s="4"/>
      <c r="M375" s="8" t="str">
        <f aca="false">IF(OR(H375="",I375=""),"",IF(I375&gt;0,H375/I375,""))</f>
        <v/>
      </c>
      <c r="N375" s="4" t="str">
        <f aca="false">IF(I375="",IF(K375="NULL","FCF yok (NULL)","FCF kapsamı dışı"),IF(I375&lt;=0,"anlamsız (FCF ≤ 0)",IF(OR(K375="KOŞULLU"),"FCF KOŞULLU — yorum yapılmaz","")))</f>
        <v>FCF kapsamı dışı</v>
      </c>
      <c r="O375" s="9" t="n">
        <f aca="false">IF(Q375="","",F375*R375/Q375-1)</f>
        <v>-0.653149606299213</v>
      </c>
      <c r="P375" s="9" t="n">
        <f aca="false">IF(S375="","",F375*T375/S375-1)</f>
        <v>-0.615115771079074</v>
      </c>
      <c r="Q375" s="5" t="n">
        <v>50.8</v>
      </c>
      <c r="R375" s="10" t="n">
        <v>1</v>
      </c>
      <c r="S375" s="5" t="n">
        <v>45.78</v>
      </c>
      <c r="T375" s="10" t="n">
        <v>1</v>
      </c>
      <c r="U375" s="4"/>
    </row>
    <row r="376" customFormat="false" ht="15" hidden="false" customHeight="false" outlineLevel="0" collapsed="false">
      <c r="A376" s="4" t="s">
        <v>852</v>
      </c>
      <c r="B376" s="4" t="s">
        <v>853</v>
      </c>
      <c r="C376" s="4" t="s">
        <v>38</v>
      </c>
      <c r="D376" s="4"/>
      <c r="E376" s="4"/>
      <c r="F376" s="5" t="n">
        <v>1.42</v>
      </c>
      <c r="G376" s="4" t="s">
        <v>26</v>
      </c>
      <c r="H376" s="6" t="n">
        <v>5680</v>
      </c>
      <c r="I376" s="7"/>
      <c r="J376" s="4"/>
      <c r="K376" s="4"/>
      <c r="L376" s="4"/>
      <c r="M376" s="8" t="str">
        <f aca="false">IF(OR(H376="",I376=""),"",IF(I376&gt;0,H376/I376,""))</f>
        <v/>
      </c>
      <c r="N376" s="4" t="str">
        <f aca="false">IF(I376="",IF(K376="NULL","FCF yok (NULL)","FCF kapsamı dışı"),IF(I376&lt;=0,"anlamsız (FCF ≤ 0)",IF(OR(K376="KOŞULLU"),"FCF KOŞULLU — yorum yapılmaz","")))</f>
        <v>FCF kapsamı dışı</v>
      </c>
      <c r="O376" s="9" t="n">
        <f aca="false">IF(Q376="","",F376*R376/Q376-1)</f>
        <v>-0.71208435</v>
      </c>
      <c r="P376" s="9" t="n">
        <f aca="false">IF(S376="","",F376*T376/S376-1)</f>
        <v>0</v>
      </c>
      <c r="Q376" s="5" t="n">
        <v>4.93200004932</v>
      </c>
      <c r="R376" s="10" t="n">
        <v>1</v>
      </c>
      <c r="S376" s="5" t="n">
        <v>1.42</v>
      </c>
      <c r="T376" s="10" t="n">
        <v>1</v>
      </c>
      <c r="U376" s="4"/>
    </row>
    <row r="377" customFormat="false" ht="15" hidden="false" customHeight="false" outlineLevel="0" collapsed="false">
      <c r="A377" s="4" t="s">
        <v>854</v>
      </c>
      <c r="B377" s="4" t="s">
        <v>855</v>
      </c>
      <c r="C377" s="4" t="s">
        <v>38</v>
      </c>
      <c r="D377" s="4"/>
      <c r="E377" s="4"/>
      <c r="F377" s="5" t="n">
        <v>17.2</v>
      </c>
      <c r="G377" s="4" t="s">
        <v>26</v>
      </c>
      <c r="H377" s="6" t="n">
        <v>3440</v>
      </c>
      <c r="I377" s="7"/>
      <c r="J377" s="4"/>
      <c r="K377" s="4"/>
      <c r="L377" s="4"/>
      <c r="M377" s="8" t="str">
        <f aca="false">IF(OR(H377="",I377=""),"",IF(I377&gt;0,H377/I377,""))</f>
        <v/>
      </c>
      <c r="N377" s="4" t="str">
        <f aca="false">IF(I377="",IF(K377="NULL","FCF yok (NULL)","FCF kapsamı dışı"),IF(I377&lt;=0,"anlamsız (FCF ≤ 0)",IF(OR(K377="KOŞULLU"),"FCF KOŞULLU — yorum yapılmaz","")))</f>
        <v>FCF kapsamı dışı</v>
      </c>
      <c r="O377" s="9" t="n">
        <f aca="false">IF(Q377="","",F377*R377/Q377-1)</f>
        <v>-0.269328802039082</v>
      </c>
      <c r="P377" s="9" t="n">
        <f aca="false">IF(S377="","",F377*T377/S377-1)</f>
        <v>-0.0570175438596491</v>
      </c>
      <c r="Q377" s="5" t="n">
        <v>23.54</v>
      </c>
      <c r="R377" s="10" t="n">
        <v>1</v>
      </c>
      <c r="S377" s="5" t="n">
        <v>18.24</v>
      </c>
      <c r="T377" s="10" t="n">
        <v>1</v>
      </c>
      <c r="U377" s="4"/>
    </row>
    <row r="378" customFormat="false" ht="15" hidden="false" customHeight="false" outlineLevel="0" collapsed="false">
      <c r="A378" s="4" t="s">
        <v>856</v>
      </c>
      <c r="B378" s="4" t="s">
        <v>857</v>
      </c>
      <c r="C378" s="4" t="s">
        <v>29</v>
      </c>
      <c r="D378" s="4" t="s">
        <v>30</v>
      </c>
      <c r="E378" s="4" t="s">
        <v>305</v>
      </c>
      <c r="F378" s="5" t="n">
        <v>7.99</v>
      </c>
      <c r="G378" s="4" t="s">
        <v>26</v>
      </c>
      <c r="H378" s="6" t="n">
        <v>6591.75</v>
      </c>
      <c r="I378" s="7" t="n">
        <v>-916.793</v>
      </c>
      <c r="J378" s="4" t="s">
        <v>32</v>
      </c>
      <c r="K378" s="4" t="s">
        <v>33</v>
      </c>
      <c r="L378" s="4" t="s">
        <v>42</v>
      </c>
      <c r="M378" s="8" t="str">
        <f aca="false">IF(OR(H378="",I378=""),"",IF(I378&gt;0,H378/I378,""))</f>
        <v/>
      </c>
      <c r="N378" s="4" t="str">
        <f aca="false">IF(I378="",IF(K378="NULL","FCF yok (NULL)","FCF kapsamı dışı"),IF(I378&lt;=0,"anlamsız (FCF ≤ 0)",IF(OR(K378="KOŞULLU"),"FCF KOŞULLU — yorum yapılmaz","")))</f>
        <v>anlamsız (FCF ≤ 0)</v>
      </c>
      <c r="O378" s="9" t="n">
        <f aca="false">IF(Q378="","",F378*R378/Q378-1)</f>
        <v>-0.874351313099544</v>
      </c>
      <c r="P378" s="9" t="n">
        <f aca="false">IF(S378="","",F378*T378/S378-1)</f>
        <v>-0.438115330520394</v>
      </c>
      <c r="Q378" s="5" t="n">
        <v>63.59</v>
      </c>
      <c r="R378" s="10" t="n">
        <v>1</v>
      </c>
      <c r="S378" s="5" t="n">
        <v>14.22</v>
      </c>
      <c r="T378" s="10" t="n">
        <v>1</v>
      </c>
      <c r="U378" s="4"/>
    </row>
    <row r="379" customFormat="false" ht="15" hidden="false" customHeight="false" outlineLevel="0" collapsed="false">
      <c r="A379" s="4" t="s">
        <v>858</v>
      </c>
      <c r="B379" s="4" t="s">
        <v>859</v>
      </c>
      <c r="C379" s="4" t="s">
        <v>60</v>
      </c>
      <c r="D379" s="4"/>
      <c r="E379" s="4"/>
      <c r="F379" s="5" t="n">
        <v>1.57</v>
      </c>
      <c r="G379" s="4" t="s">
        <v>46</v>
      </c>
      <c r="H379" s="6" t="n">
        <v>2590.5</v>
      </c>
      <c r="I379" s="7"/>
      <c r="J379" s="4"/>
      <c r="K379" s="4"/>
      <c r="L379" s="4"/>
      <c r="M379" s="8" t="str">
        <f aca="false">IF(OR(H379="",I379=""),"",IF(I379&gt;0,H379/I379,""))</f>
        <v/>
      </c>
      <c r="N379" s="4" t="str">
        <f aca="false">IF(I379="",IF(K379="NULL","FCF yok (NULL)","FCF kapsamı dışı"),IF(I379&lt;=0,"anlamsız (FCF ≤ 0)",IF(OR(K379="KOŞULLU"),"FCF KOŞULLU — yorum yapılmaz","")))</f>
        <v>FCF kapsamı dışı</v>
      </c>
      <c r="O379" s="9" t="n">
        <f aca="false">IF(Q379="","",F379*R379/Q379-1)</f>
        <v>0.218667040515025</v>
      </c>
      <c r="P379" s="9" t="n">
        <f aca="false">IF(S379="","",F379*T379/S379-1)</f>
        <v>-0.0484848484848484</v>
      </c>
      <c r="Q379" s="5" t="n">
        <v>1.96</v>
      </c>
      <c r="R379" s="10" t="n">
        <v>1.5213932480315</v>
      </c>
      <c r="S379" s="5" t="n">
        <v>1.65</v>
      </c>
      <c r="T379" s="10" t="n">
        <v>1</v>
      </c>
      <c r="U379" s="4" t="s">
        <v>860</v>
      </c>
    </row>
    <row r="380" customFormat="false" ht="15" hidden="false" customHeight="false" outlineLevel="0" collapsed="false">
      <c r="A380" s="4" t="s">
        <v>861</v>
      </c>
      <c r="B380" s="4" t="s">
        <v>862</v>
      </c>
      <c r="C380" s="4" t="s">
        <v>29</v>
      </c>
      <c r="D380" s="4" t="s">
        <v>30</v>
      </c>
      <c r="E380" s="4" t="s">
        <v>131</v>
      </c>
      <c r="F380" s="5" t="n">
        <v>23.74</v>
      </c>
      <c r="G380" s="4" t="s">
        <v>26</v>
      </c>
      <c r="H380" s="6" t="n">
        <v>14006.6</v>
      </c>
      <c r="I380" s="7" t="n">
        <v>3237.900336</v>
      </c>
      <c r="J380" s="4" t="s">
        <v>32</v>
      </c>
      <c r="K380" s="4" t="s">
        <v>33</v>
      </c>
      <c r="L380" s="4" t="s">
        <v>57</v>
      </c>
      <c r="M380" s="8" t="n">
        <f aca="false">IF(OR(H380="",I380=""),"",IF(I380&gt;0,H380/I380,""))</f>
        <v>4.32582802017412</v>
      </c>
      <c r="N380" s="4" t="str">
        <f aca="false">IF(I380="",IF(K380="NULL","FCF yok (NULL)","FCF kapsamı dışı"),IF(I380&lt;=0,"anlamsız (FCF ≤ 0)",IF(OR(K380="KOŞULLU"),"FCF KOŞULLU — yorum yapılmaz","")))</f>
        <v/>
      </c>
      <c r="O380" s="9" t="n">
        <f aca="false">IF(Q380="","",F380*R380/Q380-1)</f>
        <v>-0.202820685023506</v>
      </c>
      <c r="P380" s="9" t="n">
        <f aca="false">IF(S380="","",F380*T380/S380-1)</f>
        <v>-0.0904214559386974</v>
      </c>
      <c r="Q380" s="5" t="n">
        <v>29.78</v>
      </c>
      <c r="R380" s="10" t="n">
        <v>1</v>
      </c>
      <c r="S380" s="5" t="n">
        <v>26.1</v>
      </c>
      <c r="T380" s="10" t="n">
        <v>1</v>
      </c>
      <c r="U380" s="4"/>
    </row>
    <row r="381" customFormat="false" ht="15" hidden="false" customHeight="false" outlineLevel="0" collapsed="false">
      <c r="A381" s="4" t="s">
        <v>863</v>
      </c>
      <c r="B381" s="4" t="s">
        <v>864</v>
      </c>
      <c r="C381" s="4" t="s">
        <v>29</v>
      </c>
      <c r="D381" s="4" t="s">
        <v>30</v>
      </c>
      <c r="E381" s="4" t="s">
        <v>159</v>
      </c>
      <c r="F381" s="5" t="n">
        <v>3.69</v>
      </c>
      <c r="G381" s="4" t="s">
        <v>26</v>
      </c>
      <c r="H381" s="6" t="n">
        <v>3290.57578764</v>
      </c>
      <c r="I381" s="7" t="n">
        <v>24.878</v>
      </c>
      <c r="J381" s="4" t="s">
        <v>32</v>
      </c>
      <c r="K381" s="4" t="s">
        <v>33</v>
      </c>
      <c r="L381" s="4" t="s">
        <v>42</v>
      </c>
      <c r="M381" s="8" t="n">
        <f aca="false">IF(OR(H381="",I381=""),"",IF(I381&gt;0,H381/I381,""))</f>
        <v>132.268501794356</v>
      </c>
      <c r="N381" s="4" t="str">
        <f aca="false">IF(I381="",IF(K381="NULL","FCF yok (NULL)","FCF kapsamı dışı"),IF(I381&lt;=0,"anlamsız (FCF ≤ 0)",IF(OR(K381="KOŞULLU"),"FCF KOŞULLU — yorum yapılmaz","")))</f>
        <v/>
      </c>
      <c r="O381" s="9" t="n">
        <f aca="false">IF(Q381="","",F381*R381/Q381-1)</f>
        <v>-0.557631578947368</v>
      </c>
      <c r="P381" s="9" t="n">
        <f aca="false">IF(S381="","",F381*T381/S381-1)</f>
        <v>-0.097799511002445</v>
      </c>
      <c r="Q381" s="5" t="n">
        <v>8.34146341463415</v>
      </c>
      <c r="R381" s="10" t="n">
        <v>1</v>
      </c>
      <c r="S381" s="5" t="n">
        <v>4.09</v>
      </c>
      <c r="T381" s="10" t="n">
        <v>1</v>
      </c>
      <c r="U381" s="4"/>
    </row>
    <row r="382" customFormat="false" ht="15" hidden="false" customHeight="false" outlineLevel="0" collapsed="false">
      <c r="A382" s="4" t="s">
        <v>865</v>
      </c>
      <c r="B382" s="4" t="s">
        <v>866</v>
      </c>
      <c r="C382" s="4" t="s">
        <v>29</v>
      </c>
      <c r="D382" s="4" t="s">
        <v>30</v>
      </c>
      <c r="E382" s="4" t="s">
        <v>147</v>
      </c>
      <c r="F382" s="5" t="n">
        <v>11.13</v>
      </c>
      <c r="G382" s="4" t="s">
        <v>26</v>
      </c>
      <c r="H382" s="6" t="n">
        <v>2404.08</v>
      </c>
      <c r="I382" s="7" t="n">
        <v>-306.944</v>
      </c>
      <c r="J382" s="4" t="s">
        <v>32</v>
      </c>
      <c r="K382" s="4" t="s">
        <v>33</v>
      </c>
      <c r="L382" s="4" t="s">
        <v>42</v>
      </c>
      <c r="M382" s="8" t="str">
        <f aca="false">IF(OR(H382="",I382=""),"",IF(I382&gt;0,H382/I382,""))</f>
        <v/>
      </c>
      <c r="N382" s="4" t="str">
        <f aca="false">IF(I382="",IF(K382="NULL","FCF yok (NULL)","FCF kapsamı dışı"),IF(I382&lt;=0,"anlamsız (FCF ≤ 0)",IF(OR(K382="KOŞULLU"),"FCF KOŞULLU — yorum yapılmaz","")))</f>
        <v>anlamsız (FCF ≤ 0)</v>
      </c>
      <c r="O382" s="9" t="n">
        <f aca="false">IF(Q382="","",F382*R382/Q382-1)</f>
        <v>-0.356275303643725</v>
      </c>
      <c r="P382" s="9" t="n">
        <f aca="false">IF(S382="","",F382*T382/S382-1)</f>
        <v>-0.0831960461285008</v>
      </c>
      <c r="Q382" s="5" t="n">
        <v>17.29</v>
      </c>
      <c r="R382" s="10" t="n">
        <v>1</v>
      </c>
      <c r="S382" s="5" t="n">
        <v>12.14</v>
      </c>
      <c r="T382" s="10" t="n">
        <v>1</v>
      </c>
      <c r="U382" s="4"/>
    </row>
    <row r="383" customFormat="false" ht="15" hidden="false" customHeight="false" outlineLevel="0" collapsed="false">
      <c r="A383" s="4" t="s">
        <v>867</v>
      </c>
      <c r="B383" s="4" t="s">
        <v>868</v>
      </c>
      <c r="C383" s="4" t="s">
        <v>29</v>
      </c>
      <c r="D383" s="4" t="s">
        <v>30</v>
      </c>
      <c r="E383" s="4" t="s">
        <v>56</v>
      </c>
      <c r="F383" s="5" t="n">
        <v>24.14</v>
      </c>
      <c r="G383" s="4" t="s">
        <v>26</v>
      </c>
      <c r="H383" s="6" t="n">
        <v>12460.577958</v>
      </c>
      <c r="I383" s="7" t="n">
        <v>600.1991984</v>
      </c>
      <c r="J383" s="4" t="s">
        <v>32</v>
      </c>
      <c r="K383" s="4" t="s">
        <v>33</v>
      </c>
      <c r="L383" s="4" t="s">
        <v>57</v>
      </c>
      <c r="M383" s="8" t="n">
        <f aca="false">IF(OR(H383="",I383=""),"",IF(I383&gt;0,H383/I383,""))</f>
        <v>20.7607374205383</v>
      </c>
      <c r="N383" s="4" t="str">
        <f aca="false">IF(I383="",IF(K383="NULL","FCF yok (NULL)","FCF kapsamı dışı"),IF(I383&lt;=0,"anlamsız (FCF ≤ 0)",IF(OR(K383="KOŞULLU"),"FCF KOŞULLU — yorum yapılmaz","")))</f>
        <v/>
      </c>
      <c r="O383" s="9" t="n">
        <f aca="false">IF(Q383="","",F383*R383/Q383-1)</f>
        <v>-0.105263157894737</v>
      </c>
      <c r="P383" s="9" t="n">
        <f aca="false">IF(S383="","",F383*T383/S383-1)</f>
        <v>0.0786416443252904</v>
      </c>
      <c r="Q383" s="5" t="n">
        <v>26.98</v>
      </c>
      <c r="R383" s="10" t="n">
        <v>1</v>
      </c>
      <c r="S383" s="5" t="n">
        <v>22.38</v>
      </c>
      <c r="T383" s="10" t="n">
        <v>1</v>
      </c>
      <c r="U383" s="4"/>
    </row>
    <row r="384" customFormat="false" ht="15" hidden="false" customHeight="false" outlineLevel="0" collapsed="false">
      <c r="A384" s="4" t="s">
        <v>869</v>
      </c>
      <c r="B384" s="4" t="s">
        <v>870</v>
      </c>
      <c r="C384" s="4" t="s">
        <v>29</v>
      </c>
      <c r="D384" s="4" t="s">
        <v>30</v>
      </c>
      <c r="E384" s="4" t="s">
        <v>159</v>
      </c>
      <c r="F384" s="5" t="n">
        <v>150</v>
      </c>
      <c r="G384" s="4" t="s">
        <v>26</v>
      </c>
      <c r="H384" s="6" t="n">
        <v>14250</v>
      </c>
      <c r="I384" s="7" t="n">
        <v>1229.134</v>
      </c>
      <c r="J384" s="4" t="s">
        <v>32</v>
      </c>
      <c r="K384" s="4" t="s">
        <v>33</v>
      </c>
      <c r="L384" s="4" t="s">
        <v>42</v>
      </c>
      <c r="M384" s="8" t="n">
        <f aca="false">IF(OR(H384="",I384=""),"",IF(I384&gt;0,H384/I384,""))</f>
        <v>11.5935284517392</v>
      </c>
      <c r="N384" s="4" t="str">
        <f aca="false">IF(I384="",IF(K384="NULL","FCF yok (NULL)","FCF kapsamı dışı"),IF(I384&lt;=0,"anlamsız (FCF ≤ 0)",IF(OR(K384="KOŞULLU"),"FCF KOŞULLU — yorum yapılmaz","")))</f>
        <v/>
      </c>
      <c r="O384" s="9" t="n">
        <f aca="false">IF(Q384="","",F384*R384/Q384-1)</f>
        <v>-0.12536443148688</v>
      </c>
      <c r="P384" s="9" t="n">
        <f aca="false">IF(S384="","",F384*T384/S384-1)</f>
        <v>0.0806916426512967</v>
      </c>
      <c r="Q384" s="5" t="n">
        <v>171.5</v>
      </c>
      <c r="R384" s="10" t="n">
        <v>1</v>
      </c>
      <c r="S384" s="5" t="n">
        <v>138.8</v>
      </c>
      <c r="T384" s="10" t="n">
        <v>1</v>
      </c>
      <c r="U384" s="4"/>
    </row>
    <row r="385" customFormat="false" ht="15" hidden="false" customHeight="false" outlineLevel="0" collapsed="false">
      <c r="A385" s="4" t="s">
        <v>871</v>
      </c>
      <c r="B385" s="4" t="s">
        <v>872</v>
      </c>
      <c r="C385" s="4" t="s">
        <v>29</v>
      </c>
      <c r="D385" s="4" t="s">
        <v>63</v>
      </c>
      <c r="E385" s="4" t="s">
        <v>63</v>
      </c>
      <c r="F385" s="5" t="n">
        <v>1.86</v>
      </c>
      <c r="G385" s="4" t="s">
        <v>26</v>
      </c>
      <c r="H385" s="6" t="n">
        <v>1428.48</v>
      </c>
      <c r="I385" s="7" t="n">
        <v>-617.4316608</v>
      </c>
      <c r="J385" s="4" t="s">
        <v>111</v>
      </c>
      <c r="K385" s="4" t="s">
        <v>33</v>
      </c>
      <c r="L385" s="4" t="s">
        <v>34</v>
      </c>
      <c r="M385" s="8" t="str">
        <f aca="false">IF(OR(H385="",I385=""),"",IF(I385&gt;0,H385/I385,""))</f>
        <v/>
      </c>
      <c r="N385" s="4" t="str">
        <f aca="false">IF(I385="",IF(K385="NULL","FCF yok (NULL)","FCF kapsamı dışı"),IF(I385&lt;=0,"anlamsız (FCF ≤ 0)",IF(OR(K385="KOŞULLU"),"FCF KOŞULLU — yorum yapılmaz","")))</f>
        <v>anlamsız (FCF ≤ 0)</v>
      </c>
      <c r="O385" s="9" t="n">
        <f aca="false">IF(Q385="","",F385*R385/Q385-1)</f>
        <v>-0.703349282296651</v>
      </c>
      <c r="P385" s="9" t="n">
        <f aca="false">IF(S385="","",F385*T385/S385-1)</f>
        <v>-0.114285714285714</v>
      </c>
      <c r="Q385" s="5" t="n">
        <v>6.27</v>
      </c>
      <c r="R385" s="10" t="n">
        <v>1</v>
      </c>
      <c r="S385" s="5" t="n">
        <v>2.1</v>
      </c>
      <c r="T385" s="10" t="n">
        <v>1</v>
      </c>
      <c r="U385" s="4"/>
    </row>
    <row r="386" customFormat="false" ht="15" hidden="false" customHeight="false" outlineLevel="0" collapsed="false">
      <c r="A386" s="4" t="s">
        <v>873</v>
      </c>
      <c r="B386" s="4" t="s">
        <v>874</v>
      </c>
      <c r="C386" s="4" t="s">
        <v>29</v>
      </c>
      <c r="D386" s="4" t="s">
        <v>30</v>
      </c>
      <c r="E386" s="4" t="s">
        <v>171</v>
      </c>
      <c r="F386" s="5" t="n">
        <v>64.1</v>
      </c>
      <c r="G386" s="4" t="s">
        <v>144</v>
      </c>
      <c r="H386" s="6" t="n">
        <v>1794.8</v>
      </c>
      <c r="I386" s="7" t="n">
        <v>27.3824016</v>
      </c>
      <c r="J386" s="4" t="s">
        <v>32</v>
      </c>
      <c r="K386" s="4" t="s">
        <v>33</v>
      </c>
      <c r="L386" s="4" t="s">
        <v>57</v>
      </c>
      <c r="M386" s="8" t="n">
        <f aca="false">IF(OR(H386="",I386=""),"",IF(I386&gt;0,H386/I386,""))</f>
        <v>65.5457481859444</v>
      </c>
      <c r="N386" s="4" t="str">
        <f aca="false">IF(I386="",IF(K386="NULL","FCF yok (NULL)","FCF kapsamı dışı"),IF(I386&lt;=0,"anlamsız (FCF ≤ 0)",IF(OR(K386="KOŞULLU"),"FCF KOŞULLU — yorum yapılmaz","")))</f>
        <v/>
      </c>
      <c r="O386" s="9" t="n">
        <f aca="false">IF(Q386="","",F386*R386/Q386-1)</f>
        <v>-0.437719298245614</v>
      </c>
      <c r="P386" s="9" t="n">
        <f aca="false">IF(S386="","",F386*T386/S386-1)</f>
        <v>-0.0594277329420397</v>
      </c>
      <c r="Q386" s="5" t="n">
        <v>114</v>
      </c>
      <c r="R386" s="10" t="n">
        <v>1</v>
      </c>
      <c r="S386" s="5" t="n">
        <v>68.15</v>
      </c>
      <c r="T386" s="10" t="n">
        <v>1</v>
      </c>
      <c r="U386" s="4"/>
    </row>
    <row r="387" customFormat="false" ht="15" hidden="false" customHeight="false" outlineLevel="0" collapsed="false">
      <c r="A387" s="4" t="s">
        <v>875</v>
      </c>
      <c r="B387" s="4" t="s">
        <v>876</v>
      </c>
      <c r="C387" s="4" t="s">
        <v>38</v>
      </c>
      <c r="D387" s="4"/>
      <c r="E387" s="4"/>
      <c r="F387" s="5" t="n">
        <v>7.46</v>
      </c>
      <c r="G387" s="4" t="s">
        <v>26</v>
      </c>
      <c r="H387" s="6" t="n">
        <v>2461.8</v>
      </c>
      <c r="I387" s="7"/>
      <c r="J387" s="4"/>
      <c r="K387" s="4"/>
      <c r="L387" s="4"/>
      <c r="M387" s="8" t="str">
        <f aca="false">IF(OR(H387="",I387=""),"",IF(I387&gt;0,H387/I387,""))</f>
        <v/>
      </c>
      <c r="N387" s="4" t="str">
        <f aca="false">IF(I387="",IF(K387="NULL","FCF yok (NULL)","FCF kapsamı dışı"),IF(I387&lt;=0,"anlamsız (FCF ≤ 0)",IF(OR(K387="KOŞULLU"),"FCF KOŞULLU — yorum yapılmaz","")))</f>
        <v>FCF kapsamı dışı</v>
      </c>
      <c r="O387" s="9" t="str">
        <f aca="false">IF(Q387="","",F387*R387/Q387-1)</f>
        <v/>
      </c>
      <c r="P387" s="9" t="n">
        <f aca="false">IF(S387="","",F387*T387/S387-1)</f>
        <v>0.0970588235294119</v>
      </c>
      <c r="Q387" s="5"/>
      <c r="R387" s="10" t="n">
        <v>1</v>
      </c>
      <c r="S387" s="5" t="n">
        <v>6.8</v>
      </c>
      <c r="T387" s="10" t="n">
        <v>1</v>
      </c>
      <c r="U387" s="4"/>
    </row>
    <row r="388" customFormat="false" ht="15" hidden="false" customHeight="false" outlineLevel="0" collapsed="false">
      <c r="A388" s="4" t="s">
        <v>877</v>
      </c>
      <c r="B388" s="4" t="s">
        <v>878</v>
      </c>
      <c r="C388" s="4" t="s">
        <v>29</v>
      </c>
      <c r="D388" s="4" t="s">
        <v>30</v>
      </c>
      <c r="E388" s="4" t="s">
        <v>210</v>
      </c>
      <c r="F388" s="5" t="n">
        <v>47.2</v>
      </c>
      <c r="G388" s="4" t="s">
        <v>26</v>
      </c>
      <c r="H388" s="6" t="n">
        <v>16613.9899736</v>
      </c>
      <c r="I388" s="7" t="n">
        <v>-232.1318944</v>
      </c>
      <c r="J388" s="4" t="s">
        <v>32</v>
      </c>
      <c r="K388" s="4" t="s">
        <v>33</v>
      </c>
      <c r="L388" s="4" t="s">
        <v>57</v>
      </c>
      <c r="M388" s="8" t="str">
        <f aca="false">IF(OR(H388="",I388=""),"",IF(I388&gt;0,H388/I388,""))</f>
        <v/>
      </c>
      <c r="N388" s="4" t="str">
        <f aca="false">IF(I388="",IF(K388="NULL","FCF yok (NULL)","FCF kapsamı dışı"),IF(I388&lt;=0,"anlamsız (FCF ≤ 0)",IF(OR(K388="KOŞULLU"),"FCF KOŞULLU — yorum yapılmaz","")))</f>
        <v>anlamsız (FCF ≤ 0)</v>
      </c>
      <c r="O388" s="9" t="n">
        <f aca="false">IF(Q388="","",F388*R388/Q388-1)</f>
        <v>-0.629222309505106</v>
      </c>
      <c r="P388" s="9" t="n">
        <f aca="false">IF(S388="","",F388*T388/S388-1)</f>
        <v>-0.442409923213231</v>
      </c>
      <c r="Q388" s="5" t="n">
        <v>127.3</v>
      </c>
      <c r="R388" s="10" t="n">
        <v>1</v>
      </c>
      <c r="S388" s="5" t="n">
        <v>84.65</v>
      </c>
      <c r="T388" s="10" t="n">
        <v>1</v>
      </c>
      <c r="U388" s="4"/>
    </row>
    <row r="389" customFormat="false" ht="15" hidden="false" customHeight="false" outlineLevel="0" collapsed="false">
      <c r="A389" s="4" t="s">
        <v>879</v>
      </c>
      <c r="B389" s="4" t="s">
        <v>880</v>
      </c>
      <c r="C389" s="4" t="s">
        <v>29</v>
      </c>
      <c r="D389" s="4" t="s">
        <v>30</v>
      </c>
      <c r="E389" s="4" t="s">
        <v>31</v>
      </c>
      <c r="F389" s="5" t="n">
        <v>5182.5</v>
      </c>
      <c r="G389" s="4" t="s">
        <v>120</v>
      </c>
      <c r="H389" s="6" t="n">
        <v>9800.4650925</v>
      </c>
      <c r="I389" s="7" t="n">
        <v>-910.4609904</v>
      </c>
      <c r="J389" s="4" t="s">
        <v>32</v>
      </c>
      <c r="K389" s="4" t="s">
        <v>33</v>
      </c>
      <c r="L389" s="4" t="s">
        <v>57</v>
      </c>
      <c r="M389" s="8" t="str">
        <f aca="false">IF(OR(H389="",I389=""),"",IF(I389&gt;0,H389/I389,""))</f>
        <v/>
      </c>
      <c r="N389" s="4" t="str">
        <f aca="false">IF(I389="",IF(K389="NULL","FCF yok (NULL)","FCF kapsamı dışı"),IF(I389&lt;=0,"anlamsız (FCF ≤ 0)",IF(OR(K389="KOŞULLU"),"FCF KOŞULLU — yorum yapılmaz","")))</f>
        <v>anlamsız (FCF ≤ 0)</v>
      </c>
      <c r="O389" s="9" t="n">
        <f aca="false">IF(Q389="","",F389*R389/Q389-1)</f>
        <v>-0.588200238379023</v>
      </c>
      <c r="P389" s="9" t="n">
        <f aca="false">IF(S389="","",F389*T389/S389-1)</f>
        <v>-0.383402736466389</v>
      </c>
      <c r="Q389" s="5" t="n">
        <v>12585</v>
      </c>
      <c r="R389" s="10" t="n">
        <v>1</v>
      </c>
      <c r="S389" s="5" t="n">
        <v>8405</v>
      </c>
      <c r="T389" s="10" t="n">
        <v>1</v>
      </c>
      <c r="U389" s="4"/>
    </row>
    <row r="390" customFormat="false" ht="15" hidden="false" customHeight="false" outlineLevel="0" collapsed="false">
      <c r="A390" s="4" t="s">
        <v>881</v>
      </c>
      <c r="B390" s="4" t="s">
        <v>882</v>
      </c>
      <c r="C390" s="4" t="s">
        <v>29</v>
      </c>
      <c r="D390" s="4" t="s">
        <v>30</v>
      </c>
      <c r="E390" s="4" t="s">
        <v>192</v>
      </c>
      <c r="F390" s="5" t="n">
        <v>848</v>
      </c>
      <c r="G390" s="4" t="s">
        <v>26</v>
      </c>
      <c r="H390" s="6" t="n">
        <v>7326.760704</v>
      </c>
      <c r="I390" s="7" t="n">
        <v>-1966.942</v>
      </c>
      <c r="J390" s="4" t="s">
        <v>32</v>
      </c>
      <c r="K390" s="4" t="s">
        <v>33</v>
      </c>
      <c r="L390" s="4" t="s">
        <v>42</v>
      </c>
      <c r="M390" s="8" t="str">
        <f aca="false">IF(OR(H390="",I390=""),"",IF(I390&gt;0,H390/I390,""))</f>
        <v/>
      </c>
      <c r="N390" s="4" t="str">
        <f aca="false">IF(I390="",IF(K390="NULL","FCF yok (NULL)","FCF kapsamı dışı"),IF(I390&lt;=0,"anlamsız (FCF ≤ 0)",IF(OR(K390="KOŞULLU"),"FCF KOŞULLU — yorum yapılmaz","")))</f>
        <v>anlamsız (FCF ≤ 0)</v>
      </c>
      <c r="O390" s="9" t="n">
        <f aca="false">IF(Q390="","",F390*R390/Q390-1)</f>
        <v>-0.260034904013962</v>
      </c>
      <c r="P390" s="9" t="n">
        <f aca="false">IF(S390="","",F390*T390/S390-1)</f>
        <v>-0.0645339216767789</v>
      </c>
      <c r="Q390" s="5" t="n">
        <v>1146</v>
      </c>
      <c r="R390" s="10" t="n">
        <v>1</v>
      </c>
      <c r="S390" s="5" t="n">
        <v>906.5</v>
      </c>
      <c r="T390" s="10" t="n">
        <v>1</v>
      </c>
      <c r="U390" s="4"/>
    </row>
    <row r="391" customFormat="false" ht="15" hidden="false" customHeight="false" outlineLevel="0" collapsed="false">
      <c r="A391" s="4" t="s">
        <v>883</v>
      </c>
      <c r="B391" s="4" t="s">
        <v>884</v>
      </c>
      <c r="C391" s="4" t="s">
        <v>29</v>
      </c>
      <c r="D391" s="4" t="s">
        <v>30</v>
      </c>
      <c r="E391" s="4" t="s">
        <v>107</v>
      </c>
      <c r="F391" s="5" t="n">
        <v>23.56</v>
      </c>
      <c r="G391" s="4" t="s">
        <v>26</v>
      </c>
      <c r="H391" s="6" t="n">
        <v>2356</v>
      </c>
      <c r="I391" s="7" t="n">
        <v>563.3127136</v>
      </c>
      <c r="J391" s="4" t="s">
        <v>32</v>
      </c>
      <c r="K391" s="4" t="s">
        <v>33</v>
      </c>
      <c r="L391" s="4" t="s">
        <v>57</v>
      </c>
      <c r="M391" s="8" t="n">
        <f aca="false">IF(OR(H391="",I391=""),"",IF(I391&gt;0,H391/I391,""))</f>
        <v>4.18240160947789</v>
      </c>
      <c r="N391" s="4" t="str">
        <f aca="false">IF(I391="",IF(K391="NULL","FCF yok (NULL)","FCF kapsamı dışı"),IF(I391&lt;=0,"anlamsız (FCF ≤ 0)",IF(OR(K391="KOŞULLU"),"FCF KOŞULLU — yorum yapılmaz","")))</f>
        <v/>
      </c>
      <c r="O391" s="9" t="n">
        <f aca="false">IF(Q391="","",F391*R391/Q391-1)</f>
        <v>-0.38453500522466</v>
      </c>
      <c r="P391" s="9" t="n">
        <f aca="false">IF(S391="","",F391*T391/S391-1)</f>
        <v>-0.18477508650519</v>
      </c>
      <c r="Q391" s="5" t="n">
        <v>38.28</v>
      </c>
      <c r="R391" s="10" t="n">
        <v>1</v>
      </c>
      <c r="S391" s="5" t="n">
        <v>28.9</v>
      </c>
      <c r="T391" s="10" t="n">
        <v>1</v>
      </c>
      <c r="U391" s="4"/>
    </row>
    <row r="392" customFormat="false" ht="15" hidden="false" customHeight="false" outlineLevel="0" collapsed="false">
      <c r="A392" s="4" t="s">
        <v>885</v>
      </c>
      <c r="B392" s="4" t="s">
        <v>886</v>
      </c>
      <c r="C392" s="4" t="s">
        <v>29</v>
      </c>
      <c r="D392" s="4" t="s">
        <v>30</v>
      </c>
      <c r="E392" s="4" t="s">
        <v>31</v>
      </c>
      <c r="F392" s="5" t="n">
        <v>8.21</v>
      </c>
      <c r="G392" s="4" t="s">
        <v>76</v>
      </c>
      <c r="H392" s="6" t="n">
        <v>24219.5</v>
      </c>
      <c r="I392" s="7" t="n">
        <v>93.4278944</v>
      </c>
      <c r="J392" s="4" t="s">
        <v>32</v>
      </c>
      <c r="K392" s="4" t="s">
        <v>33</v>
      </c>
      <c r="L392" s="4" t="s">
        <v>34</v>
      </c>
      <c r="M392" s="8" t="n">
        <f aca="false">IF(OR(H392="",I392=""),"",IF(I392&gt;0,H392/I392,""))</f>
        <v>259.232000844493</v>
      </c>
      <c r="N392" s="4" t="str">
        <f aca="false">IF(I392="",IF(K392="NULL","FCF yok (NULL)","FCF kapsamı dışı"),IF(I392&lt;=0,"anlamsız (FCF ≤ 0)",IF(OR(K392="KOŞULLU"),"FCF KOŞULLU — yorum yapılmaz","")))</f>
        <v/>
      </c>
      <c r="O392" s="9" t="n">
        <f aca="false">IF(Q392="","",F392*R392/Q392-1)</f>
        <v>-0.634135472370766</v>
      </c>
      <c r="P392" s="9" t="n">
        <f aca="false">IF(S392="","",F392*T392/S392-1)</f>
        <v>-0.665171288743883</v>
      </c>
      <c r="Q392" s="5" t="n">
        <v>22.44</v>
      </c>
      <c r="R392" s="10" t="n">
        <v>1</v>
      </c>
      <c r="S392" s="5" t="n">
        <v>24.52</v>
      </c>
      <c r="T392" s="10" t="n">
        <v>1</v>
      </c>
      <c r="U392" s="4"/>
    </row>
    <row r="393" customFormat="false" ht="15" hidden="false" customHeight="false" outlineLevel="0" collapsed="false">
      <c r="A393" s="4" t="s">
        <v>887</v>
      </c>
      <c r="B393" s="4" t="s">
        <v>888</v>
      </c>
      <c r="C393" s="4" t="s">
        <v>29</v>
      </c>
      <c r="D393" s="4" t="s">
        <v>30</v>
      </c>
      <c r="E393" s="4" t="s">
        <v>565</v>
      </c>
      <c r="F393" s="5" t="n">
        <v>13.93</v>
      </c>
      <c r="G393" s="4" t="s">
        <v>64</v>
      </c>
      <c r="H393" s="6" t="n">
        <v>1560.16</v>
      </c>
      <c r="I393" s="7" t="n">
        <v>-142.584</v>
      </c>
      <c r="J393" s="4" t="s">
        <v>32</v>
      </c>
      <c r="K393" s="4" t="s">
        <v>33</v>
      </c>
      <c r="L393" s="4" t="s">
        <v>42</v>
      </c>
      <c r="M393" s="8" t="str">
        <f aca="false">IF(OR(H393="",I393=""),"",IF(I393&gt;0,H393/I393,""))</f>
        <v/>
      </c>
      <c r="N393" s="4" t="str">
        <f aca="false">IF(I393="",IF(K393="NULL","FCF yok (NULL)","FCF kapsamı dışı"),IF(I393&lt;=0,"anlamsız (FCF ≤ 0)",IF(OR(K393="KOŞULLU"),"FCF KOŞULLU — yorum yapılmaz","")))</f>
        <v>anlamsız (FCF ≤ 0)</v>
      </c>
      <c r="O393" s="9" t="n">
        <f aca="false">IF(Q393="","",F393*R393/Q393-1)</f>
        <v>-0.226540810660744</v>
      </c>
      <c r="P393" s="9" t="n">
        <f aca="false">IF(S393="","",F393*T393/S393-1)</f>
        <v>0.131600324939074</v>
      </c>
      <c r="Q393" s="5" t="n">
        <v>18.01</v>
      </c>
      <c r="R393" s="10" t="n">
        <v>1</v>
      </c>
      <c r="S393" s="5" t="n">
        <v>12.31</v>
      </c>
      <c r="T393" s="10" t="n">
        <v>1</v>
      </c>
      <c r="U393" s="4"/>
    </row>
    <row r="394" customFormat="false" ht="15" hidden="false" customHeight="false" outlineLevel="0" collapsed="false">
      <c r="A394" s="4" t="s">
        <v>889</v>
      </c>
      <c r="B394" s="4" t="s">
        <v>890</v>
      </c>
      <c r="C394" s="4" t="s">
        <v>29</v>
      </c>
      <c r="D394" s="4" t="s">
        <v>30</v>
      </c>
      <c r="E394" s="4" t="s">
        <v>565</v>
      </c>
      <c r="F394" s="5" t="n">
        <v>6.75</v>
      </c>
      <c r="G394" s="4" t="s">
        <v>26</v>
      </c>
      <c r="H394" s="6" t="n">
        <v>1350</v>
      </c>
      <c r="I394" s="7" t="n">
        <v>-256.772</v>
      </c>
      <c r="J394" s="4" t="s">
        <v>32</v>
      </c>
      <c r="K394" s="4" t="s">
        <v>33</v>
      </c>
      <c r="L394" s="4" t="s">
        <v>42</v>
      </c>
      <c r="M394" s="8" t="str">
        <f aca="false">IF(OR(H394="",I394=""),"",IF(I394&gt;0,H394/I394,""))</f>
        <v/>
      </c>
      <c r="N394" s="4" t="str">
        <f aca="false">IF(I394="",IF(K394="NULL","FCF yok (NULL)","FCF kapsamı dışı"),IF(I394&lt;=0,"anlamsız (FCF ≤ 0)",IF(OR(K394="KOŞULLU"),"FCF KOŞULLU — yorum yapılmaz","")))</f>
        <v>anlamsız (FCF ≤ 0)</v>
      </c>
      <c r="O394" s="9" t="n">
        <f aca="false">IF(Q394="","",F394*R394/Q394-1)</f>
        <v>-0.634937804218496</v>
      </c>
      <c r="P394" s="9" t="n">
        <f aca="false">IF(S394="","",F394*T394/S394-1)</f>
        <v>-0.0828804347826088</v>
      </c>
      <c r="Q394" s="5" t="n">
        <v>18.49</v>
      </c>
      <c r="R394" s="10" t="n">
        <v>1</v>
      </c>
      <c r="S394" s="5" t="n">
        <v>7.36</v>
      </c>
      <c r="T394" s="10" t="n">
        <v>1</v>
      </c>
      <c r="U394" s="4"/>
    </row>
    <row r="395" customFormat="false" ht="15" hidden="false" customHeight="false" outlineLevel="0" collapsed="false">
      <c r="A395" s="4" t="s">
        <v>891</v>
      </c>
      <c r="B395" s="4" t="s">
        <v>892</v>
      </c>
      <c r="C395" s="4" t="s">
        <v>29</v>
      </c>
      <c r="D395" s="4" t="s">
        <v>30</v>
      </c>
      <c r="E395" s="4" t="s">
        <v>31</v>
      </c>
      <c r="F395" s="5" t="n">
        <v>6.93</v>
      </c>
      <c r="G395" s="4" t="s">
        <v>26</v>
      </c>
      <c r="H395" s="6" t="n">
        <v>2294.21808</v>
      </c>
      <c r="I395" s="7" t="n">
        <v>207.684432</v>
      </c>
      <c r="J395" s="4" t="s">
        <v>32</v>
      </c>
      <c r="K395" s="4" t="s">
        <v>33</v>
      </c>
      <c r="L395" s="4" t="s">
        <v>57</v>
      </c>
      <c r="M395" s="8" t="n">
        <f aca="false">IF(OR(H395="",I395=""),"",IF(I395&gt;0,H395/I395,""))</f>
        <v>11.0466540891231</v>
      </c>
      <c r="N395" s="4" t="str">
        <f aca="false">IF(I395="",IF(K395="NULL","FCF yok (NULL)","FCF kapsamı dışı"),IF(I395&lt;=0,"anlamsız (FCF ≤ 0)",IF(OR(K395="KOŞULLU"),"FCF KOŞULLU — yorum yapılmaz","")))</f>
        <v/>
      </c>
      <c r="O395" s="9" t="n">
        <f aca="false">IF(Q395="","",F395*R395/Q395-1)</f>
        <v>0.767857142857143</v>
      </c>
      <c r="P395" s="9" t="n">
        <f aca="false">IF(S395="","",F395*T395/S395-1)</f>
        <v>-0.684426229508197</v>
      </c>
      <c r="Q395" s="5" t="n">
        <v>3.92</v>
      </c>
      <c r="R395" s="10" t="n">
        <v>1</v>
      </c>
      <c r="S395" s="5" t="n">
        <v>21.96</v>
      </c>
      <c r="T395" s="10" t="n">
        <v>1</v>
      </c>
      <c r="U395" s="4"/>
    </row>
    <row r="396" customFormat="false" ht="15" hidden="false" customHeight="false" outlineLevel="0" collapsed="false">
      <c r="A396" s="4" t="s">
        <v>893</v>
      </c>
      <c r="B396" s="4" t="s">
        <v>894</v>
      </c>
      <c r="C396" s="4" t="s">
        <v>29</v>
      </c>
      <c r="D396" s="4" t="s">
        <v>30</v>
      </c>
      <c r="E396" s="4" t="s">
        <v>56</v>
      </c>
      <c r="F396" s="5" t="n">
        <v>9.07</v>
      </c>
      <c r="G396" s="4" t="s">
        <v>46</v>
      </c>
      <c r="H396" s="6" t="n">
        <v>2073.402</v>
      </c>
      <c r="I396" s="7" t="n">
        <v>144.57</v>
      </c>
      <c r="J396" s="4" t="s">
        <v>32</v>
      </c>
      <c r="K396" s="4" t="s">
        <v>33</v>
      </c>
      <c r="L396" s="4" t="s">
        <v>42</v>
      </c>
      <c r="M396" s="8" t="n">
        <f aca="false">IF(OR(H396="",I396=""),"",IF(I396&gt;0,H396/I396,""))</f>
        <v>14.3418551566715</v>
      </c>
      <c r="N396" s="4" t="str">
        <f aca="false">IF(I396="",IF(K396="NULL","FCF yok (NULL)","FCF kapsamı dışı"),IF(I396&lt;=0,"anlamsız (FCF ≤ 0)",IF(OR(K396="KOŞULLU"),"FCF KOŞULLU — yorum yapılmaz","")))</f>
        <v/>
      </c>
      <c r="O396" s="9" t="n">
        <f aca="false">IF(Q396="","",F396*R396/Q396-1)</f>
        <v>-0.355823863636364</v>
      </c>
      <c r="P396" s="9" t="n">
        <f aca="false">IF(S396="","",F396*T396/S396-1)</f>
        <v>-0.091182364729459</v>
      </c>
      <c r="Q396" s="5" t="n">
        <v>14.08</v>
      </c>
      <c r="R396" s="10" t="n">
        <v>1</v>
      </c>
      <c r="S396" s="5" t="n">
        <v>9.98</v>
      </c>
      <c r="T396" s="10" t="n">
        <v>1</v>
      </c>
      <c r="U396" s="4"/>
    </row>
    <row r="397" customFormat="false" ht="15" hidden="false" customHeight="false" outlineLevel="0" collapsed="false">
      <c r="A397" s="4" t="s">
        <v>895</v>
      </c>
      <c r="B397" s="4" t="s">
        <v>896</v>
      </c>
      <c r="C397" s="4" t="s">
        <v>29</v>
      </c>
      <c r="D397" s="4" t="s">
        <v>63</v>
      </c>
      <c r="E397" s="4" t="s">
        <v>63</v>
      </c>
      <c r="F397" s="5" t="n">
        <v>1.48</v>
      </c>
      <c r="G397" s="4" t="s">
        <v>26</v>
      </c>
      <c r="H397" s="6" t="n">
        <v>4464.0887316</v>
      </c>
      <c r="I397" s="7" t="n">
        <v>0.9059904</v>
      </c>
      <c r="J397" s="4" t="s">
        <v>111</v>
      </c>
      <c r="K397" s="4" t="s">
        <v>33</v>
      </c>
      <c r="L397" s="4" t="s">
        <v>57</v>
      </c>
      <c r="M397" s="8" t="n">
        <f aca="false">IF(OR(H397="",I397=""),"",IF(I397&gt;0,H397/I397,""))</f>
        <v>4927.30246545659</v>
      </c>
      <c r="N397" s="4" t="str">
        <f aca="false">IF(I397="",IF(K397="NULL","FCF yok (NULL)","FCF kapsamı dışı"),IF(I397&lt;=0,"anlamsız (FCF ≤ 0)",IF(OR(K397="KOŞULLU"),"FCF KOŞULLU — yorum yapılmaz","")))</f>
        <v/>
      </c>
      <c r="O397" s="9" t="n">
        <f aca="false">IF(Q397="","",F397*R397/Q397-1)</f>
        <v>-0.678260869565217</v>
      </c>
      <c r="P397" s="9" t="n">
        <f aca="false">IF(S397="","",F397*T397/S397-1)</f>
        <v>-0.0750000000000001</v>
      </c>
      <c r="Q397" s="5" t="n">
        <v>4.6</v>
      </c>
      <c r="R397" s="10" t="n">
        <v>1</v>
      </c>
      <c r="S397" s="5" t="n">
        <v>1.6</v>
      </c>
      <c r="T397" s="10" t="n">
        <v>1</v>
      </c>
      <c r="U397" s="4"/>
    </row>
    <row r="398" customFormat="false" ht="15" hidden="false" customHeight="false" outlineLevel="0" collapsed="false">
      <c r="A398" s="4" t="s">
        <v>897</v>
      </c>
      <c r="B398" s="4" t="s">
        <v>898</v>
      </c>
      <c r="C398" s="4" t="s">
        <v>29</v>
      </c>
      <c r="D398" s="4" t="s">
        <v>30</v>
      </c>
      <c r="E398" s="4" t="s">
        <v>192</v>
      </c>
      <c r="F398" s="5" t="n">
        <v>1.4</v>
      </c>
      <c r="G398" s="4" t="s">
        <v>46</v>
      </c>
      <c r="H398" s="6" t="n">
        <v>2100</v>
      </c>
      <c r="I398" s="7" t="n">
        <v>750.132</v>
      </c>
      <c r="J398" s="4" t="s">
        <v>32</v>
      </c>
      <c r="K398" s="4" t="s">
        <v>86</v>
      </c>
      <c r="L398" s="4" t="s">
        <v>42</v>
      </c>
      <c r="M398" s="8" t="n">
        <f aca="false">IF(OR(H398="",I398=""),"",IF(I398&gt;0,H398/I398,""))</f>
        <v>2.79950728671754</v>
      </c>
      <c r="N398" s="4" t="str">
        <f aca="false">IF(I398="",IF(K398="NULL","FCF yok (NULL)","FCF kapsamı dışı"),IF(I398&lt;=0,"anlamsız (FCF ≤ 0)",IF(OR(K398="KOŞULLU"),"FCF KOŞULLU — yorum yapılmaz","")))</f>
        <v/>
      </c>
      <c r="O398" s="9" t="n">
        <f aca="false">IF(Q398="","",F398*R398/Q398-1)</f>
        <v>-0.413735343383585</v>
      </c>
      <c r="P398" s="9" t="n">
        <f aca="false">IF(S398="","",F398*T398/S398-1)</f>
        <v>-0.303482587064677</v>
      </c>
      <c r="Q398" s="5" t="n">
        <v>2.388</v>
      </c>
      <c r="R398" s="10" t="n">
        <v>1</v>
      </c>
      <c r="S398" s="5" t="n">
        <v>2.01</v>
      </c>
      <c r="T398" s="10" t="n">
        <v>1</v>
      </c>
      <c r="U398" s="4"/>
    </row>
    <row r="399" customFormat="false" ht="15" hidden="false" customHeight="false" outlineLevel="0" collapsed="false">
      <c r="A399" s="4" t="s">
        <v>899</v>
      </c>
      <c r="B399" s="4" t="s">
        <v>900</v>
      </c>
      <c r="C399" s="4" t="s">
        <v>25</v>
      </c>
      <c r="D399" s="4"/>
      <c r="E399" s="4"/>
      <c r="F399" s="5" t="n">
        <v>36.66</v>
      </c>
      <c r="G399" s="4" t="s">
        <v>26</v>
      </c>
      <c r="H399" s="6" t="n">
        <v>20346.3</v>
      </c>
      <c r="I399" s="7"/>
      <c r="J399" s="4"/>
      <c r="K399" s="4"/>
      <c r="L399" s="4"/>
      <c r="M399" s="8" t="str">
        <f aca="false">IF(OR(H399="",I399=""),"",IF(I399&gt;0,H399/I399,""))</f>
        <v/>
      </c>
      <c r="N399" s="4" t="str">
        <f aca="false">IF(I399="",IF(K399="NULL","FCF yok (NULL)","FCF kapsamı dışı"),IF(I399&lt;=0,"anlamsız (FCF ≤ 0)",IF(OR(K399="KOŞULLU"),"FCF KOŞULLU — yorum yapılmaz","")))</f>
        <v>FCF kapsamı dışı</v>
      </c>
      <c r="O399" s="9" t="str">
        <f aca="false">IF(Q399="","",F399*R399/Q399-1)</f>
        <v/>
      </c>
      <c r="P399" s="9" t="n">
        <f aca="false">IF(S399="","",F399*T399/S399-1)</f>
        <v>-0.0244811069717935</v>
      </c>
      <c r="Q399" s="5"/>
      <c r="R399" s="10" t="n">
        <v>1</v>
      </c>
      <c r="S399" s="5" t="n">
        <v>37.58</v>
      </c>
      <c r="T399" s="10" t="n">
        <v>1</v>
      </c>
      <c r="U399" s="4"/>
    </row>
    <row r="400" customFormat="false" ht="15" hidden="false" customHeight="false" outlineLevel="0" collapsed="false">
      <c r="A400" s="4" t="s">
        <v>901</v>
      </c>
      <c r="B400" s="4" t="s">
        <v>902</v>
      </c>
      <c r="C400" s="4" t="s">
        <v>29</v>
      </c>
      <c r="D400" s="4" t="s">
        <v>30</v>
      </c>
      <c r="E400" s="4" t="s">
        <v>171</v>
      </c>
      <c r="F400" s="5" t="n">
        <v>37.4</v>
      </c>
      <c r="G400" s="4" t="s">
        <v>26</v>
      </c>
      <c r="H400" s="6" t="n">
        <v>29714.7488</v>
      </c>
      <c r="I400" s="7" t="n">
        <v>5843.73</v>
      </c>
      <c r="J400" s="4" t="s">
        <v>32</v>
      </c>
      <c r="K400" s="4" t="s">
        <v>33</v>
      </c>
      <c r="L400" s="4" t="s">
        <v>42</v>
      </c>
      <c r="M400" s="8" t="n">
        <f aca="false">IF(OR(H400="",I400=""),"",IF(I400&gt;0,H400/I400,""))</f>
        <v>5.08489420284647</v>
      </c>
      <c r="N400" s="4" t="str">
        <f aca="false">IF(I400="",IF(K400="NULL","FCF yok (NULL)","FCF kapsamı dışı"),IF(I400&lt;=0,"anlamsız (FCF ≤ 0)",IF(OR(K400="KOŞULLU"),"FCF KOŞULLU — yorum yapılmaz","")))</f>
        <v/>
      </c>
      <c r="O400" s="9" t="n">
        <f aca="false">IF(Q400="","",F400*R400/Q400-1)</f>
        <v>-0.0152711953659821</v>
      </c>
      <c r="P400" s="9" t="n">
        <f aca="false">IF(S400="","",F400*T400/S400-1)</f>
        <v>0</v>
      </c>
      <c r="Q400" s="5" t="n">
        <v>37.98</v>
      </c>
      <c r="R400" s="10" t="n">
        <v>1</v>
      </c>
      <c r="S400" s="5" t="n">
        <v>37.4</v>
      </c>
      <c r="T400" s="10" t="n">
        <v>1</v>
      </c>
      <c r="U400" s="4"/>
    </row>
    <row r="401" customFormat="false" ht="15" hidden="false" customHeight="false" outlineLevel="0" collapsed="false">
      <c r="A401" s="4" t="s">
        <v>903</v>
      </c>
      <c r="B401" s="4" t="s">
        <v>904</v>
      </c>
      <c r="C401" s="4" t="s">
        <v>29</v>
      </c>
      <c r="D401" s="4" t="s">
        <v>30</v>
      </c>
      <c r="E401" s="4" t="s">
        <v>107</v>
      </c>
      <c r="F401" s="5" t="n">
        <v>96.85</v>
      </c>
      <c r="G401" s="4" t="s">
        <v>26</v>
      </c>
      <c r="H401" s="6" t="n">
        <v>8968.31</v>
      </c>
      <c r="I401" s="7"/>
      <c r="J401" s="4" t="s">
        <v>32</v>
      </c>
      <c r="K401" s="4" t="s">
        <v>116</v>
      </c>
      <c r="L401" s="4" t="s">
        <v>42</v>
      </c>
      <c r="M401" s="8" t="str">
        <f aca="false">IF(OR(H401="",I401=""),"",IF(I401&gt;0,H401/I401,""))</f>
        <v/>
      </c>
      <c r="N401" s="4" t="str">
        <f aca="false">IF(I401="",IF(K401="NULL","FCF yok (NULL)","FCF kapsamı dışı"),IF(I401&lt;=0,"anlamsız (FCF ≤ 0)",IF(OR(K401="KOŞULLU"),"FCF KOŞULLU — yorum yapılmaz","")))</f>
        <v>FCF yok (NULL)</v>
      </c>
      <c r="O401" s="9" t="str">
        <f aca="false">IF(Q401="","",F401*R401/Q401-1)</f>
        <v/>
      </c>
      <c r="P401" s="9" t="n">
        <f aca="false">IF(S401="","",F401*T401/S401-1)</f>
        <v>-0.036318407960199</v>
      </c>
      <c r="Q401" s="5"/>
      <c r="R401" s="10" t="n">
        <v>1</v>
      </c>
      <c r="S401" s="5" t="n">
        <v>100.5</v>
      </c>
      <c r="T401" s="10" t="n">
        <v>1</v>
      </c>
      <c r="U401" s="4"/>
    </row>
    <row r="402" customFormat="false" ht="15" hidden="false" customHeight="false" outlineLevel="0" collapsed="false">
      <c r="A402" s="4" t="s">
        <v>905</v>
      </c>
      <c r="B402" s="4" t="s">
        <v>906</v>
      </c>
      <c r="C402" s="4" t="s">
        <v>29</v>
      </c>
      <c r="D402" s="4" t="s">
        <v>30</v>
      </c>
      <c r="E402" s="4" t="s">
        <v>147</v>
      </c>
      <c r="F402" s="5" t="n">
        <v>19.41</v>
      </c>
      <c r="G402" s="4" t="s">
        <v>26</v>
      </c>
      <c r="H402" s="6" t="n">
        <v>2309.79</v>
      </c>
      <c r="I402" s="7" t="n">
        <v>350.681008</v>
      </c>
      <c r="J402" s="4" t="s">
        <v>32</v>
      </c>
      <c r="K402" s="4" t="s">
        <v>33</v>
      </c>
      <c r="L402" s="4" t="s">
        <v>57</v>
      </c>
      <c r="M402" s="8" t="n">
        <f aca="false">IF(OR(H402="",I402=""),"",IF(I402&gt;0,H402/I402,""))</f>
        <v>6.58658423840278</v>
      </c>
      <c r="N402" s="4" t="str">
        <f aca="false">IF(I402="",IF(K402="NULL","FCF yok (NULL)","FCF kapsamı dışı"),IF(I402&lt;=0,"anlamsız (FCF ≤ 0)",IF(OR(K402="KOŞULLU"),"FCF KOŞULLU — yorum yapılmaz","")))</f>
        <v/>
      </c>
      <c r="O402" s="9" t="n">
        <f aca="false">IF(Q402="","",F402*R402/Q402-1)</f>
        <v>-0.399257195914578</v>
      </c>
      <c r="P402" s="9" t="n">
        <f aca="false">IF(S402="","",F402*T402/S402-1)</f>
        <v>-0.0285285285285285</v>
      </c>
      <c r="Q402" s="5" t="n">
        <v>32.31</v>
      </c>
      <c r="R402" s="10" t="n">
        <v>1</v>
      </c>
      <c r="S402" s="5" t="n">
        <v>19.98</v>
      </c>
      <c r="T402" s="10" t="n">
        <v>1</v>
      </c>
      <c r="U402" s="4"/>
    </row>
    <row r="403" customFormat="false" ht="15" hidden="false" customHeight="false" outlineLevel="0" collapsed="false">
      <c r="A403" s="4" t="s">
        <v>907</v>
      </c>
      <c r="B403" s="4" t="s">
        <v>908</v>
      </c>
      <c r="C403" s="4" t="s">
        <v>29</v>
      </c>
      <c r="D403" s="4" t="s">
        <v>30</v>
      </c>
      <c r="E403" s="4" t="s">
        <v>41</v>
      </c>
      <c r="F403" s="5" t="n">
        <v>1.26</v>
      </c>
      <c r="G403" s="4" t="s">
        <v>141</v>
      </c>
      <c r="H403" s="6" t="n">
        <v>346.5</v>
      </c>
      <c r="I403" s="7"/>
      <c r="J403" s="4" t="s">
        <v>32</v>
      </c>
      <c r="K403" s="4" t="s">
        <v>116</v>
      </c>
      <c r="L403" s="4" t="s">
        <v>42</v>
      </c>
      <c r="M403" s="8" t="str">
        <f aca="false">IF(OR(H403="",I403=""),"",IF(I403&gt;0,H403/I403,""))</f>
        <v/>
      </c>
      <c r="N403" s="4" t="str">
        <f aca="false">IF(I403="",IF(K403="NULL","FCF yok (NULL)","FCF kapsamı dışı"),IF(I403&lt;=0,"anlamsız (FCF ≤ 0)",IF(OR(K403="KOŞULLU"),"FCF KOŞULLU — yorum yapılmaz","")))</f>
        <v>FCF yok (NULL)</v>
      </c>
      <c r="O403" s="9" t="n">
        <f aca="false">IF(Q403="","",F403*R403/Q403-1)</f>
        <v>-0.715575620767494</v>
      </c>
      <c r="P403" s="9" t="n">
        <f aca="false">IF(S403="","",F403*T403/S403-1)</f>
        <v>-0.0307692307692308</v>
      </c>
      <c r="Q403" s="5" t="n">
        <v>4.43</v>
      </c>
      <c r="R403" s="10" t="n">
        <v>1</v>
      </c>
      <c r="S403" s="5" t="n">
        <v>1.3</v>
      </c>
      <c r="T403" s="10" t="n">
        <v>1</v>
      </c>
      <c r="U403" s="4"/>
    </row>
    <row r="404" customFormat="false" ht="15" hidden="false" customHeight="false" outlineLevel="0" collapsed="false">
      <c r="A404" s="4" t="s">
        <v>909</v>
      </c>
      <c r="B404" s="4" t="s">
        <v>910</v>
      </c>
      <c r="C404" s="4" t="s">
        <v>29</v>
      </c>
      <c r="D404" s="4" t="s">
        <v>30</v>
      </c>
      <c r="E404" s="4" t="s">
        <v>295</v>
      </c>
      <c r="F404" s="5" t="n">
        <v>3.93</v>
      </c>
      <c r="G404" s="4" t="s">
        <v>26</v>
      </c>
      <c r="H404" s="6" t="n">
        <v>9997.92</v>
      </c>
      <c r="I404" s="7" t="n">
        <v>-2105.045</v>
      </c>
      <c r="J404" s="4" t="s">
        <v>32</v>
      </c>
      <c r="K404" s="4" t="s">
        <v>33</v>
      </c>
      <c r="L404" s="4" t="s">
        <v>34</v>
      </c>
      <c r="M404" s="8" t="str">
        <f aca="false">IF(OR(H404="",I404=""),"",IF(I404&gt;0,H404/I404,""))</f>
        <v/>
      </c>
      <c r="N404" s="4" t="str">
        <f aca="false">IF(I404="",IF(K404="NULL","FCF yok (NULL)","FCF kapsamı dışı"),IF(I404&lt;=0,"anlamsız (FCF ≤ 0)",IF(OR(K404="KOŞULLU"),"FCF KOŞULLU — yorum yapılmaz","")))</f>
        <v>anlamsız (FCF ≤ 0)</v>
      </c>
      <c r="O404" s="9" t="n">
        <f aca="false">IF(Q404="","",F404*R404/Q404-1)</f>
        <v>0.11608490290683</v>
      </c>
      <c r="P404" s="9" t="n">
        <f aca="false">IF(S404="","",F404*T404/S404-1)</f>
        <v>0.094707520891365</v>
      </c>
      <c r="Q404" s="5" t="n">
        <v>33.82</v>
      </c>
      <c r="R404" s="10" t="n">
        <v>9.60457796852647</v>
      </c>
      <c r="S404" s="5" t="n">
        <v>3.59</v>
      </c>
      <c r="T404" s="10" t="n">
        <v>1</v>
      </c>
      <c r="U404" s="4" t="s">
        <v>911</v>
      </c>
    </row>
    <row r="405" customFormat="false" ht="15" hidden="false" customHeight="false" outlineLevel="0" collapsed="false">
      <c r="A405" s="4" t="s">
        <v>912</v>
      </c>
      <c r="B405" s="4" t="s">
        <v>913</v>
      </c>
      <c r="C405" s="4" t="s">
        <v>29</v>
      </c>
      <c r="D405" s="4" t="s">
        <v>30</v>
      </c>
      <c r="E405" s="4" t="s">
        <v>45</v>
      </c>
      <c r="F405" s="5" t="n">
        <v>2.01</v>
      </c>
      <c r="G405" s="4" t="s">
        <v>26</v>
      </c>
      <c r="H405" s="6" t="n">
        <v>1608</v>
      </c>
      <c r="I405" s="7" t="n">
        <v>175.536</v>
      </c>
      <c r="J405" s="4" t="s">
        <v>32</v>
      </c>
      <c r="K405" s="4" t="s">
        <v>33</v>
      </c>
      <c r="L405" s="4" t="s">
        <v>42</v>
      </c>
      <c r="M405" s="8" t="n">
        <f aca="false">IF(OR(H405="",I405=""),"",IF(I405&gt;0,H405/I405,""))</f>
        <v>9.16051408258135</v>
      </c>
      <c r="N405" s="4" t="str">
        <f aca="false">IF(I405="",IF(K405="NULL","FCF yok (NULL)","FCF kapsamı dışı"),IF(I405&lt;=0,"anlamsız (FCF ≤ 0)",IF(OR(K405="KOŞULLU"),"FCF KOŞULLU — yorum yapılmaz","")))</f>
        <v/>
      </c>
      <c r="O405" s="9" t="n">
        <f aca="false">IF(Q405="","",F405*R405/Q405-1)</f>
        <v>-0.604330708661417</v>
      </c>
      <c r="P405" s="9" t="n">
        <f aca="false">IF(S405="","",F405*T405/S405-1)</f>
        <v>-0.14468085106383</v>
      </c>
      <c r="Q405" s="5" t="n">
        <v>5.08</v>
      </c>
      <c r="R405" s="10" t="n">
        <v>1</v>
      </c>
      <c r="S405" s="5" t="n">
        <v>2.35</v>
      </c>
      <c r="T405" s="10" t="n">
        <v>1</v>
      </c>
      <c r="U405" s="4"/>
    </row>
    <row r="406" customFormat="false" ht="15" hidden="false" customHeight="false" outlineLevel="0" collapsed="false">
      <c r="A406" s="4" t="s">
        <v>914</v>
      </c>
      <c r="B406" s="4" t="s">
        <v>915</v>
      </c>
      <c r="C406" s="4" t="s">
        <v>29</v>
      </c>
      <c r="D406" s="4" t="s">
        <v>30</v>
      </c>
      <c r="E406" s="4" t="s">
        <v>41</v>
      </c>
      <c r="F406" s="5" t="n">
        <v>22</v>
      </c>
      <c r="G406" s="4" t="s">
        <v>120</v>
      </c>
      <c r="H406" s="6" t="n">
        <v>1657.7</v>
      </c>
      <c r="I406" s="7" t="n">
        <v>-354.631</v>
      </c>
      <c r="J406" s="4" t="s">
        <v>32</v>
      </c>
      <c r="K406" s="4" t="s">
        <v>33</v>
      </c>
      <c r="L406" s="4" t="s">
        <v>42</v>
      </c>
      <c r="M406" s="8" t="str">
        <f aca="false">IF(OR(H406="",I406=""),"",IF(I406&gt;0,H406/I406,""))</f>
        <v/>
      </c>
      <c r="N406" s="4" t="str">
        <f aca="false">IF(I406="",IF(K406="NULL","FCF yok (NULL)","FCF kapsamı dışı"),IF(I406&lt;=0,"anlamsız (FCF ≤ 0)",IF(OR(K406="KOŞULLU"),"FCF KOŞULLU — yorum yapılmaz","")))</f>
        <v>anlamsız (FCF ≤ 0)</v>
      </c>
      <c r="O406" s="9" t="n">
        <f aca="false">IF(Q406="","",F406*R406/Q406-1)</f>
        <v>0.442622950819672</v>
      </c>
      <c r="P406" s="9" t="n">
        <f aca="false">IF(S406="","",F406*T406/S406-1)</f>
        <v>0.215469613259669</v>
      </c>
      <c r="Q406" s="5" t="n">
        <v>15.25</v>
      </c>
      <c r="R406" s="10" t="n">
        <v>1</v>
      </c>
      <c r="S406" s="5" t="n">
        <v>18.1</v>
      </c>
      <c r="T406" s="10" t="n">
        <v>1</v>
      </c>
      <c r="U406" s="4"/>
    </row>
    <row r="407" customFormat="false" ht="15" hidden="false" customHeight="false" outlineLevel="0" collapsed="false">
      <c r="A407" s="4" t="s">
        <v>916</v>
      </c>
      <c r="B407" s="4" t="s">
        <v>917</v>
      </c>
      <c r="C407" s="4" t="s">
        <v>29</v>
      </c>
      <c r="D407" s="4" t="s">
        <v>30</v>
      </c>
      <c r="E407" s="4" t="s">
        <v>41</v>
      </c>
      <c r="F407" s="5" t="n">
        <v>11.11</v>
      </c>
      <c r="G407" s="4" t="s">
        <v>26</v>
      </c>
      <c r="H407" s="6" t="n">
        <v>2115.02121006</v>
      </c>
      <c r="I407" s="7" t="n">
        <v>-462.1219632</v>
      </c>
      <c r="J407" s="4" t="s">
        <v>32</v>
      </c>
      <c r="K407" s="4" t="s">
        <v>33</v>
      </c>
      <c r="L407" s="4" t="s">
        <v>57</v>
      </c>
      <c r="M407" s="8" t="str">
        <f aca="false">IF(OR(H407="",I407=""),"",IF(I407&gt;0,H407/I407,""))</f>
        <v/>
      </c>
      <c r="N407" s="4" t="str">
        <f aca="false">IF(I407="",IF(K407="NULL","FCF yok (NULL)","FCF kapsamı dışı"),IF(I407&lt;=0,"anlamsız (FCF ≤ 0)",IF(OR(K407="KOŞULLU"),"FCF KOŞULLU — yorum yapılmaz","")))</f>
        <v>anlamsız (FCF ≤ 0)</v>
      </c>
      <c r="O407" s="9" t="n">
        <f aca="false">IF(Q407="","",F407*R407/Q407-1)</f>
        <v>-0.707631578947368</v>
      </c>
      <c r="P407" s="9" t="n">
        <f aca="false">IF(S407="","",F407*T407/S407-1)</f>
        <v>-0.217605633802817</v>
      </c>
      <c r="Q407" s="5" t="n">
        <v>38</v>
      </c>
      <c r="R407" s="10" t="n">
        <v>1</v>
      </c>
      <c r="S407" s="5" t="n">
        <v>14.2</v>
      </c>
      <c r="T407" s="10" t="n">
        <v>1</v>
      </c>
      <c r="U407" s="4"/>
    </row>
    <row r="408" customFormat="false" ht="15" hidden="false" customHeight="false" outlineLevel="0" collapsed="false">
      <c r="A408" s="4" t="s">
        <v>918</v>
      </c>
      <c r="B408" s="4" t="s">
        <v>919</v>
      </c>
      <c r="C408" s="4" t="s">
        <v>29</v>
      </c>
      <c r="D408" s="4" t="s">
        <v>30</v>
      </c>
      <c r="E408" s="4" t="s">
        <v>192</v>
      </c>
      <c r="F408" s="5" t="n">
        <v>14.04</v>
      </c>
      <c r="G408" s="4" t="s">
        <v>64</v>
      </c>
      <c r="H408" s="6" t="n">
        <v>4725.864</v>
      </c>
      <c r="I408" s="7" t="n">
        <v>343.305</v>
      </c>
      <c r="J408" s="4" t="s">
        <v>32</v>
      </c>
      <c r="K408" s="4" t="s">
        <v>86</v>
      </c>
      <c r="L408" s="4" t="s">
        <v>42</v>
      </c>
      <c r="M408" s="8" t="n">
        <f aca="false">IF(OR(H408="",I408=""),"",IF(I408&gt;0,H408/I408,""))</f>
        <v>13.7657884388517</v>
      </c>
      <c r="N408" s="4" t="str">
        <f aca="false">IF(I408="",IF(K408="NULL","FCF yok (NULL)","FCF kapsamı dışı"),IF(I408&lt;=0,"anlamsız (FCF ≤ 0)",IF(OR(K408="KOŞULLU"),"FCF KOŞULLU — yorum yapılmaz","")))</f>
        <v/>
      </c>
      <c r="O408" s="9" t="n">
        <f aca="false">IF(Q408="","",F408*R408/Q408-1)</f>
        <v>-0.247588424437299</v>
      </c>
      <c r="P408" s="9" t="n">
        <f aca="false">IF(S408="","",F408*T408/S408-1)</f>
        <v>-0.0290456431535271</v>
      </c>
      <c r="Q408" s="5" t="n">
        <v>18.66</v>
      </c>
      <c r="R408" s="10" t="n">
        <v>1</v>
      </c>
      <c r="S408" s="5" t="n">
        <v>14.46</v>
      </c>
      <c r="T408" s="10" t="n">
        <v>1</v>
      </c>
      <c r="U408" s="4"/>
    </row>
    <row r="409" customFormat="false" ht="15" hidden="false" customHeight="false" outlineLevel="0" collapsed="false">
      <c r="A409" s="4" t="s">
        <v>920</v>
      </c>
      <c r="B409" s="4" t="s">
        <v>921</v>
      </c>
      <c r="C409" s="4" t="s">
        <v>29</v>
      </c>
      <c r="D409" s="4" t="s">
        <v>30</v>
      </c>
      <c r="E409" s="4" t="s">
        <v>53</v>
      </c>
      <c r="F409" s="5" t="n">
        <v>0.99</v>
      </c>
      <c r="G409" s="4" t="s">
        <v>26</v>
      </c>
      <c r="H409" s="6" t="n">
        <v>841.5</v>
      </c>
      <c r="I409" s="7" t="n">
        <v>-317.156</v>
      </c>
      <c r="J409" s="4" t="s">
        <v>32</v>
      </c>
      <c r="K409" s="4" t="s">
        <v>86</v>
      </c>
      <c r="L409" s="4" t="s">
        <v>42</v>
      </c>
      <c r="M409" s="8" t="str">
        <f aca="false">IF(OR(H409="",I409=""),"",IF(I409&gt;0,H409/I409,""))</f>
        <v/>
      </c>
      <c r="N409" s="4" t="str">
        <f aca="false">IF(I409="",IF(K409="NULL","FCF yok (NULL)","FCF kapsamı dışı"),IF(I409&lt;=0,"anlamsız (FCF ≤ 0)",IF(OR(K409="KOŞULLU"),"FCF KOŞULLU — yorum yapılmaz","")))</f>
        <v>anlamsız (FCF ≤ 0)</v>
      </c>
      <c r="O409" s="9" t="n">
        <f aca="false">IF(Q409="","",F409*R409/Q409-1)</f>
        <v>-0.530323244970512</v>
      </c>
      <c r="P409" s="9" t="n">
        <f aca="false">IF(S409="","",F409*T409/S409-1)</f>
        <v>-0.0294117647058824</v>
      </c>
      <c r="Q409" s="5" t="n">
        <v>15.18</v>
      </c>
      <c r="R409" s="10" t="n">
        <v>7.20171024378549</v>
      </c>
      <c r="S409" s="5" t="n">
        <v>1.02</v>
      </c>
      <c r="T409" s="10" t="n">
        <v>1</v>
      </c>
      <c r="U409" s="4" t="s">
        <v>922</v>
      </c>
    </row>
    <row r="410" customFormat="false" ht="15" hidden="false" customHeight="false" outlineLevel="0" collapsed="false">
      <c r="A410" s="4" t="s">
        <v>923</v>
      </c>
      <c r="B410" s="4" t="s">
        <v>924</v>
      </c>
      <c r="C410" s="4" t="s">
        <v>29</v>
      </c>
      <c r="D410" s="4" t="s">
        <v>30</v>
      </c>
      <c r="E410" s="4" t="s">
        <v>31</v>
      </c>
      <c r="F410" s="5" t="n">
        <v>20.7</v>
      </c>
      <c r="G410" s="4" t="s">
        <v>26</v>
      </c>
      <c r="H410" s="6" t="n">
        <v>13144.5</v>
      </c>
      <c r="I410" s="7" t="n">
        <v>-4008.4132144</v>
      </c>
      <c r="J410" s="4" t="s">
        <v>32</v>
      </c>
      <c r="K410" s="4" t="s">
        <v>33</v>
      </c>
      <c r="L410" s="4" t="s">
        <v>57</v>
      </c>
      <c r="M410" s="8" t="str">
        <f aca="false">IF(OR(H410="",I410=""),"",IF(I410&gt;0,H410/I410,""))</f>
        <v/>
      </c>
      <c r="N410" s="4" t="str">
        <f aca="false">IF(I410="",IF(K410="NULL","FCF yok (NULL)","FCF kapsamı dışı"),IF(I410&lt;=0,"anlamsız (FCF ≤ 0)",IF(OR(K410="KOŞULLU"),"FCF KOŞULLU — yorum yapılmaz","")))</f>
        <v>anlamsız (FCF ≤ 0)</v>
      </c>
      <c r="O410" s="9" t="str">
        <f aca="false">IF(Q410="","",F410*R410/Q410-1)</f>
        <v/>
      </c>
      <c r="P410" s="9" t="n">
        <f aca="false">IF(S410="","",F410*T410/S410-1)</f>
        <v>0.153846153846154</v>
      </c>
      <c r="Q410" s="5"/>
      <c r="R410" s="10" t="n">
        <v>1</v>
      </c>
      <c r="S410" s="5" t="n">
        <v>17.94</v>
      </c>
      <c r="T410" s="10" t="n">
        <v>1</v>
      </c>
      <c r="U410" s="4"/>
    </row>
    <row r="411" customFormat="false" ht="15" hidden="false" customHeight="false" outlineLevel="0" collapsed="false">
      <c r="A411" s="4" t="s">
        <v>925</v>
      </c>
      <c r="B411" s="4" t="s">
        <v>926</v>
      </c>
      <c r="C411" s="4" t="s">
        <v>29</v>
      </c>
      <c r="D411" s="4" t="s">
        <v>63</v>
      </c>
      <c r="E411" s="4" t="s">
        <v>63</v>
      </c>
      <c r="F411" s="5" t="n">
        <v>7.66</v>
      </c>
      <c r="G411" s="4" t="s">
        <v>26</v>
      </c>
      <c r="H411" s="6" t="n">
        <v>4136.4</v>
      </c>
      <c r="I411" s="7" t="n">
        <v>49.409</v>
      </c>
      <c r="J411" s="4" t="s">
        <v>32</v>
      </c>
      <c r="K411" s="4" t="s">
        <v>33</v>
      </c>
      <c r="L411" s="4" t="s">
        <v>42</v>
      </c>
      <c r="M411" s="8" t="n">
        <f aca="false">IF(OR(H411="",I411=""),"",IF(I411&gt;0,H411/I411,""))</f>
        <v>83.7175413386225</v>
      </c>
      <c r="N411" s="4" t="str">
        <f aca="false">IF(I411="",IF(K411="NULL","FCF yok (NULL)","FCF kapsamı dışı"),IF(I411&lt;=0,"anlamsız (FCF ≤ 0)",IF(OR(K411="KOŞULLU"),"FCF KOŞULLU — yorum yapılmaz","")))</f>
        <v/>
      </c>
      <c r="O411" s="9" t="n">
        <f aca="false">IF(Q411="","",F411*R411/Q411-1)</f>
        <v>0.94910941475827</v>
      </c>
      <c r="P411" s="9" t="n">
        <f aca="false">IF(S411="","",F411*T411/S411-1)</f>
        <v>0.182098765432099</v>
      </c>
      <c r="Q411" s="5" t="n">
        <v>3.93</v>
      </c>
      <c r="R411" s="10" t="n">
        <v>1</v>
      </c>
      <c r="S411" s="5" t="n">
        <v>6.48</v>
      </c>
      <c r="T411" s="10" t="n">
        <v>1</v>
      </c>
      <c r="U411" s="4"/>
    </row>
    <row r="412" customFormat="false" ht="15" hidden="false" customHeight="false" outlineLevel="0" collapsed="false">
      <c r="A412" s="4" t="s">
        <v>927</v>
      </c>
      <c r="B412" s="4" t="s">
        <v>928</v>
      </c>
      <c r="C412" s="4" t="s">
        <v>29</v>
      </c>
      <c r="D412" s="4" t="s">
        <v>30</v>
      </c>
      <c r="E412" s="4" t="s">
        <v>53</v>
      </c>
      <c r="F412" s="5" t="n">
        <v>8.36</v>
      </c>
      <c r="G412" s="4" t="s">
        <v>64</v>
      </c>
      <c r="H412" s="6" t="n">
        <v>7273.2</v>
      </c>
      <c r="I412" s="7" t="n">
        <v>-1217.448</v>
      </c>
      <c r="J412" s="4" t="s">
        <v>32</v>
      </c>
      <c r="K412" s="4" t="s">
        <v>33</v>
      </c>
      <c r="L412" s="4" t="s">
        <v>42</v>
      </c>
      <c r="M412" s="8" t="str">
        <f aca="false">IF(OR(H412="",I412=""),"",IF(I412&gt;0,H412/I412,""))</f>
        <v/>
      </c>
      <c r="N412" s="4" t="str">
        <f aca="false">IF(I412="",IF(K412="NULL","FCF yok (NULL)","FCF kapsamı dışı"),IF(I412&lt;=0,"anlamsız (FCF ≤ 0)",IF(OR(K412="KOŞULLU"),"FCF KOŞULLU — yorum yapılmaz","")))</f>
        <v>anlamsız (FCF ≤ 0)</v>
      </c>
      <c r="O412" s="9" t="str">
        <f aca="false">IF(Q412="","",F412*R412/Q412-1)</f>
        <v/>
      </c>
      <c r="P412" s="9" t="n">
        <f aca="false">IF(S412="","",F412*T412/S412-1)</f>
        <v>0.00966183574879231</v>
      </c>
      <c r="Q412" s="5"/>
      <c r="R412" s="10" t="n">
        <v>1</v>
      </c>
      <c r="S412" s="5" t="n">
        <v>8.28</v>
      </c>
      <c r="T412" s="10" t="n">
        <v>1</v>
      </c>
      <c r="U412" s="4"/>
    </row>
    <row r="413" customFormat="false" ht="15" hidden="false" customHeight="false" outlineLevel="0" collapsed="false">
      <c r="A413" s="4" t="s">
        <v>929</v>
      </c>
      <c r="B413" s="4" t="s">
        <v>930</v>
      </c>
      <c r="C413" s="4" t="s">
        <v>29</v>
      </c>
      <c r="D413" s="4" t="s">
        <v>30</v>
      </c>
      <c r="E413" s="4" t="s">
        <v>272</v>
      </c>
      <c r="F413" s="5" t="n">
        <v>512</v>
      </c>
      <c r="G413" s="4" t="s">
        <v>26</v>
      </c>
      <c r="H413" s="6" t="n">
        <v>92699.767296</v>
      </c>
      <c r="I413" s="7" t="n">
        <v>12464.313</v>
      </c>
      <c r="J413" s="4" t="s">
        <v>32</v>
      </c>
      <c r="K413" s="4" t="s">
        <v>33</v>
      </c>
      <c r="L413" s="4" t="s">
        <v>42</v>
      </c>
      <c r="M413" s="8" t="n">
        <f aca="false">IF(OR(H413="",I413=""),"",IF(I413&gt;0,H413/I413,""))</f>
        <v>7.43721433311246</v>
      </c>
      <c r="N413" s="4" t="str">
        <f aca="false">IF(I413="",IF(K413="NULL","FCF yok (NULL)","FCF kapsamı dışı"),IF(I413&lt;=0,"anlamsız (FCF ≤ 0)",IF(OR(K413="KOŞULLU"),"FCF KOŞULLU — yorum yapılmaz","")))</f>
        <v/>
      </c>
      <c r="O413" s="9" t="n">
        <f aca="false">IF(Q413="","",F413*R413/Q413-1)</f>
        <v>0.112704828965098</v>
      </c>
      <c r="P413" s="9" t="n">
        <f aca="false">IF(S413="","",F413*T413/S413-1)</f>
        <v>-0.0483271375464684</v>
      </c>
      <c r="Q413" s="5" t="n">
        <v>460.14</v>
      </c>
      <c r="R413" s="10" t="n">
        <v>1</v>
      </c>
      <c r="S413" s="5" t="n">
        <v>538</v>
      </c>
      <c r="T413" s="10" t="n">
        <v>1</v>
      </c>
      <c r="U413" s="4"/>
    </row>
    <row r="414" customFormat="false" ht="15" hidden="false" customHeight="false" outlineLevel="0" collapsed="false">
      <c r="A414" s="4" t="s">
        <v>931</v>
      </c>
      <c r="B414" s="4" t="s">
        <v>932</v>
      </c>
      <c r="C414" s="4" t="s">
        <v>38</v>
      </c>
      <c r="D414" s="4"/>
      <c r="E414" s="4"/>
      <c r="F414" s="5" t="n">
        <v>1.82</v>
      </c>
      <c r="G414" s="4" t="s">
        <v>64</v>
      </c>
      <c r="H414" s="6" t="n">
        <v>3386.565</v>
      </c>
      <c r="I414" s="7"/>
      <c r="J414" s="4"/>
      <c r="K414" s="4"/>
      <c r="L414" s="4"/>
      <c r="M414" s="8" t="str">
        <f aca="false">IF(OR(H414="",I414=""),"",IF(I414&gt;0,H414/I414,""))</f>
        <v/>
      </c>
      <c r="N414" s="4" t="str">
        <f aca="false">IF(I414="",IF(K414="NULL","FCF yok (NULL)","FCF kapsamı dışı"),IF(I414&lt;=0,"anlamsız (FCF ≤ 0)",IF(OR(K414="KOŞULLU"),"FCF KOŞULLU — yorum yapılmaz","")))</f>
        <v>FCF kapsamı dışı</v>
      </c>
      <c r="O414" s="9" t="n">
        <f aca="false">IF(Q414="","",F414*R414/Q414-1)</f>
        <v>-0.348911964685144</v>
      </c>
      <c r="P414" s="9" t="n">
        <f aca="false">IF(S414="","",F414*T414/S414-1)</f>
        <v>-0.0618556701030927</v>
      </c>
      <c r="Q414" s="5" t="n">
        <v>4.18</v>
      </c>
      <c r="R414" s="10" t="n">
        <v>1.4953560371517</v>
      </c>
      <c r="S414" s="5" t="n">
        <v>1.94</v>
      </c>
      <c r="T414" s="10" t="n">
        <v>1</v>
      </c>
      <c r="U414" s="4" t="s">
        <v>933</v>
      </c>
    </row>
    <row r="415" customFormat="false" ht="15" hidden="false" customHeight="false" outlineLevel="0" collapsed="false">
      <c r="A415" s="4" t="s">
        <v>934</v>
      </c>
      <c r="B415" s="4" t="s">
        <v>935</v>
      </c>
      <c r="C415" s="4" t="s">
        <v>29</v>
      </c>
      <c r="D415" s="4" t="s">
        <v>30</v>
      </c>
      <c r="E415" s="4" t="s">
        <v>159</v>
      </c>
      <c r="F415" s="5" t="n">
        <v>27.24</v>
      </c>
      <c r="G415" s="4" t="s">
        <v>76</v>
      </c>
      <c r="H415" s="6" t="n">
        <v>13456.56</v>
      </c>
      <c r="I415" s="7" t="n">
        <v>-1372.817</v>
      </c>
      <c r="J415" s="4" t="s">
        <v>32</v>
      </c>
      <c r="K415" s="4" t="s">
        <v>33</v>
      </c>
      <c r="L415" s="4" t="s">
        <v>42</v>
      </c>
      <c r="M415" s="8" t="str">
        <f aca="false">IF(OR(H415="",I415=""),"",IF(I415&gt;0,H415/I415,""))</f>
        <v/>
      </c>
      <c r="N415" s="4" t="str">
        <f aca="false">IF(I415="",IF(K415="NULL","FCF yok (NULL)","FCF kapsamı dışı"),IF(I415&lt;=0,"anlamsız (FCF ≤ 0)",IF(OR(K415="KOŞULLU"),"FCF KOŞULLU — yorum yapılmaz","")))</f>
        <v>anlamsız (FCF ≤ 0)</v>
      </c>
      <c r="O415" s="9" t="n">
        <f aca="false">IF(Q415="","",F415*R415/Q415-1)</f>
        <v>-0.389511429852084</v>
      </c>
      <c r="P415" s="9" t="n">
        <f aca="false">IF(S415="","",F415*T415/S415-1)</f>
        <v>0.195785776997366</v>
      </c>
      <c r="Q415" s="5" t="n">
        <v>44.62</v>
      </c>
      <c r="R415" s="10" t="n">
        <v>1</v>
      </c>
      <c r="S415" s="5" t="n">
        <v>22.78</v>
      </c>
      <c r="T415" s="10" t="n">
        <v>1</v>
      </c>
      <c r="U415" s="4"/>
    </row>
    <row r="416" customFormat="false" ht="15" hidden="false" customHeight="false" outlineLevel="0" collapsed="false">
      <c r="A416" s="4" t="s">
        <v>936</v>
      </c>
      <c r="B416" s="4" t="s">
        <v>937</v>
      </c>
      <c r="C416" s="4" t="s">
        <v>29</v>
      </c>
      <c r="D416" s="4" t="s">
        <v>63</v>
      </c>
      <c r="E416" s="4" t="s">
        <v>63</v>
      </c>
      <c r="F416" s="5" t="n">
        <v>17</v>
      </c>
      <c r="G416" s="4" t="s">
        <v>141</v>
      </c>
      <c r="H416" s="6" t="n">
        <v>226.726943</v>
      </c>
      <c r="I416" s="7" t="n">
        <v>-17.886</v>
      </c>
      <c r="J416" s="4" t="s">
        <v>32</v>
      </c>
      <c r="K416" s="4" t="s">
        <v>33</v>
      </c>
      <c r="L416" s="4" t="s">
        <v>42</v>
      </c>
      <c r="M416" s="8" t="str">
        <f aca="false">IF(OR(H416="",I416=""),"",IF(I416&gt;0,H416/I416,""))</f>
        <v/>
      </c>
      <c r="N416" s="4" t="str">
        <f aca="false">IF(I416="",IF(K416="NULL","FCF yok (NULL)","FCF kapsamı dışı"),IF(I416&lt;=0,"anlamsız (FCF ≤ 0)",IF(OR(K416="KOŞULLU"),"FCF KOŞULLU — yorum yapılmaz","")))</f>
        <v>anlamsız (FCF ≤ 0)</v>
      </c>
      <c r="O416" s="9" t="n">
        <f aca="false">IF(Q416="","",F416*R416/Q416-1)</f>
        <v>-0.757142857142857</v>
      </c>
      <c r="P416" s="9" t="n">
        <f aca="false">IF(S416="","",F416*T416/S416-1)</f>
        <v>-0.334377447141738</v>
      </c>
      <c r="Q416" s="5" t="n">
        <v>70</v>
      </c>
      <c r="R416" s="10" t="n">
        <v>1</v>
      </c>
      <c r="S416" s="5" t="n">
        <v>25.54</v>
      </c>
      <c r="T416" s="10" t="n">
        <v>1</v>
      </c>
      <c r="U416" s="4"/>
    </row>
    <row r="417" customFormat="false" ht="15" hidden="false" customHeight="false" outlineLevel="0" collapsed="false">
      <c r="A417" s="4" t="s">
        <v>938</v>
      </c>
      <c r="B417" s="4" t="s">
        <v>939</v>
      </c>
      <c r="C417" s="4" t="s">
        <v>29</v>
      </c>
      <c r="D417" s="4" t="s">
        <v>30</v>
      </c>
      <c r="E417" s="4" t="s">
        <v>171</v>
      </c>
      <c r="F417" s="5" t="n">
        <v>9.34</v>
      </c>
      <c r="G417" s="4" t="s">
        <v>26</v>
      </c>
      <c r="H417" s="6" t="n">
        <v>2589.91265984</v>
      </c>
      <c r="I417" s="7" t="n">
        <v>1288.191</v>
      </c>
      <c r="J417" s="4" t="s">
        <v>32</v>
      </c>
      <c r="K417" s="4" t="s">
        <v>33</v>
      </c>
      <c r="L417" s="4" t="s">
        <v>42</v>
      </c>
      <c r="M417" s="8" t="n">
        <f aca="false">IF(OR(H417="",I417=""),"",IF(I417&gt;0,H417/I417,""))</f>
        <v>2.01050361308222</v>
      </c>
      <c r="N417" s="4" t="str">
        <f aca="false">IF(I417="",IF(K417="NULL","FCF yok (NULL)","FCF kapsamı dışı"),IF(I417&lt;=0,"anlamsız (FCF ≤ 0)",IF(OR(K417="KOŞULLU"),"FCF KOŞULLU — yorum yapılmaz","")))</f>
        <v/>
      </c>
      <c r="O417" s="9" t="n">
        <f aca="false">IF(Q417="","",F417*R417/Q417-1)</f>
        <v>-0.418068535825545</v>
      </c>
      <c r="P417" s="9" t="n">
        <f aca="false">IF(S417="","",F417*T417/S417-1)</f>
        <v>-0.0613065326633165</v>
      </c>
      <c r="Q417" s="5" t="n">
        <v>16.05</v>
      </c>
      <c r="R417" s="10" t="n">
        <v>1</v>
      </c>
      <c r="S417" s="5" t="n">
        <v>9.95</v>
      </c>
      <c r="T417" s="10" t="n">
        <v>1</v>
      </c>
      <c r="U417" s="4"/>
    </row>
    <row r="418" customFormat="false" ht="15" hidden="false" customHeight="false" outlineLevel="0" collapsed="false">
      <c r="A418" s="4" t="s">
        <v>940</v>
      </c>
      <c r="B418" s="4" t="s">
        <v>941</v>
      </c>
      <c r="C418" s="4" t="s">
        <v>29</v>
      </c>
      <c r="D418" s="4" t="s">
        <v>30</v>
      </c>
      <c r="E418" s="4" t="s">
        <v>231</v>
      </c>
      <c r="F418" s="5" t="n">
        <v>4.13</v>
      </c>
      <c r="G418" s="4" t="s">
        <v>213</v>
      </c>
      <c r="H418" s="6" t="n">
        <v>4332.53852465</v>
      </c>
      <c r="I418" s="7" t="n">
        <v>25.5358447999999</v>
      </c>
      <c r="J418" s="4" t="s">
        <v>32</v>
      </c>
      <c r="K418" s="4" t="s">
        <v>33</v>
      </c>
      <c r="L418" s="4" t="s">
        <v>57</v>
      </c>
      <c r="M418" s="8" t="n">
        <f aca="false">IF(OR(H418="",I418=""),"",IF(I418&gt;0,H418/I418,""))</f>
        <v>169.664977155955</v>
      </c>
      <c r="N418" s="4" t="str">
        <f aca="false">IF(I418="",IF(K418="NULL","FCF yok (NULL)","FCF kapsamı dışı"),IF(I418&lt;=0,"anlamsız (FCF ≤ 0)",IF(OR(K418="KOŞULLU"),"FCF KOŞULLU — yorum yapılmaz","")))</f>
        <v/>
      </c>
      <c r="O418" s="9" t="n">
        <f aca="false">IF(Q418="","",F418*R418/Q418-1)</f>
        <v>-0.427184466019418</v>
      </c>
      <c r="P418" s="9" t="n">
        <f aca="false">IF(S418="","",F418*T418/S418-1)</f>
        <v>-0.0739910313901345</v>
      </c>
      <c r="Q418" s="5" t="n">
        <v>7.21</v>
      </c>
      <c r="R418" s="10" t="n">
        <v>1</v>
      </c>
      <c r="S418" s="5" t="n">
        <v>4.46</v>
      </c>
      <c r="T418" s="10" t="n">
        <v>1</v>
      </c>
      <c r="U418" s="4"/>
    </row>
    <row r="419" customFormat="false" ht="15" hidden="false" customHeight="false" outlineLevel="0" collapsed="false">
      <c r="A419" s="4" t="s">
        <v>942</v>
      </c>
      <c r="B419" s="4" t="s">
        <v>943</v>
      </c>
      <c r="C419" s="4" t="s">
        <v>29</v>
      </c>
      <c r="D419" s="4" t="s">
        <v>30</v>
      </c>
      <c r="E419" s="4" t="s">
        <v>162</v>
      </c>
      <c r="F419" s="5" t="n">
        <v>10.23</v>
      </c>
      <c r="G419" s="4" t="s">
        <v>338</v>
      </c>
      <c r="H419" s="6" t="n">
        <v>10485.75</v>
      </c>
      <c r="I419" s="7" t="n">
        <v>-569.239</v>
      </c>
      <c r="J419" s="4" t="s">
        <v>32</v>
      </c>
      <c r="K419" s="4" t="s">
        <v>33</v>
      </c>
      <c r="L419" s="4" t="s">
        <v>42</v>
      </c>
      <c r="M419" s="8" t="str">
        <f aca="false">IF(OR(H419="",I419=""),"",IF(I419&gt;0,H419/I419,""))</f>
        <v/>
      </c>
      <c r="N419" s="4" t="str">
        <f aca="false">IF(I419="",IF(K419="NULL","FCF yok (NULL)","FCF kapsamı dışı"),IF(I419&lt;=0,"anlamsız (FCF ≤ 0)",IF(OR(K419="KOŞULLU"),"FCF KOŞULLU — yorum yapılmaz","")))</f>
        <v>anlamsız (FCF ≤ 0)</v>
      </c>
      <c r="O419" s="9" t="n">
        <f aca="false">IF(Q419="","",F419*R419/Q419-1)</f>
        <v>0.432773109243698</v>
      </c>
      <c r="P419" s="9" t="n">
        <f aca="false">IF(S419="","",F419*T419/S419-1)</f>
        <v>0.028140703517588</v>
      </c>
      <c r="Q419" s="5" t="n">
        <v>7.14</v>
      </c>
      <c r="R419" s="10" t="n">
        <v>1</v>
      </c>
      <c r="S419" s="5" t="n">
        <v>9.95</v>
      </c>
      <c r="T419" s="10" t="n">
        <v>1</v>
      </c>
      <c r="U419" s="4"/>
    </row>
    <row r="420" customFormat="false" ht="15" hidden="false" customHeight="false" outlineLevel="0" collapsed="false">
      <c r="A420" s="4" t="s">
        <v>944</v>
      </c>
      <c r="B420" s="4" t="s">
        <v>945</v>
      </c>
      <c r="C420" s="4" t="s">
        <v>29</v>
      </c>
      <c r="D420" s="4" t="s">
        <v>30</v>
      </c>
      <c r="E420" s="4" t="s">
        <v>31</v>
      </c>
      <c r="F420" s="5" t="n">
        <v>9.38</v>
      </c>
      <c r="G420" s="4" t="s">
        <v>26</v>
      </c>
      <c r="H420" s="6" t="n">
        <v>22888.21304</v>
      </c>
      <c r="I420" s="7" t="n">
        <v>6142.238</v>
      </c>
      <c r="J420" s="4" t="s">
        <v>32</v>
      </c>
      <c r="K420" s="4" t="s">
        <v>33</v>
      </c>
      <c r="L420" s="4" t="s">
        <v>42</v>
      </c>
      <c r="M420" s="8" t="n">
        <f aca="false">IF(OR(H420="",I420=""),"",IF(I420&gt;0,H420/I420,""))</f>
        <v>3.72636375210469</v>
      </c>
      <c r="N420" s="4" t="str">
        <f aca="false">IF(I420="",IF(K420="NULL","FCF yok (NULL)","FCF kapsamı dışı"),IF(I420&lt;=0,"anlamsız (FCF ≤ 0)",IF(OR(K420="KOŞULLU"),"FCF KOŞULLU — yorum yapılmaz","")))</f>
        <v/>
      </c>
      <c r="O420" s="9" t="n">
        <f aca="false">IF(Q420="","",F420*R420/Q420-1)</f>
        <v>-0.0525252525252525</v>
      </c>
      <c r="P420" s="9" t="n">
        <f aca="false">IF(S420="","",F420*T420/S420-1)</f>
        <v>0.117997616209774</v>
      </c>
      <c r="Q420" s="5" t="n">
        <v>9.9</v>
      </c>
      <c r="R420" s="10" t="n">
        <v>1</v>
      </c>
      <c r="S420" s="5" t="n">
        <v>8.39</v>
      </c>
      <c r="T420" s="10" t="n">
        <v>1</v>
      </c>
      <c r="U420" s="4"/>
    </row>
    <row r="421" customFormat="false" ht="15" hidden="false" customHeight="false" outlineLevel="0" collapsed="false">
      <c r="A421" s="4" t="s">
        <v>946</v>
      </c>
      <c r="B421" s="4" t="s">
        <v>947</v>
      </c>
      <c r="C421" s="4" t="s">
        <v>29</v>
      </c>
      <c r="D421" s="4" t="s">
        <v>30</v>
      </c>
      <c r="E421" s="4" t="s">
        <v>272</v>
      </c>
      <c r="F421" s="5" t="n">
        <v>18.73</v>
      </c>
      <c r="G421" s="4" t="s">
        <v>26</v>
      </c>
      <c r="H421" s="6" t="n">
        <v>5113.29</v>
      </c>
      <c r="I421" s="7" t="n">
        <v>9.87900000000013</v>
      </c>
      <c r="J421" s="4" t="s">
        <v>32</v>
      </c>
      <c r="K421" s="4" t="s">
        <v>33</v>
      </c>
      <c r="L421" s="4" t="s">
        <v>42</v>
      </c>
      <c r="M421" s="8" t="n">
        <f aca="false">IF(OR(H421="",I421=""),"",IF(I421&gt;0,H421/I421,""))</f>
        <v>517.591861524439</v>
      </c>
      <c r="N421" s="4" t="str">
        <f aca="false">IF(I421="",IF(K421="NULL","FCF yok (NULL)","FCF kapsamı dışı"),IF(I421&lt;=0,"anlamsız (FCF ≤ 0)",IF(OR(K421="KOŞULLU"),"FCF KOŞULLU — yorum yapılmaz","")))</f>
        <v/>
      </c>
      <c r="O421" s="9" t="n">
        <f aca="false">IF(Q421="","",F421*R421/Q421-1)</f>
        <v>-0.472096956031567</v>
      </c>
      <c r="P421" s="9" t="n">
        <f aca="false">IF(S421="","",F421*T421/S421-1)</f>
        <v>-0.096914175506268</v>
      </c>
      <c r="Q421" s="5" t="n">
        <v>35.48</v>
      </c>
      <c r="R421" s="10" t="n">
        <v>1</v>
      </c>
      <c r="S421" s="5" t="n">
        <v>20.74</v>
      </c>
      <c r="T421" s="10" t="n">
        <v>1</v>
      </c>
      <c r="U421" s="4"/>
    </row>
    <row r="422" customFormat="false" ht="15" hidden="false" customHeight="false" outlineLevel="0" collapsed="false">
      <c r="A422" s="4" t="s">
        <v>948</v>
      </c>
      <c r="B422" s="4" t="s">
        <v>949</v>
      </c>
      <c r="C422" s="4" t="s">
        <v>29</v>
      </c>
      <c r="D422" s="4" t="s">
        <v>30</v>
      </c>
      <c r="E422" s="4" t="s">
        <v>147</v>
      </c>
      <c r="F422" s="5" t="n">
        <v>423.5</v>
      </c>
      <c r="G422" s="4" t="s">
        <v>26</v>
      </c>
      <c r="H422" s="6" t="n">
        <v>80893.667547</v>
      </c>
      <c r="I422" s="7" t="n">
        <v>2853.177</v>
      </c>
      <c r="J422" s="4" t="s">
        <v>32</v>
      </c>
      <c r="K422" s="4" t="s">
        <v>33</v>
      </c>
      <c r="L422" s="4" t="s">
        <v>42</v>
      </c>
      <c r="M422" s="8" t="n">
        <f aca="false">IF(OR(H422="",I422=""),"",IF(I422&gt;0,H422/I422,""))</f>
        <v>28.3521378263599</v>
      </c>
      <c r="N422" s="4" t="str">
        <f aca="false">IF(I422="",IF(K422="NULL","FCF yok (NULL)","FCF kapsamı dışı"),IF(I422&lt;=0,"anlamsız (FCF ≤ 0)",IF(OR(K422="KOŞULLU"),"FCF KOŞULLU — yorum yapılmaz","")))</f>
        <v/>
      </c>
      <c r="O422" s="9" t="n">
        <f aca="false">IF(Q422="","",F422*R422/Q422-1)</f>
        <v>0.28042328042328</v>
      </c>
      <c r="P422" s="9" t="n">
        <f aca="false">IF(S422="","",F422*T422/S422-1)</f>
        <v>-0.0358565737051793</v>
      </c>
      <c r="Q422" s="5" t="n">
        <v>330.75</v>
      </c>
      <c r="R422" s="10" t="n">
        <v>1</v>
      </c>
      <c r="S422" s="5" t="n">
        <v>439.25</v>
      </c>
      <c r="T422" s="10" t="n">
        <v>1</v>
      </c>
      <c r="U422" s="4"/>
    </row>
    <row r="423" customFormat="false" ht="15" hidden="false" customHeight="false" outlineLevel="0" collapsed="false">
      <c r="A423" s="4" t="s">
        <v>950</v>
      </c>
      <c r="B423" s="4" t="s">
        <v>951</v>
      </c>
      <c r="C423" s="4" t="s">
        <v>38</v>
      </c>
      <c r="D423" s="4"/>
      <c r="E423" s="4"/>
      <c r="F423" s="5" t="n">
        <v>1.48</v>
      </c>
      <c r="G423" s="4" t="s">
        <v>26</v>
      </c>
      <c r="H423" s="6" t="n">
        <v>3552.23088</v>
      </c>
      <c r="I423" s="7"/>
      <c r="J423" s="4"/>
      <c r="K423" s="4"/>
      <c r="L423" s="4"/>
      <c r="M423" s="8" t="str">
        <f aca="false">IF(OR(H423="",I423=""),"",IF(I423&gt;0,H423/I423,""))</f>
        <v/>
      </c>
      <c r="N423" s="4" t="str">
        <f aca="false">IF(I423="",IF(K423="NULL","FCF yok (NULL)","FCF kapsamı dışı"),IF(I423&lt;=0,"anlamsız (FCF ≤ 0)",IF(OR(K423="KOŞULLU"),"FCF KOŞULLU — yorum yapılmaz","")))</f>
        <v>FCF kapsamı dışı</v>
      </c>
      <c r="O423" s="9" t="n">
        <f aca="false">IF(Q423="","",F423*R423/Q423-1)</f>
        <v>-0.307545910368059</v>
      </c>
      <c r="P423" s="9" t="n">
        <f aca="false">IF(S423="","",F423*T423/S423-1)</f>
        <v>-0.0512820512820513</v>
      </c>
      <c r="Q423" s="5" t="n">
        <v>2.13732581287326</v>
      </c>
      <c r="R423" s="10" t="n">
        <v>1</v>
      </c>
      <c r="S423" s="5" t="n">
        <v>1.56</v>
      </c>
      <c r="T423" s="10" t="n">
        <v>1</v>
      </c>
      <c r="U423" s="4"/>
    </row>
    <row r="424" customFormat="false" ht="15" hidden="false" customHeight="false" outlineLevel="0" collapsed="false">
      <c r="A424" s="4" t="s">
        <v>952</v>
      </c>
      <c r="B424" s="4" t="s">
        <v>953</v>
      </c>
      <c r="C424" s="4" t="s">
        <v>29</v>
      </c>
      <c r="D424" s="4" t="s">
        <v>30</v>
      </c>
      <c r="E424" s="4" t="s">
        <v>41</v>
      </c>
      <c r="F424" s="5" t="n">
        <v>1304</v>
      </c>
      <c r="G424" s="4" t="s">
        <v>64</v>
      </c>
      <c r="H424" s="6" t="n">
        <v>14336.350736</v>
      </c>
      <c r="I424" s="7" t="n">
        <v>578.23</v>
      </c>
      <c r="J424" s="4" t="s">
        <v>32</v>
      </c>
      <c r="K424" s="4" t="s">
        <v>33</v>
      </c>
      <c r="L424" s="4" t="s">
        <v>42</v>
      </c>
      <c r="M424" s="8" t="n">
        <f aca="false">IF(OR(H424="",I424=""),"",IF(I424&gt;0,H424/I424,""))</f>
        <v>24.7935090465732</v>
      </c>
      <c r="N424" s="4" t="str">
        <f aca="false">IF(I424="",IF(K424="NULL","FCF yok (NULL)","FCF kapsamı dışı"),IF(I424&lt;=0,"anlamsız (FCF ≤ 0)",IF(OR(K424="KOŞULLU"),"FCF KOŞULLU — yorum yapılmaz","")))</f>
        <v/>
      </c>
      <c r="O424" s="9" t="n">
        <f aca="false">IF(Q424="","",F424*R424/Q424-1)</f>
        <v>-0.33025166923472</v>
      </c>
      <c r="P424" s="9" t="n">
        <f aca="false">IF(S424="","",F424*T424/S424-1)</f>
        <v>-0.121885521885522</v>
      </c>
      <c r="Q424" s="5" t="n">
        <v>1947</v>
      </c>
      <c r="R424" s="10" t="n">
        <v>1</v>
      </c>
      <c r="S424" s="5" t="n">
        <v>1485</v>
      </c>
      <c r="T424" s="10" t="n">
        <v>1</v>
      </c>
      <c r="U424" s="4"/>
    </row>
    <row r="425" customFormat="false" ht="15" hidden="false" customHeight="false" outlineLevel="0" collapsed="false">
      <c r="A425" s="4" t="s">
        <v>954</v>
      </c>
      <c r="B425" s="4" t="s">
        <v>955</v>
      </c>
      <c r="C425" s="4" t="s">
        <v>38</v>
      </c>
      <c r="D425" s="4"/>
      <c r="E425" s="4"/>
      <c r="F425" s="5" t="n">
        <v>5.03</v>
      </c>
      <c r="G425" s="4" t="s">
        <v>679</v>
      </c>
      <c r="H425" s="6" t="n">
        <v>2362.93363354</v>
      </c>
      <c r="I425" s="7"/>
      <c r="J425" s="4"/>
      <c r="K425" s="4"/>
      <c r="L425" s="4"/>
      <c r="M425" s="8" t="str">
        <f aca="false">IF(OR(H425="",I425=""),"",IF(I425&gt;0,H425/I425,""))</f>
        <v/>
      </c>
      <c r="N425" s="4" t="str">
        <f aca="false">IF(I425="",IF(K425="NULL","FCF yok (NULL)","FCF kapsamı dışı"),IF(I425&lt;=0,"anlamsız (FCF ≤ 0)",IF(OR(K425="KOŞULLU"),"FCF KOŞULLU — yorum yapılmaz","")))</f>
        <v>FCF kapsamı dışı</v>
      </c>
      <c r="O425" s="9" t="n">
        <f aca="false">IF(Q425="","",F425*R425/Q425-1)</f>
        <v>-0.144557823129252</v>
      </c>
      <c r="P425" s="9" t="n">
        <f aca="false">IF(S425="","",F425*T425/S425-1)</f>
        <v>-0.00788954635108485</v>
      </c>
      <c r="Q425" s="5" t="n">
        <v>5.88</v>
      </c>
      <c r="R425" s="10" t="n">
        <v>1</v>
      </c>
      <c r="S425" s="5" t="n">
        <v>5.07</v>
      </c>
      <c r="T425" s="10" t="n">
        <v>1</v>
      </c>
      <c r="U425" s="4"/>
    </row>
    <row r="426" customFormat="false" ht="15" hidden="false" customHeight="false" outlineLevel="0" collapsed="false">
      <c r="A426" s="4" t="s">
        <v>956</v>
      </c>
      <c r="B426" s="4" t="s">
        <v>957</v>
      </c>
      <c r="C426" s="4" t="s">
        <v>29</v>
      </c>
      <c r="D426" s="4" t="s">
        <v>30</v>
      </c>
      <c r="E426" s="4" t="s">
        <v>159</v>
      </c>
      <c r="F426" s="5" t="n">
        <v>22.62</v>
      </c>
      <c r="G426" s="4" t="s">
        <v>46</v>
      </c>
      <c r="H426" s="6" t="n">
        <v>2273.31</v>
      </c>
      <c r="I426" s="7" t="n">
        <v>-181.2489728</v>
      </c>
      <c r="J426" s="4" t="s">
        <v>32</v>
      </c>
      <c r="K426" s="4" t="s">
        <v>33</v>
      </c>
      <c r="L426" s="4" t="s">
        <v>57</v>
      </c>
      <c r="M426" s="8" t="str">
        <f aca="false">IF(OR(H426="",I426=""),"",IF(I426&gt;0,H426/I426,""))</f>
        <v/>
      </c>
      <c r="N426" s="4" t="str">
        <f aca="false">IF(I426="",IF(K426="NULL","FCF yok (NULL)","FCF kapsamı dışı"),IF(I426&lt;=0,"anlamsız (FCF ≤ 0)",IF(OR(K426="KOŞULLU"),"FCF KOŞULLU — yorum yapılmaz","")))</f>
        <v>anlamsız (FCF ≤ 0)</v>
      </c>
      <c r="O426" s="9" t="n">
        <f aca="false">IF(Q426="","",F426*R426/Q426-1)</f>
        <v>-0.0952</v>
      </c>
      <c r="P426" s="9" t="n">
        <f aca="false">IF(S426="","",F426*T426/S426-1)</f>
        <v>-0.0190806591500433</v>
      </c>
      <c r="Q426" s="5" t="n">
        <v>25</v>
      </c>
      <c r="R426" s="10" t="n">
        <v>1</v>
      </c>
      <c r="S426" s="5" t="n">
        <v>23.06</v>
      </c>
      <c r="T426" s="10" t="n">
        <v>1</v>
      </c>
      <c r="U426" s="4"/>
    </row>
    <row r="427" customFormat="false" ht="15" hidden="false" customHeight="false" outlineLevel="0" collapsed="false">
      <c r="A427" s="4" t="s">
        <v>958</v>
      </c>
      <c r="B427" s="4" t="s">
        <v>959</v>
      </c>
      <c r="C427" s="4" t="s">
        <v>29</v>
      </c>
      <c r="D427" s="4"/>
      <c r="E427" s="4"/>
      <c r="F427" s="5" t="n">
        <v>7.98</v>
      </c>
      <c r="G427" s="4" t="s">
        <v>120</v>
      </c>
      <c r="H427" s="6" t="n">
        <v>335.16</v>
      </c>
      <c r="I427" s="7"/>
      <c r="J427" s="4"/>
      <c r="K427" s="4"/>
      <c r="L427" s="4"/>
      <c r="M427" s="8" t="str">
        <f aca="false">IF(OR(H427="",I427=""),"",IF(I427&gt;0,H427/I427,""))</f>
        <v/>
      </c>
      <c r="N427" s="4" t="str">
        <f aca="false">IF(I427="",IF(K427="NULL","FCF yok (NULL)","FCF kapsamı dışı"),IF(I427&lt;=0,"anlamsız (FCF ≤ 0)",IF(OR(K427="KOŞULLU"),"FCF KOŞULLU — yorum yapılmaz","")))</f>
        <v>FCF kapsamı dışı</v>
      </c>
      <c r="O427" s="9" t="n">
        <f aca="false">IF(Q427="","",F427*R427/Q427-1)</f>
        <v>-0.193124368048534</v>
      </c>
      <c r="P427" s="9" t="n">
        <f aca="false">IF(S427="","",F427*T427/S427-1)</f>
        <v>-0.113333333333333</v>
      </c>
      <c r="Q427" s="5" t="n">
        <v>9.89</v>
      </c>
      <c r="R427" s="10" t="n">
        <v>1</v>
      </c>
      <c r="S427" s="5" t="n">
        <v>9</v>
      </c>
      <c r="T427" s="10" t="n">
        <v>1</v>
      </c>
      <c r="U427" s="4"/>
    </row>
    <row r="428" customFormat="false" ht="15" hidden="false" customHeight="false" outlineLevel="0" collapsed="false">
      <c r="A428" s="4" t="s">
        <v>960</v>
      </c>
      <c r="B428" s="4" t="s">
        <v>961</v>
      </c>
      <c r="C428" s="4" t="s">
        <v>29</v>
      </c>
      <c r="D428" s="4" t="s">
        <v>63</v>
      </c>
      <c r="E428" s="4" t="s">
        <v>63</v>
      </c>
      <c r="F428" s="5" t="n">
        <v>4.23</v>
      </c>
      <c r="G428" s="4" t="s">
        <v>213</v>
      </c>
      <c r="H428" s="6" t="n">
        <v>459.20457</v>
      </c>
      <c r="I428" s="7" t="n">
        <v>-335.8992272</v>
      </c>
      <c r="J428" s="4" t="s">
        <v>111</v>
      </c>
      <c r="K428" s="4" t="s">
        <v>33</v>
      </c>
      <c r="L428" s="4" t="s">
        <v>57</v>
      </c>
      <c r="M428" s="8" t="str">
        <f aca="false">IF(OR(H428="",I428=""),"",IF(I428&gt;0,H428/I428,""))</f>
        <v/>
      </c>
      <c r="N428" s="4" t="str">
        <f aca="false">IF(I428="",IF(K428="NULL","FCF yok (NULL)","FCF kapsamı dışı"),IF(I428&lt;=0,"anlamsız (FCF ≤ 0)",IF(OR(K428="KOŞULLU"),"FCF KOŞULLU — yorum yapılmaz","")))</f>
        <v>anlamsız (FCF ≤ 0)</v>
      </c>
      <c r="O428" s="9" t="n">
        <f aca="false">IF(Q428="","",F428*R428/Q428-1)</f>
        <v>-0.410041841004184</v>
      </c>
      <c r="P428" s="9" t="n">
        <f aca="false">IF(S428="","",F428*T428/S428-1)</f>
        <v>-0.127835051546392</v>
      </c>
      <c r="Q428" s="5" t="n">
        <v>7.17</v>
      </c>
      <c r="R428" s="10" t="n">
        <v>1</v>
      </c>
      <c r="S428" s="5" t="n">
        <v>4.85</v>
      </c>
      <c r="T428" s="10" t="n">
        <v>1</v>
      </c>
      <c r="U428" s="4"/>
    </row>
    <row r="429" customFormat="false" ht="15" hidden="false" customHeight="false" outlineLevel="0" collapsed="false">
      <c r="A429" s="4" t="s">
        <v>962</v>
      </c>
      <c r="B429" s="4" t="s">
        <v>963</v>
      </c>
      <c r="C429" s="4" t="s">
        <v>29</v>
      </c>
      <c r="D429" s="4" t="s">
        <v>30</v>
      </c>
      <c r="E429" s="4" t="s">
        <v>31</v>
      </c>
      <c r="F429" s="5" t="n">
        <v>4</v>
      </c>
      <c r="G429" s="4" t="s">
        <v>26</v>
      </c>
      <c r="H429" s="6" t="n">
        <v>3300</v>
      </c>
      <c r="I429" s="7" t="n">
        <v>-672.871</v>
      </c>
      <c r="J429" s="4" t="s">
        <v>32</v>
      </c>
      <c r="K429" s="4" t="s">
        <v>33</v>
      </c>
      <c r="L429" s="4" t="s">
        <v>42</v>
      </c>
      <c r="M429" s="8" t="str">
        <f aca="false">IF(OR(H429="",I429=""),"",IF(I429&gt;0,H429/I429,""))</f>
        <v/>
      </c>
      <c r="N429" s="4" t="str">
        <f aca="false">IF(I429="",IF(K429="NULL","FCF yok (NULL)","FCF kapsamı dışı"),IF(I429&lt;=0,"anlamsız (FCF ≤ 0)",IF(OR(K429="KOŞULLU"),"FCF KOŞULLU — yorum yapılmaz","")))</f>
        <v>anlamsız (FCF ≤ 0)</v>
      </c>
      <c r="O429" s="9" t="n">
        <f aca="false">IF(Q429="","",F429*R429/Q429-1)</f>
        <v>-0.570815450643777</v>
      </c>
      <c r="P429" s="9" t="n">
        <f aca="false">IF(S429="","",F429*T429/S429-1)</f>
        <v>-0.0783410138248848</v>
      </c>
      <c r="Q429" s="5" t="n">
        <v>9.32</v>
      </c>
      <c r="R429" s="10" t="n">
        <v>1</v>
      </c>
      <c r="S429" s="5" t="n">
        <v>4.34</v>
      </c>
      <c r="T429" s="10" t="n">
        <v>1</v>
      </c>
      <c r="U429" s="4"/>
    </row>
    <row r="430" customFormat="false" ht="15" hidden="false" customHeight="false" outlineLevel="0" collapsed="false">
      <c r="A430" s="4" t="s">
        <v>964</v>
      </c>
      <c r="B430" s="4" t="s">
        <v>965</v>
      </c>
      <c r="C430" s="4" t="s">
        <v>29</v>
      </c>
      <c r="D430" s="4" t="s">
        <v>30</v>
      </c>
      <c r="E430" s="4" t="s">
        <v>123</v>
      </c>
      <c r="F430" s="5" t="n">
        <v>80</v>
      </c>
      <c r="G430" s="4" t="s">
        <v>26</v>
      </c>
      <c r="H430" s="6" t="n">
        <v>5189.184</v>
      </c>
      <c r="I430" s="7" t="n">
        <v>438.664</v>
      </c>
      <c r="J430" s="4" t="s">
        <v>32</v>
      </c>
      <c r="K430" s="4" t="s">
        <v>33</v>
      </c>
      <c r="L430" s="4" t="s">
        <v>57</v>
      </c>
      <c r="M430" s="8" t="n">
        <f aca="false">IF(OR(H430="",I430=""),"",IF(I430&gt;0,H430/I430,""))</f>
        <v>11.8295187204785</v>
      </c>
      <c r="N430" s="4" t="str">
        <f aca="false">IF(I430="",IF(K430="NULL","FCF yok (NULL)","FCF kapsamı dışı"),IF(I430&lt;=0,"anlamsız (FCF ≤ 0)",IF(OR(K430="KOŞULLU"),"FCF KOŞULLU — yorum yapılmaz","")))</f>
        <v/>
      </c>
      <c r="O430" s="9" t="n">
        <f aca="false">IF(Q430="","",F430*R430/Q430-1)</f>
        <v>-0.0442054958183991</v>
      </c>
      <c r="P430" s="9" t="n">
        <f aca="false">IF(S430="","",F430*T430/S430-1)</f>
        <v>0.0256410256410256</v>
      </c>
      <c r="Q430" s="5" t="n">
        <v>83.7</v>
      </c>
      <c r="R430" s="10" t="n">
        <v>1</v>
      </c>
      <c r="S430" s="5" t="n">
        <v>78</v>
      </c>
      <c r="T430" s="10" t="n">
        <v>1</v>
      </c>
      <c r="U430" s="4"/>
    </row>
    <row r="431" customFormat="false" ht="15" hidden="false" customHeight="false" outlineLevel="0" collapsed="false">
      <c r="A431" s="4" t="s">
        <v>966</v>
      </c>
      <c r="B431" s="4" t="s">
        <v>967</v>
      </c>
      <c r="C431" s="4" t="s">
        <v>29</v>
      </c>
      <c r="D431" s="4" t="s">
        <v>30</v>
      </c>
      <c r="E431" s="4" t="s">
        <v>159</v>
      </c>
      <c r="F431" s="5" t="n">
        <v>88.45</v>
      </c>
      <c r="G431" s="4" t="s">
        <v>26</v>
      </c>
      <c r="H431" s="6" t="n">
        <v>12117.65</v>
      </c>
      <c r="I431" s="7" t="n">
        <v>760.8340768</v>
      </c>
      <c r="J431" s="4" t="s">
        <v>32</v>
      </c>
      <c r="K431" s="4" t="s">
        <v>33</v>
      </c>
      <c r="L431" s="4" t="s">
        <v>57</v>
      </c>
      <c r="M431" s="8" t="n">
        <f aca="false">IF(OR(H431="",I431=""),"",IF(I431&gt;0,H431/I431,""))</f>
        <v>15.9267971421124</v>
      </c>
      <c r="N431" s="4" t="str">
        <f aca="false">IF(I431="",IF(K431="NULL","FCF yok (NULL)","FCF kapsamı dışı"),IF(I431&lt;=0,"anlamsız (FCF ≤ 0)",IF(OR(K431="KOŞULLU"),"FCF KOŞULLU — yorum yapılmaz","")))</f>
        <v/>
      </c>
      <c r="O431" s="9" t="str">
        <f aca="false">IF(Q431="","",F431*R431/Q431-1)</f>
        <v/>
      </c>
      <c r="P431" s="9" t="n">
        <f aca="false">IF(S431="","",F431*T431/S431-1)</f>
        <v>-0.028021978021978</v>
      </c>
      <c r="Q431" s="5"/>
      <c r="R431" s="10" t="n">
        <v>1</v>
      </c>
      <c r="S431" s="5" t="n">
        <v>91</v>
      </c>
      <c r="T431" s="10" t="n">
        <v>1</v>
      </c>
      <c r="U431" s="4"/>
    </row>
    <row r="432" customFormat="false" ht="15" hidden="false" customHeight="false" outlineLevel="0" collapsed="false">
      <c r="A432" s="4" t="s">
        <v>968</v>
      </c>
      <c r="B432" s="4"/>
      <c r="C432" s="4" t="s">
        <v>969</v>
      </c>
      <c r="D432" s="4" t="s">
        <v>30</v>
      </c>
      <c r="E432" s="4" t="s">
        <v>41</v>
      </c>
      <c r="F432" s="5" t="n">
        <v>13.6</v>
      </c>
      <c r="G432" s="4" t="s">
        <v>26</v>
      </c>
      <c r="H432" s="6" t="n">
        <v>4250</v>
      </c>
      <c r="I432" s="7"/>
      <c r="J432" s="4" t="s">
        <v>32</v>
      </c>
      <c r="K432" s="4" t="s">
        <v>116</v>
      </c>
      <c r="L432" s="4" t="s">
        <v>42</v>
      </c>
      <c r="M432" s="8" t="str">
        <f aca="false">IF(OR(H432="",I432=""),"",IF(I432&gt;0,H432/I432,""))</f>
        <v/>
      </c>
      <c r="N432" s="4" t="str">
        <f aca="false">IF(I432="",IF(K432="NULL","FCF yok (NULL)","FCF kapsamı dışı"),IF(I432&lt;=0,"anlamsız (FCF ≤ 0)",IF(OR(K432="KOŞULLU"),"FCF KOŞULLU — yorum yapılmaz","")))</f>
        <v>FCF yok (NULL)</v>
      </c>
      <c r="O432" s="9" t="str">
        <f aca="false">IF(Q432="","",F432*R432/Q432-1)</f>
        <v/>
      </c>
      <c r="P432" s="9" t="n">
        <f aca="false">IF(S432="","",F432*T432/S432-1)</f>
        <v>-0.599292869770183</v>
      </c>
      <c r="Q432" s="5"/>
      <c r="R432" s="10" t="n">
        <v>1</v>
      </c>
      <c r="S432" s="5" t="n">
        <v>33.94</v>
      </c>
      <c r="T432" s="10" t="n">
        <v>1</v>
      </c>
      <c r="U432" s="4"/>
    </row>
    <row r="433" customFormat="false" ht="15" hidden="false" customHeight="false" outlineLevel="0" collapsed="false">
      <c r="A433" s="4" t="s">
        <v>970</v>
      </c>
      <c r="B433" s="4" t="s">
        <v>971</v>
      </c>
      <c r="C433" s="4" t="s">
        <v>29</v>
      </c>
      <c r="D433" s="4" t="s">
        <v>30</v>
      </c>
      <c r="E433" s="4" t="s">
        <v>56</v>
      </c>
      <c r="F433" s="5" t="n">
        <v>2.92</v>
      </c>
      <c r="G433" s="4" t="s">
        <v>26</v>
      </c>
      <c r="H433" s="6" t="n">
        <v>946.08</v>
      </c>
      <c r="I433" s="7" t="n">
        <v>-496.277</v>
      </c>
      <c r="J433" s="4" t="s">
        <v>32</v>
      </c>
      <c r="K433" s="4" t="s">
        <v>33</v>
      </c>
      <c r="L433" s="4" t="s">
        <v>42</v>
      </c>
      <c r="M433" s="8" t="str">
        <f aca="false">IF(OR(H433="",I433=""),"",IF(I433&gt;0,H433/I433,""))</f>
        <v/>
      </c>
      <c r="N433" s="4" t="str">
        <f aca="false">IF(I433="",IF(K433="NULL","FCF yok (NULL)","FCF kapsamı dışı"),IF(I433&lt;=0,"anlamsız (FCF ≤ 0)",IF(OR(K433="KOŞULLU"),"FCF KOŞULLU — yorum yapılmaz","")))</f>
        <v>anlamsız (FCF ≤ 0)</v>
      </c>
      <c r="O433" s="9" t="n">
        <f aca="false">IF(Q433="","",F433*R433/Q433-1)</f>
        <v>-0.284313725490196</v>
      </c>
      <c r="P433" s="9" t="n">
        <f aca="false">IF(S433="","",F433*T433/S433-1)</f>
        <v>-0.115151515151515</v>
      </c>
      <c r="Q433" s="5" t="n">
        <v>4.08</v>
      </c>
      <c r="R433" s="10" t="n">
        <v>1</v>
      </c>
      <c r="S433" s="5" t="n">
        <v>3.3</v>
      </c>
      <c r="T433" s="10" t="n">
        <v>1</v>
      </c>
      <c r="U433" s="4"/>
    </row>
    <row r="434" customFormat="false" ht="15" hidden="false" customHeight="false" outlineLevel="0" collapsed="false">
      <c r="A434" s="4" t="s">
        <v>972</v>
      </c>
      <c r="B434" s="4" t="s">
        <v>973</v>
      </c>
      <c r="C434" s="4" t="s">
        <v>29</v>
      </c>
      <c r="D434" s="4" t="s">
        <v>30</v>
      </c>
      <c r="E434" s="4" t="s">
        <v>31</v>
      </c>
      <c r="F434" s="5" t="n">
        <v>11.13</v>
      </c>
      <c r="G434" s="4" t="s">
        <v>26</v>
      </c>
      <c r="H434" s="6" t="n">
        <v>7679.7</v>
      </c>
      <c r="I434" s="7" t="n">
        <v>798.744</v>
      </c>
      <c r="J434" s="4" t="s">
        <v>32</v>
      </c>
      <c r="K434" s="4" t="s">
        <v>33</v>
      </c>
      <c r="L434" s="4" t="s">
        <v>42</v>
      </c>
      <c r="M434" s="8" t="n">
        <f aca="false">IF(OR(H434="",I434=""),"",IF(I434&gt;0,H434/I434,""))</f>
        <v>9.6147201105736</v>
      </c>
      <c r="N434" s="4" t="str">
        <f aca="false">IF(I434="",IF(K434="NULL","FCF yok (NULL)","FCF kapsamı dışı"),IF(I434&lt;=0,"anlamsız (FCF ≤ 0)",IF(OR(K434="KOŞULLU"),"FCF KOŞULLU — yorum yapılmaz","")))</f>
        <v/>
      </c>
      <c r="O434" s="9" t="n">
        <f aca="false">IF(Q434="","",F434*R434/Q434-1)</f>
        <v>0.189102564102564</v>
      </c>
      <c r="P434" s="9" t="n">
        <f aca="false">IF(S434="","",F434*T434/S434-1)</f>
        <v>0.05</v>
      </c>
      <c r="Q434" s="5" t="n">
        <v>9.36</v>
      </c>
      <c r="R434" s="10" t="n">
        <v>1</v>
      </c>
      <c r="S434" s="5" t="n">
        <v>10.6</v>
      </c>
      <c r="T434" s="10" t="n">
        <v>1</v>
      </c>
      <c r="U434" s="4"/>
    </row>
    <row r="435" customFormat="false" ht="15" hidden="false" customHeight="false" outlineLevel="0" collapsed="false">
      <c r="A435" s="4" t="s">
        <v>974</v>
      </c>
      <c r="B435" s="4" t="s">
        <v>975</v>
      </c>
      <c r="C435" s="4" t="s">
        <v>29</v>
      </c>
      <c r="D435" s="4" t="s">
        <v>63</v>
      </c>
      <c r="E435" s="4" t="s">
        <v>63</v>
      </c>
      <c r="F435" s="5" t="n">
        <v>37.5</v>
      </c>
      <c r="G435" s="4" t="s">
        <v>26</v>
      </c>
      <c r="H435" s="6" t="n">
        <v>18750</v>
      </c>
      <c r="I435" s="7" t="n">
        <v>-1391.8086272</v>
      </c>
      <c r="J435" s="4" t="s">
        <v>32</v>
      </c>
      <c r="K435" s="4" t="s">
        <v>33</v>
      </c>
      <c r="L435" s="4" t="s">
        <v>34</v>
      </c>
      <c r="M435" s="8" t="str">
        <f aca="false">IF(OR(H435="",I435=""),"",IF(I435&gt;0,H435/I435,""))</f>
        <v/>
      </c>
      <c r="N435" s="4" t="str">
        <f aca="false">IF(I435="",IF(K435="NULL","FCF yok (NULL)","FCF kapsamı dışı"),IF(I435&lt;=0,"anlamsız (FCF ≤ 0)",IF(OR(K435="KOŞULLU"),"FCF KOŞULLU — yorum yapılmaz","")))</f>
        <v>anlamsız (FCF ≤ 0)</v>
      </c>
      <c r="O435" s="9" t="n">
        <f aca="false">IF(Q435="","",F435*R435/Q435-1)</f>
        <v>-0.125874125874126</v>
      </c>
      <c r="P435" s="9" t="n">
        <f aca="false">IF(S435="","",F435*T435/S435-1)</f>
        <v>-0.0208877284595299</v>
      </c>
      <c r="Q435" s="5" t="n">
        <v>42.9</v>
      </c>
      <c r="R435" s="10" t="n">
        <v>1</v>
      </c>
      <c r="S435" s="5" t="n">
        <v>38.3</v>
      </c>
      <c r="T435" s="10" t="n">
        <v>1</v>
      </c>
      <c r="U435" s="4"/>
    </row>
    <row r="436" customFormat="false" ht="15" hidden="false" customHeight="false" outlineLevel="0" collapsed="false">
      <c r="A436" s="4" t="s">
        <v>976</v>
      </c>
      <c r="B436" s="4" t="s">
        <v>977</v>
      </c>
      <c r="C436" s="4" t="s">
        <v>38</v>
      </c>
      <c r="D436" s="4"/>
      <c r="E436" s="4"/>
      <c r="F436" s="5" t="n">
        <v>7.4</v>
      </c>
      <c r="G436" s="4" t="s">
        <v>64</v>
      </c>
      <c r="H436" s="6" t="n">
        <v>2481.5752</v>
      </c>
      <c r="I436" s="7"/>
      <c r="J436" s="4"/>
      <c r="K436" s="4"/>
      <c r="L436" s="4"/>
      <c r="M436" s="8" t="str">
        <f aca="false">IF(OR(H436="",I436=""),"",IF(I436&gt;0,H436/I436,""))</f>
        <v/>
      </c>
      <c r="N436" s="4" t="str">
        <f aca="false">IF(I436="",IF(K436="NULL","FCF yok (NULL)","FCF kapsamı dışı"),IF(I436&lt;=0,"anlamsız (FCF ≤ 0)",IF(OR(K436="KOŞULLU"),"FCF KOŞULLU — yorum yapılmaz","")))</f>
        <v>FCF kapsamı dışı</v>
      </c>
      <c r="O436" s="9" t="n">
        <f aca="false">IF(Q436="","",F436*R436/Q436-1)</f>
        <v>-0.293893129770992</v>
      </c>
      <c r="P436" s="9" t="n">
        <f aca="false">IF(S436="","",F436*T436/S436-1)</f>
        <v>-0.0656565656565656</v>
      </c>
      <c r="Q436" s="5" t="n">
        <v>10.48</v>
      </c>
      <c r="R436" s="10" t="n">
        <v>1</v>
      </c>
      <c r="S436" s="5" t="n">
        <v>7.92</v>
      </c>
      <c r="T436" s="10" t="n">
        <v>1</v>
      </c>
      <c r="U436" s="4"/>
    </row>
    <row r="437" customFormat="false" ht="15" hidden="false" customHeight="false" outlineLevel="0" collapsed="false">
      <c r="A437" s="4" t="s">
        <v>978</v>
      </c>
      <c r="B437" s="4" t="s">
        <v>979</v>
      </c>
      <c r="C437" s="4" t="s">
        <v>29</v>
      </c>
      <c r="D437" s="4" t="s">
        <v>30</v>
      </c>
      <c r="E437" s="4" t="s">
        <v>56</v>
      </c>
      <c r="F437" s="5" t="n">
        <v>212.6</v>
      </c>
      <c r="G437" s="4" t="s">
        <v>64</v>
      </c>
      <c r="H437" s="6" t="n">
        <v>31935.41136</v>
      </c>
      <c r="I437" s="7" t="n">
        <v>935.440428799999</v>
      </c>
      <c r="J437" s="4" t="s">
        <v>32</v>
      </c>
      <c r="K437" s="4" t="s">
        <v>33</v>
      </c>
      <c r="L437" s="4" t="s">
        <v>57</v>
      </c>
      <c r="M437" s="8" t="n">
        <f aca="false">IF(OR(H437="",I437=""),"",IF(I437&gt;0,H437/I437,""))</f>
        <v>34.1394388961437</v>
      </c>
      <c r="N437" s="4" t="str">
        <f aca="false">IF(I437="",IF(K437="NULL","FCF yok (NULL)","FCF kapsamı dışı"),IF(I437&lt;=0,"anlamsız (FCF ≤ 0)",IF(OR(K437="KOŞULLU"),"FCF KOŞULLU — yorum yapılmaz","")))</f>
        <v/>
      </c>
      <c r="O437" s="9" t="n">
        <f aca="false">IF(Q437="","",F437*R437/Q437-1)</f>
        <v>0.135731322082439</v>
      </c>
      <c r="P437" s="9" t="n">
        <f aca="false">IF(S437="","",F437*T437/S437-1)</f>
        <v>0.0442043222003929</v>
      </c>
      <c r="Q437" s="5" t="n">
        <v>208.861670235546</v>
      </c>
      <c r="R437" s="10" t="n">
        <v>1.11576077548901</v>
      </c>
      <c r="S437" s="5" t="n">
        <v>203.6</v>
      </c>
      <c r="T437" s="10" t="n">
        <v>1</v>
      </c>
      <c r="U437" s="4" t="s">
        <v>980</v>
      </c>
    </row>
    <row r="438" customFormat="false" ht="15" hidden="false" customHeight="false" outlineLevel="0" collapsed="false">
      <c r="A438" s="4" t="s">
        <v>981</v>
      </c>
      <c r="B438" s="4" t="s">
        <v>982</v>
      </c>
      <c r="C438" s="4" t="s">
        <v>29</v>
      </c>
      <c r="D438" s="4" t="s">
        <v>30</v>
      </c>
      <c r="E438" s="4" t="s">
        <v>53</v>
      </c>
      <c r="F438" s="5" t="n">
        <v>4.51</v>
      </c>
      <c r="G438" s="4" t="s">
        <v>76</v>
      </c>
      <c r="H438" s="6" t="n">
        <v>12973.15279854</v>
      </c>
      <c r="I438" s="7" t="n">
        <v>-1015.4494096</v>
      </c>
      <c r="J438" s="4" t="s">
        <v>32</v>
      </c>
      <c r="K438" s="4" t="s">
        <v>33</v>
      </c>
      <c r="L438" s="4" t="s">
        <v>34</v>
      </c>
      <c r="M438" s="8" t="str">
        <f aca="false">IF(OR(H438="",I438=""),"",IF(I438&gt;0,H438/I438,""))</f>
        <v/>
      </c>
      <c r="N438" s="4" t="str">
        <f aca="false">IF(I438="",IF(K438="NULL","FCF yok (NULL)","FCF kapsamı dışı"),IF(I438&lt;=0,"anlamsız (FCF ≤ 0)",IF(OR(K438="KOŞULLU"),"FCF KOŞULLU — yorum yapılmaz","")))</f>
        <v>anlamsız (FCF ≤ 0)</v>
      </c>
      <c r="O438" s="9" t="n">
        <f aca="false">IF(Q438="","",F438*R438/Q438-1)</f>
        <v>-0.414285714285714</v>
      </c>
      <c r="P438" s="9" t="n">
        <f aca="false">IF(S438="","",F438*T438/S438-1)</f>
        <v>0.0611764705882352</v>
      </c>
      <c r="Q438" s="5" t="n">
        <v>7.7</v>
      </c>
      <c r="R438" s="10" t="n">
        <v>1</v>
      </c>
      <c r="S438" s="5" t="n">
        <v>4.25</v>
      </c>
      <c r="T438" s="10" t="n">
        <v>1</v>
      </c>
      <c r="U438" s="4"/>
    </row>
    <row r="439" customFormat="false" ht="15" hidden="false" customHeight="false" outlineLevel="0" collapsed="false">
      <c r="A439" s="4" t="s">
        <v>983</v>
      </c>
      <c r="B439" s="4" t="s">
        <v>984</v>
      </c>
      <c r="C439" s="4" t="s">
        <v>29</v>
      </c>
      <c r="D439" s="4" t="s">
        <v>30</v>
      </c>
      <c r="E439" s="4" t="s">
        <v>159</v>
      </c>
      <c r="F439" s="5" t="n">
        <v>26.06</v>
      </c>
      <c r="G439" s="4" t="s">
        <v>26</v>
      </c>
      <c r="H439" s="6" t="n">
        <v>1185.73</v>
      </c>
      <c r="I439" s="7" t="n">
        <v>-49.726</v>
      </c>
      <c r="J439" s="4" t="s">
        <v>32</v>
      </c>
      <c r="K439" s="4" t="s">
        <v>33</v>
      </c>
      <c r="L439" s="4" t="s">
        <v>42</v>
      </c>
      <c r="M439" s="8" t="str">
        <f aca="false">IF(OR(H439="",I439=""),"",IF(I439&gt;0,H439/I439,""))</f>
        <v/>
      </c>
      <c r="N439" s="4" t="str">
        <f aca="false">IF(I439="",IF(K439="NULL","FCF yok (NULL)","FCF kapsamı dışı"),IF(I439&lt;=0,"anlamsız (FCF ≤ 0)",IF(OR(K439="KOŞULLU"),"FCF KOŞULLU — yorum yapılmaz","")))</f>
        <v>anlamsız (FCF ≤ 0)</v>
      </c>
      <c r="O439" s="9" t="n">
        <f aca="false">IF(Q439="","",F439*R439/Q439-1)</f>
        <v>-0.299838796346051</v>
      </c>
      <c r="P439" s="9" t="n">
        <f aca="false">IF(S439="","",F439*T439/S439-1)</f>
        <v>-0.102617079889807</v>
      </c>
      <c r="Q439" s="5" t="n">
        <v>37.22</v>
      </c>
      <c r="R439" s="10" t="n">
        <v>1</v>
      </c>
      <c r="S439" s="5" t="n">
        <v>29.04</v>
      </c>
      <c r="T439" s="10" t="n">
        <v>1</v>
      </c>
      <c r="U439" s="4"/>
    </row>
    <row r="440" customFormat="false" ht="15" hidden="false" customHeight="false" outlineLevel="0" collapsed="false">
      <c r="A440" s="4" t="s">
        <v>985</v>
      </c>
      <c r="B440" s="4" t="s">
        <v>986</v>
      </c>
      <c r="C440" s="4" t="s">
        <v>29</v>
      </c>
      <c r="D440" s="4" t="s">
        <v>30</v>
      </c>
      <c r="E440" s="4" t="s">
        <v>31</v>
      </c>
      <c r="F440" s="5" t="n">
        <v>5.95</v>
      </c>
      <c r="G440" s="4" t="s">
        <v>26</v>
      </c>
      <c r="H440" s="6" t="n">
        <v>8330</v>
      </c>
      <c r="I440" s="7" t="n">
        <v>-200.657857600001</v>
      </c>
      <c r="J440" s="4" t="s">
        <v>32</v>
      </c>
      <c r="K440" s="4" t="s">
        <v>33</v>
      </c>
      <c r="L440" s="4" t="s">
        <v>34</v>
      </c>
      <c r="M440" s="8" t="str">
        <f aca="false">IF(OR(H440="",I440=""),"",IF(I440&gt;0,H440/I440,""))</f>
        <v/>
      </c>
      <c r="N440" s="4" t="str">
        <f aca="false">IF(I440="",IF(K440="NULL","FCF yok (NULL)","FCF kapsamı dışı"),IF(I440&lt;=0,"anlamsız (FCF ≤ 0)",IF(OR(K440="KOŞULLU"),"FCF KOŞULLU — yorum yapılmaz","")))</f>
        <v>anlamsız (FCF ≤ 0)</v>
      </c>
      <c r="O440" s="9" t="n">
        <f aca="false">IF(Q440="","",F440*R440/Q440-1)</f>
        <v>0.0625</v>
      </c>
      <c r="P440" s="9" t="n">
        <f aca="false">IF(S440="","",F440*T440/S440-1)</f>
        <v>-0.0998487140695915</v>
      </c>
      <c r="Q440" s="5" t="n">
        <v>5.6</v>
      </c>
      <c r="R440" s="10" t="n">
        <v>1</v>
      </c>
      <c r="S440" s="5" t="n">
        <v>6.61</v>
      </c>
      <c r="T440" s="10" t="n">
        <v>1</v>
      </c>
      <c r="U440" s="4"/>
    </row>
    <row r="441" customFormat="false" ht="15" hidden="false" customHeight="false" outlineLevel="0" collapsed="false">
      <c r="A441" s="4" t="s">
        <v>987</v>
      </c>
      <c r="B441" s="4" t="s">
        <v>988</v>
      </c>
      <c r="C441" s="4" t="s">
        <v>29</v>
      </c>
      <c r="D441" s="4" t="s">
        <v>30</v>
      </c>
      <c r="E441" s="4" t="s">
        <v>159</v>
      </c>
      <c r="F441" s="5" t="n">
        <v>131.1</v>
      </c>
      <c r="G441" s="4" t="s">
        <v>64</v>
      </c>
      <c r="H441" s="6" t="n">
        <v>14486.55</v>
      </c>
      <c r="I441" s="7" t="n">
        <v>-182.729</v>
      </c>
      <c r="J441" s="4" t="s">
        <v>32</v>
      </c>
      <c r="K441" s="4" t="s">
        <v>33</v>
      </c>
      <c r="L441" s="4" t="s">
        <v>57</v>
      </c>
      <c r="M441" s="8" t="str">
        <f aca="false">IF(OR(H441="",I441=""),"",IF(I441&gt;0,H441/I441,""))</f>
        <v/>
      </c>
      <c r="N441" s="4" t="str">
        <f aca="false">IF(I441="",IF(K441="NULL","FCF yok (NULL)","FCF kapsamı dışı"),IF(I441&lt;=0,"anlamsız (FCF ≤ 0)",IF(OR(K441="KOŞULLU"),"FCF KOŞULLU — yorum yapılmaz","")))</f>
        <v>anlamsız (FCF ≤ 0)</v>
      </c>
      <c r="O441" s="9" t="n">
        <f aca="false">IF(Q441="","",F441*R441/Q441-1)</f>
        <v>-0.155827430779137</v>
      </c>
      <c r="P441" s="9" t="n">
        <f aca="false">IF(S441="","",F441*T441/S441-1)</f>
        <v>-0.685045045045045</v>
      </c>
      <c r="Q441" s="5" t="n">
        <v>155.3</v>
      </c>
      <c r="R441" s="10" t="n">
        <v>1</v>
      </c>
      <c r="S441" s="5" t="n">
        <v>416.25</v>
      </c>
      <c r="T441" s="10" t="n">
        <v>1</v>
      </c>
      <c r="U441" s="4"/>
    </row>
    <row r="442" customFormat="false" ht="15" hidden="false" customHeight="false" outlineLevel="0" collapsed="false">
      <c r="A442" s="4" t="s">
        <v>989</v>
      </c>
      <c r="B442" s="4" t="s">
        <v>990</v>
      </c>
      <c r="C442" s="4" t="s">
        <v>29</v>
      </c>
      <c r="D442" s="4" t="s">
        <v>30</v>
      </c>
      <c r="E442" s="4" t="s">
        <v>53</v>
      </c>
      <c r="F442" s="5" t="n">
        <v>58.25</v>
      </c>
      <c r="G442" s="4" t="s">
        <v>26</v>
      </c>
      <c r="H442" s="6" t="n">
        <v>8519.0625</v>
      </c>
      <c r="I442" s="7" t="n">
        <v>-1731.544</v>
      </c>
      <c r="J442" s="4" t="s">
        <v>32</v>
      </c>
      <c r="K442" s="4" t="s">
        <v>33</v>
      </c>
      <c r="L442" s="4" t="s">
        <v>42</v>
      </c>
      <c r="M442" s="8" t="str">
        <f aca="false">IF(OR(H442="",I442=""),"",IF(I442&gt;0,H442/I442,""))</f>
        <v/>
      </c>
      <c r="N442" s="4" t="str">
        <f aca="false">IF(I442="",IF(K442="NULL","FCF yok (NULL)","FCF kapsamı dışı"),IF(I442&lt;=0,"anlamsız (FCF ≤ 0)",IF(OR(K442="KOŞULLU"),"FCF KOŞULLU — yorum yapılmaz","")))</f>
        <v>anlamsız (FCF ≤ 0)</v>
      </c>
      <c r="O442" s="9" t="n">
        <f aca="false">IF(Q442="","",F442*R442/Q442-1)</f>
        <v>-0.10659509202454</v>
      </c>
      <c r="P442" s="9" t="n">
        <f aca="false">IF(S442="","",F442*T442/S442-1)</f>
        <v>-0.0165028812690837</v>
      </c>
      <c r="Q442" s="5" t="n">
        <v>65.2</v>
      </c>
      <c r="R442" s="10" t="n">
        <v>1</v>
      </c>
      <c r="S442" s="5" t="n">
        <v>59.2274231318182</v>
      </c>
      <c r="T442" s="10" t="n">
        <v>1</v>
      </c>
      <c r="U442" s="4"/>
    </row>
    <row r="443" customFormat="false" ht="15" hidden="false" customHeight="false" outlineLevel="0" collapsed="false">
      <c r="A443" s="4" t="s">
        <v>991</v>
      </c>
      <c r="B443" s="4" t="s">
        <v>992</v>
      </c>
      <c r="C443" s="4" t="s">
        <v>29</v>
      </c>
      <c r="D443" s="4" t="s">
        <v>30</v>
      </c>
      <c r="E443" s="4" t="s">
        <v>147</v>
      </c>
      <c r="F443" s="5" t="n">
        <v>101.7</v>
      </c>
      <c r="G443" s="4" t="s">
        <v>26</v>
      </c>
      <c r="H443" s="6" t="n">
        <v>2425.545</v>
      </c>
      <c r="I443" s="7" t="n">
        <v>23.041576</v>
      </c>
      <c r="J443" s="4" t="s">
        <v>32</v>
      </c>
      <c r="K443" s="4" t="s">
        <v>33</v>
      </c>
      <c r="L443" s="4" t="s">
        <v>57</v>
      </c>
      <c r="M443" s="8" t="n">
        <f aca="false">IF(OR(H443="",I443=""),"",IF(I443&gt;0,H443/I443,""))</f>
        <v>105.268189988393</v>
      </c>
      <c r="N443" s="4" t="str">
        <f aca="false">IF(I443="",IF(K443="NULL","FCF yok (NULL)","FCF kapsamı dışı"),IF(I443&lt;=0,"anlamsız (FCF ≤ 0)",IF(OR(K443="KOŞULLU"),"FCF KOŞULLU — yorum yapılmaz","")))</f>
        <v/>
      </c>
      <c r="O443" s="9" t="n">
        <f aca="false">IF(Q443="","",F443*R443/Q443-1)</f>
        <v>-0.125537403267412</v>
      </c>
      <c r="P443" s="9" t="n">
        <f aca="false">IF(S443="","",F443*T443/S443-1)</f>
        <v>-0.0230547550432276</v>
      </c>
      <c r="Q443" s="5" t="n">
        <v>116.3</v>
      </c>
      <c r="R443" s="10" t="n">
        <v>1</v>
      </c>
      <c r="S443" s="5" t="n">
        <v>104.1</v>
      </c>
      <c r="T443" s="10" t="n">
        <v>1</v>
      </c>
      <c r="U443" s="4"/>
    </row>
    <row r="444" customFormat="false" ht="15" hidden="false" customHeight="false" outlineLevel="0" collapsed="false">
      <c r="A444" s="4" t="s">
        <v>993</v>
      </c>
      <c r="B444" s="4" t="s">
        <v>994</v>
      </c>
      <c r="C444" s="4" t="s">
        <v>29</v>
      </c>
      <c r="D444" s="4" t="s">
        <v>30</v>
      </c>
      <c r="E444" s="4" t="s">
        <v>159</v>
      </c>
      <c r="F444" s="5" t="n">
        <v>9.7</v>
      </c>
      <c r="G444" s="4" t="s">
        <v>26</v>
      </c>
      <c r="H444" s="6" t="n">
        <v>2437.804</v>
      </c>
      <c r="I444" s="7" t="n">
        <v>-344.859</v>
      </c>
      <c r="J444" s="4" t="s">
        <v>32</v>
      </c>
      <c r="K444" s="4" t="s">
        <v>33</v>
      </c>
      <c r="L444" s="4" t="s">
        <v>42</v>
      </c>
      <c r="M444" s="8" t="str">
        <f aca="false">IF(OR(H444="",I444=""),"",IF(I444&gt;0,H444/I444,""))</f>
        <v/>
      </c>
      <c r="N444" s="4" t="str">
        <f aca="false">IF(I444="",IF(K444="NULL","FCF yok (NULL)","FCF kapsamı dışı"),IF(I444&lt;=0,"anlamsız (FCF ≤ 0)",IF(OR(K444="KOŞULLU"),"FCF KOŞULLU — yorum yapılmaz","")))</f>
        <v>anlamsız (FCF ≤ 0)</v>
      </c>
      <c r="O444" s="9" t="n">
        <f aca="false">IF(Q444="","",F444*R444/Q444-1)</f>
        <v>-0.524106933920776</v>
      </c>
      <c r="P444" s="9" t="n">
        <f aca="false">IF(S444="","",F444*T444/S444-1)</f>
        <v>-0.145374449339207</v>
      </c>
      <c r="Q444" s="5" t="n">
        <v>81.8</v>
      </c>
      <c r="R444" s="10" t="n">
        <v>4.01320132013201</v>
      </c>
      <c r="S444" s="5" t="n">
        <v>11.35</v>
      </c>
      <c r="T444" s="10" t="n">
        <v>1</v>
      </c>
      <c r="U444" s="4" t="s">
        <v>995</v>
      </c>
    </row>
    <row r="445" customFormat="false" ht="15" hidden="false" customHeight="false" outlineLevel="0" collapsed="false">
      <c r="A445" s="4" t="s">
        <v>996</v>
      </c>
      <c r="B445" s="4" t="s">
        <v>997</v>
      </c>
      <c r="C445" s="4" t="s">
        <v>29</v>
      </c>
      <c r="D445" s="4" t="s">
        <v>30</v>
      </c>
      <c r="E445" s="4" t="s">
        <v>53</v>
      </c>
      <c r="F445" s="5" t="n">
        <v>2.52</v>
      </c>
      <c r="G445" s="4" t="s">
        <v>26</v>
      </c>
      <c r="H445" s="6" t="n">
        <v>604.8</v>
      </c>
      <c r="I445" s="7" t="n">
        <v>-232.117</v>
      </c>
      <c r="J445" s="4" t="s">
        <v>32</v>
      </c>
      <c r="K445" s="4" t="s">
        <v>33</v>
      </c>
      <c r="L445" s="4" t="s">
        <v>42</v>
      </c>
      <c r="M445" s="8" t="str">
        <f aca="false">IF(OR(H445="",I445=""),"",IF(I445&gt;0,H445/I445,""))</f>
        <v/>
      </c>
      <c r="N445" s="4" t="str">
        <f aca="false">IF(I445="",IF(K445="NULL","FCF yok (NULL)","FCF kapsamı dışı"),IF(I445&lt;=0,"anlamsız (FCF ≤ 0)",IF(OR(K445="KOŞULLU"),"FCF KOŞULLU — yorum yapılmaz","")))</f>
        <v>anlamsız (FCF ≤ 0)</v>
      </c>
      <c r="O445" s="9" t="n">
        <f aca="false">IF(Q445="","",F445*R445/Q445-1)</f>
        <v>-0.290140845070423</v>
      </c>
      <c r="P445" s="9" t="n">
        <f aca="false">IF(S445="","",F445*T445/S445-1)</f>
        <v>-0.0344827586206896</v>
      </c>
      <c r="Q445" s="5" t="n">
        <v>3.55</v>
      </c>
      <c r="R445" s="10" t="n">
        <v>1</v>
      </c>
      <c r="S445" s="5" t="n">
        <v>2.61</v>
      </c>
      <c r="T445" s="10" t="n">
        <v>1</v>
      </c>
      <c r="U445" s="4"/>
    </row>
    <row r="446" customFormat="false" ht="15" hidden="false" customHeight="false" outlineLevel="0" collapsed="false">
      <c r="A446" s="4" t="s">
        <v>998</v>
      </c>
      <c r="B446" s="4" t="s">
        <v>999</v>
      </c>
      <c r="C446" s="4" t="s">
        <v>29</v>
      </c>
      <c r="D446" s="4" t="s">
        <v>30</v>
      </c>
      <c r="E446" s="4" t="s">
        <v>126</v>
      </c>
      <c r="F446" s="5" t="n">
        <v>22.8</v>
      </c>
      <c r="G446" s="4" t="s">
        <v>26</v>
      </c>
      <c r="H446" s="6" t="n">
        <v>9120</v>
      </c>
      <c r="I446" s="7" t="n">
        <v>380.8466448</v>
      </c>
      <c r="J446" s="4" t="s">
        <v>32</v>
      </c>
      <c r="K446" s="4" t="s">
        <v>33</v>
      </c>
      <c r="L446" s="4" t="s">
        <v>34</v>
      </c>
      <c r="M446" s="8" t="n">
        <f aca="false">IF(OR(H446="",I446=""),"",IF(I446&gt;0,H446/I446,""))</f>
        <v>23.9466465689604</v>
      </c>
      <c r="N446" s="4" t="str">
        <f aca="false">IF(I446="",IF(K446="NULL","FCF yok (NULL)","FCF kapsamı dışı"),IF(I446&lt;=0,"anlamsız (FCF ≤ 0)",IF(OR(K446="KOŞULLU"),"FCF KOŞULLU — yorum yapılmaz","")))</f>
        <v/>
      </c>
      <c r="O446" s="9" t="n">
        <f aca="false">IF(Q446="","",F446*R446/Q446-1)</f>
        <v>0.535602946652162</v>
      </c>
      <c r="P446" s="9" t="n">
        <f aca="false">IF(S446="","",F446*T446/S446-1)</f>
        <v>0.0169491525423728</v>
      </c>
      <c r="Q446" s="5" t="n">
        <v>71.4</v>
      </c>
      <c r="R446" s="10" t="n">
        <v>4.80886185925282</v>
      </c>
      <c r="S446" s="5" t="n">
        <v>22.42</v>
      </c>
      <c r="T446" s="10" t="n">
        <v>1</v>
      </c>
      <c r="U446" s="4" t="s">
        <v>1000</v>
      </c>
    </row>
    <row r="447" customFormat="false" ht="15" hidden="false" customHeight="false" outlineLevel="0" collapsed="false">
      <c r="A447" s="4" t="s">
        <v>1001</v>
      </c>
      <c r="B447" s="4" t="s">
        <v>1002</v>
      </c>
      <c r="C447" s="4" t="s">
        <v>29</v>
      </c>
      <c r="D447" s="4" t="s">
        <v>30</v>
      </c>
      <c r="E447" s="4" t="s">
        <v>418</v>
      </c>
      <c r="F447" s="5" t="n">
        <v>136</v>
      </c>
      <c r="G447" s="4" t="s">
        <v>141</v>
      </c>
      <c r="H447" s="6" t="n">
        <v>3699.2</v>
      </c>
      <c r="I447" s="7" t="n">
        <v>-179.3373552</v>
      </c>
      <c r="J447" s="4" t="s">
        <v>32</v>
      </c>
      <c r="K447" s="4" t="s">
        <v>33</v>
      </c>
      <c r="L447" s="4" t="s">
        <v>57</v>
      </c>
      <c r="M447" s="8" t="str">
        <f aca="false">IF(OR(H447="",I447=""),"",IF(I447&gt;0,H447/I447,""))</f>
        <v/>
      </c>
      <c r="N447" s="4" t="str">
        <f aca="false">IF(I447="",IF(K447="NULL","FCF yok (NULL)","FCF kapsamı dışı"),IF(I447&lt;=0,"anlamsız (FCF ≤ 0)",IF(OR(K447="KOŞULLU"),"FCF KOŞULLU — yorum yapılmaz","")))</f>
        <v>anlamsız (FCF ≤ 0)</v>
      </c>
      <c r="O447" s="9" t="n">
        <f aca="false">IF(Q447="","",F447*R447/Q447-1)</f>
        <v>-0.306122448979592</v>
      </c>
      <c r="P447" s="9" t="n">
        <f aca="false">IF(S447="","",F447*T447/S447-1)</f>
        <v>0.135225375626044</v>
      </c>
      <c r="Q447" s="5" t="n">
        <v>196</v>
      </c>
      <c r="R447" s="10" t="n">
        <v>1</v>
      </c>
      <c r="S447" s="5" t="n">
        <v>119.8</v>
      </c>
      <c r="T447" s="10" t="n">
        <v>1</v>
      </c>
      <c r="U447" s="4"/>
    </row>
    <row r="448" customFormat="false" ht="15" hidden="false" customHeight="false" outlineLevel="0" collapsed="false">
      <c r="A448" s="4" t="s">
        <v>1003</v>
      </c>
      <c r="B448" s="4" t="s">
        <v>1004</v>
      </c>
      <c r="C448" s="4" t="s">
        <v>29</v>
      </c>
      <c r="D448" s="4" t="s">
        <v>30</v>
      </c>
      <c r="E448" s="4" t="s">
        <v>147</v>
      </c>
      <c r="F448" s="5" t="n">
        <v>72.6</v>
      </c>
      <c r="G448" s="4" t="s">
        <v>26</v>
      </c>
      <c r="H448" s="6" t="n">
        <v>24575.1</v>
      </c>
      <c r="I448" s="7"/>
      <c r="J448" s="4" t="s">
        <v>32</v>
      </c>
      <c r="K448" s="4" t="s">
        <v>116</v>
      </c>
      <c r="L448" s="4" t="s">
        <v>42</v>
      </c>
      <c r="M448" s="8" t="str">
        <f aca="false">IF(OR(H448="",I448=""),"",IF(I448&gt;0,H448/I448,""))</f>
        <v/>
      </c>
      <c r="N448" s="4" t="str">
        <f aca="false">IF(I448="",IF(K448="NULL","FCF yok (NULL)","FCF kapsamı dışı"),IF(I448&lt;=0,"anlamsız (FCF ≤ 0)",IF(OR(K448="KOŞULLU"),"FCF KOŞULLU — yorum yapılmaz","")))</f>
        <v>FCF yok (NULL)</v>
      </c>
      <c r="O448" s="9" t="str">
        <f aca="false">IF(Q448="","",F448*R448/Q448-1)</f>
        <v/>
      </c>
      <c r="P448" s="9" t="n">
        <f aca="false">IF(S448="","",F448*T448/S448-1)</f>
        <v>-0.0364963503649635</v>
      </c>
      <c r="Q448" s="5"/>
      <c r="R448" s="10" t="n">
        <v>1</v>
      </c>
      <c r="S448" s="5" t="n">
        <v>75.35</v>
      </c>
      <c r="T448" s="10" t="n">
        <v>1</v>
      </c>
      <c r="U448" s="4"/>
    </row>
    <row r="449" customFormat="false" ht="15" hidden="false" customHeight="false" outlineLevel="0" collapsed="false">
      <c r="A449" s="4" t="s">
        <v>1005</v>
      </c>
      <c r="B449" s="4" t="s">
        <v>1006</v>
      </c>
      <c r="C449" s="4" t="s">
        <v>25</v>
      </c>
      <c r="D449" s="4"/>
      <c r="E449" s="4"/>
      <c r="F449" s="5" t="n">
        <v>5.42</v>
      </c>
      <c r="G449" s="4" t="s">
        <v>64</v>
      </c>
      <c r="H449" s="6" t="n">
        <v>2175.64871484</v>
      </c>
      <c r="I449" s="7"/>
      <c r="J449" s="4"/>
      <c r="K449" s="4"/>
      <c r="L449" s="4"/>
      <c r="M449" s="8" t="str">
        <f aca="false">IF(OR(H449="",I449=""),"",IF(I449&gt;0,H449/I449,""))</f>
        <v/>
      </c>
      <c r="N449" s="4" t="str">
        <f aca="false">IF(I449="",IF(K449="NULL","FCF yok (NULL)","FCF kapsamı dışı"),IF(I449&lt;=0,"anlamsız (FCF ≤ 0)",IF(OR(K449="KOŞULLU"),"FCF KOŞULLU — yorum yapılmaz","")))</f>
        <v>FCF kapsamı dışı</v>
      </c>
      <c r="O449" s="9" t="n">
        <f aca="false">IF(Q449="","",F449*R449/Q449-1)</f>
        <v>-0.37122969837587</v>
      </c>
      <c r="P449" s="9" t="n">
        <f aca="false">IF(S449="","",F449*T449/S449-1)</f>
        <v>-0.0145454545454545</v>
      </c>
      <c r="Q449" s="5" t="n">
        <v>8.62</v>
      </c>
      <c r="R449" s="10" t="n">
        <v>1</v>
      </c>
      <c r="S449" s="5" t="n">
        <v>5.5</v>
      </c>
      <c r="T449" s="10" t="n">
        <v>1</v>
      </c>
      <c r="U449" s="4"/>
    </row>
    <row r="450" customFormat="false" ht="15" hidden="false" customHeight="false" outlineLevel="0" collapsed="false">
      <c r="A450" s="4" t="s">
        <v>1007</v>
      </c>
      <c r="B450" s="4" t="s">
        <v>1008</v>
      </c>
      <c r="C450" s="4" t="s">
        <v>29</v>
      </c>
      <c r="D450" s="4" t="s">
        <v>63</v>
      </c>
      <c r="E450" s="4" t="s">
        <v>63</v>
      </c>
      <c r="F450" s="5" t="n">
        <v>1.22</v>
      </c>
      <c r="G450" s="4" t="s">
        <v>46</v>
      </c>
      <c r="H450" s="6" t="n">
        <v>971.73</v>
      </c>
      <c r="I450" s="7" t="n">
        <v>-8.033</v>
      </c>
      <c r="J450" s="4" t="s">
        <v>32</v>
      </c>
      <c r="K450" s="4" t="s">
        <v>33</v>
      </c>
      <c r="L450" s="4" t="s">
        <v>42</v>
      </c>
      <c r="M450" s="8" t="str">
        <f aca="false">IF(OR(H450="",I450=""),"",IF(I450&gt;0,H450/I450,""))</f>
        <v/>
      </c>
      <c r="N450" s="4" t="str">
        <f aca="false">IF(I450="",IF(K450="NULL","FCF yok (NULL)","FCF kapsamı dışı"),IF(I450&lt;=0,"anlamsız (FCF ≤ 0)",IF(OR(K450="KOŞULLU"),"FCF KOŞULLU — yorum yapılmaz","")))</f>
        <v>anlamsız (FCF ≤ 0)</v>
      </c>
      <c r="O450" s="9" t="n">
        <f aca="false">IF(Q450="","",F450*R450/Q450-1)</f>
        <v>-0.531550227540873</v>
      </c>
      <c r="P450" s="9" t="n">
        <f aca="false">IF(S450="","",F450*T450/S450-1)</f>
        <v>-0.122302158273381</v>
      </c>
      <c r="Q450" s="5" t="n">
        <v>3.49</v>
      </c>
      <c r="R450" s="10" t="n">
        <v>1.34007352941177</v>
      </c>
      <c r="S450" s="5" t="n">
        <v>1.39</v>
      </c>
      <c r="T450" s="10" t="n">
        <v>1</v>
      </c>
      <c r="U450" s="4" t="s">
        <v>1009</v>
      </c>
    </row>
    <row r="451" customFormat="false" ht="15" hidden="false" customHeight="false" outlineLevel="0" collapsed="false">
      <c r="A451" s="4" t="s">
        <v>1010</v>
      </c>
      <c r="B451" s="4" t="s">
        <v>1011</v>
      </c>
      <c r="C451" s="4" t="s">
        <v>29</v>
      </c>
      <c r="D451" s="4" t="s">
        <v>30</v>
      </c>
      <c r="E451" s="4" t="s">
        <v>182</v>
      </c>
      <c r="F451" s="5" t="n">
        <v>340.75</v>
      </c>
      <c r="G451" s="4" t="s">
        <v>26</v>
      </c>
      <c r="H451" s="6" t="n">
        <v>40890</v>
      </c>
      <c r="I451" s="7" t="n">
        <v>-14775.077</v>
      </c>
      <c r="J451" s="4" t="s">
        <v>32</v>
      </c>
      <c r="K451" s="4" t="s">
        <v>33</v>
      </c>
      <c r="L451" s="4" t="s">
        <v>42</v>
      </c>
      <c r="M451" s="8" t="str">
        <f aca="false">IF(OR(H451="",I451=""),"",IF(I451&gt;0,H451/I451,""))</f>
        <v/>
      </c>
      <c r="N451" s="4" t="str">
        <f aca="false">IF(I451="",IF(K451="NULL","FCF yok (NULL)","FCF kapsamı dışı"),IF(I451&lt;=0,"anlamsız (FCF ≤ 0)",IF(OR(K451="KOŞULLU"),"FCF KOŞULLU — yorum yapılmaz","")))</f>
        <v>anlamsız (FCF ≤ 0)</v>
      </c>
      <c r="O451" s="9" t="n">
        <f aca="false">IF(Q451="","",F451*R451/Q451-1)</f>
        <v>-0.337706511175899</v>
      </c>
      <c r="P451" s="9" t="n">
        <f aca="false">IF(S451="","",F451*T451/S451-1)</f>
        <v>0.128311258278146</v>
      </c>
      <c r="Q451" s="5" t="n">
        <v>514.5</v>
      </c>
      <c r="R451" s="10" t="n">
        <v>1</v>
      </c>
      <c r="S451" s="5" t="n">
        <v>302</v>
      </c>
      <c r="T451" s="10" t="n">
        <v>1</v>
      </c>
      <c r="U451" s="4"/>
    </row>
    <row r="452" customFormat="false" ht="15" hidden="false" customHeight="false" outlineLevel="0" collapsed="false">
      <c r="A452" s="4" t="s">
        <v>1012</v>
      </c>
      <c r="B452" s="4" t="s">
        <v>1013</v>
      </c>
      <c r="C452" s="4" t="s">
        <v>29</v>
      </c>
      <c r="D452" s="4" t="s">
        <v>63</v>
      </c>
      <c r="E452" s="4" t="s">
        <v>63</v>
      </c>
      <c r="F452" s="5" t="n">
        <v>124.6</v>
      </c>
      <c r="G452" s="4" t="s">
        <v>26</v>
      </c>
      <c r="H452" s="6" t="n">
        <v>951.3784406</v>
      </c>
      <c r="I452" s="7" t="n">
        <v>-52.666</v>
      </c>
      <c r="J452" s="4" t="s">
        <v>32</v>
      </c>
      <c r="K452" s="4" t="s">
        <v>33</v>
      </c>
      <c r="L452" s="4" t="s">
        <v>42</v>
      </c>
      <c r="M452" s="8" t="str">
        <f aca="false">IF(OR(H452="",I452=""),"",IF(I452&gt;0,H452/I452,""))</f>
        <v/>
      </c>
      <c r="N452" s="4" t="str">
        <f aca="false">IF(I452="",IF(K452="NULL","FCF yok (NULL)","FCF kapsamı dışı"),IF(I452&lt;=0,"anlamsız (FCF ≤ 0)",IF(OR(K452="KOŞULLU"),"FCF KOŞULLU — yorum yapılmaz","")))</f>
        <v>anlamsız (FCF ≤ 0)</v>
      </c>
      <c r="O452" s="9" t="n">
        <f aca="false">IF(Q452="","",F452*R452/Q452-1)</f>
        <v>-0.726003298515668</v>
      </c>
      <c r="P452" s="9" t="n">
        <f aca="false">IF(S452="","",F452*T452/S452-1)</f>
        <v>0.31921651667549</v>
      </c>
      <c r="Q452" s="5" t="n">
        <v>454.75</v>
      </c>
      <c r="R452" s="10" t="n">
        <v>1</v>
      </c>
      <c r="S452" s="5" t="n">
        <v>94.45</v>
      </c>
      <c r="T452" s="10" t="n">
        <v>1</v>
      </c>
      <c r="U452" s="4"/>
    </row>
    <row r="453" customFormat="false" ht="15" hidden="false" customHeight="false" outlineLevel="0" collapsed="false">
      <c r="A453" s="4" t="s">
        <v>1014</v>
      </c>
      <c r="B453" s="4" t="s">
        <v>1015</v>
      </c>
      <c r="C453" s="4" t="s">
        <v>29</v>
      </c>
      <c r="D453" s="4" t="s">
        <v>30</v>
      </c>
      <c r="E453" s="4" t="s">
        <v>56</v>
      </c>
      <c r="F453" s="5" t="n">
        <v>20.98</v>
      </c>
      <c r="G453" s="4" t="s">
        <v>26</v>
      </c>
      <c r="H453" s="6" t="n">
        <v>101997.53832734</v>
      </c>
      <c r="I453" s="7" t="n">
        <v>3487.4648624</v>
      </c>
      <c r="J453" s="4" t="s">
        <v>32</v>
      </c>
      <c r="K453" s="4" t="s">
        <v>154</v>
      </c>
      <c r="L453" s="4" t="s">
        <v>34</v>
      </c>
      <c r="M453" s="8" t="n">
        <f aca="false">IF(OR(H453="",I453=""),"",IF(I453&gt;0,H453/I453,""))</f>
        <v>29.2469006432218</v>
      </c>
      <c r="N453" s="4" t="str">
        <f aca="false">IF(I453="",IF(K453="NULL","FCF yok (NULL)","FCF kapsamı dışı"),IF(I453&lt;=0,"anlamsız (FCF ≤ 0)",IF(OR(K453="KOŞULLU"),"FCF KOŞULLU — yorum yapılmaz","")))</f>
        <v>FCF KOŞULLU — yorum yapılmaz</v>
      </c>
      <c r="O453" s="9" t="n">
        <f aca="false">IF(Q453="","",F453*R453/Q453-1)</f>
        <v>0.0360493827160493</v>
      </c>
      <c r="P453" s="9" t="n">
        <f aca="false">IF(S453="","",F453*T453/S453-1)</f>
        <v>0.0304518664047151</v>
      </c>
      <c r="Q453" s="5" t="n">
        <v>20.25</v>
      </c>
      <c r="R453" s="10" t="n">
        <v>1</v>
      </c>
      <c r="S453" s="5" t="n">
        <v>20.36</v>
      </c>
      <c r="T453" s="10" t="n">
        <v>1</v>
      </c>
      <c r="U453" s="4"/>
    </row>
    <row r="454" customFormat="false" ht="15" hidden="false" customHeight="false" outlineLevel="0" collapsed="false">
      <c r="A454" s="4" t="s">
        <v>1016</v>
      </c>
      <c r="B454" s="4" t="s">
        <v>1017</v>
      </c>
      <c r="C454" s="4" t="s">
        <v>29</v>
      </c>
      <c r="D454" s="4"/>
      <c r="E454" s="4"/>
      <c r="F454" s="5" t="n">
        <v>31</v>
      </c>
      <c r="G454" s="4" t="s">
        <v>26</v>
      </c>
      <c r="H454" s="6" t="n">
        <v>620</v>
      </c>
      <c r="I454" s="7"/>
      <c r="J454" s="4"/>
      <c r="K454" s="4"/>
      <c r="L454" s="4"/>
      <c r="M454" s="8" t="str">
        <f aca="false">IF(OR(H454="",I454=""),"",IF(I454&gt;0,H454/I454,""))</f>
        <v/>
      </c>
      <c r="N454" s="4" t="str">
        <f aca="false">IF(I454="",IF(K454="NULL","FCF yok (NULL)","FCF kapsamı dışı"),IF(I454&lt;=0,"anlamsız (FCF ≤ 0)",IF(OR(K454="KOŞULLU"),"FCF KOŞULLU — yorum yapılmaz","")))</f>
        <v>FCF kapsamı dışı</v>
      </c>
      <c r="O454" s="9" t="n">
        <f aca="false">IF(Q454="","",F454*R454/Q454-1)</f>
        <v>-0.193967758710348</v>
      </c>
      <c r="P454" s="9" t="n">
        <f aca="false">IF(S454="","",F454*T454/S454-1)</f>
        <v>-0.168900804289544</v>
      </c>
      <c r="Q454" s="5" t="n">
        <v>38.46</v>
      </c>
      <c r="R454" s="10" t="n">
        <v>1</v>
      </c>
      <c r="S454" s="5" t="n">
        <v>37.3</v>
      </c>
      <c r="T454" s="10" t="n">
        <v>1</v>
      </c>
      <c r="U454" s="4"/>
    </row>
    <row r="455" customFormat="false" ht="15" hidden="false" customHeight="false" outlineLevel="0" collapsed="false">
      <c r="A455" s="4" t="s">
        <v>1018</v>
      </c>
      <c r="B455" s="4" t="s">
        <v>1019</v>
      </c>
      <c r="C455" s="4" t="s">
        <v>29</v>
      </c>
      <c r="D455" s="4" t="s">
        <v>30</v>
      </c>
      <c r="E455" s="4" t="s">
        <v>53</v>
      </c>
      <c r="F455" s="5" t="n">
        <v>6.75</v>
      </c>
      <c r="G455" s="4" t="s">
        <v>1020</v>
      </c>
      <c r="H455" s="6" t="n">
        <v>573.75</v>
      </c>
      <c r="I455" s="7" t="n">
        <v>-103.0356896</v>
      </c>
      <c r="J455" s="4" t="s">
        <v>32</v>
      </c>
      <c r="K455" s="4" t="s">
        <v>33</v>
      </c>
      <c r="L455" s="4" t="s">
        <v>34</v>
      </c>
      <c r="M455" s="8" t="str">
        <f aca="false">IF(OR(H455="",I455=""),"",IF(I455&gt;0,H455/I455,""))</f>
        <v/>
      </c>
      <c r="N455" s="4" t="str">
        <f aca="false">IF(I455="",IF(K455="NULL","FCF yok (NULL)","FCF kapsamı dışı"),IF(I455&lt;=0,"anlamsız (FCF ≤ 0)",IF(OR(K455="KOŞULLU"),"FCF KOŞULLU — yorum yapılmaz","")))</f>
        <v>anlamsız (FCF ≤ 0)</v>
      </c>
      <c r="O455" s="9" t="n">
        <f aca="false">IF(Q455="","",F455*R455/Q455-1)</f>
        <v>-0.408413672217353</v>
      </c>
      <c r="P455" s="9" t="n">
        <f aca="false">IF(S455="","",F455*T455/S455-1)</f>
        <v>0.0613207547169812</v>
      </c>
      <c r="Q455" s="5" t="n">
        <v>11.41</v>
      </c>
      <c r="R455" s="10" t="n">
        <v>1</v>
      </c>
      <c r="S455" s="5" t="n">
        <v>6.36</v>
      </c>
      <c r="T455" s="10" t="n">
        <v>1</v>
      </c>
      <c r="U455" s="4"/>
    </row>
    <row r="456" customFormat="false" ht="15" hidden="false" customHeight="false" outlineLevel="0" collapsed="false">
      <c r="A456" s="4" t="s">
        <v>1021</v>
      </c>
      <c r="B456" s="4" t="s">
        <v>1022</v>
      </c>
      <c r="C456" s="4" t="s">
        <v>25</v>
      </c>
      <c r="D456" s="4"/>
      <c r="E456" s="4"/>
      <c r="F456" s="5" t="n">
        <v>27.86</v>
      </c>
      <c r="G456" s="4" t="s">
        <v>64</v>
      </c>
      <c r="H456" s="6" t="n">
        <v>8358</v>
      </c>
      <c r="I456" s="7"/>
      <c r="J456" s="4"/>
      <c r="K456" s="4"/>
      <c r="L456" s="4"/>
      <c r="M456" s="8" t="str">
        <f aca="false">IF(OR(H456="",I456=""),"",IF(I456&gt;0,H456/I456,""))</f>
        <v/>
      </c>
      <c r="N456" s="4" t="str">
        <f aca="false">IF(I456="",IF(K456="NULL","FCF yok (NULL)","FCF kapsamı dışı"),IF(I456&lt;=0,"anlamsız (FCF ≤ 0)",IF(OR(K456="KOŞULLU"),"FCF KOŞULLU — yorum yapılmaz","")))</f>
        <v>FCF kapsamı dışı</v>
      </c>
      <c r="O456" s="9" t="n">
        <f aca="false">IF(Q456="","",F456*R456/Q456-1)</f>
        <v>-0.384988962472406</v>
      </c>
      <c r="P456" s="9" t="n">
        <f aca="false">IF(S456="","",F456*T456/S456-1)</f>
        <v>-0.00854092526690398</v>
      </c>
      <c r="Q456" s="5" t="n">
        <v>45.3</v>
      </c>
      <c r="R456" s="10" t="n">
        <v>1</v>
      </c>
      <c r="S456" s="5" t="n">
        <v>28.1</v>
      </c>
      <c r="T456" s="10" t="n">
        <v>1</v>
      </c>
      <c r="U456" s="4"/>
    </row>
    <row r="457" customFormat="false" ht="15" hidden="false" customHeight="false" outlineLevel="0" collapsed="false">
      <c r="A457" s="4" t="s">
        <v>1023</v>
      </c>
      <c r="B457" s="4" t="s">
        <v>1024</v>
      </c>
      <c r="C457" s="4" t="s">
        <v>29</v>
      </c>
      <c r="D457" s="4" t="s">
        <v>30</v>
      </c>
      <c r="E457" s="4" t="s">
        <v>45</v>
      </c>
      <c r="F457" s="5" t="n">
        <v>1030</v>
      </c>
      <c r="G457" s="4" t="s">
        <v>144</v>
      </c>
      <c r="H457" s="6" t="n">
        <v>73490.5</v>
      </c>
      <c r="I457" s="7" t="n">
        <v>-846.69</v>
      </c>
      <c r="J457" s="4" t="s">
        <v>32</v>
      </c>
      <c r="K457" s="4" t="s">
        <v>33</v>
      </c>
      <c r="L457" s="4" t="s">
        <v>42</v>
      </c>
      <c r="M457" s="8" t="str">
        <f aca="false">IF(OR(H457="",I457=""),"",IF(I457&gt;0,H457/I457,""))</f>
        <v/>
      </c>
      <c r="N457" s="4" t="str">
        <f aca="false">IF(I457="",IF(K457="NULL","FCF yok (NULL)","FCF kapsamı dışı"),IF(I457&lt;=0,"anlamsız (FCF ≤ 0)",IF(OR(K457="KOŞULLU"),"FCF KOŞULLU — yorum yapılmaz","")))</f>
        <v>anlamsız (FCF ≤ 0)</v>
      </c>
      <c r="O457" s="9" t="n">
        <f aca="false">IF(Q457="","",F457*R457/Q457-1)</f>
        <v>3.45501730103806</v>
      </c>
      <c r="P457" s="9" t="n">
        <f aca="false">IF(S457="","",F457*T457/S457-1)</f>
        <v>-0.685015290519878</v>
      </c>
      <c r="Q457" s="5" t="n">
        <v>231.2</v>
      </c>
      <c r="R457" s="10" t="n">
        <v>1</v>
      </c>
      <c r="S457" s="5" t="n">
        <v>3270</v>
      </c>
      <c r="T457" s="10" t="n">
        <v>1</v>
      </c>
      <c r="U457" s="4"/>
    </row>
    <row r="458" customFormat="false" ht="15" hidden="false" customHeight="false" outlineLevel="0" collapsed="false">
      <c r="A458" s="4" t="s">
        <v>1025</v>
      </c>
      <c r="B458" s="4" t="s">
        <v>1026</v>
      </c>
      <c r="C458" s="4" t="s">
        <v>38</v>
      </c>
      <c r="D458" s="4"/>
      <c r="E458" s="4"/>
      <c r="F458" s="5" t="n">
        <v>1.7</v>
      </c>
      <c r="G458" s="4" t="s">
        <v>108</v>
      </c>
      <c r="H458" s="6" t="n">
        <v>1700</v>
      </c>
      <c r="I458" s="7"/>
      <c r="J458" s="4"/>
      <c r="K458" s="4"/>
      <c r="L458" s="4"/>
      <c r="M458" s="8" t="str">
        <f aca="false">IF(OR(H458="",I458=""),"",IF(I458&gt;0,H458/I458,""))</f>
        <v/>
      </c>
      <c r="N458" s="4" t="str">
        <f aca="false">IF(I458="",IF(K458="NULL","FCF yok (NULL)","FCF kapsamı dışı"),IF(I458&lt;=0,"anlamsız (FCF ≤ 0)",IF(OR(K458="KOŞULLU"),"FCF KOŞULLU — yorum yapılmaz","")))</f>
        <v>FCF kapsamı dışı</v>
      </c>
      <c r="O458" s="9" t="n">
        <f aca="false">IF(Q458="","",F458*R458/Q458-1)</f>
        <v>-0.15</v>
      </c>
      <c r="P458" s="9" t="n">
        <f aca="false">IF(S458="","",F458*T458/S458-1)</f>
        <v>-0.0285714285714286</v>
      </c>
      <c r="Q458" s="5" t="n">
        <v>2</v>
      </c>
      <c r="R458" s="10" t="n">
        <v>1</v>
      </c>
      <c r="S458" s="5" t="n">
        <v>1.75</v>
      </c>
      <c r="T458" s="10" t="n">
        <v>1</v>
      </c>
      <c r="U458" s="4"/>
    </row>
    <row r="459" customFormat="false" ht="15" hidden="false" customHeight="false" outlineLevel="0" collapsed="false">
      <c r="A459" s="4" t="s">
        <v>1027</v>
      </c>
      <c r="B459" s="4" t="s">
        <v>1028</v>
      </c>
      <c r="C459" s="4" t="s">
        <v>38</v>
      </c>
      <c r="D459" s="4"/>
      <c r="E459" s="4"/>
      <c r="F459" s="5" t="n">
        <v>12.22</v>
      </c>
      <c r="G459" s="4" t="s">
        <v>64</v>
      </c>
      <c r="H459" s="6" t="n">
        <v>17792.32</v>
      </c>
      <c r="I459" s="7"/>
      <c r="J459" s="4"/>
      <c r="K459" s="4"/>
      <c r="L459" s="4"/>
      <c r="M459" s="8" t="str">
        <f aca="false">IF(OR(H459="",I459=""),"",IF(I459&gt;0,H459/I459,""))</f>
        <v/>
      </c>
      <c r="N459" s="4" t="str">
        <f aca="false">IF(I459="",IF(K459="NULL","FCF yok (NULL)","FCF kapsamı dışı"),IF(I459&lt;=0,"anlamsız (FCF ≤ 0)",IF(OR(K459="KOŞULLU"),"FCF KOŞULLU — yorum yapılmaz","")))</f>
        <v>FCF kapsamı dışı</v>
      </c>
      <c r="O459" s="9" t="n">
        <f aca="false">IF(Q459="","",F459*R459/Q459-1)</f>
        <v>-0.081893313298272</v>
      </c>
      <c r="P459" s="9" t="n">
        <f aca="false">IF(S459="","",F459*T459/S459-1)</f>
        <v>0.0132669983416251</v>
      </c>
      <c r="Q459" s="5" t="n">
        <v>13.31</v>
      </c>
      <c r="R459" s="10" t="n">
        <v>1</v>
      </c>
      <c r="S459" s="5" t="n">
        <v>12.06</v>
      </c>
      <c r="T459" s="10" t="n">
        <v>1</v>
      </c>
      <c r="U459" s="4"/>
    </row>
    <row r="460" customFormat="false" ht="15" hidden="false" customHeight="false" outlineLevel="0" collapsed="false">
      <c r="A460" s="4" t="s">
        <v>1029</v>
      </c>
      <c r="B460" s="4" t="s">
        <v>1030</v>
      </c>
      <c r="C460" s="4" t="s">
        <v>29</v>
      </c>
      <c r="D460" s="4" t="s">
        <v>30</v>
      </c>
      <c r="E460" s="4" t="s">
        <v>41</v>
      </c>
      <c r="F460" s="5" t="n">
        <v>12.29</v>
      </c>
      <c r="G460" s="4" t="s">
        <v>120</v>
      </c>
      <c r="H460" s="6" t="n">
        <v>903.315</v>
      </c>
      <c r="I460" s="7" t="n">
        <v>1.4668032</v>
      </c>
      <c r="J460" s="4" t="s">
        <v>32</v>
      </c>
      <c r="K460" s="4" t="s">
        <v>33</v>
      </c>
      <c r="L460" s="4" t="s">
        <v>57</v>
      </c>
      <c r="M460" s="8" t="n">
        <f aca="false">IF(OR(H460="",I460=""),"",IF(I460&gt;0,H460/I460,""))</f>
        <v>615.839261872349</v>
      </c>
      <c r="N460" s="4" t="str">
        <f aca="false">IF(I460="",IF(K460="NULL","FCF yok (NULL)","FCF kapsamı dışı"),IF(I460&lt;=0,"anlamsız (FCF ≤ 0)",IF(OR(K460="KOŞULLU"),"FCF KOŞULLU — yorum yapılmaz","")))</f>
        <v/>
      </c>
      <c r="O460" s="9" t="n">
        <f aca="false">IF(Q460="","",F460*R460/Q460-1)</f>
        <v>0.307446808510638</v>
      </c>
      <c r="P460" s="9" t="n">
        <f aca="false">IF(S460="","",F460*T460/S460-1)</f>
        <v>-0.472984562607204</v>
      </c>
      <c r="Q460" s="5" t="n">
        <v>9.4</v>
      </c>
      <c r="R460" s="10" t="n">
        <v>1</v>
      </c>
      <c r="S460" s="5" t="n">
        <v>23.32</v>
      </c>
      <c r="T460" s="10" t="n">
        <v>1</v>
      </c>
      <c r="U460" s="4"/>
    </row>
    <row r="461" customFormat="false" ht="15" hidden="false" customHeight="false" outlineLevel="0" collapsed="false">
      <c r="A461" s="4" t="s">
        <v>1031</v>
      </c>
      <c r="B461" s="4" t="s">
        <v>1032</v>
      </c>
      <c r="C461" s="4" t="s">
        <v>29</v>
      </c>
      <c r="D461" s="4" t="s">
        <v>30</v>
      </c>
      <c r="E461" s="4" t="s">
        <v>359</v>
      </c>
      <c r="F461" s="5" t="n">
        <v>37.14</v>
      </c>
      <c r="G461" s="4" t="s">
        <v>64</v>
      </c>
      <c r="H461" s="6" t="n">
        <v>4456.8</v>
      </c>
      <c r="I461" s="7" t="n">
        <v>-400.8863456</v>
      </c>
      <c r="J461" s="4" t="s">
        <v>32</v>
      </c>
      <c r="K461" s="4" t="s">
        <v>33</v>
      </c>
      <c r="L461" s="4" t="s">
        <v>57</v>
      </c>
      <c r="M461" s="8" t="str">
        <f aca="false">IF(OR(H461="",I461=""),"",IF(I461&gt;0,H461/I461,""))</f>
        <v/>
      </c>
      <c r="N461" s="4" t="str">
        <f aca="false">IF(I461="",IF(K461="NULL","FCF yok (NULL)","FCF kapsamı dışı"),IF(I461&lt;=0,"anlamsız (FCF ≤ 0)",IF(OR(K461="KOŞULLU"),"FCF KOŞULLU — yorum yapılmaz","")))</f>
        <v>anlamsız (FCF ≤ 0)</v>
      </c>
      <c r="O461" s="9" t="n">
        <f aca="false">IF(Q461="","",F461*R461/Q461-1)</f>
        <v>0.956796628029505</v>
      </c>
      <c r="P461" s="9" t="n">
        <f aca="false">IF(S461="","",F461*T461/S461-1)</f>
        <v>-0.0559227249618709</v>
      </c>
      <c r="Q461" s="5" t="n">
        <v>18.98</v>
      </c>
      <c r="R461" s="10" t="n">
        <v>1</v>
      </c>
      <c r="S461" s="5" t="n">
        <v>39.34</v>
      </c>
      <c r="T461" s="10" t="n">
        <v>1</v>
      </c>
      <c r="U461" s="4"/>
    </row>
    <row r="462" customFormat="false" ht="15" hidden="false" customHeight="false" outlineLevel="0" collapsed="false">
      <c r="A462" s="4" t="s">
        <v>1033</v>
      </c>
      <c r="B462" s="4" t="s">
        <v>1034</v>
      </c>
      <c r="C462" s="4" t="s">
        <v>29</v>
      </c>
      <c r="D462" s="4" t="s">
        <v>30</v>
      </c>
      <c r="E462" s="4" t="s">
        <v>295</v>
      </c>
      <c r="F462" s="5" t="n">
        <v>11.71</v>
      </c>
      <c r="G462" s="4" t="s">
        <v>120</v>
      </c>
      <c r="H462" s="6" t="n">
        <v>4954.7352</v>
      </c>
      <c r="I462" s="7" t="n">
        <v>1289.924</v>
      </c>
      <c r="J462" s="4" t="s">
        <v>32</v>
      </c>
      <c r="K462" s="4" t="s">
        <v>33</v>
      </c>
      <c r="L462" s="4" t="s">
        <v>42</v>
      </c>
      <c r="M462" s="8" t="n">
        <f aca="false">IF(OR(H462="",I462=""),"",IF(I462&gt;0,H462/I462,""))</f>
        <v>3.84110629773537</v>
      </c>
      <c r="N462" s="4" t="str">
        <f aca="false">IF(I462="",IF(K462="NULL","FCF yok (NULL)","FCF kapsamı dışı"),IF(I462&lt;=0,"anlamsız (FCF ≤ 0)",IF(OR(K462="KOŞULLU"),"FCF KOŞULLU — yorum yapılmaz","")))</f>
        <v/>
      </c>
      <c r="O462" s="9" t="n">
        <f aca="false">IF(Q462="","",F462*R462/Q462-1)</f>
        <v>0.483976363636364</v>
      </c>
      <c r="P462" s="9" t="n">
        <f aca="false">IF(S462="","",F462*T462/S462-1)</f>
        <v>0.0772769089236431</v>
      </c>
      <c r="Q462" s="5" t="n">
        <v>31.68</v>
      </c>
      <c r="R462" s="10" t="n">
        <v>4.01472</v>
      </c>
      <c r="S462" s="5" t="n">
        <v>10.87</v>
      </c>
      <c r="T462" s="10" t="n">
        <v>1</v>
      </c>
      <c r="U462" s="4" t="s">
        <v>1035</v>
      </c>
    </row>
    <row r="463" customFormat="false" ht="15" hidden="false" customHeight="false" outlineLevel="0" collapsed="false">
      <c r="A463" s="4" t="s">
        <v>1036</v>
      </c>
      <c r="B463" s="4" t="s">
        <v>1037</v>
      </c>
      <c r="C463" s="4" t="s">
        <v>38</v>
      </c>
      <c r="D463" s="4"/>
      <c r="E463" s="4"/>
      <c r="F463" s="5" t="n">
        <v>118.1</v>
      </c>
      <c r="G463" s="4" t="s">
        <v>76</v>
      </c>
      <c r="H463" s="6" t="n">
        <v>10274.7</v>
      </c>
      <c r="I463" s="7"/>
      <c r="J463" s="4"/>
      <c r="K463" s="4"/>
      <c r="L463" s="4"/>
      <c r="M463" s="8" t="str">
        <f aca="false">IF(OR(H463="",I463=""),"",IF(I463&gt;0,H463/I463,""))</f>
        <v/>
      </c>
      <c r="N463" s="4" t="str">
        <f aca="false">IF(I463="",IF(K463="NULL","FCF yok (NULL)","FCF kapsamı dışı"),IF(I463&lt;=0,"anlamsız (FCF ≤ 0)",IF(OR(K463="KOŞULLU"),"FCF KOŞULLU — yorum yapılmaz","")))</f>
        <v>FCF kapsamı dışı</v>
      </c>
      <c r="O463" s="9" t="n">
        <f aca="false">IF(Q463="","",F463*R463/Q463-1)</f>
        <v>0.234709879769995</v>
      </c>
      <c r="P463" s="9" t="n">
        <f aca="false">IF(S463="","",F463*T463/S463-1)</f>
        <v>-0.0498793242156075</v>
      </c>
      <c r="Q463" s="5" t="n">
        <v>95.65</v>
      </c>
      <c r="R463" s="10" t="n">
        <v>1</v>
      </c>
      <c r="S463" s="5" t="n">
        <v>124.3</v>
      </c>
      <c r="T463" s="10" t="n">
        <v>1</v>
      </c>
      <c r="U463" s="4"/>
    </row>
    <row r="464" customFormat="false" ht="15" hidden="false" customHeight="false" outlineLevel="0" collapsed="false">
      <c r="A464" s="4" t="s">
        <v>1038</v>
      </c>
      <c r="B464" s="4" t="s">
        <v>1039</v>
      </c>
      <c r="C464" s="4" t="s">
        <v>29</v>
      </c>
      <c r="D464" s="4" t="s">
        <v>63</v>
      </c>
      <c r="E464" s="4" t="s">
        <v>63</v>
      </c>
      <c r="F464" s="5" t="n">
        <v>0.96</v>
      </c>
      <c r="G464" s="4" t="s">
        <v>26</v>
      </c>
      <c r="H464" s="6" t="n">
        <v>19200</v>
      </c>
      <c r="I464" s="7" t="n">
        <v>-1619.5257312</v>
      </c>
      <c r="J464" s="4" t="s">
        <v>111</v>
      </c>
      <c r="K464" s="4" t="s">
        <v>33</v>
      </c>
      <c r="L464" s="4" t="s">
        <v>57</v>
      </c>
      <c r="M464" s="8" t="str">
        <f aca="false">IF(OR(H464="",I464=""),"",IF(I464&gt;0,H464/I464,""))</f>
        <v/>
      </c>
      <c r="N464" s="4" t="str">
        <f aca="false">IF(I464="",IF(K464="NULL","FCF yok (NULL)","FCF kapsamı dışı"),IF(I464&lt;=0,"anlamsız (FCF ≤ 0)",IF(OR(K464="KOŞULLU"),"FCF KOŞULLU — yorum yapılmaz","")))</f>
        <v>anlamsız (FCF ≤ 0)</v>
      </c>
      <c r="O464" s="9" t="str">
        <f aca="false">IF(Q464="","",F464*R464/Q464-1)</f>
        <v/>
      </c>
      <c r="P464" s="9" t="n">
        <f aca="false">IF(S464="","",F464*T464/S464-1)</f>
        <v>-0.0588235294117647</v>
      </c>
      <c r="Q464" s="5"/>
      <c r="R464" s="10" t="n">
        <v>1</v>
      </c>
      <c r="S464" s="5" t="n">
        <v>1.02</v>
      </c>
      <c r="T464" s="10" t="n">
        <v>1</v>
      </c>
      <c r="U464" s="4"/>
    </row>
    <row r="465" customFormat="false" ht="15" hidden="false" customHeight="false" outlineLevel="0" collapsed="false">
      <c r="A465" s="4" t="s">
        <v>1040</v>
      </c>
      <c r="B465" s="4" t="s">
        <v>1041</v>
      </c>
      <c r="C465" s="4" t="s">
        <v>29</v>
      </c>
      <c r="D465" s="4" t="s">
        <v>30</v>
      </c>
      <c r="E465" s="4" t="s">
        <v>31</v>
      </c>
      <c r="F465" s="5" t="n">
        <v>48.84</v>
      </c>
      <c r="G465" s="4" t="s">
        <v>26</v>
      </c>
      <c r="H465" s="6" t="n">
        <v>1518.69596604</v>
      </c>
      <c r="I465" s="7" t="n">
        <v>-20.129</v>
      </c>
      <c r="J465" s="4" t="s">
        <v>32</v>
      </c>
      <c r="K465" s="4" t="s">
        <v>33</v>
      </c>
      <c r="L465" s="4" t="s">
        <v>42</v>
      </c>
      <c r="M465" s="8" t="str">
        <f aca="false">IF(OR(H465="",I465=""),"",IF(I465&gt;0,H465/I465,""))</f>
        <v/>
      </c>
      <c r="N465" s="4" t="str">
        <f aca="false">IF(I465="",IF(K465="NULL","FCF yok (NULL)","FCF kapsamı dışı"),IF(I465&lt;=0,"anlamsız (FCF ≤ 0)",IF(OR(K465="KOŞULLU"),"FCF KOŞULLU — yorum yapılmaz","")))</f>
        <v>anlamsız (FCF ≤ 0)</v>
      </c>
      <c r="O465" s="9" t="n">
        <f aca="false">IF(Q465="","",F465*R465/Q465-1)</f>
        <v>-0.464473684210526</v>
      </c>
      <c r="P465" s="9" t="n">
        <f aca="false">IF(S465="","",F465*T465/S465-1)</f>
        <v>-0.0767485822306238</v>
      </c>
      <c r="Q465" s="5" t="n">
        <v>91.2</v>
      </c>
      <c r="R465" s="10" t="n">
        <v>1</v>
      </c>
      <c r="S465" s="5" t="n">
        <v>52.9</v>
      </c>
      <c r="T465" s="10" t="n">
        <v>1</v>
      </c>
      <c r="U465" s="4"/>
    </row>
    <row r="466" customFormat="false" ht="15" hidden="false" customHeight="false" outlineLevel="0" collapsed="false">
      <c r="A466" s="4" t="s">
        <v>1042</v>
      </c>
      <c r="B466" s="4" t="s">
        <v>1043</v>
      </c>
      <c r="C466" s="4" t="s">
        <v>29</v>
      </c>
      <c r="D466" s="4" t="s">
        <v>30</v>
      </c>
      <c r="E466" s="4" t="s">
        <v>159</v>
      </c>
      <c r="F466" s="5" t="n">
        <v>8.34</v>
      </c>
      <c r="G466" s="4" t="s">
        <v>26</v>
      </c>
      <c r="H466" s="6" t="n">
        <v>1720.125</v>
      </c>
      <c r="I466" s="7" t="n">
        <v>18.41</v>
      </c>
      <c r="J466" s="4" t="s">
        <v>32</v>
      </c>
      <c r="K466" s="4" t="s">
        <v>33</v>
      </c>
      <c r="L466" s="4" t="s">
        <v>42</v>
      </c>
      <c r="M466" s="8" t="n">
        <f aca="false">IF(OR(H466="",I466=""),"",IF(I466&gt;0,H466/I466,""))</f>
        <v>93.4342748506247</v>
      </c>
      <c r="N466" s="4" t="str">
        <f aca="false">IF(I466="",IF(K466="NULL","FCF yok (NULL)","FCF kapsamı dışı"),IF(I466&lt;=0,"anlamsız (FCF ≤ 0)",IF(OR(K466="KOŞULLU"),"FCF KOŞULLU — yorum yapılmaz","")))</f>
        <v/>
      </c>
      <c r="O466" s="9" t="n">
        <f aca="false">IF(Q466="","",F466*R466/Q466-1)</f>
        <v>-0.504750593824228</v>
      </c>
      <c r="P466" s="9" t="n">
        <f aca="false">IF(S466="","",F466*T466/S466-1)</f>
        <v>-0.128526645768025</v>
      </c>
      <c r="Q466" s="5" t="n">
        <v>16.84</v>
      </c>
      <c r="R466" s="10" t="n">
        <v>1</v>
      </c>
      <c r="S466" s="5" t="n">
        <v>9.57</v>
      </c>
      <c r="T466" s="10" t="n">
        <v>1</v>
      </c>
      <c r="U466" s="4"/>
    </row>
    <row r="467" customFormat="false" ht="15" hidden="false" customHeight="false" outlineLevel="0" collapsed="false">
      <c r="A467" s="4" t="s">
        <v>1044</v>
      </c>
      <c r="B467" s="4" t="s">
        <v>1045</v>
      </c>
      <c r="C467" s="4" t="s">
        <v>29</v>
      </c>
      <c r="D467" s="4" t="s">
        <v>30</v>
      </c>
      <c r="E467" s="4" t="s">
        <v>234</v>
      </c>
      <c r="F467" s="5" t="n">
        <v>60.55</v>
      </c>
      <c r="G467" s="4" t="s">
        <v>108</v>
      </c>
      <c r="H467" s="6" t="n">
        <v>5255.0571171</v>
      </c>
      <c r="I467" s="7" t="n">
        <v>-915.702</v>
      </c>
      <c r="J467" s="4" t="s">
        <v>32</v>
      </c>
      <c r="K467" s="4" t="s">
        <v>33</v>
      </c>
      <c r="L467" s="4" t="s">
        <v>42</v>
      </c>
      <c r="M467" s="8" t="str">
        <f aca="false">IF(OR(H467="",I467=""),"",IF(I467&gt;0,H467/I467,""))</f>
        <v/>
      </c>
      <c r="N467" s="4" t="str">
        <f aca="false">IF(I467="",IF(K467="NULL","FCF yok (NULL)","FCF kapsamı dışı"),IF(I467&lt;=0,"anlamsız (FCF ≤ 0)",IF(OR(K467="KOŞULLU"),"FCF KOŞULLU — yorum yapılmaz","")))</f>
        <v>anlamsız (FCF ≤ 0)</v>
      </c>
      <c r="O467" s="9" t="n">
        <f aca="false">IF(Q467="","",F467*R467/Q467-1)</f>
        <v>-0.374806401652039</v>
      </c>
      <c r="P467" s="9" t="n">
        <f aca="false">IF(S467="","",F467*T467/S467-1)</f>
        <v>-0.035828025477707</v>
      </c>
      <c r="Q467" s="5" t="n">
        <v>96.85</v>
      </c>
      <c r="R467" s="10" t="n">
        <v>1</v>
      </c>
      <c r="S467" s="5" t="n">
        <v>62.8</v>
      </c>
      <c r="T467" s="10" t="n">
        <v>1</v>
      </c>
      <c r="U467" s="4"/>
    </row>
    <row r="468" customFormat="false" ht="15" hidden="false" customHeight="false" outlineLevel="0" collapsed="false">
      <c r="A468" s="4" t="s">
        <v>1046</v>
      </c>
      <c r="B468" s="4" t="s">
        <v>1047</v>
      </c>
      <c r="C468" s="4" t="s">
        <v>29</v>
      </c>
      <c r="D468" s="4" t="s">
        <v>30</v>
      </c>
      <c r="E468" s="4" t="s">
        <v>276</v>
      </c>
      <c r="F468" s="5" t="n">
        <v>41.4</v>
      </c>
      <c r="G468" s="4" t="s">
        <v>120</v>
      </c>
      <c r="H468" s="6" t="n">
        <v>27820.8</v>
      </c>
      <c r="I468" s="7" t="n">
        <v>-1310.154</v>
      </c>
      <c r="J468" s="4" t="s">
        <v>32</v>
      </c>
      <c r="K468" s="4" t="s">
        <v>33</v>
      </c>
      <c r="L468" s="4" t="s">
        <v>42</v>
      </c>
      <c r="M468" s="8" t="str">
        <f aca="false">IF(OR(H468="",I468=""),"",IF(I468&gt;0,H468/I468,""))</f>
        <v/>
      </c>
      <c r="N468" s="4" t="str">
        <f aca="false">IF(I468="",IF(K468="NULL","FCF yok (NULL)","FCF kapsamı dışı"),IF(I468&lt;=0,"anlamsız (FCF ≤ 0)",IF(OR(K468="KOŞULLU"),"FCF KOŞULLU — yorum yapılmaz","")))</f>
        <v>anlamsız (FCF ≤ 0)</v>
      </c>
      <c r="O468" s="9" t="n">
        <f aca="false">IF(Q468="","",F468*R468/Q468-1)</f>
        <v>-0.633628318584071</v>
      </c>
      <c r="P468" s="9" t="n">
        <f aca="false">IF(S468="","",F468*T468/S468-1)</f>
        <v>-0.170673076923077</v>
      </c>
      <c r="Q468" s="5" t="n">
        <v>113</v>
      </c>
      <c r="R468" s="10" t="n">
        <v>1</v>
      </c>
      <c r="S468" s="5" t="n">
        <v>49.92</v>
      </c>
      <c r="T468" s="10" t="n">
        <v>1</v>
      </c>
      <c r="U468" s="4"/>
    </row>
    <row r="469" customFormat="false" ht="15" hidden="false" customHeight="false" outlineLevel="0" collapsed="false">
      <c r="A469" s="4" t="s">
        <v>1048</v>
      </c>
      <c r="B469" s="4" t="s">
        <v>1049</v>
      </c>
      <c r="C469" s="4" t="s">
        <v>29</v>
      </c>
      <c r="D469" s="4" t="s">
        <v>30</v>
      </c>
      <c r="E469" s="4" t="s">
        <v>159</v>
      </c>
      <c r="F469" s="5" t="n">
        <v>14.93</v>
      </c>
      <c r="G469" s="4" t="s">
        <v>26</v>
      </c>
      <c r="H469" s="6" t="n">
        <v>10076.77106976</v>
      </c>
      <c r="I469" s="7" t="n">
        <v>-3593.387</v>
      </c>
      <c r="J469" s="4" t="s">
        <v>32</v>
      </c>
      <c r="K469" s="4" t="s">
        <v>86</v>
      </c>
      <c r="L469" s="4" t="s">
        <v>42</v>
      </c>
      <c r="M469" s="8" t="str">
        <f aca="false">IF(OR(H469="",I469=""),"",IF(I469&gt;0,H469/I469,""))</f>
        <v/>
      </c>
      <c r="N469" s="4" t="str">
        <f aca="false">IF(I469="",IF(K469="NULL","FCF yok (NULL)","FCF kapsamı dışı"),IF(I469&lt;=0,"anlamsız (FCF ≤ 0)",IF(OR(K469="KOŞULLU"),"FCF KOŞULLU — yorum yapılmaz","")))</f>
        <v>anlamsız (FCF ≤ 0)</v>
      </c>
      <c r="O469" s="9" t="n">
        <f aca="false">IF(Q469="","",F469*R469/Q469-1)</f>
        <v>-0.542865890998163</v>
      </c>
      <c r="P469" s="9" t="n">
        <f aca="false">IF(S469="","",F469*T469/S469-1)</f>
        <v>-0.111309523809524</v>
      </c>
      <c r="Q469" s="5" t="n">
        <v>32.66</v>
      </c>
      <c r="R469" s="10" t="n">
        <v>1</v>
      </c>
      <c r="S469" s="5" t="n">
        <v>16.8</v>
      </c>
      <c r="T469" s="10" t="n">
        <v>1</v>
      </c>
      <c r="U469" s="4"/>
    </row>
    <row r="470" customFormat="false" ht="15" hidden="false" customHeight="false" outlineLevel="0" collapsed="false">
      <c r="A470" s="4" t="s">
        <v>1050</v>
      </c>
      <c r="B470" s="4" t="s">
        <v>1051</v>
      </c>
      <c r="C470" s="4" t="s">
        <v>29</v>
      </c>
      <c r="D470" s="4" t="s">
        <v>30</v>
      </c>
      <c r="E470" s="4" t="s">
        <v>107</v>
      </c>
      <c r="F470" s="5" t="n">
        <v>30.94</v>
      </c>
      <c r="G470" s="4" t="s">
        <v>76</v>
      </c>
      <c r="H470" s="6" t="n">
        <v>3661.749</v>
      </c>
      <c r="I470" s="7" t="n">
        <v>780.3749984</v>
      </c>
      <c r="J470" s="4" t="s">
        <v>32</v>
      </c>
      <c r="K470" s="4" t="s">
        <v>33</v>
      </c>
      <c r="L470" s="4" t="s">
        <v>57</v>
      </c>
      <c r="M470" s="8" t="n">
        <f aca="false">IF(OR(H470="",I470=""),"",IF(I470&gt;0,H470/I470,""))</f>
        <v>4.6922940990007</v>
      </c>
      <c r="N470" s="4" t="str">
        <f aca="false">IF(I470="",IF(K470="NULL","FCF yok (NULL)","FCF kapsamı dışı"),IF(I470&lt;=0,"anlamsız (FCF ≤ 0)",IF(OR(K470="KOŞULLU"),"FCF KOŞULLU — yorum yapılmaz","")))</f>
        <v/>
      </c>
      <c r="O470" s="9" t="n">
        <f aca="false">IF(Q470="","",F470*R470/Q470-1)</f>
        <v>0.251618122977346</v>
      </c>
      <c r="P470" s="9" t="n">
        <f aca="false">IF(S470="","",F470*T470/S470-1)</f>
        <v>0.0438596491228069</v>
      </c>
      <c r="Q470" s="5" t="n">
        <v>24.72</v>
      </c>
      <c r="R470" s="10" t="n">
        <v>1</v>
      </c>
      <c r="S470" s="5" t="n">
        <v>29.64</v>
      </c>
      <c r="T470" s="10" t="n">
        <v>1</v>
      </c>
      <c r="U470" s="4"/>
    </row>
    <row r="471" customFormat="false" ht="15" hidden="false" customHeight="false" outlineLevel="0" collapsed="false">
      <c r="A471" s="4" t="s">
        <v>1052</v>
      </c>
      <c r="B471" s="4" t="s">
        <v>1053</v>
      </c>
      <c r="C471" s="4" t="s">
        <v>38</v>
      </c>
      <c r="D471" s="4"/>
      <c r="E471" s="4"/>
      <c r="F471" s="5" t="n">
        <v>2.43</v>
      </c>
      <c r="G471" s="4" t="s">
        <v>26</v>
      </c>
      <c r="H471" s="6" t="n">
        <v>12150</v>
      </c>
      <c r="I471" s="7"/>
      <c r="J471" s="4"/>
      <c r="K471" s="4"/>
      <c r="L471" s="4"/>
      <c r="M471" s="8" t="str">
        <f aca="false">IF(OR(H471="",I471=""),"",IF(I471&gt;0,H471/I471,""))</f>
        <v/>
      </c>
      <c r="N471" s="4" t="str">
        <f aca="false">IF(I471="",IF(K471="NULL","FCF yok (NULL)","FCF kapsamı dışı"),IF(I471&lt;=0,"anlamsız (FCF ≤ 0)",IF(OR(K471="KOŞULLU"),"FCF KOŞULLU — yorum yapılmaz","")))</f>
        <v>FCF kapsamı dışı</v>
      </c>
      <c r="O471" s="9" t="n">
        <f aca="false">IF(Q471="","",F471*R471/Q471-1)</f>
        <v>-0.723234624145786</v>
      </c>
      <c r="P471" s="9" t="n">
        <f aca="false">IF(S471="","",F471*T471/S471-1)</f>
        <v>-0.684005201560468</v>
      </c>
      <c r="Q471" s="5" t="n">
        <v>8.78</v>
      </c>
      <c r="R471" s="10" t="n">
        <v>1</v>
      </c>
      <c r="S471" s="5" t="n">
        <v>7.69</v>
      </c>
      <c r="T471" s="10" t="n">
        <v>1</v>
      </c>
      <c r="U471" s="4"/>
    </row>
    <row r="472" customFormat="false" ht="15" hidden="false" customHeight="false" outlineLevel="0" collapsed="false">
      <c r="A472" s="4" t="s">
        <v>1054</v>
      </c>
      <c r="B472" s="4" t="s">
        <v>1055</v>
      </c>
      <c r="C472" s="4" t="s">
        <v>29</v>
      </c>
      <c r="D472" s="4" t="s">
        <v>30</v>
      </c>
      <c r="E472" s="4" t="s">
        <v>53</v>
      </c>
      <c r="F472" s="5" t="n">
        <v>6.96</v>
      </c>
      <c r="G472" s="4" t="s">
        <v>46</v>
      </c>
      <c r="H472" s="6" t="n">
        <v>1218</v>
      </c>
      <c r="I472" s="7" t="n">
        <v>245.081</v>
      </c>
      <c r="J472" s="4" t="s">
        <v>32</v>
      </c>
      <c r="K472" s="4" t="s">
        <v>33</v>
      </c>
      <c r="L472" s="4" t="s">
        <v>42</v>
      </c>
      <c r="M472" s="8" t="n">
        <f aca="false">IF(OR(H472="",I472=""),"",IF(I472&gt;0,H472/I472,""))</f>
        <v>4.96978549948793</v>
      </c>
      <c r="N472" s="4" t="str">
        <f aca="false">IF(I472="",IF(K472="NULL","FCF yok (NULL)","FCF kapsamı dışı"),IF(I472&lt;=0,"anlamsız (FCF ≤ 0)",IF(OR(K472="KOŞULLU"),"FCF KOŞULLU — yorum yapılmaz","")))</f>
        <v/>
      </c>
      <c r="O472" s="9" t="n">
        <f aca="false">IF(Q472="","",F472*R472/Q472-1)</f>
        <v>-0.254817987152034</v>
      </c>
      <c r="P472" s="9" t="n">
        <f aca="false">IF(S472="","",F472*T472/S472-1)</f>
        <v>-0.123425692695214</v>
      </c>
      <c r="Q472" s="5" t="n">
        <v>9.34</v>
      </c>
      <c r="R472" s="10" t="n">
        <v>1</v>
      </c>
      <c r="S472" s="5" t="n">
        <v>7.94</v>
      </c>
      <c r="T472" s="10" t="n">
        <v>1</v>
      </c>
      <c r="U472" s="4"/>
    </row>
    <row r="473" customFormat="false" ht="15" hidden="false" customHeight="false" outlineLevel="0" collapsed="false">
      <c r="A473" s="4" t="s">
        <v>1056</v>
      </c>
      <c r="B473" s="4" t="s">
        <v>1057</v>
      </c>
      <c r="C473" s="4" t="s">
        <v>29</v>
      </c>
      <c r="D473" s="4" t="s">
        <v>30</v>
      </c>
      <c r="E473" s="4" t="s">
        <v>162</v>
      </c>
      <c r="F473" s="5" t="n">
        <v>10.04</v>
      </c>
      <c r="G473" s="4" t="s">
        <v>64</v>
      </c>
      <c r="H473" s="6" t="n">
        <v>3950.90064</v>
      </c>
      <c r="I473" s="7" t="n">
        <v>474.076</v>
      </c>
      <c r="J473" s="4" t="s">
        <v>32</v>
      </c>
      <c r="K473" s="4" t="s">
        <v>33</v>
      </c>
      <c r="L473" s="4" t="s">
        <v>42</v>
      </c>
      <c r="M473" s="8" t="n">
        <f aca="false">IF(OR(H473="",I473=""),"",IF(I473&gt;0,H473/I473,""))</f>
        <v>8.3338971810427</v>
      </c>
      <c r="N473" s="4" t="str">
        <f aca="false">IF(I473="",IF(K473="NULL","FCF yok (NULL)","FCF kapsamı dışı"),IF(I473&lt;=0,"anlamsız (FCF ≤ 0)",IF(OR(K473="KOŞULLU"),"FCF KOŞULLU — yorum yapılmaz","")))</f>
        <v/>
      </c>
      <c r="O473" s="9" t="n">
        <f aca="false">IF(Q473="","",F473*R473/Q473-1)</f>
        <v>-0.369346733668342</v>
      </c>
      <c r="P473" s="9" t="n">
        <f aca="false">IF(S473="","",F473*T473/S473-1)</f>
        <v>-0.0660465116279071</v>
      </c>
      <c r="Q473" s="5" t="n">
        <v>15.92</v>
      </c>
      <c r="R473" s="10" t="n">
        <v>1</v>
      </c>
      <c r="S473" s="5" t="n">
        <v>10.75</v>
      </c>
      <c r="T473" s="10" t="n">
        <v>1</v>
      </c>
      <c r="U473" s="4"/>
    </row>
    <row r="474" customFormat="false" ht="15" hidden="false" customHeight="false" outlineLevel="0" collapsed="false">
      <c r="A474" s="4" t="s">
        <v>1058</v>
      </c>
      <c r="B474" s="4" t="s">
        <v>1059</v>
      </c>
      <c r="C474" s="4" t="s">
        <v>29</v>
      </c>
      <c r="D474" s="4" t="s">
        <v>30</v>
      </c>
      <c r="E474" s="4" t="s">
        <v>41</v>
      </c>
      <c r="F474" s="5" t="n">
        <v>20</v>
      </c>
      <c r="G474" s="4" t="s">
        <v>26</v>
      </c>
      <c r="H474" s="6" t="n">
        <v>50688</v>
      </c>
      <c r="I474" s="7" t="n">
        <v>-3511.0927424</v>
      </c>
      <c r="J474" s="4" t="s">
        <v>32</v>
      </c>
      <c r="K474" s="4" t="s">
        <v>33</v>
      </c>
      <c r="L474" s="4" t="s">
        <v>57</v>
      </c>
      <c r="M474" s="8" t="str">
        <f aca="false">IF(OR(H474="",I474=""),"",IF(I474&gt;0,H474/I474,""))</f>
        <v/>
      </c>
      <c r="N474" s="4" t="str">
        <f aca="false">IF(I474="",IF(K474="NULL","FCF yok (NULL)","FCF kapsamı dışı"),IF(I474&lt;=0,"anlamsız (FCF ≤ 0)",IF(OR(K474="KOŞULLU"),"FCF KOŞULLU — yorum yapılmaz","")))</f>
        <v>anlamsız (FCF ≤ 0)</v>
      </c>
      <c r="O474" s="9" t="n">
        <f aca="false">IF(Q474="","",F474*R474/Q474-1)</f>
        <v>0.088139281828074</v>
      </c>
      <c r="P474" s="9" t="n">
        <f aca="false">IF(S474="","",F474*T474/S474-1)</f>
        <v>-0.0610328638497653</v>
      </c>
      <c r="Q474" s="5" t="n">
        <v>18.38</v>
      </c>
      <c r="R474" s="10" t="n">
        <v>1</v>
      </c>
      <c r="S474" s="5" t="n">
        <v>21.3</v>
      </c>
      <c r="T474" s="10" t="n">
        <v>1</v>
      </c>
      <c r="U474" s="4"/>
    </row>
    <row r="475" customFormat="false" ht="15" hidden="false" customHeight="false" outlineLevel="0" collapsed="false">
      <c r="A475" s="4" t="s">
        <v>1060</v>
      </c>
      <c r="B475" s="4" t="s">
        <v>1061</v>
      </c>
      <c r="C475" s="4" t="s">
        <v>29</v>
      </c>
      <c r="D475" s="4" t="s">
        <v>30</v>
      </c>
      <c r="E475" s="4" t="s">
        <v>53</v>
      </c>
      <c r="F475" s="5" t="n">
        <v>10.15</v>
      </c>
      <c r="G475" s="4" t="s">
        <v>64</v>
      </c>
      <c r="H475" s="6" t="n">
        <v>3078.95175</v>
      </c>
      <c r="I475" s="7" t="n">
        <v>492.502</v>
      </c>
      <c r="J475" s="4" t="s">
        <v>32</v>
      </c>
      <c r="K475" s="4" t="s">
        <v>33</v>
      </c>
      <c r="L475" s="4" t="s">
        <v>42</v>
      </c>
      <c r="M475" s="8" t="n">
        <f aca="false">IF(OR(H475="",I475=""),"",IF(I475&gt;0,H475/I475,""))</f>
        <v>6.25165329277851</v>
      </c>
      <c r="N475" s="4" t="str">
        <f aca="false">IF(I475="",IF(K475="NULL","FCF yok (NULL)","FCF kapsamı dışı"),IF(I475&lt;=0,"anlamsız (FCF ≤ 0)",IF(OR(K475="KOŞULLU"),"FCF KOŞULLU — yorum yapılmaz","")))</f>
        <v/>
      </c>
      <c r="O475" s="9" t="n">
        <f aca="false">IF(Q475="","",F475*R475/Q475-1)</f>
        <v>-0.230477634571645</v>
      </c>
      <c r="P475" s="9" t="n">
        <f aca="false">IF(S475="","",F475*T475/S475-1)</f>
        <v>-0.0155189136760427</v>
      </c>
      <c r="Q475" s="5" t="n">
        <v>13.19</v>
      </c>
      <c r="R475" s="10" t="n">
        <v>1</v>
      </c>
      <c r="S475" s="5" t="n">
        <v>10.31</v>
      </c>
      <c r="T475" s="10" t="n">
        <v>1</v>
      </c>
      <c r="U475" s="4"/>
    </row>
    <row r="476" customFormat="false" ht="15" hidden="false" customHeight="false" outlineLevel="0" collapsed="false">
      <c r="A476" s="4" t="s">
        <v>1062</v>
      </c>
      <c r="B476" s="4" t="s">
        <v>1063</v>
      </c>
      <c r="C476" s="4" t="s">
        <v>29</v>
      </c>
      <c r="D476" s="4" t="s">
        <v>30</v>
      </c>
      <c r="E476" s="4" t="s">
        <v>276</v>
      </c>
      <c r="F476" s="5" t="n">
        <v>141.4</v>
      </c>
      <c r="G476" s="4" t="s">
        <v>26</v>
      </c>
      <c r="H476" s="6" t="n">
        <v>70700</v>
      </c>
      <c r="I476" s="7" t="n">
        <v>4686.971</v>
      </c>
      <c r="J476" s="4" t="s">
        <v>32</v>
      </c>
      <c r="K476" s="4" t="s">
        <v>33</v>
      </c>
      <c r="L476" s="4" t="s">
        <v>34</v>
      </c>
      <c r="M476" s="8" t="n">
        <f aca="false">IF(OR(H476="",I476=""),"",IF(I476&gt;0,H476/I476,""))</f>
        <v>15.0843689879882</v>
      </c>
      <c r="N476" s="4" t="str">
        <f aca="false">IF(I476="",IF(K476="NULL","FCF yok (NULL)","FCF kapsamı dışı"),IF(I476&lt;=0,"anlamsız (FCF ≤ 0)",IF(OR(K476="KOŞULLU"),"FCF KOŞULLU — yorum yapılmaz","")))</f>
        <v/>
      </c>
      <c r="O476" s="9" t="n">
        <f aca="false">IF(Q476="","",F476*R476/Q476-1)</f>
        <v>-0.358147980027236</v>
      </c>
      <c r="P476" s="9" t="n">
        <f aca="false">IF(S476="","",F476*T476/S476-1)</f>
        <v>-0.0648148148148147</v>
      </c>
      <c r="Q476" s="5" t="n">
        <v>220.3</v>
      </c>
      <c r="R476" s="10" t="n">
        <v>1</v>
      </c>
      <c r="S476" s="5" t="n">
        <v>151.2</v>
      </c>
      <c r="T476" s="10" t="n">
        <v>1</v>
      </c>
      <c r="U476" s="4"/>
    </row>
    <row r="477" customFormat="false" ht="15" hidden="false" customHeight="false" outlineLevel="0" collapsed="false">
      <c r="A477" s="4" t="s">
        <v>1064</v>
      </c>
      <c r="B477" s="4" t="s">
        <v>1065</v>
      </c>
      <c r="C477" s="4" t="s">
        <v>29</v>
      </c>
      <c r="D477" s="4" t="s">
        <v>30</v>
      </c>
      <c r="E477" s="4" t="s">
        <v>53</v>
      </c>
      <c r="F477" s="5" t="n">
        <v>8.86</v>
      </c>
      <c r="G477" s="4" t="s">
        <v>64</v>
      </c>
      <c r="H477" s="6" t="n">
        <v>2518.7927875</v>
      </c>
      <c r="I477" s="7" t="n">
        <v>200.3121024</v>
      </c>
      <c r="J477" s="4" t="s">
        <v>32</v>
      </c>
      <c r="K477" s="4" t="s">
        <v>33</v>
      </c>
      <c r="L477" s="4" t="s">
        <v>34</v>
      </c>
      <c r="M477" s="8" t="n">
        <f aca="false">IF(OR(H477="",I477=""),"",IF(I477&gt;0,H477/I477,""))</f>
        <v>12.5743415266556</v>
      </c>
      <c r="N477" s="4" t="str">
        <f aca="false">IF(I477="",IF(K477="NULL","FCF yok (NULL)","FCF kapsamı dışı"),IF(I477&lt;=0,"anlamsız (FCF ≤ 0)",IF(OR(K477="KOŞULLU"),"FCF KOŞULLU — yorum yapılmaz","")))</f>
        <v/>
      </c>
      <c r="O477" s="9" t="n">
        <f aca="false">IF(Q477="","",F477*R477/Q477-1)</f>
        <v>-0.242087254063302</v>
      </c>
      <c r="P477" s="9" t="n">
        <f aca="false">IF(S477="","",F477*T477/S477-1)</f>
        <v>-0.0133630289532295</v>
      </c>
      <c r="Q477" s="5" t="n">
        <v>11.69</v>
      </c>
      <c r="R477" s="10" t="n">
        <v>1</v>
      </c>
      <c r="S477" s="5" t="n">
        <v>8.98</v>
      </c>
      <c r="T477" s="10" t="n">
        <v>1</v>
      </c>
      <c r="U477" s="4"/>
    </row>
    <row r="478" customFormat="false" ht="15" hidden="false" customHeight="false" outlineLevel="0" collapsed="false">
      <c r="A478" s="4" t="s">
        <v>1066</v>
      </c>
      <c r="B478" s="4" t="s">
        <v>1067</v>
      </c>
      <c r="C478" s="4" t="s">
        <v>29</v>
      </c>
      <c r="D478" s="4" t="s">
        <v>30</v>
      </c>
      <c r="E478" s="4" t="s">
        <v>159</v>
      </c>
      <c r="F478" s="5" t="n">
        <v>94</v>
      </c>
      <c r="G478" s="4" t="s">
        <v>26</v>
      </c>
      <c r="H478" s="6" t="n">
        <v>2138.5</v>
      </c>
      <c r="I478" s="7" t="n">
        <v>121.424712</v>
      </c>
      <c r="J478" s="4" t="s">
        <v>32</v>
      </c>
      <c r="K478" s="4" t="s">
        <v>33</v>
      </c>
      <c r="L478" s="4" t="s">
        <v>34</v>
      </c>
      <c r="M478" s="8" t="n">
        <f aca="false">IF(OR(H478="",I478=""),"",IF(I478&gt;0,H478/I478,""))</f>
        <v>17.6117362337248</v>
      </c>
      <c r="N478" s="4" t="str">
        <f aca="false">IF(I478="",IF(K478="NULL","FCF yok (NULL)","FCF kapsamı dışı"),IF(I478&lt;=0,"anlamsız (FCF ≤ 0)",IF(OR(K478="KOŞULLU"),"FCF KOŞULLU — yorum yapılmaz","")))</f>
        <v/>
      </c>
      <c r="O478" s="9" t="n">
        <f aca="false">IF(Q478="","",F478*R478/Q478-1)</f>
        <v>0.139393939393939</v>
      </c>
      <c r="P478" s="9" t="n">
        <f aca="false">IF(S478="","",F478*T478/S478-1)</f>
        <v>0.0456062291434927</v>
      </c>
      <c r="Q478" s="5" t="n">
        <v>82.5</v>
      </c>
      <c r="R478" s="10" t="n">
        <v>1</v>
      </c>
      <c r="S478" s="5" t="n">
        <v>89.9</v>
      </c>
      <c r="T478" s="10" t="n">
        <v>1</v>
      </c>
      <c r="U478" s="4"/>
    </row>
    <row r="479" customFormat="false" ht="15" hidden="false" customHeight="false" outlineLevel="0" collapsed="false">
      <c r="A479" s="4" t="s">
        <v>1068</v>
      </c>
      <c r="B479" s="4" t="s">
        <v>1069</v>
      </c>
      <c r="C479" s="4" t="s">
        <v>29</v>
      </c>
      <c r="D479" s="4" t="s">
        <v>30</v>
      </c>
      <c r="E479" s="4" t="s">
        <v>192</v>
      </c>
      <c r="F479" s="5" t="n">
        <v>99.6</v>
      </c>
      <c r="G479" s="4" t="s">
        <v>26</v>
      </c>
      <c r="H479" s="6" t="n">
        <v>2478.36672</v>
      </c>
      <c r="I479" s="7" t="n">
        <v>9.60355520000002</v>
      </c>
      <c r="J479" s="4" t="s">
        <v>32</v>
      </c>
      <c r="K479" s="4" t="s">
        <v>33</v>
      </c>
      <c r="L479" s="4" t="s">
        <v>34</v>
      </c>
      <c r="M479" s="8" t="n">
        <f aca="false">IF(OR(H479="",I479=""),"",IF(I479&gt;0,H479/I479,""))</f>
        <v>258.067628954743</v>
      </c>
      <c r="N479" s="4" t="str">
        <f aca="false">IF(I479="",IF(K479="NULL","FCF yok (NULL)","FCF kapsamı dışı"),IF(I479&lt;=0,"anlamsız (FCF ≤ 0)",IF(OR(K479="KOŞULLU"),"FCF KOŞULLU — yorum yapılmaz","")))</f>
        <v/>
      </c>
      <c r="O479" s="9" t="n">
        <f aca="false">IF(Q479="","",F479*R479/Q479-1)</f>
        <v>-0.565823888404534</v>
      </c>
      <c r="P479" s="9" t="n">
        <f aca="false">IF(S479="","",F479*T479/S479-1)</f>
        <v>-0.0244857982370226</v>
      </c>
      <c r="Q479" s="5" t="n">
        <v>229.4</v>
      </c>
      <c r="R479" s="10" t="n">
        <v>1</v>
      </c>
      <c r="S479" s="5" t="n">
        <v>102.1</v>
      </c>
      <c r="T479" s="10" t="n">
        <v>1</v>
      </c>
      <c r="U479" s="4"/>
    </row>
    <row r="480" customFormat="false" ht="15" hidden="false" customHeight="false" outlineLevel="0" collapsed="false">
      <c r="A480" s="4" t="s">
        <v>1070</v>
      </c>
      <c r="B480" s="4" t="s">
        <v>1071</v>
      </c>
      <c r="C480" s="4" t="s">
        <v>29</v>
      </c>
      <c r="D480" s="4" t="s">
        <v>30</v>
      </c>
      <c r="E480" s="4" t="s">
        <v>305</v>
      </c>
      <c r="F480" s="5" t="n">
        <v>15.48</v>
      </c>
      <c r="G480" s="4" t="s">
        <v>26</v>
      </c>
      <c r="H480" s="6" t="n">
        <v>3788.73</v>
      </c>
      <c r="I480" s="7" t="n">
        <v>1317.5914384</v>
      </c>
      <c r="J480" s="4" t="s">
        <v>32</v>
      </c>
      <c r="K480" s="4" t="s">
        <v>33</v>
      </c>
      <c r="L480" s="4" t="s">
        <v>57</v>
      </c>
      <c r="M480" s="8" t="n">
        <f aca="false">IF(OR(H480="",I480=""),"",IF(I480&gt;0,H480/I480,""))</f>
        <v>2.87549682669523</v>
      </c>
      <c r="N480" s="4" t="str">
        <f aca="false">IF(I480="",IF(K480="NULL","FCF yok (NULL)","FCF kapsamı dışı"),IF(I480&lt;=0,"anlamsız (FCF ≤ 0)",IF(OR(K480="KOŞULLU"),"FCF KOŞULLU — yorum yapılmaz","")))</f>
        <v/>
      </c>
      <c r="O480" s="9" t="n">
        <f aca="false">IF(Q480="","",F480*R480/Q480-1)</f>
        <v>-0.378812199036918</v>
      </c>
      <c r="P480" s="9" t="n">
        <f aca="false">IF(S480="","",F480*T480/S480-1)</f>
        <v>-0.073608617594255</v>
      </c>
      <c r="Q480" s="5" t="n">
        <v>24.92</v>
      </c>
      <c r="R480" s="10" t="n">
        <v>1</v>
      </c>
      <c r="S480" s="5" t="n">
        <v>16.71</v>
      </c>
      <c r="T480" s="10" t="n">
        <v>1</v>
      </c>
      <c r="U480" s="4"/>
    </row>
    <row r="481" customFormat="false" ht="15" hidden="false" customHeight="false" outlineLevel="0" collapsed="false">
      <c r="A481" s="4" t="s">
        <v>1072</v>
      </c>
      <c r="B481" s="4" t="s">
        <v>1073</v>
      </c>
      <c r="C481" s="4" t="s">
        <v>29</v>
      </c>
      <c r="D481" s="4" t="s">
        <v>30</v>
      </c>
      <c r="E481" s="4" t="s">
        <v>85</v>
      </c>
      <c r="F481" s="5" t="n">
        <v>33.96</v>
      </c>
      <c r="G481" s="4" t="s">
        <v>120</v>
      </c>
      <c r="H481" s="6" t="n">
        <v>2547</v>
      </c>
      <c r="I481" s="7" t="n">
        <v>-110.1465488</v>
      </c>
      <c r="J481" s="4" t="s">
        <v>32</v>
      </c>
      <c r="K481" s="4" t="s">
        <v>154</v>
      </c>
      <c r="L481" s="4" t="s">
        <v>34</v>
      </c>
      <c r="M481" s="8" t="str">
        <f aca="false">IF(OR(H481="",I481=""),"",IF(I481&gt;0,H481/I481,""))</f>
        <v/>
      </c>
      <c r="N481" s="4" t="str">
        <f aca="false">IF(I481="",IF(K481="NULL","FCF yok (NULL)","FCF kapsamı dışı"),IF(I481&lt;=0,"anlamsız (FCF ≤ 0)",IF(OR(K481="KOŞULLU"),"FCF KOŞULLU — yorum yapılmaz","")))</f>
        <v>anlamsız (FCF ≤ 0)</v>
      </c>
      <c r="O481" s="9" t="n">
        <f aca="false">IF(Q481="","",F481*R481/Q481-1)</f>
        <v>-0.197163120567376</v>
      </c>
      <c r="P481" s="9" t="n">
        <f aca="false">IF(S481="","",F481*T481/S481-1)</f>
        <v>-0.0167921250723798</v>
      </c>
      <c r="Q481" s="5" t="n">
        <v>42.3</v>
      </c>
      <c r="R481" s="10" t="n">
        <v>1</v>
      </c>
      <c r="S481" s="5" t="n">
        <v>34.54</v>
      </c>
      <c r="T481" s="10" t="n">
        <v>1</v>
      </c>
      <c r="U481" s="4"/>
    </row>
    <row r="482" customFormat="false" ht="15" hidden="false" customHeight="false" outlineLevel="0" collapsed="false">
      <c r="A482" s="4" t="s">
        <v>1074</v>
      </c>
      <c r="B482" s="4" t="s">
        <v>1075</v>
      </c>
      <c r="C482" s="4" t="s">
        <v>29</v>
      </c>
      <c r="D482" s="4" t="s">
        <v>30</v>
      </c>
      <c r="E482" s="4" t="s">
        <v>53</v>
      </c>
      <c r="F482" s="5" t="n">
        <v>10.39</v>
      </c>
      <c r="G482" s="4" t="s">
        <v>26</v>
      </c>
      <c r="H482" s="6" t="n">
        <v>3269.28994962</v>
      </c>
      <c r="I482" s="7" t="n">
        <v>88.8952848</v>
      </c>
      <c r="J482" s="4" t="s">
        <v>32</v>
      </c>
      <c r="K482" s="4" t="s">
        <v>33</v>
      </c>
      <c r="L482" s="4" t="s">
        <v>34</v>
      </c>
      <c r="M482" s="8" t="n">
        <f aca="false">IF(OR(H482="",I482=""),"",IF(I482&gt;0,H482/I482,""))</f>
        <v>36.7768656906311</v>
      </c>
      <c r="N482" s="4" t="str">
        <f aca="false">IF(I482="",IF(K482="NULL","FCF yok (NULL)","FCF kapsamı dışı"),IF(I482&lt;=0,"anlamsız (FCF ≤ 0)",IF(OR(K482="KOŞULLU"),"FCF KOŞULLU — yorum yapılmaz","")))</f>
        <v/>
      </c>
      <c r="O482" s="9" t="n">
        <f aca="false">IF(Q482="","",F482*R482/Q482-1)</f>
        <v>-0.232076866223208</v>
      </c>
      <c r="P482" s="9" t="n">
        <f aca="false">IF(S482="","",F482*T482/S482-1)</f>
        <v>0.0146484375</v>
      </c>
      <c r="Q482" s="5" t="n">
        <v>13.53</v>
      </c>
      <c r="R482" s="10" t="n">
        <v>1</v>
      </c>
      <c r="S482" s="5" t="n">
        <v>10.24</v>
      </c>
      <c r="T482" s="10" t="n">
        <v>1</v>
      </c>
      <c r="U482" s="4"/>
    </row>
    <row r="483" customFormat="false" ht="15" hidden="false" customHeight="false" outlineLevel="0" collapsed="false">
      <c r="A483" s="4" t="s">
        <v>1076</v>
      </c>
      <c r="B483" s="4" t="s">
        <v>1077</v>
      </c>
      <c r="C483" s="4" t="s">
        <v>29</v>
      </c>
      <c r="D483" s="4" t="s">
        <v>63</v>
      </c>
      <c r="E483" s="4" t="s">
        <v>63</v>
      </c>
      <c r="F483" s="5" t="n">
        <v>18.54</v>
      </c>
      <c r="G483" s="4" t="s">
        <v>46</v>
      </c>
      <c r="H483" s="6" t="n">
        <v>14062.59</v>
      </c>
      <c r="I483" s="7" t="n">
        <v>169.9078768</v>
      </c>
      <c r="J483" s="4" t="s">
        <v>32</v>
      </c>
      <c r="K483" s="4" t="s">
        <v>33</v>
      </c>
      <c r="L483" s="4" t="s">
        <v>34</v>
      </c>
      <c r="M483" s="8" t="n">
        <f aca="false">IF(OR(H483="",I483=""),"",IF(I483&gt;0,H483/I483,""))</f>
        <v>82.7659686228273</v>
      </c>
      <c r="N483" s="4" t="str">
        <f aca="false">IF(I483="",IF(K483="NULL","FCF yok (NULL)","FCF kapsamı dışı"),IF(I483&lt;=0,"anlamsız (FCF ≤ 0)",IF(OR(K483="KOŞULLU"),"FCF KOŞULLU — yorum yapılmaz","")))</f>
        <v/>
      </c>
      <c r="O483" s="9" t="n">
        <f aca="false">IF(Q483="","",F483*R483/Q483-1)</f>
        <v>-0.176731793960924</v>
      </c>
      <c r="P483" s="9" t="n">
        <f aca="false">IF(S483="","",F483*T483/S483-1)</f>
        <v>0.0492359932088284</v>
      </c>
      <c r="Q483" s="5" t="n">
        <v>22.52</v>
      </c>
      <c r="R483" s="10" t="n">
        <v>1</v>
      </c>
      <c r="S483" s="5" t="n">
        <v>17.67</v>
      </c>
      <c r="T483" s="10" t="n">
        <v>1</v>
      </c>
      <c r="U483" s="4"/>
    </row>
    <row r="484" customFormat="false" ht="15" hidden="false" customHeight="false" outlineLevel="0" collapsed="false">
      <c r="A484" s="4" t="s">
        <v>1078</v>
      </c>
      <c r="B484" s="4" t="s">
        <v>1079</v>
      </c>
      <c r="C484" s="4" t="s">
        <v>29</v>
      </c>
      <c r="D484" s="4" t="s">
        <v>30</v>
      </c>
      <c r="E484" s="4" t="s">
        <v>295</v>
      </c>
      <c r="F484" s="5" t="n">
        <v>3000</v>
      </c>
      <c r="G484" s="4" t="s">
        <v>26</v>
      </c>
      <c r="H484" s="6" t="n">
        <v>11250</v>
      </c>
      <c r="I484" s="7" t="n">
        <v>47.957</v>
      </c>
      <c r="J484" s="4" t="s">
        <v>32</v>
      </c>
      <c r="K484" s="4" t="s">
        <v>33</v>
      </c>
      <c r="L484" s="4" t="s">
        <v>42</v>
      </c>
      <c r="M484" s="8" t="n">
        <f aca="false">IF(OR(H484="",I484=""),"",IF(I484&gt;0,H484/I484,""))</f>
        <v>234.585149196155</v>
      </c>
      <c r="N484" s="4" t="str">
        <f aca="false">IF(I484="",IF(K484="NULL","FCF yok (NULL)","FCF kapsamı dışı"),IF(I484&lt;=0,"anlamsız (FCF ≤ 0)",IF(OR(K484="KOŞULLU"),"FCF KOŞULLU — yorum yapılmaz","")))</f>
        <v/>
      </c>
      <c r="O484" s="9" t="n">
        <f aca="false">IF(Q484="","",F484*R484/Q484-1)</f>
        <v>-0.623352165725047</v>
      </c>
      <c r="P484" s="9" t="n">
        <f aca="false">IF(S484="","",F484*T484/S484-1)</f>
        <v>-0.0950226244343891</v>
      </c>
      <c r="Q484" s="5" t="n">
        <v>7965</v>
      </c>
      <c r="R484" s="10" t="n">
        <v>1</v>
      </c>
      <c r="S484" s="5" t="n">
        <v>3315</v>
      </c>
      <c r="T484" s="10" t="n">
        <v>1</v>
      </c>
      <c r="U484" s="4"/>
    </row>
    <row r="485" customFormat="false" ht="15" hidden="false" customHeight="false" outlineLevel="0" collapsed="false">
      <c r="A485" s="4" t="s">
        <v>1080</v>
      </c>
      <c r="B485" s="4" t="s">
        <v>1081</v>
      </c>
      <c r="C485" s="4" t="s">
        <v>38</v>
      </c>
      <c r="D485" s="4"/>
      <c r="E485" s="4"/>
      <c r="F485" s="5" t="n">
        <v>4.11</v>
      </c>
      <c r="G485" s="4" t="s">
        <v>26</v>
      </c>
      <c r="H485" s="6" t="n">
        <v>805.56</v>
      </c>
      <c r="I485" s="7"/>
      <c r="J485" s="4"/>
      <c r="K485" s="4"/>
      <c r="L485" s="4"/>
      <c r="M485" s="8" t="str">
        <f aca="false">IF(OR(H485="",I485=""),"",IF(I485&gt;0,H485/I485,""))</f>
        <v/>
      </c>
      <c r="N485" s="4" t="str">
        <f aca="false">IF(I485="",IF(K485="NULL","FCF yok (NULL)","FCF kapsamı dışı"),IF(I485&lt;=0,"anlamsız (FCF ≤ 0)",IF(OR(K485="KOŞULLU"),"FCF KOŞULLU — yorum yapılmaz","")))</f>
        <v>FCF kapsamı dışı</v>
      </c>
      <c r="O485" s="9" t="n">
        <f aca="false">IF(Q485="","",F485*R485/Q485-1)</f>
        <v>-0.372519083969466</v>
      </c>
      <c r="P485" s="9" t="n">
        <f aca="false">IF(S485="","",F485*T485/S485-1)</f>
        <v>-0.0594965675057207</v>
      </c>
      <c r="Q485" s="5" t="n">
        <v>6.55</v>
      </c>
      <c r="R485" s="10" t="n">
        <v>1</v>
      </c>
      <c r="S485" s="5" t="n">
        <v>4.37</v>
      </c>
      <c r="T485" s="10" t="n">
        <v>1</v>
      </c>
      <c r="U485" s="4"/>
    </row>
    <row r="486" customFormat="false" ht="15" hidden="false" customHeight="false" outlineLevel="0" collapsed="false">
      <c r="A486" s="4" t="s">
        <v>1082</v>
      </c>
      <c r="B486" s="4" t="s">
        <v>1083</v>
      </c>
      <c r="C486" s="4" t="s">
        <v>29</v>
      </c>
      <c r="D486" s="4" t="s">
        <v>30</v>
      </c>
      <c r="E486" s="4" t="s">
        <v>565</v>
      </c>
      <c r="F486" s="5" t="n">
        <v>24.56</v>
      </c>
      <c r="G486" s="4" t="s">
        <v>64</v>
      </c>
      <c r="H486" s="6" t="n">
        <v>5322.97849312</v>
      </c>
      <c r="I486" s="7" t="n">
        <v>-223.218</v>
      </c>
      <c r="J486" s="4" t="s">
        <v>32</v>
      </c>
      <c r="K486" s="4" t="s">
        <v>33</v>
      </c>
      <c r="L486" s="4" t="s">
        <v>42</v>
      </c>
      <c r="M486" s="8" t="str">
        <f aca="false">IF(OR(H486="",I486=""),"",IF(I486&gt;0,H486/I486,""))</f>
        <v/>
      </c>
      <c r="N486" s="4" t="str">
        <f aca="false">IF(I486="",IF(K486="NULL","FCF yok (NULL)","FCF kapsamı dışı"),IF(I486&lt;=0,"anlamsız (FCF ≤ 0)",IF(OR(K486="KOŞULLU"),"FCF KOŞULLU — yorum yapılmaz","")))</f>
        <v>anlamsız (FCF ≤ 0)</v>
      </c>
      <c r="O486" s="9" t="n">
        <f aca="false">IF(Q486="","",F486*R486/Q486-1)</f>
        <v>-0.267740011926058</v>
      </c>
      <c r="P486" s="9" t="n">
        <f aca="false">IF(S486="","",F486*T486/S486-1)</f>
        <v>-0.104303428154632</v>
      </c>
      <c r="Q486" s="5" t="n">
        <v>33.54</v>
      </c>
      <c r="R486" s="10" t="n">
        <v>1</v>
      </c>
      <c r="S486" s="5" t="n">
        <v>27.42</v>
      </c>
      <c r="T486" s="10" t="n">
        <v>1</v>
      </c>
      <c r="U486" s="4"/>
    </row>
    <row r="487" customFormat="false" ht="15" hidden="false" customHeight="false" outlineLevel="0" collapsed="false">
      <c r="A487" s="4" t="s">
        <v>1084</v>
      </c>
      <c r="B487" s="4" t="s">
        <v>1085</v>
      </c>
      <c r="C487" s="4" t="s">
        <v>29</v>
      </c>
      <c r="D487" s="4" t="s">
        <v>30</v>
      </c>
      <c r="E487" s="4" t="s">
        <v>31</v>
      </c>
      <c r="F487" s="5" t="n">
        <v>15.74</v>
      </c>
      <c r="G487" s="4" t="s">
        <v>26</v>
      </c>
      <c r="H487" s="6" t="n">
        <v>2343.17040482</v>
      </c>
      <c r="I487" s="7" t="n">
        <v>-397.912</v>
      </c>
      <c r="J487" s="4" t="s">
        <v>32</v>
      </c>
      <c r="K487" s="4" t="s">
        <v>33</v>
      </c>
      <c r="L487" s="4" t="s">
        <v>42</v>
      </c>
      <c r="M487" s="8" t="str">
        <f aca="false">IF(OR(H487="",I487=""),"",IF(I487&gt;0,H487/I487,""))</f>
        <v/>
      </c>
      <c r="N487" s="4" t="str">
        <f aca="false">IF(I487="",IF(K487="NULL","FCF yok (NULL)","FCF kapsamı dışı"),IF(I487&lt;=0,"anlamsız (FCF ≤ 0)",IF(OR(K487="KOŞULLU"),"FCF KOŞULLU — yorum yapılmaz","")))</f>
        <v>anlamsız (FCF ≤ 0)</v>
      </c>
      <c r="O487" s="9" t="n">
        <f aca="false">IF(Q487="","",F487*R487/Q487-1)</f>
        <v>-0.170706006322445</v>
      </c>
      <c r="P487" s="9" t="n">
        <f aca="false">IF(S487="","",F487*T487/S487-1)</f>
        <v>-0.0150187734668336</v>
      </c>
      <c r="Q487" s="5" t="n">
        <v>18.98</v>
      </c>
      <c r="R487" s="10" t="n">
        <v>1</v>
      </c>
      <c r="S487" s="5" t="n">
        <v>15.98</v>
      </c>
      <c r="T487" s="10" t="n">
        <v>1</v>
      </c>
      <c r="U487" s="4"/>
    </row>
    <row r="488" customFormat="false" ht="15" hidden="false" customHeight="false" outlineLevel="0" collapsed="false">
      <c r="A488" s="4" t="s">
        <v>1086</v>
      </c>
      <c r="B488" s="4" t="s">
        <v>1087</v>
      </c>
      <c r="C488" s="4" t="s">
        <v>29</v>
      </c>
      <c r="D488" s="4" t="s">
        <v>30</v>
      </c>
      <c r="E488" s="4" t="s">
        <v>131</v>
      </c>
      <c r="F488" s="5" t="n">
        <v>14.44</v>
      </c>
      <c r="G488" s="4" t="s">
        <v>46</v>
      </c>
      <c r="H488" s="6" t="n">
        <v>1118.37209404</v>
      </c>
      <c r="I488" s="7" t="n">
        <v>-80.058</v>
      </c>
      <c r="J488" s="4" t="s">
        <v>32</v>
      </c>
      <c r="K488" s="4" t="s">
        <v>33</v>
      </c>
      <c r="L488" s="4" t="s">
        <v>57</v>
      </c>
      <c r="M488" s="8" t="str">
        <f aca="false">IF(OR(H488="",I488=""),"",IF(I488&gt;0,H488/I488,""))</f>
        <v/>
      </c>
      <c r="N488" s="4" t="str">
        <f aca="false">IF(I488="",IF(K488="NULL","FCF yok (NULL)","FCF kapsamı dışı"),IF(I488&lt;=0,"anlamsız (FCF ≤ 0)",IF(OR(K488="KOŞULLU"),"FCF KOŞULLU — yorum yapılmaz","")))</f>
        <v>anlamsız (FCF ≤ 0)</v>
      </c>
      <c r="O488" s="9" t="n">
        <f aca="false">IF(Q488="","",F488*R488/Q488-1)</f>
        <v>-0.0986267166042447</v>
      </c>
      <c r="P488" s="9" t="n">
        <f aca="false">IF(S488="","",F488*T488/S488-1)</f>
        <v>-0.685403050108933</v>
      </c>
      <c r="Q488" s="5" t="n">
        <v>16.02</v>
      </c>
      <c r="R488" s="10" t="n">
        <v>1</v>
      </c>
      <c r="S488" s="5" t="n">
        <v>45.9</v>
      </c>
      <c r="T488" s="10" t="n">
        <v>1</v>
      </c>
      <c r="U488" s="4"/>
    </row>
    <row r="489" customFormat="false" ht="15" hidden="false" customHeight="false" outlineLevel="0" collapsed="false">
      <c r="A489" s="4" t="s">
        <v>1088</v>
      </c>
      <c r="B489" s="4" t="s">
        <v>1089</v>
      </c>
      <c r="C489" s="4" t="s">
        <v>29</v>
      </c>
      <c r="D489" s="4" t="s">
        <v>30</v>
      </c>
      <c r="E489" s="4" t="s">
        <v>210</v>
      </c>
      <c r="F489" s="5" t="n">
        <v>93.5</v>
      </c>
      <c r="G489" s="4" t="s">
        <v>26</v>
      </c>
      <c r="H489" s="6" t="n">
        <v>694.2375</v>
      </c>
      <c r="I489" s="7" t="n">
        <v>-44.625</v>
      </c>
      <c r="J489" s="4" t="s">
        <v>32</v>
      </c>
      <c r="K489" s="4" t="s">
        <v>33</v>
      </c>
      <c r="L489" s="4" t="s">
        <v>42</v>
      </c>
      <c r="M489" s="8" t="str">
        <f aca="false">IF(OR(H489="",I489=""),"",IF(I489&gt;0,H489/I489,""))</f>
        <v/>
      </c>
      <c r="N489" s="4" t="str">
        <f aca="false">IF(I489="",IF(K489="NULL","FCF yok (NULL)","FCF kapsamı dışı"),IF(I489&lt;=0,"anlamsız (FCF ≤ 0)",IF(OR(K489="KOŞULLU"),"FCF KOŞULLU — yorum yapılmaz","")))</f>
        <v>anlamsız (FCF ≤ 0)</v>
      </c>
      <c r="O489" s="9" t="n">
        <f aca="false">IF(Q489="","",F489*R489/Q489-1)</f>
        <v>-0.366616989567809</v>
      </c>
      <c r="P489" s="9" t="n">
        <f aca="false">IF(S489="","",F489*T489/S489-1)</f>
        <v>0.0113574905354246</v>
      </c>
      <c r="Q489" s="5" t="n">
        <v>147.62</v>
      </c>
      <c r="R489" s="10" t="n">
        <v>1</v>
      </c>
      <c r="S489" s="5" t="n">
        <v>92.45</v>
      </c>
      <c r="T489" s="10" t="n">
        <v>1</v>
      </c>
      <c r="U489" s="4"/>
    </row>
    <row r="490" customFormat="false" ht="15" hidden="false" customHeight="false" outlineLevel="0" collapsed="false">
      <c r="A490" s="4" t="s">
        <v>1090</v>
      </c>
      <c r="B490" s="4" t="s">
        <v>1091</v>
      </c>
      <c r="C490" s="4" t="s">
        <v>38</v>
      </c>
      <c r="D490" s="4"/>
      <c r="E490" s="4"/>
      <c r="F490" s="5" t="n">
        <v>1.7</v>
      </c>
      <c r="G490" s="4" t="s">
        <v>26</v>
      </c>
      <c r="H490" s="6" t="n">
        <v>11731.4403692</v>
      </c>
      <c r="I490" s="7"/>
      <c r="J490" s="4"/>
      <c r="K490" s="4"/>
      <c r="L490" s="4"/>
      <c r="M490" s="8" t="str">
        <f aca="false">IF(OR(H490="",I490=""),"",IF(I490&gt;0,H490/I490,""))</f>
        <v/>
      </c>
      <c r="N490" s="4" t="str">
        <f aca="false">IF(I490="",IF(K490="NULL","FCF yok (NULL)","FCF kapsamı dışı"),IF(I490&lt;=0,"anlamsız (FCF ≤ 0)",IF(OR(K490="KOŞULLU"),"FCF KOŞULLU — yorum yapılmaz","")))</f>
        <v>FCF kapsamı dışı</v>
      </c>
      <c r="O490" s="9" t="n">
        <f aca="false">IF(Q490="","",F490*R490/Q490-1)</f>
        <v>-0.473684210526316</v>
      </c>
      <c r="P490" s="9" t="n">
        <f aca="false">IF(S490="","",F490*T490/S490-1)</f>
        <v>-0.16256157635468</v>
      </c>
      <c r="Q490" s="5" t="n">
        <v>3.23</v>
      </c>
      <c r="R490" s="10" t="n">
        <v>1</v>
      </c>
      <c r="S490" s="5" t="n">
        <v>2.03</v>
      </c>
      <c r="T490" s="10" t="n">
        <v>1</v>
      </c>
      <c r="U490" s="4"/>
    </row>
    <row r="491" customFormat="false" ht="15" hidden="false" customHeight="false" outlineLevel="0" collapsed="false">
      <c r="A491" s="4" t="s">
        <v>1092</v>
      </c>
      <c r="B491" s="4" t="s">
        <v>1093</v>
      </c>
      <c r="C491" s="4" t="s">
        <v>60</v>
      </c>
      <c r="D491" s="4"/>
      <c r="E491" s="4"/>
      <c r="F491" s="5" t="n">
        <v>40.2</v>
      </c>
      <c r="G491" s="4" t="s">
        <v>141</v>
      </c>
      <c r="H491" s="6" t="n">
        <v>100500</v>
      </c>
      <c r="I491" s="7"/>
      <c r="J491" s="4"/>
      <c r="K491" s="4"/>
      <c r="L491" s="4"/>
      <c r="M491" s="8" t="str">
        <f aca="false">IF(OR(H491="",I491=""),"",IF(I491&gt;0,H491/I491,""))</f>
        <v/>
      </c>
      <c r="N491" s="4" t="str">
        <f aca="false">IF(I491="",IF(K491="NULL","FCF yok (NULL)","FCF kapsamı dışı"),IF(I491&lt;=0,"anlamsız (FCF ≤ 0)",IF(OR(K491="KOŞULLU"),"FCF KOŞULLU — yorum yapılmaz","")))</f>
        <v>FCF kapsamı dışı</v>
      </c>
      <c r="O491" s="9" t="n">
        <f aca="false">IF(Q491="","",F491*R491/Q491-1)</f>
        <v>-0.0899931201313835</v>
      </c>
      <c r="P491" s="9" t="n">
        <f aca="false">IF(S491="","",F491*T491/S491-1)</f>
        <v>0.116666666666667</v>
      </c>
      <c r="Q491" s="5" t="n">
        <v>44.1754901960784</v>
      </c>
      <c r="R491" s="10" t="n">
        <v>1</v>
      </c>
      <c r="S491" s="5" t="n">
        <v>36</v>
      </c>
      <c r="T491" s="10" t="n">
        <v>1</v>
      </c>
      <c r="U491" s="4"/>
    </row>
    <row r="492" customFormat="false" ht="15" hidden="false" customHeight="false" outlineLevel="0" collapsed="false">
      <c r="A492" s="4" t="s">
        <v>1094</v>
      </c>
      <c r="B492" s="4" t="s">
        <v>1095</v>
      </c>
      <c r="C492" s="4" t="s">
        <v>60</v>
      </c>
      <c r="D492" s="4"/>
      <c r="E492" s="4"/>
      <c r="F492" s="5" t="n">
        <v>168.8</v>
      </c>
      <c r="G492" s="4" t="s">
        <v>141</v>
      </c>
      <c r="H492" s="6" t="n">
        <v>928400</v>
      </c>
      <c r="I492" s="7"/>
      <c r="J492" s="4"/>
      <c r="K492" s="4"/>
      <c r="L492" s="4"/>
      <c r="M492" s="8" t="str">
        <f aca="false">IF(OR(H492="",I492=""),"",IF(I492&gt;0,H492/I492,""))</f>
        <v/>
      </c>
      <c r="N492" s="4" t="str">
        <f aca="false">IF(I492="",IF(K492="NULL","FCF yok (NULL)","FCF kapsamı dışı"),IF(I492&lt;=0,"anlamsız (FCF ≤ 0)",IF(OR(K492="KOŞULLU"),"FCF KOŞULLU — yorum yapılmaz","")))</f>
        <v>FCF kapsamı dışı</v>
      </c>
      <c r="O492" s="9" t="n">
        <f aca="false">IF(Q492="","",F492*R492/Q492-1)</f>
        <v>-0.328159203980099</v>
      </c>
      <c r="P492" s="9" t="n">
        <f aca="false">IF(S492="","",F492*T492/S492-1)</f>
        <v>0.02676399026764</v>
      </c>
      <c r="Q492" s="5" t="n">
        <v>251.25</v>
      </c>
      <c r="R492" s="10" t="n">
        <v>1</v>
      </c>
      <c r="S492" s="5" t="n">
        <v>164.4</v>
      </c>
      <c r="T492" s="10" t="n">
        <v>1</v>
      </c>
      <c r="U492" s="4"/>
    </row>
    <row r="493" customFormat="false" ht="15" hidden="false" customHeight="false" outlineLevel="0" collapsed="false">
      <c r="A493" s="4" t="s">
        <v>1096</v>
      </c>
      <c r="B493" s="4" t="s">
        <v>1097</v>
      </c>
      <c r="C493" s="4" t="s">
        <v>29</v>
      </c>
      <c r="D493" s="4" t="s">
        <v>30</v>
      </c>
      <c r="E493" s="4" t="s">
        <v>263</v>
      </c>
      <c r="F493" s="5" t="n">
        <v>2</v>
      </c>
      <c r="G493" s="4" t="s">
        <v>64</v>
      </c>
      <c r="H493" s="6" t="n">
        <v>5280</v>
      </c>
      <c r="I493" s="7" t="n">
        <v>106.1629328</v>
      </c>
      <c r="J493" s="4" t="s">
        <v>32</v>
      </c>
      <c r="K493" s="4" t="s">
        <v>154</v>
      </c>
      <c r="L493" s="4" t="s">
        <v>34</v>
      </c>
      <c r="M493" s="8" t="n">
        <f aca="false">IF(OR(H493="",I493=""),"",IF(I493&gt;0,H493/I493,""))</f>
        <v>49.7348731873014</v>
      </c>
      <c r="N493" s="4" t="str">
        <f aca="false">IF(I493="",IF(K493="NULL","FCF yok (NULL)","FCF kapsamı dışı"),IF(I493&lt;=0,"anlamsız (FCF ≤ 0)",IF(OR(K493="KOŞULLU"),"FCF KOŞULLU — yorum yapılmaz","")))</f>
        <v>FCF KOŞULLU — yorum yapılmaz</v>
      </c>
      <c r="O493" s="9" t="n">
        <f aca="false">IF(Q493="","",F493*R493/Q493-1)</f>
        <v>-0.798590130916415</v>
      </c>
      <c r="P493" s="9" t="n">
        <f aca="false">IF(S493="","",F493*T493/S493-1)</f>
        <v>-0.159663865546218</v>
      </c>
      <c r="Q493" s="5" t="n">
        <v>9.93</v>
      </c>
      <c r="R493" s="10" t="n">
        <v>1</v>
      </c>
      <c r="S493" s="5" t="n">
        <v>2.38</v>
      </c>
      <c r="T493" s="10" t="n">
        <v>1</v>
      </c>
      <c r="U493" s="4"/>
    </row>
    <row r="494" customFormat="false" ht="15" hidden="false" customHeight="false" outlineLevel="0" collapsed="false">
      <c r="A494" s="4" t="s">
        <v>1098</v>
      </c>
      <c r="B494" s="4" t="s">
        <v>1099</v>
      </c>
      <c r="C494" s="4" t="s">
        <v>60</v>
      </c>
      <c r="D494" s="4"/>
      <c r="E494" s="4"/>
      <c r="F494" s="5" t="n">
        <v>48.32</v>
      </c>
      <c r="G494" s="4" t="s">
        <v>76</v>
      </c>
      <c r="H494" s="6" t="n">
        <v>23271.537744</v>
      </c>
      <c r="I494" s="7"/>
      <c r="J494" s="4"/>
      <c r="K494" s="4"/>
      <c r="L494" s="4"/>
      <c r="M494" s="8" t="str">
        <f aca="false">IF(OR(H494="",I494=""),"",IF(I494&gt;0,H494/I494,""))</f>
        <v/>
      </c>
      <c r="N494" s="4" t="str">
        <f aca="false">IF(I494="",IF(K494="NULL","FCF yok (NULL)","FCF kapsamı dışı"),IF(I494&lt;=0,"anlamsız (FCF ≤ 0)",IF(OR(K494="KOŞULLU"),"FCF KOŞULLU — yorum yapılmaz","")))</f>
        <v>FCF kapsamı dışı</v>
      </c>
      <c r="O494" s="9" t="str">
        <f aca="false">IF(Q494="","",F494*R494/Q494-1)</f>
        <v/>
      </c>
      <c r="P494" s="9" t="n">
        <f aca="false">IF(S494="","",F494*T494/S494-1)</f>
        <v>-0.0450592885375495</v>
      </c>
      <c r="Q494" s="5"/>
      <c r="R494" s="10" t="n">
        <v>1</v>
      </c>
      <c r="S494" s="5" t="n">
        <v>50.6</v>
      </c>
      <c r="T494" s="10" t="n">
        <v>1</v>
      </c>
      <c r="U494" s="4"/>
    </row>
    <row r="495" customFormat="false" ht="15" hidden="false" customHeight="false" outlineLevel="0" collapsed="false">
      <c r="A495" s="4" t="s">
        <v>1100</v>
      </c>
      <c r="B495" s="4" t="s">
        <v>1101</v>
      </c>
      <c r="C495" s="4" t="s">
        <v>25</v>
      </c>
      <c r="D495" s="4"/>
      <c r="E495" s="4"/>
      <c r="F495" s="5" t="n">
        <v>56.1</v>
      </c>
      <c r="G495" s="4" t="s">
        <v>64</v>
      </c>
      <c r="H495" s="6" t="n">
        <v>18681.3</v>
      </c>
      <c r="I495" s="7"/>
      <c r="J495" s="4"/>
      <c r="K495" s="4"/>
      <c r="L495" s="4"/>
      <c r="M495" s="8" t="str">
        <f aca="false">IF(OR(H495="",I495=""),"",IF(I495&gt;0,H495/I495,""))</f>
        <v/>
      </c>
      <c r="N495" s="4" t="str">
        <f aca="false">IF(I495="",IF(K495="NULL","FCF yok (NULL)","FCF kapsamı dışı"),IF(I495&lt;=0,"anlamsız (FCF ≤ 0)",IF(OR(K495="KOŞULLU"),"FCF KOŞULLU — yorum yapılmaz","")))</f>
        <v>FCF kapsamı dışı</v>
      </c>
      <c r="O495" s="9" t="n">
        <f aca="false">IF(Q495="","",F495*R495/Q495-1)</f>
        <v>-0.650684931506849</v>
      </c>
      <c r="P495" s="9" t="n">
        <f aca="false">IF(S495="","",F495*T495/S495-1)</f>
        <v>-0.685185185185185</v>
      </c>
      <c r="Q495" s="5" t="n">
        <v>160.6</v>
      </c>
      <c r="R495" s="10" t="n">
        <v>1</v>
      </c>
      <c r="S495" s="5" t="n">
        <v>178.2</v>
      </c>
      <c r="T495" s="10" t="n">
        <v>1</v>
      </c>
      <c r="U495" s="4"/>
    </row>
    <row r="496" customFormat="false" ht="15" hidden="false" customHeight="false" outlineLevel="0" collapsed="false">
      <c r="A496" s="4" t="s">
        <v>1102</v>
      </c>
      <c r="B496" s="4" t="s">
        <v>1103</v>
      </c>
      <c r="C496" s="4" t="s">
        <v>60</v>
      </c>
      <c r="D496" s="4"/>
      <c r="E496" s="4"/>
      <c r="F496" s="5" t="n">
        <v>128.7</v>
      </c>
      <c r="G496" s="4" t="s">
        <v>26</v>
      </c>
      <c r="H496" s="6" t="n">
        <v>20987.0904672</v>
      </c>
      <c r="I496" s="7"/>
      <c r="J496" s="4"/>
      <c r="K496" s="4"/>
      <c r="L496" s="4"/>
      <c r="M496" s="8" t="str">
        <f aca="false">IF(OR(H496="",I496=""),"",IF(I496&gt;0,H496/I496,""))</f>
        <v/>
      </c>
      <c r="N496" s="4" t="str">
        <f aca="false">IF(I496="",IF(K496="NULL","FCF yok (NULL)","FCF kapsamı dışı"),IF(I496&lt;=0,"anlamsız (FCF ≤ 0)",IF(OR(K496="KOŞULLU"),"FCF KOŞULLU — yorum yapılmaz","")))</f>
        <v>FCF kapsamı dışı</v>
      </c>
      <c r="O496" s="9" t="n">
        <f aca="false">IF(Q496="","",F496*R496/Q496-1)</f>
        <v>-0.471457905544148</v>
      </c>
      <c r="P496" s="9" t="n">
        <f aca="false">IF(S496="","",F496*T496/S496-1)</f>
        <v>-0.0286792452830189</v>
      </c>
      <c r="Q496" s="5" t="n">
        <v>243.5</v>
      </c>
      <c r="R496" s="10" t="n">
        <v>1</v>
      </c>
      <c r="S496" s="5" t="n">
        <v>132.5</v>
      </c>
      <c r="T496" s="10" t="n">
        <v>1</v>
      </c>
      <c r="U496" s="4"/>
    </row>
    <row r="497" customFormat="false" ht="15" hidden="false" customHeight="false" outlineLevel="0" collapsed="false">
      <c r="A497" s="4" t="s">
        <v>1104</v>
      </c>
      <c r="B497" s="4" t="s">
        <v>1105</v>
      </c>
      <c r="C497" s="4" t="s">
        <v>29</v>
      </c>
      <c r="D497" s="4" t="s">
        <v>30</v>
      </c>
      <c r="E497" s="4" t="s">
        <v>159</v>
      </c>
      <c r="F497" s="5" t="n">
        <v>3.57</v>
      </c>
      <c r="G497" s="4" t="s">
        <v>26</v>
      </c>
      <c r="H497" s="6" t="n">
        <v>3391.5</v>
      </c>
      <c r="I497" s="7" t="n">
        <v>25.544</v>
      </c>
      <c r="J497" s="4" t="s">
        <v>32</v>
      </c>
      <c r="K497" s="4" t="s">
        <v>33</v>
      </c>
      <c r="L497" s="4" t="s">
        <v>42</v>
      </c>
      <c r="M497" s="8" t="n">
        <f aca="false">IF(OR(H497="",I497=""),"",IF(I497&gt;0,H497/I497,""))</f>
        <v>132.770905104917</v>
      </c>
      <c r="N497" s="4" t="str">
        <f aca="false">IF(I497="",IF(K497="NULL","FCF yok (NULL)","FCF kapsamı dışı"),IF(I497&lt;=0,"anlamsız (FCF ≤ 0)",IF(OR(K497="KOŞULLU"),"FCF KOŞULLU — yorum yapılmaz","")))</f>
        <v/>
      </c>
      <c r="O497" s="9" t="n">
        <f aca="false">IF(Q497="","",F497*R497/Q497-1)</f>
        <v>-0.689024390243902</v>
      </c>
      <c r="P497" s="9" t="n">
        <f aca="false">IF(S497="","",F497*T497/S497-1)</f>
        <v>-0.16588785046729</v>
      </c>
      <c r="Q497" s="5" t="n">
        <v>11.48</v>
      </c>
      <c r="R497" s="10" t="n">
        <v>1</v>
      </c>
      <c r="S497" s="5" t="n">
        <v>4.28</v>
      </c>
      <c r="T497" s="10" t="n">
        <v>1</v>
      </c>
      <c r="U497" s="4"/>
    </row>
    <row r="498" customFormat="false" ht="15" hidden="false" customHeight="false" outlineLevel="0" collapsed="false">
      <c r="A498" s="4" t="s">
        <v>1106</v>
      </c>
      <c r="B498" s="4" t="s">
        <v>1107</v>
      </c>
      <c r="C498" s="4" t="s">
        <v>29</v>
      </c>
      <c r="D498" s="4"/>
      <c r="E498" s="4"/>
      <c r="F498" s="5" t="n">
        <v>195.6</v>
      </c>
      <c r="G498" s="4" t="s">
        <v>26</v>
      </c>
      <c r="H498" s="6" t="n">
        <v>64743.6</v>
      </c>
      <c r="I498" s="7"/>
      <c r="J498" s="4"/>
      <c r="K498" s="4"/>
      <c r="L498" s="4"/>
      <c r="M498" s="8" t="str">
        <f aca="false">IF(OR(H498="",I498=""),"",IF(I498&gt;0,H498/I498,""))</f>
        <v/>
      </c>
      <c r="N498" s="4" t="str">
        <f aca="false">IF(I498="",IF(K498="NULL","FCF yok (NULL)","FCF kapsamı dışı"),IF(I498&lt;=0,"anlamsız (FCF ≤ 0)",IF(OR(K498="KOŞULLU"),"FCF KOŞULLU — yorum yapılmaz","")))</f>
        <v>FCF kapsamı dışı</v>
      </c>
      <c r="O498" s="9" t="n">
        <f aca="false">IF(Q498="","",F498*R498/Q498-1)</f>
        <v>0.327902240325865</v>
      </c>
      <c r="P498" s="9" t="n">
        <f aca="false">IF(S498="","",F498*T498/S498-1)</f>
        <v>0.0273109243697478</v>
      </c>
      <c r="Q498" s="5" t="n">
        <v>147.3</v>
      </c>
      <c r="R498" s="10" t="n">
        <v>1</v>
      </c>
      <c r="S498" s="5" t="n">
        <v>190.4</v>
      </c>
      <c r="T498" s="10" t="n">
        <v>1</v>
      </c>
      <c r="U498" s="4"/>
    </row>
    <row r="499" customFormat="false" ht="15" hidden="false" customHeight="false" outlineLevel="0" collapsed="false">
      <c r="A499" s="4" t="s">
        <v>1108</v>
      </c>
      <c r="B499" s="4" t="s">
        <v>1109</v>
      </c>
      <c r="C499" s="4" t="s">
        <v>29</v>
      </c>
      <c r="D499" s="4" t="s">
        <v>30</v>
      </c>
      <c r="E499" s="4" t="s">
        <v>41</v>
      </c>
      <c r="F499" s="5" t="n">
        <v>1.8</v>
      </c>
      <c r="G499" s="4" t="s">
        <v>108</v>
      </c>
      <c r="H499" s="6" t="n">
        <v>1080</v>
      </c>
      <c r="I499" s="7" t="n">
        <v>-551.98</v>
      </c>
      <c r="J499" s="4" t="s">
        <v>32</v>
      </c>
      <c r="K499" s="4" t="s">
        <v>33</v>
      </c>
      <c r="L499" s="4" t="s">
        <v>42</v>
      </c>
      <c r="M499" s="8" t="str">
        <f aca="false">IF(OR(H499="",I499=""),"",IF(I499&gt;0,H499/I499,""))</f>
        <v/>
      </c>
      <c r="N499" s="4" t="str">
        <f aca="false">IF(I499="",IF(K499="NULL","FCF yok (NULL)","FCF kapsamı dışı"),IF(I499&lt;=0,"anlamsız (FCF ≤ 0)",IF(OR(K499="KOŞULLU"),"FCF KOŞULLU — yorum yapılmaz","")))</f>
        <v>anlamsız (FCF ≤ 0)</v>
      </c>
      <c r="O499" s="9" t="n">
        <f aca="false">IF(Q499="","",F499*R499/Q499-1)</f>
        <v>-0.0769230769230769</v>
      </c>
      <c r="P499" s="9" t="n">
        <f aca="false">IF(S499="","",F499*T499/S499-1)</f>
        <v>-0.154929577464789</v>
      </c>
      <c r="Q499" s="5" t="n">
        <v>1.95</v>
      </c>
      <c r="R499" s="10" t="n">
        <v>1</v>
      </c>
      <c r="S499" s="5" t="n">
        <v>2.13</v>
      </c>
      <c r="T499" s="10" t="n">
        <v>1</v>
      </c>
      <c r="U499" s="4"/>
    </row>
    <row r="500" customFormat="false" ht="15" hidden="false" customHeight="false" outlineLevel="0" collapsed="false">
      <c r="A500" s="4" t="s">
        <v>1110</v>
      </c>
      <c r="B500" s="4" t="s">
        <v>1111</v>
      </c>
      <c r="C500" s="4" t="s">
        <v>29</v>
      </c>
      <c r="D500" s="4" t="s">
        <v>30</v>
      </c>
      <c r="E500" s="4" t="s">
        <v>171</v>
      </c>
      <c r="F500" s="5" t="n">
        <v>15.3</v>
      </c>
      <c r="G500" s="4" t="s">
        <v>64</v>
      </c>
      <c r="H500" s="6" t="n">
        <v>433.602</v>
      </c>
      <c r="I500" s="7" t="n">
        <v>16.7563936</v>
      </c>
      <c r="J500" s="4" t="s">
        <v>32</v>
      </c>
      <c r="K500" s="4" t="s">
        <v>33</v>
      </c>
      <c r="L500" s="4" t="s">
        <v>57</v>
      </c>
      <c r="M500" s="8" t="n">
        <f aca="false">IF(OR(H500="",I500=""),"",IF(I500&gt;0,H500/I500,""))</f>
        <v>25.8768091959836</v>
      </c>
      <c r="N500" s="4" t="str">
        <f aca="false">IF(I500="",IF(K500="NULL","FCF yok (NULL)","FCF kapsamı dışı"),IF(I500&lt;=0,"anlamsız (FCF ≤ 0)",IF(OR(K500="KOŞULLU"),"FCF KOŞULLU — yorum yapılmaz","")))</f>
        <v/>
      </c>
      <c r="O500" s="9" t="n">
        <f aca="false">IF(Q500="","",F500*R500/Q500-1)</f>
        <v>-0.401876465989054</v>
      </c>
      <c r="P500" s="9" t="n">
        <f aca="false">IF(S500="","",F500*T500/S500-1)</f>
        <v>-0.211340206185567</v>
      </c>
      <c r="Q500" s="5" t="n">
        <v>25.58</v>
      </c>
      <c r="R500" s="10" t="n">
        <v>1</v>
      </c>
      <c r="S500" s="5" t="n">
        <v>19.4</v>
      </c>
      <c r="T500" s="10" t="n">
        <v>1</v>
      </c>
      <c r="U500" s="4"/>
    </row>
    <row r="501" customFormat="false" ht="15" hidden="false" customHeight="false" outlineLevel="0" collapsed="false">
      <c r="A501" s="4" t="s">
        <v>1112</v>
      </c>
      <c r="B501" s="4" t="s">
        <v>1113</v>
      </c>
      <c r="C501" s="4" t="s">
        <v>29</v>
      </c>
      <c r="D501" s="4" t="s">
        <v>30</v>
      </c>
      <c r="E501" s="4" t="s">
        <v>147</v>
      </c>
      <c r="F501" s="5" t="n">
        <v>2.24</v>
      </c>
      <c r="G501" s="4" t="s">
        <v>26</v>
      </c>
      <c r="H501" s="6" t="n">
        <v>1120</v>
      </c>
      <c r="I501" s="7" t="n">
        <v>-6.28708319999997</v>
      </c>
      <c r="J501" s="4" t="s">
        <v>32</v>
      </c>
      <c r="K501" s="4" t="s">
        <v>33</v>
      </c>
      <c r="L501" s="4" t="s">
        <v>34</v>
      </c>
      <c r="M501" s="8" t="str">
        <f aca="false">IF(OR(H501="",I501=""),"",IF(I501&gt;0,H501/I501,""))</f>
        <v/>
      </c>
      <c r="N501" s="4" t="str">
        <f aca="false">IF(I501="",IF(K501="NULL","FCF yok (NULL)","FCF kapsamı dışı"),IF(I501&lt;=0,"anlamsız (FCF ≤ 0)",IF(OR(K501="KOŞULLU"),"FCF KOŞULLU — yorum yapılmaz","")))</f>
        <v>anlamsız (FCF ≤ 0)</v>
      </c>
      <c r="O501" s="9" t="n">
        <f aca="false">IF(Q501="","",F501*R501/Q501-1)</f>
        <v>-0.418181818181818</v>
      </c>
      <c r="P501" s="9" t="n">
        <f aca="false">IF(S501="","",F501*T501/S501-1)</f>
        <v>0.037037037037037</v>
      </c>
      <c r="Q501" s="5" t="n">
        <v>3.85</v>
      </c>
      <c r="R501" s="10" t="n">
        <v>1</v>
      </c>
      <c r="S501" s="5" t="n">
        <v>2.16</v>
      </c>
      <c r="T501" s="10" t="n">
        <v>1</v>
      </c>
      <c r="U501" s="4"/>
    </row>
    <row r="502" customFormat="false" ht="15" hidden="false" customHeight="false" outlineLevel="0" collapsed="false">
      <c r="A502" s="4" t="s">
        <v>1114</v>
      </c>
      <c r="B502" s="4" t="s">
        <v>1115</v>
      </c>
      <c r="C502" s="4" t="s">
        <v>29</v>
      </c>
      <c r="D502" s="4" t="s">
        <v>30</v>
      </c>
      <c r="E502" s="4" t="s">
        <v>171</v>
      </c>
      <c r="F502" s="5" t="n">
        <v>15.47</v>
      </c>
      <c r="G502" s="4" t="s">
        <v>46</v>
      </c>
      <c r="H502" s="6" t="n">
        <v>1267.7665</v>
      </c>
      <c r="I502" s="7" t="n">
        <v>-4827.54</v>
      </c>
      <c r="J502" s="4" t="s">
        <v>32</v>
      </c>
      <c r="K502" s="4" t="s">
        <v>86</v>
      </c>
      <c r="L502" s="4" t="s">
        <v>42</v>
      </c>
      <c r="M502" s="8" t="str">
        <f aca="false">IF(OR(H502="",I502=""),"",IF(I502&gt;0,H502/I502,""))</f>
        <v/>
      </c>
      <c r="N502" s="4" t="str">
        <f aca="false">IF(I502="",IF(K502="NULL","FCF yok (NULL)","FCF kapsamı dışı"),IF(I502&lt;=0,"anlamsız (FCF ≤ 0)",IF(OR(K502="KOŞULLU"),"FCF KOŞULLU — yorum yapılmaz","")))</f>
        <v>anlamsız (FCF ≤ 0)</v>
      </c>
      <c r="O502" s="9" t="n">
        <f aca="false">IF(Q502="","",F502*R502/Q502-1)</f>
        <v>-0.275749063670412</v>
      </c>
      <c r="P502" s="9" t="n">
        <f aca="false">IF(S502="","",F502*T502/S502-1)</f>
        <v>-0.31729920564872</v>
      </c>
      <c r="Q502" s="5" t="n">
        <v>21.36</v>
      </c>
      <c r="R502" s="10" t="n">
        <v>1</v>
      </c>
      <c r="S502" s="5" t="n">
        <v>22.66</v>
      </c>
      <c r="T502" s="10" t="n">
        <v>1</v>
      </c>
      <c r="U502" s="4"/>
    </row>
    <row r="503" customFormat="false" ht="15" hidden="false" customHeight="false" outlineLevel="0" collapsed="false">
      <c r="A503" s="4" t="s">
        <v>1116</v>
      </c>
      <c r="B503" s="4" t="s">
        <v>1117</v>
      </c>
      <c r="C503" s="4" t="s">
        <v>29</v>
      </c>
      <c r="D503" s="4" t="s">
        <v>30</v>
      </c>
      <c r="E503" s="4" t="s">
        <v>387</v>
      </c>
      <c r="F503" s="5" t="n">
        <v>4.85</v>
      </c>
      <c r="G503" s="4" t="s">
        <v>26</v>
      </c>
      <c r="H503" s="6" t="n">
        <v>1333.75</v>
      </c>
      <c r="I503" s="7" t="n">
        <v>-30.7826912</v>
      </c>
      <c r="J503" s="4" t="s">
        <v>32</v>
      </c>
      <c r="K503" s="4" t="s">
        <v>33</v>
      </c>
      <c r="L503" s="4" t="s">
        <v>57</v>
      </c>
      <c r="M503" s="8" t="str">
        <f aca="false">IF(OR(H503="",I503=""),"",IF(I503&gt;0,H503/I503,""))</f>
        <v/>
      </c>
      <c r="N503" s="4" t="str">
        <f aca="false">IF(I503="",IF(K503="NULL","FCF yok (NULL)","FCF kapsamı dışı"),IF(I503&lt;=0,"anlamsız (FCF ≤ 0)",IF(OR(K503="KOŞULLU"),"FCF KOŞULLU — yorum yapılmaz","")))</f>
        <v>anlamsız (FCF ≤ 0)</v>
      </c>
      <c r="O503" s="9" t="n">
        <f aca="false">IF(Q503="","",F503*R503/Q503-1)</f>
        <v>-0.607605177993528</v>
      </c>
      <c r="P503" s="9" t="n">
        <f aca="false">IF(S503="","",F503*T503/S503-1)</f>
        <v>-0.127697841726619</v>
      </c>
      <c r="Q503" s="5" t="n">
        <v>12.36</v>
      </c>
      <c r="R503" s="10" t="n">
        <v>1</v>
      </c>
      <c r="S503" s="5" t="n">
        <v>5.56</v>
      </c>
      <c r="T503" s="10" t="n">
        <v>1</v>
      </c>
      <c r="U503" s="4"/>
    </row>
    <row r="504" customFormat="false" ht="15" hidden="false" customHeight="false" outlineLevel="0" collapsed="false">
      <c r="A504" s="4" t="s">
        <v>1118</v>
      </c>
      <c r="B504" s="4" t="s">
        <v>1119</v>
      </c>
      <c r="C504" s="4" t="s">
        <v>38</v>
      </c>
      <c r="D504" s="4"/>
      <c r="E504" s="4"/>
      <c r="F504" s="5" t="n">
        <v>51.45</v>
      </c>
      <c r="G504" s="4" t="s">
        <v>26</v>
      </c>
      <c r="H504" s="6" t="n">
        <v>102900</v>
      </c>
      <c r="I504" s="7"/>
      <c r="J504" s="4"/>
      <c r="K504" s="4"/>
      <c r="L504" s="4"/>
      <c r="M504" s="8" t="str">
        <f aca="false">IF(OR(H504="",I504=""),"",IF(I504&gt;0,H504/I504,""))</f>
        <v/>
      </c>
      <c r="N504" s="4" t="str">
        <f aca="false">IF(I504="",IF(K504="NULL","FCF yok (NULL)","FCF kapsamı dışı"),IF(I504&lt;=0,"anlamsız (FCF ≤ 0)",IF(OR(K504="KOŞULLU"),"FCF KOŞULLU — yorum yapılmaz","")))</f>
        <v>FCF kapsamı dışı</v>
      </c>
      <c r="O504" s="9" t="n">
        <f aca="false">IF(Q504="","",F504*R504/Q504-1)</f>
        <v>1.34503190519599</v>
      </c>
      <c r="P504" s="9" t="n">
        <f aca="false">IF(S504="","",F504*T504/S504-1)</f>
        <v>0.0718750000000001</v>
      </c>
      <c r="Q504" s="5" t="n">
        <v>21.94</v>
      </c>
      <c r="R504" s="10" t="n">
        <v>1</v>
      </c>
      <c r="S504" s="5" t="n">
        <v>48</v>
      </c>
      <c r="T504" s="10" t="n">
        <v>1</v>
      </c>
      <c r="U504" s="4"/>
    </row>
    <row r="505" customFormat="false" ht="15" hidden="false" customHeight="false" outlineLevel="0" collapsed="false">
      <c r="A505" s="4" t="s">
        <v>1120</v>
      </c>
      <c r="B505" s="4" t="s">
        <v>1121</v>
      </c>
      <c r="C505" s="4" t="s">
        <v>29</v>
      </c>
      <c r="D505" s="4" t="s">
        <v>30</v>
      </c>
      <c r="E505" s="4" t="s">
        <v>276</v>
      </c>
      <c r="F505" s="5" t="n">
        <v>25.46</v>
      </c>
      <c r="G505" s="4" t="s">
        <v>26</v>
      </c>
      <c r="H505" s="6" t="n">
        <v>50920</v>
      </c>
      <c r="I505" s="7" t="n">
        <v>-4688.022</v>
      </c>
      <c r="J505" s="4" t="s">
        <v>32</v>
      </c>
      <c r="K505" s="4" t="s">
        <v>33</v>
      </c>
      <c r="L505" s="4" t="s">
        <v>42</v>
      </c>
      <c r="M505" s="8" t="str">
        <f aca="false">IF(OR(H505="",I505=""),"",IF(I505&gt;0,H505/I505,""))</f>
        <v/>
      </c>
      <c r="N505" s="4" t="str">
        <f aca="false">IF(I505="",IF(K505="NULL","FCF yok (NULL)","FCF kapsamı dışı"),IF(I505&lt;=0,"anlamsız (FCF ≤ 0)",IF(OR(K505="KOŞULLU"),"FCF KOŞULLU — yorum yapılmaz","")))</f>
        <v>anlamsız (FCF ≤ 0)</v>
      </c>
      <c r="O505" s="9" t="n">
        <f aca="false">IF(Q505="","",F505*R505/Q505-1)</f>
        <v>0.676102699144174</v>
      </c>
      <c r="P505" s="9" t="n">
        <f aca="false">IF(S505="","",F505*T505/S505-1)</f>
        <v>0.0608333333333333</v>
      </c>
      <c r="Q505" s="5" t="n">
        <v>15.19</v>
      </c>
      <c r="R505" s="10" t="n">
        <v>1</v>
      </c>
      <c r="S505" s="5" t="n">
        <v>24</v>
      </c>
      <c r="T505" s="10" t="n">
        <v>1</v>
      </c>
      <c r="U505" s="4"/>
    </row>
    <row r="506" customFormat="false" ht="15" hidden="false" customHeight="false" outlineLevel="0" collapsed="false">
      <c r="A506" s="4" t="s">
        <v>1122</v>
      </c>
      <c r="B506" s="4" t="s">
        <v>1123</v>
      </c>
      <c r="C506" s="4" t="s">
        <v>29</v>
      </c>
      <c r="D506" s="4" t="s">
        <v>30</v>
      </c>
      <c r="E506" s="4" t="s">
        <v>565</v>
      </c>
      <c r="F506" s="5" t="n">
        <v>14.34</v>
      </c>
      <c r="G506" s="4" t="s">
        <v>26</v>
      </c>
      <c r="H506" s="6" t="n">
        <v>2868</v>
      </c>
      <c r="I506" s="7" t="n">
        <v>225.056</v>
      </c>
      <c r="J506" s="4" t="s">
        <v>32</v>
      </c>
      <c r="K506" s="4" t="s">
        <v>33</v>
      </c>
      <c r="L506" s="4" t="s">
        <v>42</v>
      </c>
      <c r="M506" s="8" t="n">
        <f aca="false">IF(OR(H506="",I506=""),"",IF(I506&gt;0,H506/I506,""))</f>
        <v>12.7434949523674</v>
      </c>
      <c r="N506" s="4" t="str">
        <f aca="false">IF(I506="",IF(K506="NULL","FCF yok (NULL)","FCF kapsamı dışı"),IF(I506&lt;=0,"anlamsız (FCF ≤ 0)",IF(OR(K506="KOŞULLU"),"FCF KOŞULLU — yorum yapılmaz","")))</f>
        <v/>
      </c>
      <c r="O506" s="9" t="n">
        <f aca="false">IF(Q506="","",F506*R506/Q506-1)</f>
        <v>-0.246452968996322</v>
      </c>
      <c r="P506" s="9" t="n">
        <f aca="false">IF(S506="","",F506*T506/S506-1)</f>
        <v>0.282647584973166</v>
      </c>
      <c r="Q506" s="5" t="n">
        <v>19.03</v>
      </c>
      <c r="R506" s="10" t="n">
        <v>1</v>
      </c>
      <c r="S506" s="5" t="n">
        <v>11.18</v>
      </c>
      <c r="T506" s="10" t="n">
        <v>1</v>
      </c>
      <c r="U506" s="4"/>
    </row>
    <row r="507" customFormat="false" ht="15" hidden="false" customHeight="false" outlineLevel="0" collapsed="false">
      <c r="A507" s="4" t="s">
        <v>1124</v>
      </c>
      <c r="B507" s="4" t="s">
        <v>1125</v>
      </c>
      <c r="C507" s="4" t="s">
        <v>29</v>
      </c>
      <c r="D507" s="4" t="s">
        <v>63</v>
      </c>
      <c r="E507" s="4" t="s">
        <v>63</v>
      </c>
      <c r="F507" s="5" t="n">
        <v>89.1</v>
      </c>
      <c r="G507" s="4" t="s">
        <v>26</v>
      </c>
      <c r="H507" s="6" t="n">
        <v>187143.4988379</v>
      </c>
      <c r="I507" s="7" t="n">
        <v>-49369.3456896</v>
      </c>
      <c r="J507" s="4" t="s">
        <v>111</v>
      </c>
      <c r="K507" s="4" t="s">
        <v>154</v>
      </c>
      <c r="L507" s="4" t="s">
        <v>34</v>
      </c>
      <c r="M507" s="8" t="str">
        <f aca="false">IF(OR(H507="",I507=""),"",IF(I507&gt;0,H507/I507,""))</f>
        <v/>
      </c>
      <c r="N507" s="4" t="str">
        <f aca="false">IF(I507="",IF(K507="NULL","FCF yok (NULL)","FCF kapsamı dışı"),IF(I507&lt;=0,"anlamsız (FCF ≤ 0)",IF(OR(K507="KOŞULLU"),"FCF KOŞULLU — yorum yapılmaz","")))</f>
        <v>anlamsız (FCF ≤ 0)</v>
      </c>
      <c r="O507" s="9" t="n">
        <f aca="false">IF(Q507="","",F507*R507/Q507-1)</f>
        <v>0.0241114261701711</v>
      </c>
      <c r="P507" s="9" t="n">
        <f aca="false">IF(S507="","",F507*T507/S507-1)</f>
        <v>-0.0160132523467698</v>
      </c>
      <c r="Q507" s="5" t="n">
        <v>87.0022516331096</v>
      </c>
      <c r="R507" s="10" t="n">
        <v>1</v>
      </c>
      <c r="S507" s="5" t="n">
        <v>90.55</v>
      </c>
      <c r="T507" s="10" t="n">
        <v>1</v>
      </c>
      <c r="U507" s="4"/>
    </row>
    <row r="508" customFormat="false" ht="15" hidden="false" customHeight="false" outlineLevel="0" collapsed="false">
      <c r="A508" s="4" t="s">
        <v>1126</v>
      </c>
      <c r="B508" s="4" t="s">
        <v>1127</v>
      </c>
      <c r="C508" s="4" t="s">
        <v>29</v>
      </c>
      <c r="D508" s="4" t="s">
        <v>30</v>
      </c>
      <c r="E508" s="4" t="s">
        <v>131</v>
      </c>
      <c r="F508" s="5" t="n">
        <v>3.95</v>
      </c>
      <c r="G508" s="4" t="s">
        <v>207</v>
      </c>
      <c r="H508" s="6" t="n">
        <v>443.98</v>
      </c>
      <c r="I508" s="7" t="n">
        <v>1.22707680000001</v>
      </c>
      <c r="J508" s="4" t="s">
        <v>32</v>
      </c>
      <c r="K508" s="4" t="s">
        <v>33</v>
      </c>
      <c r="L508" s="4" t="s">
        <v>57</v>
      </c>
      <c r="M508" s="8" t="n">
        <f aca="false">IF(OR(H508="",I508=""),"",IF(I508&gt;0,H508/I508,""))</f>
        <v>361.819243913662</v>
      </c>
      <c r="N508" s="4" t="str">
        <f aca="false">IF(I508="",IF(K508="NULL","FCF yok (NULL)","FCF kapsamı dışı"),IF(I508&lt;=0,"anlamsız (FCF ≤ 0)",IF(OR(K508="KOŞULLU"),"FCF KOŞULLU — yorum yapılmaz","")))</f>
        <v/>
      </c>
      <c r="O508" s="9" t="n">
        <f aca="false">IF(Q508="","",F508*R508/Q508-1)</f>
        <v>-0.422514619883041</v>
      </c>
      <c r="P508" s="9" t="n">
        <f aca="false">IF(S508="","",F508*T508/S508-1)</f>
        <v>-0.0481927710843374</v>
      </c>
      <c r="Q508" s="5" t="n">
        <v>6.84</v>
      </c>
      <c r="R508" s="10" t="n">
        <v>1</v>
      </c>
      <c r="S508" s="5" t="n">
        <v>4.15</v>
      </c>
      <c r="T508" s="10" t="n">
        <v>1</v>
      </c>
      <c r="U508" s="4"/>
    </row>
    <row r="509" customFormat="false" ht="15" hidden="false" customHeight="false" outlineLevel="0" collapsed="false">
      <c r="A509" s="4" t="s">
        <v>1128</v>
      </c>
      <c r="B509" s="4" t="s">
        <v>1129</v>
      </c>
      <c r="C509" s="4" t="s">
        <v>29</v>
      </c>
      <c r="D509" s="4" t="s">
        <v>30</v>
      </c>
      <c r="E509" s="4" t="s">
        <v>85</v>
      </c>
      <c r="F509" s="5" t="n">
        <v>32.5</v>
      </c>
      <c r="G509" s="4" t="s">
        <v>64</v>
      </c>
      <c r="H509" s="6" t="n">
        <v>593.2983225</v>
      </c>
      <c r="I509" s="7" t="n">
        <v>150.333</v>
      </c>
      <c r="J509" s="4" t="s">
        <v>32</v>
      </c>
      <c r="K509" s="4" t="s">
        <v>33</v>
      </c>
      <c r="L509" s="4" t="s">
        <v>42</v>
      </c>
      <c r="M509" s="8" t="n">
        <f aca="false">IF(OR(H509="",I509=""),"",IF(I509&gt;0,H509/I509,""))</f>
        <v>3.94656078505717</v>
      </c>
      <c r="N509" s="4" t="str">
        <f aca="false">IF(I509="",IF(K509="NULL","FCF yok (NULL)","FCF kapsamı dışı"),IF(I509&lt;=0,"anlamsız (FCF ≤ 0)",IF(OR(K509="KOŞULLU"),"FCF KOŞULLU — yorum yapılmaz","")))</f>
        <v/>
      </c>
      <c r="O509" s="9" t="n">
        <f aca="false">IF(Q509="","",F509*R509/Q509-1)</f>
        <v>0.0188087774294672</v>
      </c>
      <c r="P509" s="9" t="n">
        <f aca="false">IF(S509="","",F509*T509/S509-1)</f>
        <v>-0.207703559239395</v>
      </c>
      <c r="Q509" s="5" t="n">
        <v>31.9</v>
      </c>
      <c r="R509" s="10" t="n">
        <v>1</v>
      </c>
      <c r="S509" s="5" t="n">
        <v>41.02</v>
      </c>
      <c r="T509" s="10" t="n">
        <v>1</v>
      </c>
      <c r="U509" s="4"/>
    </row>
    <row r="510" customFormat="false" ht="15" hidden="false" customHeight="false" outlineLevel="0" collapsed="false">
      <c r="A510" s="4" t="s">
        <v>1130</v>
      </c>
      <c r="B510" s="4" t="s">
        <v>1131</v>
      </c>
      <c r="C510" s="4" t="s">
        <v>29</v>
      </c>
      <c r="D510" s="4" t="s">
        <v>30</v>
      </c>
      <c r="E510" s="4" t="s">
        <v>41</v>
      </c>
      <c r="F510" s="5" t="n">
        <v>4.2</v>
      </c>
      <c r="G510" s="4" t="s">
        <v>26</v>
      </c>
      <c r="H510" s="6" t="n">
        <v>1575</v>
      </c>
      <c r="I510" s="7" t="n">
        <v>-17.624</v>
      </c>
      <c r="J510" s="4" t="s">
        <v>32</v>
      </c>
      <c r="K510" s="4" t="s">
        <v>33</v>
      </c>
      <c r="L510" s="4" t="s">
        <v>42</v>
      </c>
      <c r="M510" s="8" t="str">
        <f aca="false">IF(OR(H510="",I510=""),"",IF(I510&gt;0,H510/I510,""))</f>
        <v/>
      </c>
      <c r="N510" s="4" t="str">
        <f aca="false">IF(I510="",IF(K510="NULL","FCF yok (NULL)","FCF kapsamı dışı"),IF(I510&lt;=0,"anlamsız (FCF ≤ 0)",IF(OR(K510="KOŞULLU"),"FCF KOŞULLU — yorum yapılmaz","")))</f>
        <v>anlamsız (FCF ≤ 0)</v>
      </c>
      <c r="O510" s="9" t="n">
        <f aca="false">IF(Q510="","",F510*R510/Q510-1)</f>
        <v>-0.50354609929078</v>
      </c>
      <c r="P510" s="9" t="n">
        <f aca="false">IF(S510="","",F510*T510/S510-1)</f>
        <v>-0.3</v>
      </c>
      <c r="Q510" s="5" t="n">
        <v>8.46</v>
      </c>
      <c r="R510" s="10" t="n">
        <v>1</v>
      </c>
      <c r="S510" s="5" t="n">
        <v>6</v>
      </c>
      <c r="T510" s="10" t="n">
        <v>1</v>
      </c>
      <c r="U510" s="4"/>
    </row>
    <row r="511" customFormat="false" ht="15" hidden="false" customHeight="false" outlineLevel="0" collapsed="false">
      <c r="A511" s="4" t="s">
        <v>1132</v>
      </c>
      <c r="B511" s="4" t="s">
        <v>1133</v>
      </c>
      <c r="C511" s="4" t="s">
        <v>29</v>
      </c>
      <c r="D511" s="4" t="s">
        <v>30</v>
      </c>
      <c r="E511" s="4" t="s">
        <v>171</v>
      </c>
      <c r="F511" s="5" t="n">
        <v>22.28</v>
      </c>
      <c r="G511" s="4" t="s">
        <v>26</v>
      </c>
      <c r="H511" s="6" t="n">
        <v>3342</v>
      </c>
      <c r="I511" s="7" t="n">
        <v>34.801</v>
      </c>
      <c r="J511" s="4" t="s">
        <v>32</v>
      </c>
      <c r="K511" s="4" t="s">
        <v>33</v>
      </c>
      <c r="L511" s="4" t="s">
        <v>42</v>
      </c>
      <c r="M511" s="8" t="n">
        <f aca="false">IF(OR(H511="",I511=""),"",IF(I511&gt;0,H511/I511,""))</f>
        <v>96.0317232263441</v>
      </c>
      <c r="N511" s="4" t="str">
        <f aca="false">IF(I511="",IF(K511="NULL","FCF yok (NULL)","FCF kapsamı dışı"),IF(I511&lt;=0,"anlamsız (FCF ≤ 0)",IF(OR(K511="KOŞULLU"),"FCF KOŞULLU — yorum yapılmaz","")))</f>
        <v/>
      </c>
      <c r="O511" s="9" t="n">
        <f aca="false">IF(Q511="","",F511*R511/Q511-1)</f>
        <v>-0.0693400167084378</v>
      </c>
      <c r="P511" s="9" t="n">
        <f aca="false">IF(S511="","",F511*T511/S511-1)</f>
        <v>0.234349030470914</v>
      </c>
      <c r="Q511" s="5" t="n">
        <v>23.94</v>
      </c>
      <c r="R511" s="10" t="n">
        <v>1</v>
      </c>
      <c r="S511" s="5" t="n">
        <v>18.05</v>
      </c>
      <c r="T511" s="10" t="n">
        <v>1</v>
      </c>
      <c r="U511" s="4"/>
    </row>
    <row r="512" customFormat="false" ht="15" hidden="false" customHeight="false" outlineLevel="0" collapsed="false">
      <c r="A512" s="4" t="s">
        <v>1134</v>
      </c>
      <c r="B512" s="4" t="s">
        <v>1135</v>
      </c>
      <c r="C512" s="4" t="s">
        <v>29</v>
      </c>
      <c r="D512" s="4" t="s">
        <v>30</v>
      </c>
      <c r="E512" s="4" t="s">
        <v>126</v>
      </c>
      <c r="F512" s="5" t="n">
        <v>39.1</v>
      </c>
      <c r="G512" s="4" t="s">
        <v>26</v>
      </c>
      <c r="H512" s="6" t="n">
        <v>17379.95</v>
      </c>
      <c r="I512" s="7"/>
      <c r="J512" s="4" t="s">
        <v>32</v>
      </c>
      <c r="K512" s="4" t="s">
        <v>116</v>
      </c>
      <c r="L512" s="4" t="s">
        <v>42</v>
      </c>
      <c r="M512" s="8" t="str">
        <f aca="false">IF(OR(H512="",I512=""),"",IF(I512&gt;0,H512/I512,""))</f>
        <v/>
      </c>
      <c r="N512" s="4" t="str">
        <f aca="false">IF(I512="",IF(K512="NULL","FCF yok (NULL)","FCF kapsamı dışı"),IF(I512&lt;=0,"anlamsız (FCF ≤ 0)",IF(OR(K512="KOŞULLU"),"FCF KOŞULLU — yorum yapılmaz","")))</f>
        <v>FCF yok (NULL)</v>
      </c>
      <c r="O512" s="9" t="str">
        <f aca="false">IF(Q512="","",F512*R512/Q512-1)</f>
        <v/>
      </c>
      <c r="P512" s="9" t="n">
        <f aca="false">IF(S512="","",F512*T512/S512-1)</f>
        <v>-0.241513094083414</v>
      </c>
      <c r="Q512" s="5"/>
      <c r="R512" s="10" t="n">
        <v>1</v>
      </c>
      <c r="S512" s="5" t="n">
        <v>51.55</v>
      </c>
      <c r="T512" s="10" t="n">
        <v>1</v>
      </c>
      <c r="U512" s="4"/>
    </row>
    <row r="513" customFormat="false" ht="15" hidden="false" customHeight="false" outlineLevel="0" collapsed="false">
      <c r="A513" s="4" t="s">
        <v>1136</v>
      </c>
      <c r="B513" s="4" t="s">
        <v>1137</v>
      </c>
      <c r="C513" s="4" t="s">
        <v>29</v>
      </c>
      <c r="D513" s="4" t="s">
        <v>30</v>
      </c>
      <c r="E513" s="4" t="s">
        <v>295</v>
      </c>
      <c r="F513" s="5" t="n">
        <v>21.2</v>
      </c>
      <c r="G513" s="4" t="s">
        <v>64</v>
      </c>
      <c r="H513" s="6" t="n">
        <v>21200</v>
      </c>
      <c r="I513" s="7" t="n">
        <v>-1776.531</v>
      </c>
      <c r="J513" s="4" t="s">
        <v>32</v>
      </c>
      <c r="K513" s="4" t="s">
        <v>33</v>
      </c>
      <c r="L513" s="4" t="s">
        <v>42</v>
      </c>
      <c r="M513" s="8" t="str">
        <f aca="false">IF(OR(H513="",I513=""),"",IF(I513&gt;0,H513/I513,""))</f>
        <v/>
      </c>
      <c r="N513" s="4" t="str">
        <f aca="false">IF(I513="",IF(K513="NULL","FCF yok (NULL)","FCF kapsamı dışı"),IF(I513&lt;=0,"anlamsız (FCF ≤ 0)",IF(OR(K513="KOŞULLU"),"FCF KOŞULLU — yorum yapılmaz","")))</f>
        <v>anlamsız (FCF ≤ 0)</v>
      </c>
      <c r="O513" s="9" t="n">
        <f aca="false">IF(Q513="","",F513*R513/Q513-1)</f>
        <v>0.408637873754153</v>
      </c>
      <c r="P513" s="9" t="n">
        <f aca="false">IF(S513="","",F513*T513/S513-1)</f>
        <v>-0.0441839495040577</v>
      </c>
      <c r="Q513" s="5" t="n">
        <v>15.05</v>
      </c>
      <c r="R513" s="10" t="n">
        <v>1</v>
      </c>
      <c r="S513" s="5" t="n">
        <v>22.18</v>
      </c>
      <c r="T513" s="10" t="n">
        <v>1</v>
      </c>
      <c r="U513" s="4"/>
    </row>
    <row r="514" customFormat="false" ht="15" hidden="false" customHeight="false" outlineLevel="0" collapsed="false">
      <c r="A514" s="4" t="s">
        <v>1138</v>
      </c>
      <c r="B514" s="4" t="s">
        <v>1139</v>
      </c>
      <c r="C514" s="4" t="s">
        <v>29</v>
      </c>
      <c r="D514" s="4" t="s">
        <v>30</v>
      </c>
      <c r="E514" s="4" t="s">
        <v>41</v>
      </c>
      <c r="F514" s="5" t="n">
        <v>1.9</v>
      </c>
      <c r="G514" s="4" t="s">
        <v>76</v>
      </c>
      <c r="H514" s="6" t="n">
        <v>99753.6691774</v>
      </c>
      <c r="I514" s="7" t="n">
        <v>-10737.4724928</v>
      </c>
      <c r="J514" s="4" t="s">
        <v>32</v>
      </c>
      <c r="K514" s="4" t="s">
        <v>33</v>
      </c>
      <c r="L514" s="4" t="s">
        <v>57</v>
      </c>
      <c r="M514" s="8" t="str">
        <f aca="false">IF(OR(H514="",I514=""),"",IF(I514&gt;0,H514/I514,""))</f>
        <v/>
      </c>
      <c r="N514" s="4" t="str">
        <f aca="false">IF(I514="",IF(K514="NULL","FCF yok (NULL)","FCF kapsamı dışı"),IF(I514&lt;=0,"anlamsız (FCF ≤ 0)",IF(OR(K514="KOŞULLU"),"FCF KOŞULLU — yorum yapılmaz","")))</f>
        <v>anlamsız (FCF ≤ 0)</v>
      </c>
      <c r="O514" s="9" t="n">
        <f aca="false">IF(Q514="","",F514*R514/Q514-1)</f>
        <v>-0.460227272727273</v>
      </c>
      <c r="P514" s="9" t="n">
        <f aca="false">IF(S514="","",F514*T514/S514-1)</f>
        <v>-0.177489177489178</v>
      </c>
      <c r="Q514" s="5" t="n">
        <v>3.52</v>
      </c>
      <c r="R514" s="10" t="n">
        <v>1</v>
      </c>
      <c r="S514" s="5" t="n">
        <v>2.31</v>
      </c>
      <c r="T514" s="10" t="n">
        <v>1</v>
      </c>
      <c r="U514" s="4"/>
    </row>
    <row r="515" customFormat="false" ht="15" hidden="false" customHeight="false" outlineLevel="0" collapsed="false">
      <c r="A515" s="4" t="s">
        <v>1140</v>
      </c>
      <c r="B515" s="4" t="s">
        <v>1141</v>
      </c>
      <c r="C515" s="4" t="s">
        <v>29</v>
      </c>
      <c r="D515" s="4" t="s">
        <v>30</v>
      </c>
      <c r="E515" s="4" t="s">
        <v>126</v>
      </c>
      <c r="F515" s="5" t="n">
        <v>41.14</v>
      </c>
      <c r="G515" s="4" t="s">
        <v>26</v>
      </c>
      <c r="H515" s="6" t="n">
        <v>3178.065</v>
      </c>
      <c r="I515" s="7" t="n">
        <v>184.9158016</v>
      </c>
      <c r="J515" s="4" t="s">
        <v>32</v>
      </c>
      <c r="K515" s="4" t="s">
        <v>154</v>
      </c>
      <c r="L515" s="4" t="s">
        <v>34</v>
      </c>
      <c r="M515" s="8" t="n">
        <f aca="false">IF(OR(H515="",I515=""),"",IF(I515&gt;0,H515/I515,""))</f>
        <v>17.1865517846583</v>
      </c>
      <c r="N515" s="4" t="str">
        <f aca="false">IF(I515="",IF(K515="NULL","FCF yok (NULL)","FCF kapsamı dışı"),IF(I515&lt;=0,"anlamsız (FCF ≤ 0)",IF(OR(K515="KOŞULLU"),"FCF KOŞULLU — yorum yapılmaz","")))</f>
        <v>FCF KOŞULLU — yorum yapılmaz</v>
      </c>
      <c r="O515" s="9" t="n">
        <f aca="false">IF(Q515="","",F515*R515/Q515-1)</f>
        <v>-0.24375</v>
      </c>
      <c r="P515" s="9" t="n">
        <f aca="false">IF(S515="","",F515*T515/S515-1)</f>
        <v>-0.10642919200695</v>
      </c>
      <c r="Q515" s="5" t="n">
        <v>54.4</v>
      </c>
      <c r="R515" s="10" t="n">
        <v>1</v>
      </c>
      <c r="S515" s="5" t="n">
        <v>46.04</v>
      </c>
      <c r="T515" s="10" t="n">
        <v>1</v>
      </c>
      <c r="U515" s="4"/>
    </row>
    <row r="516" customFormat="false" ht="15" hidden="false" customHeight="false" outlineLevel="0" collapsed="false">
      <c r="A516" s="4" t="s">
        <v>1142</v>
      </c>
      <c r="B516" s="4" t="s">
        <v>1143</v>
      </c>
      <c r="C516" s="4" t="s">
        <v>29</v>
      </c>
      <c r="D516" s="4" t="s">
        <v>30</v>
      </c>
      <c r="E516" s="4" t="s">
        <v>138</v>
      </c>
      <c r="F516" s="5" t="n">
        <v>16.32</v>
      </c>
      <c r="G516" s="4" t="s">
        <v>26</v>
      </c>
      <c r="H516" s="6" t="n">
        <v>10412.16</v>
      </c>
      <c r="I516" s="7" t="n">
        <v>-224.702</v>
      </c>
      <c r="J516" s="4" t="s">
        <v>32</v>
      </c>
      <c r="K516" s="4" t="s">
        <v>33</v>
      </c>
      <c r="L516" s="4" t="s">
        <v>42</v>
      </c>
      <c r="M516" s="8" t="str">
        <f aca="false">IF(OR(H516="",I516=""),"",IF(I516&gt;0,H516/I516,""))</f>
        <v/>
      </c>
      <c r="N516" s="4" t="str">
        <f aca="false">IF(I516="",IF(K516="NULL","FCF yok (NULL)","FCF kapsamı dışı"),IF(I516&lt;=0,"anlamsız (FCF ≤ 0)",IF(OR(K516="KOŞULLU"),"FCF KOŞULLU — yorum yapılmaz","")))</f>
        <v>anlamsız (FCF ≤ 0)</v>
      </c>
      <c r="O516" s="9" t="n">
        <f aca="false">IF(Q516="","",F516*R516/Q516-1)</f>
        <v>-0.145094098251123</v>
      </c>
      <c r="P516" s="9" t="n">
        <f aca="false">IF(S516="","",F516*T516/S516-1)</f>
        <v>-0.0647564469914039</v>
      </c>
      <c r="Q516" s="5" t="n">
        <v>208.6</v>
      </c>
      <c r="R516" s="10" t="n">
        <v>10.9272898961284</v>
      </c>
      <c r="S516" s="5" t="n">
        <v>17.45</v>
      </c>
      <c r="T516" s="10" t="n">
        <v>1</v>
      </c>
      <c r="U516" s="4" t="s">
        <v>1144</v>
      </c>
    </row>
    <row r="517" customFormat="false" ht="15" hidden="false" customHeight="false" outlineLevel="0" collapsed="false">
      <c r="A517" s="4" t="s">
        <v>1145</v>
      </c>
      <c r="B517" s="4" t="s">
        <v>1146</v>
      </c>
      <c r="C517" s="4" t="s">
        <v>29</v>
      </c>
      <c r="D517" s="4" t="s">
        <v>30</v>
      </c>
      <c r="E517" s="4" t="s">
        <v>53</v>
      </c>
      <c r="F517" s="5" t="n">
        <v>21.78</v>
      </c>
      <c r="G517" s="4" t="s">
        <v>686</v>
      </c>
      <c r="H517" s="6" t="n">
        <v>3898.62</v>
      </c>
      <c r="I517" s="7" t="n">
        <v>-191.9220112</v>
      </c>
      <c r="J517" s="4" t="s">
        <v>32</v>
      </c>
      <c r="K517" s="4" t="s">
        <v>33</v>
      </c>
      <c r="L517" s="4" t="s">
        <v>57</v>
      </c>
      <c r="M517" s="8" t="str">
        <f aca="false">IF(OR(H517="",I517=""),"",IF(I517&gt;0,H517/I517,""))</f>
        <v/>
      </c>
      <c r="N517" s="4" t="str">
        <f aca="false">IF(I517="",IF(K517="NULL","FCF yok (NULL)","FCF kapsamı dışı"),IF(I517&lt;=0,"anlamsız (FCF ≤ 0)",IF(OR(K517="KOŞULLU"),"FCF KOŞULLU — yorum yapılmaz","")))</f>
        <v>anlamsız (FCF ≤ 0)</v>
      </c>
      <c r="O517" s="9" t="n">
        <f aca="false">IF(Q517="","",F517*R517/Q517-1)</f>
        <v>-0.0579584775086505</v>
      </c>
      <c r="P517" s="9" t="n">
        <f aca="false">IF(S517="","",F517*T517/S517-1)</f>
        <v>-0.306369426751592</v>
      </c>
      <c r="Q517" s="5" t="n">
        <v>23.12</v>
      </c>
      <c r="R517" s="10" t="n">
        <v>1</v>
      </c>
      <c r="S517" s="5" t="n">
        <v>31.4</v>
      </c>
      <c r="T517" s="10" t="n">
        <v>1</v>
      </c>
      <c r="U517" s="4"/>
    </row>
    <row r="518" customFormat="false" ht="15" hidden="false" customHeight="false" outlineLevel="0" collapsed="false">
      <c r="A518" s="4" t="s">
        <v>1147</v>
      </c>
      <c r="B518" s="4" t="s">
        <v>1148</v>
      </c>
      <c r="C518" s="4" t="s">
        <v>38</v>
      </c>
      <c r="D518" s="4"/>
      <c r="E518" s="4"/>
      <c r="F518" s="5" t="n">
        <v>2.81</v>
      </c>
      <c r="G518" s="4" t="s">
        <v>213</v>
      </c>
      <c r="H518" s="6" t="n">
        <v>2286.09034523</v>
      </c>
      <c r="I518" s="7"/>
      <c r="J518" s="4"/>
      <c r="K518" s="4"/>
      <c r="L518" s="4"/>
      <c r="M518" s="8" t="str">
        <f aca="false">IF(OR(H518="",I518=""),"",IF(I518&gt;0,H518/I518,""))</f>
        <v/>
      </c>
      <c r="N518" s="4" t="str">
        <f aca="false">IF(I518="",IF(K518="NULL","FCF yok (NULL)","FCF kapsamı dışı"),IF(I518&lt;=0,"anlamsız (FCF ≤ 0)",IF(OR(K518="KOŞULLU"),"FCF KOŞULLU — yorum yapılmaz","")))</f>
        <v>FCF kapsamı dışı</v>
      </c>
      <c r="O518" s="9" t="n">
        <f aca="false">IF(Q518="","",F518*R518/Q518-1)</f>
        <v>-0.378318584070796</v>
      </c>
      <c r="P518" s="9" t="n">
        <f aca="false">IF(S518="","",F518*T518/S518-1)</f>
        <v>0.0485074626865671</v>
      </c>
      <c r="Q518" s="5" t="n">
        <v>4.52</v>
      </c>
      <c r="R518" s="10" t="n">
        <v>1</v>
      </c>
      <c r="S518" s="5" t="n">
        <v>2.68</v>
      </c>
      <c r="T518" s="10" t="n">
        <v>1</v>
      </c>
      <c r="U518" s="4"/>
    </row>
    <row r="519" customFormat="false" ht="15" hidden="false" customHeight="false" outlineLevel="0" collapsed="false">
      <c r="A519" s="4" t="s">
        <v>1149</v>
      </c>
      <c r="B519" s="4" t="s">
        <v>1150</v>
      </c>
      <c r="C519" s="4" t="s">
        <v>60</v>
      </c>
      <c r="D519" s="4"/>
      <c r="E519" s="4"/>
      <c r="F519" s="5" t="n">
        <v>4.29</v>
      </c>
      <c r="G519" s="4" t="s">
        <v>64</v>
      </c>
      <c r="H519" s="6" t="n">
        <v>858</v>
      </c>
      <c r="I519" s="7"/>
      <c r="J519" s="4"/>
      <c r="K519" s="4"/>
      <c r="L519" s="4"/>
      <c r="M519" s="8" t="str">
        <f aca="false">IF(OR(H519="",I519=""),"",IF(I519&gt;0,H519/I519,""))</f>
        <v/>
      </c>
      <c r="N519" s="4" t="str">
        <f aca="false">IF(I519="",IF(K519="NULL","FCF yok (NULL)","FCF kapsamı dışı"),IF(I519&lt;=0,"anlamsız (FCF ≤ 0)",IF(OR(K519="KOŞULLU"),"FCF KOŞULLU — yorum yapılmaz","")))</f>
        <v>FCF kapsamı dışı</v>
      </c>
      <c r="O519" s="9" t="n">
        <f aca="false">IF(Q519="","",F519*R519/Q519-1)</f>
        <v>-0.0939393939393941</v>
      </c>
      <c r="P519" s="9" t="n">
        <f aca="false">IF(S519="","",F519*T519/S519-1)</f>
        <v>0.105670103092784</v>
      </c>
      <c r="Q519" s="5" t="n">
        <v>8.6</v>
      </c>
      <c r="R519" s="10" t="n">
        <v>1.81634527089073</v>
      </c>
      <c r="S519" s="5" t="n">
        <v>3.88</v>
      </c>
      <c r="T519" s="10" t="n">
        <v>1</v>
      </c>
      <c r="U519" s="4" t="s">
        <v>1151</v>
      </c>
    </row>
    <row r="520" customFormat="false" ht="15" hidden="false" customHeight="false" outlineLevel="0" collapsed="false">
      <c r="A520" s="4" t="s">
        <v>1152</v>
      </c>
      <c r="B520" s="4" t="s">
        <v>1153</v>
      </c>
      <c r="C520" s="4" t="s">
        <v>29</v>
      </c>
      <c r="D520" s="4" t="s">
        <v>30</v>
      </c>
      <c r="E520" s="4" t="s">
        <v>231</v>
      </c>
      <c r="F520" s="5" t="n">
        <v>4.02</v>
      </c>
      <c r="G520" s="4" t="s">
        <v>26</v>
      </c>
      <c r="H520" s="6" t="n">
        <v>754.31839182</v>
      </c>
      <c r="I520" s="7" t="n">
        <v>-176.382</v>
      </c>
      <c r="J520" s="4" t="s">
        <v>32</v>
      </c>
      <c r="K520" s="4" t="s">
        <v>86</v>
      </c>
      <c r="L520" s="4" t="s">
        <v>42</v>
      </c>
      <c r="M520" s="8" t="str">
        <f aca="false">IF(OR(H520="",I520=""),"",IF(I520&gt;0,H520/I520,""))</f>
        <v/>
      </c>
      <c r="N520" s="4" t="str">
        <f aca="false">IF(I520="",IF(K520="NULL","FCF yok (NULL)","FCF kapsamı dışı"),IF(I520&lt;=0,"anlamsız (FCF ≤ 0)",IF(OR(K520="KOŞULLU"),"FCF KOŞULLU — yorum yapılmaz","")))</f>
        <v>anlamsız (FCF ≤ 0)</v>
      </c>
      <c r="O520" s="9" t="n">
        <f aca="false">IF(Q520="","",F520*R520/Q520-1)</f>
        <v>-0.127982646420824</v>
      </c>
      <c r="P520" s="9" t="n">
        <f aca="false">IF(S520="","",F520*T520/S520-1)</f>
        <v>-0.326633165829146</v>
      </c>
      <c r="Q520" s="5" t="n">
        <v>4.61</v>
      </c>
      <c r="R520" s="10" t="n">
        <v>1</v>
      </c>
      <c r="S520" s="5" t="n">
        <v>5.97</v>
      </c>
      <c r="T520" s="10" t="n">
        <v>1</v>
      </c>
      <c r="U520" s="4"/>
    </row>
    <row r="521" customFormat="false" ht="15" hidden="false" customHeight="false" outlineLevel="0" collapsed="false">
      <c r="A521" s="4" t="s">
        <v>1154</v>
      </c>
      <c r="B521" s="4" t="s">
        <v>1155</v>
      </c>
      <c r="C521" s="4" t="s">
        <v>29</v>
      </c>
      <c r="D521" s="4" t="s">
        <v>30</v>
      </c>
      <c r="E521" s="4" t="s">
        <v>147</v>
      </c>
      <c r="F521" s="5" t="n">
        <v>77.95</v>
      </c>
      <c r="G521" s="4" t="s">
        <v>76</v>
      </c>
      <c r="H521" s="6" t="n">
        <v>48406.95</v>
      </c>
      <c r="I521" s="7" t="n">
        <v>-3170.252</v>
      </c>
      <c r="J521" s="4" t="s">
        <v>32</v>
      </c>
      <c r="K521" s="4" t="s">
        <v>33</v>
      </c>
      <c r="L521" s="4" t="s">
        <v>42</v>
      </c>
      <c r="M521" s="8" t="str">
        <f aca="false">IF(OR(H521="",I521=""),"",IF(I521&gt;0,H521/I521,""))</f>
        <v/>
      </c>
      <c r="N521" s="4" t="str">
        <f aca="false">IF(I521="",IF(K521="NULL","FCF yok (NULL)","FCF kapsamı dışı"),IF(I521&lt;=0,"anlamsız (FCF ≤ 0)",IF(OR(K521="KOŞULLU"),"FCF KOŞULLU — yorum yapılmaz","")))</f>
        <v>anlamsız (FCF ≤ 0)</v>
      </c>
      <c r="O521" s="9" t="n">
        <f aca="false">IF(Q521="","",F521*R521/Q521-1)</f>
        <v>-0.0213433772755807</v>
      </c>
      <c r="P521" s="9" t="n">
        <f aca="false">IF(S521="","",F521*T521/S521-1)</f>
        <v>-0.593375065206051</v>
      </c>
      <c r="Q521" s="5" t="n">
        <v>79.65</v>
      </c>
      <c r="R521" s="10" t="n">
        <v>1</v>
      </c>
      <c r="S521" s="5" t="n">
        <v>191.7</v>
      </c>
      <c r="T521" s="10" t="n">
        <v>1</v>
      </c>
      <c r="U521" s="4"/>
    </row>
    <row r="522" customFormat="false" ht="15" hidden="false" customHeight="false" outlineLevel="0" collapsed="false">
      <c r="A522" s="4" t="s">
        <v>1156</v>
      </c>
      <c r="B522" s="4" t="s">
        <v>1157</v>
      </c>
      <c r="C522" s="4" t="s">
        <v>29</v>
      </c>
      <c r="D522" s="4" t="s">
        <v>30</v>
      </c>
      <c r="E522" s="4" t="s">
        <v>53</v>
      </c>
      <c r="F522" s="5" t="n">
        <v>1.18</v>
      </c>
      <c r="G522" s="4" t="s">
        <v>26</v>
      </c>
      <c r="H522" s="6" t="n">
        <v>1242.54</v>
      </c>
      <c r="I522" s="7" t="n">
        <v>-997.9370752</v>
      </c>
      <c r="J522" s="4" t="s">
        <v>32</v>
      </c>
      <c r="K522" s="4" t="s">
        <v>33</v>
      </c>
      <c r="L522" s="4" t="s">
        <v>34</v>
      </c>
      <c r="M522" s="8" t="str">
        <f aca="false">IF(OR(H522="",I522=""),"",IF(I522&gt;0,H522/I522,""))</f>
        <v/>
      </c>
      <c r="N522" s="4" t="str">
        <f aca="false">IF(I522="",IF(K522="NULL","FCF yok (NULL)","FCF kapsamı dışı"),IF(I522&lt;=0,"anlamsız (FCF ≤ 0)",IF(OR(K522="KOŞULLU"),"FCF KOŞULLU — yorum yapılmaz","")))</f>
        <v>anlamsız (FCF ≤ 0)</v>
      </c>
      <c r="O522" s="9" t="n">
        <f aca="false">IF(Q522="","",F522*R522/Q522-1)</f>
        <v>-0.475555555555556</v>
      </c>
      <c r="P522" s="9" t="n">
        <f aca="false">IF(S522="","",F522*T522/S522-1)</f>
        <v>-0.040650406504065</v>
      </c>
      <c r="Q522" s="5" t="n">
        <v>2.25</v>
      </c>
      <c r="R522" s="10" t="n">
        <v>1</v>
      </c>
      <c r="S522" s="5" t="n">
        <v>1.23</v>
      </c>
      <c r="T522" s="10" t="n">
        <v>1</v>
      </c>
      <c r="U522" s="4"/>
    </row>
    <row r="523" customFormat="false" ht="15" hidden="false" customHeight="false" outlineLevel="0" collapsed="false">
      <c r="A523" s="4" t="s">
        <v>1158</v>
      </c>
      <c r="B523" s="4" t="s">
        <v>1159</v>
      </c>
      <c r="C523" s="4" t="s">
        <v>29</v>
      </c>
      <c r="D523" s="4" t="s">
        <v>30</v>
      </c>
      <c r="E523" s="4" t="s">
        <v>263</v>
      </c>
      <c r="F523" s="5" t="n">
        <v>5.01</v>
      </c>
      <c r="G523" s="4" t="s">
        <v>64</v>
      </c>
      <c r="H523" s="6" t="n">
        <v>2069.13</v>
      </c>
      <c r="I523" s="7" t="n">
        <v>2310.933</v>
      </c>
      <c r="J523" s="4" t="s">
        <v>32</v>
      </c>
      <c r="K523" s="4" t="s">
        <v>86</v>
      </c>
      <c r="L523" s="4" t="s">
        <v>42</v>
      </c>
      <c r="M523" s="8" t="n">
        <f aca="false">IF(OR(H523="",I523=""),"",IF(I523&gt;0,H523/I523,""))</f>
        <v>0.895365638034508</v>
      </c>
      <c r="N523" s="4" t="str">
        <f aca="false">IF(I523="",IF(K523="NULL","FCF yok (NULL)","FCF kapsamı dışı"),IF(I523&lt;=0,"anlamsız (FCF ≤ 0)",IF(OR(K523="KOŞULLU"),"FCF KOŞULLU — yorum yapılmaz","")))</f>
        <v/>
      </c>
      <c r="O523" s="9" t="n">
        <f aca="false">IF(Q523="","",F523*R523/Q523-1)</f>
        <v>-0.532649253731343</v>
      </c>
      <c r="P523" s="9" t="n">
        <f aca="false">IF(S523="","",F523*T523/S523-1)</f>
        <v>-0.165</v>
      </c>
      <c r="Q523" s="5" t="n">
        <v>10.72</v>
      </c>
      <c r="R523" s="10" t="n">
        <v>1</v>
      </c>
      <c r="S523" s="5" t="n">
        <v>6</v>
      </c>
      <c r="T523" s="10" t="n">
        <v>1</v>
      </c>
      <c r="U523" s="4"/>
    </row>
    <row r="524" customFormat="false" ht="15" hidden="false" customHeight="false" outlineLevel="0" collapsed="false">
      <c r="A524" s="4" t="s">
        <v>1160</v>
      </c>
      <c r="B524" s="4" t="s">
        <v>1161</v>
      </c>
      <c r="C524" s="4" t="s">
        <v>29</v>
      </c>
      <c r="D524" s="4" t="s">
        <v>30</v>
      </c>
      <c r="E524" s="4" t="s">
        <v>41</v>
      </c>
      <c r="F524" s="5" t="n">
        <v>3.01</v>
      </c>
      <c r="G524" s="4" t="s">
        <v>26</v>
      </c>
      <c r="H524" s="6" t="n">
        <v>602</v>
      </c>
      <c r="I524" s="7" t="n">
        <v>74.1103312</v>
      </c>
      <c r="J524" s="4" t="s">
        <v>32</v>
      </c>
      <c r="K524" s="4" t="s">
        <v>33</v>
      </c>
      <c r="L524" s="4" t="s">
        <v>34</v>
      </c>
      <c r="M524" s="8" t="n">
        <f aca="false">IF(OR(H524="",I524=""),"",IF(I524&gt;0,H524/I524,""))</f>
        <v>8.12302401368839</v>
      </c>
      <c r="N524" s="4" t="str">
        <f aca="false">IF(I524="",IF(K524="NULL","FCF yok (NULL)","FCF kapsamı dışı"),IF(I524&lt;=0,"anlamsız (FCF ≤ 0)",IF(OR(K524="KOŞULLU"),"FCF KOŞULLU — yorum yapılmaz","")))</f>
        <v/>
      </c>
      <c r="O524" s="9" t="n">
        <f aca="false">IF(Q524="","",F524*R524/Q524-1)</f>
        <v>-0.57843137254902</v>
      </c>
      <c r="P524" s="9" t="n">
        <f aca="false">IF(S524="","",F524*T524/S524-1)</f>
        <v>-0.0593750000000001</v>
      </c>
      <c r="Q524" s="5" t="n">
        <v>7.14</v>
      </c>
      <c r="R524" s="10" t="n">
        <v>1</v>
      </c>
      <c r="S524" s="5" t="n">
        <v>3.2</v>
      </c>
      <c r="T524" s="10" t="n">
        <v>1</v>
      </c>
      <c r="U524" s="4"/>
    </row>
    <row r="525" customFormat="false" ht="15" hidden="false" customHeight="false" outlineLevel="0" collapsed="false">
      <c r="A525" s="4" t="s">
        <v>1162</v>
      </c>
      <c r="B525" s="4" t="s">
        <v>1163</v>
      </c>
      <c r="C525" s="4" t="s">
        <v>29</v>
      </c>
      <c r="D525" s="4" t="s">
        <v>30</v>
      </c>
      <c r="E525" s="4" t="s">
        <v>119</v>
      </c>
      <c r="F525" s="5" t="n">
        <v>1.68</v>
      </c>
      <c r="G525" s="4" t="s">
        <v>207</v>
      </c>
      <c r="H525" s="6" t="n">
        <v>588</v>
      </c>
      <c r="I525" s="7" t="n">
        <v>85.1955392</v>
      </c>
      <c r="J525" s="4" t="s">
        <v>32</v>
      </c>
      <c r="K525" s="4" t="s">
        <v>33</v>
      </c>
      <c r="L525" s="4" t="s">
        <v>34</v>
      </c>
      <c r="M525" s="8" t="n">
        <f aca="false">IF(OR(H525="",I525=""),"",IF(I525&gt;0,H525/I525,""))</f>
        <v>6.90176980533741</v>
      </c>
      <c r="N525" s="4" t="str">
        <f aca="false">IF(I525="",IF(K525="NULL","FCF yok (NULL)","FCF kapsamı dışı"),IF(I525&lt;=0,"anlamsız (FCF ≤ 0)",IF(OR(K525="KOŞULLU"),"FCF KOŞULLU — yorum yapılmaz","")))</f>
        <v/>
      </c>
      <c r="O525" s="9" t="n">
        <f aca="false">IF(Q525="","",F525*R525/Q525-1)</f>
        <v>-0.416666666666667</v>
      </c>
      <c r="P525" s="9" t="n">
        <f aca="false">IF(S525="","",F525*T525/S525-1)</f>
        <v>-0.091891891891892</v>
      </c>
      <c r="Q525" s="5" t="n">
        <v>2.88</v>
      </c>
      <c r="R525" s="10" t="n">
        <v>1</v>
      </c>
      <c r="S525" s="5" t="n">
        <v>1.85</v>
      </c>
      <c r="T525" s="10" t="n">
        <v>1</v>
      </c>
      <c r="U525" s="4"/>
    </row>
    <row r="526" customFormat="false" ht="15" hidden="false" customHeight="false" outlineLevel="0" collapsed="false">
      <c r="A526" s="4" t="s">
        <v>1164</v>
      </c>
      <c r="B526" s="4" t="s">
        <v>1165</v>
      </c>
      <c r="C526" s="4" t="s">
        <v>29</v>
      </c>
      <c r="D526" s="4" t="s">
        <v>30</v>
      </c>
      <c r="E526" s="4" t="s">
        <v>263</v>
      </c>
      <c r="F526" s="5" t="n">
        <v>38.14</v>
      </c>
      <c r="G526" s="4" t="s">
        <v>26</v>
      </c>
      <c r="H526" s="6" t="n">
        <v>116830.98409584</v>
      </c>
      <c r="I526" s="7" t="n">
        <v>-13512.029</v>
      </c>
      <c r="J526" s="4" t="s">
        <v>32</v>
      </c>
      <c r="K526" s="4" t="s">
        <v>33</v>
      </c>
      <c r="L526" s="4" t="s">
        <v>42</v>
      </c>
      <c r="M526" s="8" t="str">
        <f aca="false">IF(OR(H526="",I526=""),"",IF(I526&gt;0,H526/I526,""))</f>
        <v/>
      </c>
      <c r="N526" s="4" t="str">
        <f aca="false">IF(I526="",IF(K526="NULL","FCF yok (NULL)","FCF kapsamı dışı"),IF(I526&lt;=0,"anlamsız (FCF ≤ 0)",IF(OR(K526="KOŞULLU"),"FCF KOŞULLU — yorum yapılmaz","")))</f>
        <v>anlamsız (FCF ≤ 0)</v>
      </c>
      <c r="O526" s="9" t="n">
        <f aca="false">IF(Q526="","",F526*R526/Q526-1)</f>
        <v>0.0176093916755604</v>
      </c>
      <c r="P526" s="9" t="n">
        <f aca="false">IF(S526="","",F526*T526/S526-1)</f>
        <v>-0.0550049554013875</v>
      </c>
      <c r="Q526" s="5" t="n">
        <v>37.48</v>
      </c>
      <c r="R526" s="10" t="n">
        <v>1</v>
      </c>
      <c r="S526" s="5" t="n">
        <v>40.36</v>
      </c>
      <c r="T526" s="10" t="n">
        <v>1</v>
      </c>
      <c r="U526" s="4"/>
    </row>
    <row r="527" customFormat="false" ht="15" hidden="false" customHeight="false" outlineLevel="0" collapsed="false">
      <c r="A527" s="4" t="s">
        <v>1166</v>
      </c>
      <c r="B527" s="4" t="s">
        <v>1167</v>
      </c>
      <c r="C527" s="4" t="s">
        <v>60</v>
      </c>
      <c r="D527" s="4"/>
      <c r="E527" s="4"/>
      <c r="F527" s="5" t="n">
        <v>5.07</v>
      </c>
      <c r="G527" s="4" t="s">
        <v>26</v>
      </c>
      <c r="H527" s="6" t="n">
        <v>12675</v>
      </c>
      <c r="I527" s="7"/>
      <c r="J527" s="4"/>
      <c r="K527" s="4"/>
      <c r="L527" s="4"/>
      <c r="M527" s="8" t="str">
        <f aca="false">IF(OR(H527="",I527=""),"",IF(I527&gt;0,H527/I527,""))</f>
        <v/>
      </c>
      <c r="N527" s="4" t="str">
        <f aca="false">IF(I527="",IF(K527="NULL","FCF yok (NULL)","FCF kapsamı dışı"),IF(I527&lt;=0,"anlamsız (FCF ≤ 0)",IF(OR(K527="KOŞULLU"),"FCF KOŞULLU — yorum yapılmaz","")))</f>
        <v>FCF kapsamı dışı</v>
      </c>
      <c r="O527" s="9" t="n">
        <f aca="false">IF(Q527="","",F527*R527/Q527-1)</f>
        <v>-0.266280752532561</v>
      </c>
      <c r="P527" s="9" t="n">
        <f aca="false">IF(S527="","",F527*T527/S527-1)</f>
        <v>-0.142131979695431</v>
      </c>
      <c r="Q527" s="5" t="n">
        <v>6.91</v>
      </c>
      <c r="R527" s="10" t="n">
        <v>1</v>
      </c>
      <c r="S527" s="5" t="n">
        <v>5.91</v>
      </c>
      <c r="T527" s="10" t="n">
        <v>1</v>
      </c>
      <c r="U527" s="4"/>
    </row>
    <row r="528" customFormat="false" ht="15" hidden="false" customHeight="false" outlineLevel="0" collapsed="false">
      <c r="A528" s="4" t="s">
        <v>1168</v>
      </c>
      <c r="B528" s="4" t="s">
        <v>1169</v>
      </c>
      <c r="C528" s="4" t="s">
        <v>29</v>
      </c>
      <c r="D528" s="4" t="s">
        <v>30</v>
      </c>
      <c r="E528" s="4" t="s">
        <v>171</v>
      </c>
      <c r="F528" s="5" t="n">
        <v>2.54</v>
      </c>
      <c r="G528" s="4" t="s">
        <v>46</v>
      </c>
      <c r="H528" s="6" t="n">
        <v>1270</v>
      </c>
      <c r="I528" s="7" t="n">
        <v>-548.036</v>
      </c>
      <c r="J528" s="4" t="s">
        <v>32</v>
      </c>
      <c r="K528" s="4" t="s">
        <v>33</v>
      </c>
      <c r="L528" s="4" t="s">
        <v>42</v>
      </c>
      <c r="M528" s="8" t="str">
        <f aca="false">IF(OR(H528="",I528=""),"",IF(I528&gt;0,H528/I528,""))</f>
        <v/>
      </c>
      <c r="N528" s="4" t="str">
        <f aca="false">IF(I528="",IF(K528="NULL","FCF yok (NULL)","FCF kapsamı dışı"),IF(I528&lt;=0,"anlamsız (FCF ≤ 0)",IF(OR(K528="KOŞULLU"),"FCF KOŞULLU — yorum yapılmaz","")))</f>
        <v>anlamsız (FCF ≤ 0)</v>
      </c>
      <c r="O528" s="9" t="n">
        <f aca="false">IF(Q528="","",F528*R528/Q528-1)</f>
        <v>-0.45610278372591</v>
      </c>
      <c r="P528" s="9" t="n">
        <f aca="false">IF(S528="","",F528*T528/S528-1)</f>
        <v>-0.0592592592592593</v>
      </c>
      <c r="Q528" s="5" t="n">
        <v>4.67</v>
      </c>
      <c r="R528" s="10" t="n">
        <v>1</v>
      </c>
      <c r="S528" s="5" t="n">
        <v>2.7</v>
      </c>
      <c r="T528" s="10" t="n">
        <v>1</v>
      </c>
      <c r="U528" s="4"/>
    </row>
    <row r="529" customFormat="false" ht="15" hidden="false" customHeight="false" outlineLevel="0" collapsed="false">
      <c r="A529" s="4" t="s">
        <v>1170</v>
      </c>
      <c r="B529" s="4" t="s">
        <v>1171</v>
      </c>
      <c r="C529" s="4" t="s">
        <v>29</v>
      </c>
      <c r="D529" s="4" t="s">
        <v>30</v>
      </c>
      <c r="E529" s="4" t="s">
        <v>159</v>
      </c>
      <c r="F529" s="5" t="n">
        <v>59.25</v>
      </c>
      <c r="G529" s="4" t="s">
        <v>64</v>
      </c>
      <c r="H529" s="6" t="n">
        <v>562.875</v>
      </c>
      <c r="I529" s="7" t="n">
        <v>13.953</v>
      </c>
      <c r="J529" s="4" t="s">
        <v>32</v>
      </c>
      <c r="K529" s="4" t="s">
        <v>33</v>
      </c>
      <c r="L529" s="4" t="s">
        <v>42</v>
      </c>
      <c r="M529" s="8" t="n">
        <f aca="false">IF(OR(H529="",I529=""),"",IF(I529&gt;0,H529/I529,""))</f>
        <v>40.3407869275425</v>
      </c>
      <c r="N529" s="4" t="str">
        <f aca="false">IF(I529="",IF(K529="NULL","FCF yok (NULL)","FCF kapsamı dışı"),IF(I529&lt;=0,"anlamsız (FCF ≤ 0)",IF(OR(K529="KOŞULLU"),"FCF KOŞULLU — yorum yapılmaz","")))</f>
        <v/>
      </c>
      <c r="O529" s="9" t="n">
        <f aca="false">IF(Q529="","",F529*R529/Q529-1)</f>
        <v>-0.53962703962704</v>
      </c>
      <c r="P529" s="9" t="n">
        <f aca="false">IF(S529="","",F529*T529/S529-1)</f>
        <v>-0.428640308582449</v>
      </c>
      <c r="Q529" s="5" t="n">
        <v>128.7</v>
      </c>
      <c r="R529" s="10" t="n">
        <v>1</v>
      </c>
      <c r="S529" s="5" t="n">
        <v>103.7</v>
      </c>
      <c r="T529" s="10" t="n">
        <v>1</v>
      </c>
      <c r="U529" s="4"/>
    </row>
    <row r="530" customFormat="false" ht="15" hidden="false" customHeight="false" outlineLevel="0" collapsed="false">
      <c r="A530" s="4" t="s">
        <v>1172</v>
      </c>
      <c r="B530" s="4" t="s">
        <v>1173</v>
      </c>
      <c r="C530" s="4" t="s">
        <v>25</v>
      </c>
      <c r="D530" s="4"/>
      <c r="E530" s="4"/>
      <c r="F530" s="5" t="n">
        <v>13.81</v>
      </c>
      <c r="G530" s="4" t="s">
        <v>26</v>
      </c>
      <c r="H530" s="6" t="n">
        <v>2140.55</v>
      </c>
      <c r="I530" s="7"/>
      <c r="J530" s="4"/>
      <c r="K530" s="4"/>
      <c r="L530" s="4"/>
      <c r="M530" s="8" t="str">
        <f aca="false">IF(OR(H530="",I530=""),"",IF(I530&gt;0,H530/I530,""))</f>
        <v/>
      </c>
      <c r="N530" s="4" t="str">
        <f aca="false">IF(I530="",IF(K530="NULL","FCF yok (NULL)","FCF kapsamı dışı"),IF(I530&lt;=0,"anlamsız (FCF ≤ 0)",IF(OR(K530="KOŞULLU"),"FCF KOŞULLU — yorum yapılmaz","")))</f>
        <v>FCF kapsamı dışı</v>
      </c>
      <c r="O530" s="9" t="n">
        <f aca="false">IF(Q530="","",F530*R530/Q530-1)</f>
        <v>-0.0662609871534819</v>
      </c>
      <c r="P530" s="9" t="n">
        <f aca="false">IF(S530="","",F530*T530/S530-1)</f>
        <v>-0.0219546742209631</v>
      </c>
      <c r="Q530" s="5" t="n">
        <v>14.79</v>
      </c>
      <c r="R530" s="10" t="n">
        <v>1</v>
      </c>
      <c r="S530" s="5" t="n">
        <v>14.12</v>
      </c>
      <c r="T530" s="10" t="n">
        <v>1</v>
      </c>
      <c r="U530" s="4"/>
    </row>
    <row r="531" customFormat="false" ht="15" hidden="false" customHeight="false" outlineLevel="0" collapsed="false">
      <c r="A531" s="4" t="s">
        <v>1174</v>
      </c>
      <c r="B531" s="4" t="s">
        <v>1175</v>
      </c>
      <c r="C531" s="4" t="s">
        <v>29</v>
      </c>
      <c r="D531" s="4" t="s">
        <v>30</v>
      </c>
      <c r="E531" s="4" t="s">
        <v>159</v>
      </c>
      <c r="F531" s="5" t="n">
        <v>16.26</v>
      </c>
      <c r="G531" s="4" t="s">
        <v>26</v>
      </c>
      <c r="H531" s="6" t="n">
        <v>518.08425</v>
      </c>
      <c r="I531" s="7" t="n">
        <v>1.54268639999994</v>
      </c>
      <c r="J531" s="4" t="s">
        <v>32</v>
      </c>
      <c r="K531" s="4" t="s">
        <v>33</v>
      </c>
      <c r="L531" s="4" t="s">
        <v>34</v>
      </c>
      <c r="M531" s="8" t="n">
        <f aca="false">IF(OR(H531="",I531=""),"",IF(I531&gt;0,H531/I531,""))</f>
        <v>335.832512686973</v>
      </c>
      <c r="N531" s="4" t="str">
        <f aca="false">IF(I531="",IF(K531="NULL","FCF yok (NULL)","FCF kapsamı dışı"),IF(I531&lt;=0,"anlamsız (FCF ≤ 0)",IF(OR(K531="KOŞULLU"),"FCF KOŞULLU — yorum yapılmaz","")))</f>
        <v/>
      </c>
      <c r="O531" s="9" t="n">
        <f aca="false">IF(Q531="","",F531*R531/Q531-1)</f>
        <v>-0.35781990521327</v>
      </c>
      <c r="P531" s="9" t="n">
        <f aca="false">IF(S531="","",F531*T531/S531-1)</f>
        <v>-0.105118326912493</v>
      </c>
      <c r="Q531" s="5" t="n">
        <v>25.32</v>
      </c>
      <c r="R531" s="10" t="n">
        <v>1</v>
      </c>
      <c r="S531" s="5" t="n">
        <v>18.17</v>
      </c>
      <c r="T531" s="10" t="n">
        <v>1</v>
      </c>
      <c r="U531" s="4"/>
    </row>
    <row r="532" customFormat="false" ht="15" hidden="false" customHeight="false" outlineLevel="0" collapsed="false">
      <c r="A532" s="4" t="s">
        <v>1176</v>
      </c>
      <c r="B532" s="4" t="s">
        <v>1177</v>
      </c>
      <c r="C532" s="4" t="s">
        <v>29</v>
      </c>
      <c r="D532" s="4" t="s">
        <v>30</v>
      </c>
      <c r="E532" s="4" t="s">
        <v>126</v>
      </c>
      <c r="F532" s="5" t="n">
        <v>5.03</v>
      </c>
      <c r="G532" s="4" t="s">
        <v>26</v>
      </c>
      <c r="H532" s="6" t="n">
        <v>9142.7292</v>
      </c>
      <c r="I532" s="7" t="n">
        <v>-1481.872</v>
      </c>
      <c r="J532" s="4" t="s">
        <v>32</v>
      </c>
      <c r="K532" s="4" t="s">
        <v>33</v>
      </c>
      <c r="L532" s="4" t="s">
        <v>42</v>
      </c>
      <c r="M532" s="8" t="str">
        <f aca="false">IF(OR(H532="",I532=""),"",IF(I532&gt;0,H532/I532,""))</f>
        <v/>
      </c>
      <c r="N532" s="4" t="str">
        <f aca="false">IF(I532="",IF(K532="NULL","FCF yok (NULL)","FCF kapsamı dışı"),IF(I532&lt;=0,"anlamsız (FCF ≤ 0)",IF(OR(K532="KOŞULLU"),"FCF KOŞULLU — yorum yapılmaz","")))</f>
        <v>anlamsız (FCF ≤ 0)</v>
      </c>
      <c r="O532" s="9" t="n">
        <f aca="false">IF(Q532="","",F532*R532/Q532-1)</f>
        <v>-0.466595970307529</v>
      </c>
      <c r="P532" s="9" t="n">
        <f aca="false">IF(S532="","",F532*T532/S532-1)</f>
        <v>-0.0736648250460404</v>
      </c>
      <c r="Q532" s="5" t="n">
        <v>9.43</v>
      </c>
      <c r="R532" s="10" t="n">
        <v>1</v>
      </c>
      <c r="S532" s="5" t="n">
        <v>5.43</v>
      </c>
      <c r="T532" s="10" t="n">
        <v>1</v>
      </c>
      <c r="U532" s="4"/>
    </row>
    <row r="533" customFormat="false" ht="15" hidden="false" customHeight="false" outlineLevel="0" collapsed="false">
      <c r="A533" s="4" t="s">
        <v>1178</v>
      </c>
      <c r="B533" s="4" t="s">
        <v>1179</v>
      </c>
      <c r="C533" s="4" t="s">
        <v>60</v>
      </c>
      <c r="D533" s="4"/>
      <c r="E533" s="4"/>
      <c r="F533" s="5" t="n">
        <v>6.83</v>
      </c>
      <c r="G533" s="4" t="s">
        <v>26</v>
      </c>
      <c r="H533" s="6" t="n">
        <v>4098</v>
      </c>
      <c r="I533" s="7"/>
      <c r="J533" s="4"/>
      <c r="K533" s="4"/>
      <c r="L533" s="4"/>
      <c r="M533" s="8" t="str">
        <f aca="false">IF(OR(H533="",I533=""),"",IF(I533&gt;0,H533/I533,""))</f>
        <v/>
      </c>
      <c r="N533" s="4" t="str">
        <f aca="false">IF(I533="",IF(K533="NULL","FCF yok (NULL)","FCF kapsamı dışı"),IF(I533&lt;=0,"anlamsız (FCF ≤ 0)",IF(OR(K533="KOŞULLU"),"FCF KOŞULLU — yorum yapılmaz","")))</f>
        <v>FCF kapsamı dışı</v>
      </c>
      <c r="O533" s="9" t="n">
        <f aca="false">IF(Q533="","",F533*R533/Q533-1)</f>
        <v>-0.886041630415094</v>
      </c>
      <c r="P533" s="9" t="n">
        <f aca="false">IF(S533="","",F533*T533/S533-1)</f>
        <v>-0.106020942408377</v>
      </c>
      <c r="Q533" s="5" t="n">
        <v>304.75</v>
      </c>
      <c r="R533" s="10" t="n">
        <v>5.0847457</v>
      </c>
      <c r="S533" s="5" t="n">
        <v>7.64</v>
      </c>
      <c r="T533" s="10" t="n">
        <v>1</v>
      </c>
      <c r="U533" s="4" t="s">
        <v>1180</v>
      </c>
    </row>
    <row r="534" customFormat="false" ht="15" hidden="false" customHeight="false" outlineLevel="0" collapsed="false">
      <c r="A534" s="4" t="s">
        <v>1181</v>
      </c>
      <c r="B534" s="4" t="s">
        <v>1182</v>
      </c>
      <c r="C534" s="4" t="s">
        <v>38</v>
      </c>
      <c r="D534" s="4"/>
      <c r="E534" s="4"/>
      <c r="F534" s="5" t="n">
        <v>2.81</v>
      </c>
      <c r="G534" s="4" t="s">
        <v>46</v>
      </c>
      <c r="H534" s="6" t="n">
        <v>11240</v>
      </c>
      <c r="I534" s="7"/>
      <c r="J534" s="4"/>
      <c r="K534" s="4"/>
      <c r="L534" s="4"/>
      <c r="M534" s="8" t="str">
        <f aca="false">IF(OR(H534="",I534=""),"",IF(I534&gt;0,H534/I534,""))</f>
        <v/>
      </c>
      <c r="N534" s="4" t="str">
        <f aca="false">IF(I534="",IF(K534="NULL","FCF yok (NULL)","FCF kapsamı dışı"),IF(I534&lt;=0,"anlamsız (FCF ≤ 0)",IF(OR(K534="KOŞULLU"),"FCF KOŞULLU — yorum yapılmaz","")))</f>
        <v>FCF kapsamı dışı</v>
      </c>
      <c r="O534" s="9" t="n">
        <f aca="false">IF(Q534="","",F534*R534/Q534-1)</f>
        <v>-0.39957264957265</v>
      </c>
      <c r="P534" s="9" t="n">
        <f aca="false">IF(S534="","",F534*T534/S534-1)</f>
        <v>0.0446096654275094</v>
      </c>
      <c r="Q534" s="5" t="n">
        <v>4.68</v>
      </c>
      <c r="R534" s="10" t="n">
        <v>1</v>
      </c>
      <c r="S534" s="5" t="n">
        <v>2.69</v>
      </c>
      <c r="T534" s="10" t="n">
        <v>1</v>
      </c>
      <c r="U534" s="4"/>
    </row>
    <row r="535" customFormat="false" ht="15" hidden="false" customHeight="false" outlineLevel="0" collapsed="false">
      <c r="A535" s="4" t="s">
        <v>1183</v>
      </c>
      <c r="B535" s="4" t="s">
        <v>1184</v>
      </c>
      <c r="C535" s="4" t="s">
        <v>29</v>
      </c>
      <c r="D535" s="4" t="s">
        <v>30</v>
      </c>
      <c r="E535" s="4" t="s">
        <v>565</v>
      </c>
      <c r="F535" s="5" t="n">
        <v>2.28</v>
      </c>
      <c r="G535" s="4" t="s">
        <v>46</v>
      </c>
      <c r="H535" s="6" t="n">
        <v>1368</v>
      </c>
      <c r="I535" s="7" t="n">
        <v>320.3424768</v>
      </c>
      <c r="J535" s="4" t="s">
        <v>32</v>
      </c>
      <c r="K535" s="4" t="s">
        <v>33</v>
      </c>
      <c r="L535" s="4" t="s">
        <v>57</v>
      </c>
      <c r="M535" s="8" t="n">
        <f aca="false">IF(OR(H535="",I535=""),"",IF(I535&gt;0,H535/I535,""))</f>
        <v>4.27042961540841</v>
      </c>
      <c r="N535" s="4" t="str">
        <f aca="false">IF(I535="",IF(K535="NULL","FCF yok (NULL)","FCF kapsamı dışı"),IF(I535&lt;=0,"anlamsız (FCF ≤ 0)",IF(OR(K535="KOŞULLU"),"FCF KOŞULLU — yorum yapılmaz","")))</f>
        <v/>
      </c>
      <c r="O535" s="9" t="n">
        <f aca="false">IF(Q535="","",F535*R535/Q535-1)</f>
        <v>-0.540322580645161</v>
      </c>
      <c r="P535" s="9" t="n">
        <f aca="false">IF(S535="","",F535*T535/S535-1)</f>
        <v>-0.116279069767442</v>
      </c>
      <c r="Q535" s="5" t="n">
        <v>4.96</v>
      </c>
      <c r="R535" s="10" t="n">
        <v>1</v>
      </c>
      <c r="S535" s="5" t="n">
        <v>2.58</v>
      </c>
      <c r="T535" s="10" t="n">
        <v>1</v>
      </c>
      <c r="U535" s="4"/>
    </row>
    <row r="536" customFormat="false" ht="15" hidden="false" customHeight="false" outlineLevel="0" collapsed="false">
      <c r="A536" s="4" t="s">
        <v>1185</v>
      </c>
      <c r="B536" s="4" t="s">
        <v>1186</v>
      </c>
      <c r="C536" s="4" t="s">
        <v>29</v>
      </c>
      <c r="D536" s="4" t="s">
        <v>30</v>
      </c>
      <c r="E536" s="4" t="s">
        <v>171</v>
      </c>
      <c r="F536" s="5" t="n">
        <v>18.44</v>
      </c>
      <c r="G536" s="4" t="s">
        <v>141</v>
      </c>
      <c r="H536" s="6" t="n">
        <v>7191.6</v>
      </c>
      <c r="I536" s="7" t="n">
        <v>554.2561824</v>
      </c>
      <c r="J536" s="4" t="s">
        <v>32</v>
      </c>
      <c r="K536" s="4" t="s">
        <v>33</v>
      </c>
      <c r="L536" s="4" t="s">
        <v>34</v>
      </c>
      <c r="M536" s="8" t="n">
        <f aca="false">IF(OR(H536="",I536=""),"",IF(I536&gt;0,H536/I536,""))</f>
        <v>12.9752273918885</v>
      </c>
      <c r="N536" s="4" t="str">
        <f aca="false">IF(I536="",IF(K536="NULL","FCF yok (NULL)","FCF kapsamı dışı"),IF(I536&lt;=0,"anlamsız (FCF ≤ 0)",IF(OR(K536="KOŞULLU"),"FCF KOŞULLU — yorum yapılmaz","")))</f>
        <v/>
      </c>
      <c r="O536" s="9" t="n">
        <f aca="false">IF(Q536="","",F536*R536/Q536-1)</f>
        <v>-0.188380281690141</v>
      </c>
      <c r="P536" s="9" t="n">
        <f aca="false">IF(S536="","",F536*T536/S536-1)</f>
        <v>0.00545256270447125</v>
      </c>
      <c r="Q536" s="5" t="n">
        <v>22.72</v>
      </c>
      <c r="R536" s="10" t="n">
        <v>1</v>
      </c>
      <c r="S536" s="5" t="n">
        <v>18.34</v>
      </c>
      <c r="T536" s="10" t="n">
        <v>1</v>
      </c>
      <c r="U536" s="4"/>
    </row>
    <row r="537" customFormat="false" ht="15" hidden="false" customHeight="false" outlineLevel="0" collapsed="false">
      <c r="A537" s="4" t="s">
        <v>1187</v>
      </c>
      <c r="B537" s="4" t="s">
        <v>1188</v>
      </c>
      <c r="C537" s="4" t="s">
        <v>29</v>
      </c>
      <c r="D537" s="4" t="s">
        <v>30</v>
      </c>
      <c r="E537" s="4" t="s">
        <v>41</v>
      </c>
      <c r="F537" s="5" t="n">
        <v>6.38</v>
      </c>
      <c r="G537" s="4" t="s">
        <v>141</v>
      </c>
      <c r="H537" s="6" t="n">
        <v>765.6</v>
      </c>
      <c r="I537" s="7" t="n">
        <v>-40.5750752</v>
      </c>
      <c r="J537" s="4" t="s">
        <v>32</v>
      </c>
      <c r="K537" s="4" t="s">
        <v>33</v>
      </c>
      <c r="L537" s="4" t="s">
        <v>57</v>
      </c>
      <c r="M537" s="8" t="str">
        <f aca="false">IF(OR(H537="",I537=""),"",IF(I537&gt;0,H537/I537,""))</f>
        <v/>
      </c>
      <c r="N537" s="4" t="str">
        <f aca="false">IF(I537="",IF(K537="NULL","FCF yok (NULL)","FCF kapsamı dışı"),IF(I537&lt;=0,"anlamsız (FCF ≤ 0)",IF(OR(K537="KOŞULLU"),"FCF KOŞULLU — yorum yapılmaz","")))</f>
        <v>anlamsız (FCF ≤ 0)</v>
      </c>
      <c r="O537" s="9" t="n">
        <f aca="false">IF(Q537="","",F537*R537/Q537-1)</f>
        <v>-0.514089870525514</v>
      </c>
      <c r="P537" s="9" t="n">
        <f aca="false">IF(S537="","",F537*T537/S537-1)</f>
        <v>0.0323624595469256</v>
      </c>
      <c r="Q537" s="5" t="n">
        <v>13.13</v>
      </c>
      <c r="R537" s="10" t="n">
        <v>1</v>
      </c>
      <c r="S537" s="5" t="n">
        <v>6.18</v>
      </c>
      <c r="T537" s="10" t="n">
        <v>1</v>
      </c>
      <c r="U537" s="4"/>
    </row>
    <row r="538" customFormat="false" ht="15" hidden="false" customHeight="false" outlineLevel="0" collapsed="false">
      <c r="A538" s="4" t="s">
        <v>1189</v>
      </c>
      <c r="B538" s="4" t="s">
        <v>1190</v>
      </c>
      <c r="C538" s="4" t="s">
        <v>29</v>
      </c>
      <c r="D538" s="4" t="s">
        <v>30</v>
      </c>
      <c r="E538" s="4" t="s">
        <v>31</v>
      </c>
      <c r="F538" s="5" t="n">
        <v>7.64</v>
      </c>
      <c r="G538" s="4" t="s">
        <v>26</v>
      </c>
      <c r="H538" s="6" t="n">
        <v>2343.64897468</v>
      </c>
      <c r="I538" s="7"/>
      <c r="J538" s="4" t="s">
        <v>32</v>
      </c>
      <c r="K538" s="4" t="s">
        <v>116</v>
      </c>
      <c r="L538" s="4" t="s">
        <v>42</v>
      </c>
      <c r="M538" s="8" t="str">
        <f aca="false">IF(OR(H538="",I538=""),"",IF(I538&gt;0,H538/I538,""))</f>
        <v/>
      </c>
      <c r="N538" s="4" t="str">
        <f aca="false">IF(I538="",IF(K538="NULL","FCF yok (NULL)","FCF kapsamı dışı"),IF(I538&lt;=0,"anlamsız (FCF ≤ 0)",IF(OR(K538="KOŞULLU"),"FCF KOŞULLU — yorum yapılmaz","")))</f>
        <v>FCF yok (NULL)</v>
      </c>
      <c r="O538" s="9" t="str">
        <f aca="false">IF(Q538="","",F538*R538/Q538-1)</f>
        <v/>
      </c>
      <c r="P538" s="9" t="n">
        <f aca="false">IF(S538="","",F538*T538/S538-1)</f>
        <v>-0.106432748538012</v>
      </c>
      <c r="Q538" s="5"/>
      <c r="R538" s="10" t="n">
        <v>1</v>
      </c>
      <c r="S538" s="5" t="n">
        <v>8.55</v>
      </c>
      <c r="T538" s="10" t="n">
        <v>1</v>
      </c>
      <c r="U538" s="4"/>
    </row>
    <row r="539" customFormat="false" ht="15" hidden="false" customHeight="false" outlineLevel="0" collapsed="false">
      <c r="A539" s="4" t="s">
        <v>1191</v>
      </c>
      <c r="B539" s="4" t="s">
        <v>1192</v>
      </c>
      <c r="C539" s="4" t="s">
        <v>29</v>
      </c>
      <c r="D539" s="4" t="s">
        <v>30</v>
      </c>
      <c r="E539" s="4" t="s">
        <v>53</v>
      </c>
      <c r="F539" s="5" t="n">
        <v>7.12</v>
      </c>
      <c r="G539" s="4" t="s">
        <v>26</v>
      </c>
      <c r="H539" s="6" t="n">
        <v>2751.88</v>
      </c>
      <c r="I539" s="7" t="n">
        <v>327.181</v>
      </c>
      <c r="J539" s="4" t="s">
        <v>32</v>
      </c>
      <c r="K539" s="4" t="s">
        <v>33</v>
      </c>
      <c r="L539" s="4" t="s">
        <v>42</v>
      </c>
      <c r="M539" s="8" t="n">
        <f aca="false">IF(OR(H539="",I539=""),"",IF(I539&gt;0,H539/I539,""))</f>
        <v>8.41087960486703</v>
      </c>
      <c r="N539" s="4" t="str">
        <f aca="false">IF(I539="",IF(K539="NULL","FCF yok (NULL)","FCF kapsamı dışı"),IF(I539&lt;=0,"anlamsız (FCF ≤ 0)",IF(OR(K539="KOŞULLU"),"FCF KOŞULLU — yorum yapılmaz","")))</f>
        <v/>
      </c>
      <c r="O539" s="9" t="n">
        <f aca="false">IF(Q539="","",F539*R539/Q539-1)</f>
        <v>-0.421138211382114</v>
      </c>
      <c r="P539" s="9" t="n">
        <f aca="false">IF(S539="","",F539*T539/S539-1)</f>
        <v>-0.116625310173697</v>
      </c>
      <c r="Q539" s="5" t="n">
        <v>12.3</v>
      </c>
      <c r="R539" s="10" t="n">
        <v>1</v>
      </c>
      <c r="S539" s="5" t="n">
        <v>8.06</v>
      </c>
      <c r="T539" s="10" t="n">
        <v>1</v>
      </c>
      <c r="U539" s="4"/>
    </row>
    <row r="540" customFormat="false" ht="15" hidden="false" customHeight="false" outlineLevel="0" collapsed="false">
      <c r="A540" s="4" t="s">
        <v>1193</v>
      </c>
      <c r="B540" s="4" t="s">
        <v>1194</v>
      </c>
      <c r="C540" s="4" t="s">
        <v>29</v>
      </c>
      <c r="D540" s="4" t="s">
        <v>30</v>
      </c>
      <c r="E540" s="4" t="s">
        <v>272</v>
      </c>
      <c r="F540" s="5" t="n">
        <v>56.5</v>
      </c>
      <c r="G540" s="4" t="s">
        <v>26</v>
      </c>
      <c r="H540" s="6" t="n">
        <v>33520.885452</v>
      </c>
      <c r="I540" s="7" t="n">
        <v>15943.24</v>
      </c>
      <c r="J540" s="4" t="s">
        <v>32</v>
      </c>
      <c r="K540" s="4" t="s">
        <v>33</v>
      </c>
      <c r="L540" s="4" t="s">
        <v>42</v>
      </c>
      <c r="M540" s="8" t="n">
        <f aca="false">IF(OR(H540="",I540=""),"",IF(I540&gt;0,H540/I540,""))</f>
        <v>2.10251400919763</v>
      </c>
      <c r="N540" s="4" t="str">
        <f aca="false">IF(I540="",IF(K540="NULL","FCF yok (NULL)","FCF kapsamı dışı"),IF(I540&lt;=0,"anlamsız (FCF ≤ 0)",IF(OR(K540="KOŞULLU"),"FCF KOŞULLU — yorum yapılmaz","")))</f>
        <v/>
      </c>
      <c r="O540" s="9" t="n">
        <f aca="false">IF(Q540="","",F540*R540/Q540-1)</f>
        <v>0.514745308310992</v>
      </c>
      <c r="P540" s="9" t="n">
        <f aca="false">IF(S540="","",F540*T540/S540-1)</f>
        <v>-0.0358361774744027</v>
      </c>
      <c r="Q540" s="5" t="n">
        <v>37.3</v>
      </c>
      <c r="R540" s="10" t="n">
        <v>1</v>
      </c>
      <c r="S540" s="5" t="n">
        <v>58.6</v>
      </c>
      <c r="T540" s="10" t="n">
        <v>1</v>
      </c>
      <c r="U540" s="4"/>
    </row>
    <row r="541" customFormat="false" ht="15" hidden="false" customHeight="false" outlineLevel="0" collapsed="false">
      <c r="A541" s="4" t="s">
        <v>1195</v>
      </c>
      <c r="B541" s="4" t="s">
        <v>1196</v>
      </c>
      <c r="C541" s="4" t="s">
        <v>29</v>
      </c>
      <c r="D541" s="4" t="s">
        <v>30</v>
      </c>
      <c r="E541" s="4" t="s">
        <v>171</v>
      </c>
      <c r="F541" s="5" t="n">
        <v>123.5</v>
      </c>
      <c r="G541" s="4" t="s">
        <v>1197</v>
      </c>
      <c r="H541" s="6" t="n">
        <v>9139</v>
      </c>
      <c r="I541" s="7" t="n">
        <v>109.0904208</v>
      </c>
      <c r="J541" s="4" t="s">
        <v>32</v>
      </c>
      <c r="K541" s="4" t="s">
        <v>154</v>
      </c>
      <c r="L541" s="4" t="s">
        <v>34</v>
      </c>
      <c r="M541" s="8" t="n">
        <f aca="false">IF(OR(H541="",I541=""),"",IF(I541&gt;0,H541/I541,""))</f>
        <v>83.7745416415151</v>
      </c>
      <c r="N541" s="4" t="str">
        <f aca="false">IF(I541="",IF(K541="NULL","FCF yok (NULL)","FCF kapsamı dışı"),IF(I541&lt;=0,"anlamsız (FCF ≤ 0)",IF(OR(K541="KOŞULLU"),"FCF KOŞULLU — yorum yapılmaz","")))</f>
        <v>FCF KOŞULLU — yorum yapılmaz</v>
      </c>
      <c r="O541" s="9" t="n">
        <f aca="false">IF(Q541="","",F541*R541/Q541-1)</f>
        <v>-0.0396578538102643</v>
      </c>
      <c r="P541" s="9" t="n">
        <f aca="false">IF(S541="","",F541*T541/S541-1)</f>
        <v>-0.0244865718799367</v>
      </c>
      <c r="Q541" s="5" t="n">
        <v>128.6</v>
      </c>
      <c r="R541" s="10" t="n">
        <v>1</v>
      </c>
      <c r="S541" s="5" t="n">
        <v>126.6</v>
      </c>
      <c r="T541" s="10" t="n">
        <v>1</v>
      </c>
      <c r="U541" s="4"/>
    </row>
    <row r="542" customFormat="false" ht="15" hidden="false" customHeight="false" outlineLevel="0" collapsed="false">
      <c r="A542" s="4" t="s">
        <v>1198</v>
      </c>
      <c r="B542" s="4" t="s">
        <v>1199</v>
      </c>
      <c r="C542" s="4" t="s">
        <v>38</v>
      </c>
      <c r="D542" s="4"/>
      <c r="E542" s="4"/>
      <c r="F542" s="5" t="n">
        <v>2.26</v>
      </c>
      <c r="G542" s="4" t="s">
        <v>26</v>
      </c>
      <c r="H542" s="6" t="n">
        <v>7345</v>
      </c>
      <c r="I542" s="7"/>
      <c r="J542" s="4"/>
      <c r="K542" s="4"/>
      <c r="L542" s="4"/>
      <c r="M542" s="8" t="str">
        <f aca="false">IF(OR(H542="",I542=""),"",IF(I542&gt;0,H542/I542,""))</f>
        <v/>
      </c>
      <c r="N542" s="4" t="str">
        <f aca="false">IF(I542="",IF(K542="NULL","FCF yok (NULL)","FCF kapsamı dışı"),IF(I542&lt;=0,"anlamsız (FCF ≤ 0)",IF(OR(K542="KOŞULLU"),"FCF KOŞULLU — yorum yapılmaz","")))</f>
        <v>FCF kapsamı dışı</v>
      </c>
      <c r="O542" s="9" t="n">
        <f aca="false">IF(Q542="","",F542*R542/Q542-1)</f>
        <v>-0.317220543806647</v>
      </c>
      <c r="P542" s="9" t="n">
        <f aca="false">IF(S542="","",F542*T542/S542-1)</f>
        <v>0.0761904761904761</v>
      </c>
      <c r="Q542" s="5" t="n">
        <v>3.31</v>
      </c>
      <c r="R542" s="10" t="n">
        <v>1</v>
      </c>
      <c r="S542" s="5" t="n">
        <v>2.1</v>
      </c>
      <c r="T542" s="10" t="n">
        <v>1</v>
      </c>
      <c r="U542" s="4"/>
    </row>
    <row r="543" customFormat="false" ht="15" hidden="false" customHeight="false" outlineLevel="0" collapsed="false">
      <c r="A543" s="4" t="s">
        <v>1200</v>
      </c>
      <c r="B543" s="4" t="s">
        <v>1201</v>
      </c>
      <c r="C543" s="4" t="s">
        <v>29</v>
      </c>
      <c r="D543" s="4" t="s">
        <v>30</v>
      </c>
      <c r="E543" s="4" t="s">
        <v>210</v>
      </c>
      <c r="F543" s="5" t="n">
        <v>27.06</v>
      </c>
      <c r="G543" s="4" t="s">
        <v>26</v>
      </c>
      <c r="H543" s="6" t="n">
        <v>17870.12609646</v>
      </c>
      <c r="I543" s="7"/>
      <c r="J543" s="4" t="s">
        <v>32</v>
      </c>
      <c r="K543" s="4" t="s">
        <v>116</v>
      </c>
      <c r="L543" s="4" t="s">
        <v>42</v>
      </c>
      <c r="M543" s="8" t="str">
        <f aca="false">IF(OR(H543="",I543=""),"",IF(I543&gt;0,H543/I543,""))</f>
        <v/>
      </c>
      <c r="N543" s="4" t="str">
        <f aca="false">IF(I543="",IF(K543="NULL","FCF yok (NULL)","FCF kapsamı dışı"),IF(I543&lt;=0,"anlamsız (FCF ≤ 0)",IF(OR(K543="KOŞULLU"),"FCF KOŞULLU — yorum yapılmaz","")))</f>
        <v>FCF yok (NULL)</v>
      </c>
      <c r="O543" s="9" t="str">
        <f aca="false">IF(Q543="","",F543*R543/Q543-1)</f>
        <v/>
      </c>
      <c r="P543" s="9" t="n">
        <f aca="false">IF(S543="","",F543*T543/S543-1)</f>
        <v>-0.0294117647058824</v>
      </c>
      <c r="Q543" s="5"/>
      <c r="R543" s="10" t="n">
        <v>1</v>
      </c>
      <c r="S543" s="5" t="n">
        <v>27.88</v>
      </c>
      <c r="T543" s="10" t="n">
        <v>1</v>
      </c>
      <c r="U543" s="4"/>
    </row>
    <row r="544" customFormat="false" ht="15" hidden="false" customHeight="false" outlineLevel="0" collapsed="false">
      <c r="A544" s="4" t="s">
        <v>1202</v>
      </c>
      <c r="B544" s="4" t="s">
        <v>1203</v>
      </c>
      <c r="C544" s="4" t="s">
        <v>29</v>
      </c>
      <c r="D544" s="4" t="s">
        <v>30</v>
      </c>
      <c r="E544" s="4" t="s">
        <v>418</v>
      </c>
      <c r="F544" s="5" t="n">
        <v>204.9</v>
      </c>
      <c r="G544" s="4" t="s">
        <v>141</v>
      </c>
      <c r="H544" s="6" t="n">
        <v>1275.37956</v>
      </c>
      <c r="I544" s="7" t="n">
        <v>-41.8160928</v>
      </c>
      <c r="J544" s="4" t="s">
        <v>32</v>
      </c>
      <c r="K544" s="4" t="s">
        <v>33</v>
      </c>
      <c r="L544" s="4" t="s">
        <v>57</v>
      </c>
      <c r="M544" s="8" t="str">
        <f aca="false">IF(OR(H544="",I544=""),"",IF(I544&gt;0,H544/I544,""))</f>
        <v/>
      </c>
      <c r="N544" s="4" t="str">
        <f aca="false">IF(I544="",IF(K544="NULL","FCF yok (NULL)","FCF kapsamı dışı"),IF(I544&lt;=0,"anlamsız (FCF ≤ 0)",IF(OR(K544="KOŞULLU"),"FCF KOŞULLU — yorum yapılmaz","")))</f>
        <v>anlamsız (FCF ≤ 0)</v>
      </c>
      <c r="O544" s="9" t="n">
        <f aca="false">IF(Q544="","",F544*R544/Q544-1)</f>
        <v>-0.330392156862745</v>
      </c>
      <c r="P544" s="9" t="n">
        <f aca="false">IF(S544="","",F544*T544/S544-1)</f>
        <v>-0.027065527065527</v>
      </c>
      <c r="Q544" s="5" t="n">
        <v>306</v>
      </c>
      <c r="R544" s="10" t="n">
        <v>1</v>
      </c>
      <c r="S544" s="5" t="n">
        <v>210.6</v>
      </c>
      <c r="T544" s="10" t="n">
        <v>1</v>
      </c>
      <c r="U544" s="4"/>
    </row>
    <row r="545" customFormat="false" ht="15" hidden="false" customHeight="false" outlineLevel="0" collapsed="false">
      <c r="A545" s="4" t="s">
        <v>1204</v>
      </c>
      <c r="B545" s="4" t="s">
        <v>1205</v>
      </c>
      <c r="C545" s="4" t="s">
        <v>29</v>
      </c>
      <c r="D545" s="4" t="s">
        <v>30</v>
      </c>
      <c r="E545" s="4" t="s">
        <v>171</v>
      </c>
      <c r="F545" s="5" t="n">
        <v>25.46</v>
      </c>
      <c r="G545" s="4" t="s">
        <v>213</v>
      </c>
      <c r="H545" s="6" t="n">
        <v>12083.316</v>
      </c>
      <c r="I545" s="7" t="n">
        <v>699.0246512</v>
      </c>
      <c r="J545" s="4" t="s">
        <v>32</v>
      </c>
      <c r="K545" s="4" t="s">
        <v>154</v>
      </c>
      <c r="L545" s="4" t="s">
        <v>34</v>
      </c>
      <c r="M545" s="8" t="n">
        <f aca="false">IF(OR(H545="",I545=""),"",IF(I545&gt;0,H545/I545,""))</f>
        <v>17.285965493859</v>
      </c>
      <c r="N545" s="4" t="str">
        <f aca="false">IF(I545="",IF(K545="NULL","FCF yok (NULL)","FCF kapsamı dışı"),IF(I545&lt;=0,"anlamsız (FCF ≤ 0)",IF(OR(K545="KOŞULLU"),"FCF KOŞULLU — yorum yapılmaz","")))</f>
        <v>FCF KOŞULLU — yorum yapılmaz</v>
      </c>
      <c r="O545" s="9" t="n">
        <f aca="false">IF(Q545="","",F545*R545/Q545-1)</f>
        <v>-0.450938106534397</v>
      </c>
      <c r="P545" s="9" t="n">
        <f aca="false">IF(S545="","",F545*T545/S545-1)</f>
        <v>-0.0639705882352941</v>
      </c>
      <c r="Q545" s="5" t="n">
        <v>46.37</v>
      </c>
      <c r="R545" s="10" t="n">
        <v>1</v>
      </c>
      <c r="S545" s="5" t="n">
        <v>27.2</v>
      </c>
      <c r="T545" s="10" t="n">
        <v>1</v>
      </c>
      <c r="U545" s="4"/>
    </row>
    <row r="546" customFormat="false" ht="15" hidden="false" customHeight="false" outlineLevel="0" collapsed="false">
      <c r="A546" s="4" t="s">
        <v>1206</v>
      </c>
      <c r="B546" s="4" t="s">
        <v>1207</v>
      </c>
      <c r="C546" s="4" t="s">
        <v>38</v>
      </c>
      <c r="D546" s="4"/>
      <c r="E546" s="4"/>
      <c r="F546" s="5" t="n">
        <v>19.96</v>
      </c>
      <c r="G546" s="4" t="s">
        <v>26</v>
      </c>
      <c r="H546" s="6" t="n">
        <v>3343.3</v>
      </c>
      <c r="I546" s="7"/>
      <c r="J546" s="4"/>
      <c r="K546" s="4"/>
      <c r="L546" s="4"/>
      <c r="M546" s="8" t="str">
        <f aca="false">IF(OR(H546="",I546=""),"",IF(I546&gt;0,H546/I546,""))</f>
        <v/>
      </c>
      <c r="N546" s="4" t="str">
        <f aca="false">IF(I546="",IF(K546="NULL","FCF yok (NULL)","FCF kapsamı dışı"),IF(I546&lt;=0,"anlamsız (FCF ≤ 0)",IF(OR(K546="KOŞULLU"),"FCF KOŞULLU — yorum yapılmaz","")))</f>
        <v>FCF kapsamı dışı</v>
      </c>
      <c r="O546" s="9" t="n">
        <f aca="false">IF(Q546="","",F546*R546/Q546-1)</f>
        <v>-0.560352422907489</v>
      </c>
      <c r="P546" s="9" t="n">
        <f aca="false">IF(S546="","",F546*T546/S546-1)</f>
        <v>-0.163453478625314</v>
      </c>
      <c r="Q546" s="5" t="n">
        <v>45.4</v>
      </c>
      <c r="R546" s="10" t="n">
        <v>1</v>
      </c>
      <c r="S546" s="5" t="n">
        <v>23.86</v>
      </c>
      <c r="T546" s="10" t="n">
        <v>1</v>
      </c>
      <c r="U546" s="4"/>
    </row>
    <row r="547" customFormat="false" ht="15" hidden="false" customHeight="false" outlineLevel="0" collapsed="false">
      <c r="A547" s="4" t="s">
        <v>1208</v>
      </c>
      <c r="B547" s="4" t="s">
        <v>1209</v>
      </c>
      <c r="C547" s="4" t="s">
        <v>29</v>
      </c>
      <c r="D547" s="4" t="s">
        <v>30</v>
      </c>
      <c r="E547" s="4" t="s">
        <v>171</v>
      </c>
      <c r="F547" s="5" t="n">
        <v>5.08</v>
      </c>
      <c r="G547" s="4" t="s">
        <v>26</v>
      </c>
      <c r="H547" s="6" t="n">
        <v>2844.8</v>
      </c>
      <c r="I547" s="7" t="n">
        <v>66.0650000000001</v>
      </c>
      <c r="J547" s="4" t="s">
        <v>32</v>
      </c>
      <c r="K547" s="4" t="s">
        <v>33</v>
      </c>
      <c r="L547" s="4" t="s">
        <v>42</v>
      </c>
      <c r="M547" s="8" t="n">
        <f aca="false">IF(OR(H547="",I547=""),"",IF(I547&gt;0,H547/I547,""))</f>
        <v>43.0606221145841</v>
      </c>
      <c r="N547" s="4" t="str">
        <f aca="false">IF(I547="",IF(K547="NULL","FCF yok (NULL)","FCF kapsamı dışı"),IF(I547&lt;=0,"anlamsız (FCF ≤ 0)",IF(OR(K547="KOŞULLU"),"FCF KOŞULLU — yorum yapılmaz","")))</f>
        <v/>
      </c>
      <c r="O547" s="9" t="n">
        <f aca="false">IF(Q547="","",F547*R547/Q547-1)</f>
        <v>-0.541102077687444</v>
      </c>
      <c r="P547" s="9" t="n">
        <f aca="false">IF(S547="","",F547*T547/S547-1)</f>
        <v>-0.0540037243947858</v>
      </c>
      <c r="Q547" s="5" t="n">
        <v>11.07</v>
      </c>
      <c r="R547" s="10" t="n">
        <v>1</v>
      </c>
      <c r="S547" s="5" t="n">
        <v>5.37</v>
      </c>
      <c r="T547" s="10" t="n">
        <v>1</v>
      </c>
      <c r="U547" s="4"/>
    </row>
    <row r="548" customFormat="false" ht="15" hidden="false" customHeight="false" outlineLevel="0" collapsed="false">
      <c r="A548" s="4" t="s">
        <v>1210</v>
      </c>
      <c r="B548" s="4" t="s">
        <v>1211</v>
      </c>
      <c r="C548" s="4" t="s">
        <v>38</v>
      </c>
      <c r="D548" s="4"/>
      <c r="E548" s="4"/>
      <c r="F548" s="5" t="n">
        <v>3.24</v>
      </c>
      <c r="G548" s="4" t="s">
        <v>26</v>
      </c>
      <c r="H548" s="6" t="n">
        <v>3508.92</v>
      </c>
      <c r="I548" s="7"/>
      <c r="J548" s="4"/>
      <c r="K548" s="4"/>
      <c r="L548" s="4"/>
      <c r="M548" s="8" t="str">
        <f aca="false">IF(OR(H548="",I548=""),"",IF(I548&gt;0,H548/I548,""))</f>
        <v/>
      </c>
      <c r="N548" s="4" t="str">
        <f aca="false">IF(I548="",IF(K548="NULL","FCF yok (NULL)","FCF kapsamı dışı"),IF(I548&lt;=0,"anlamsız (FCF ≤ 0)",IF(OR(K548="KOŞULLU"),"FCF KOŞULLU — yorum yapılmaz","")))</f>
        <v>FCF kapsamı dışı</v>
      </c>
      <c r="O548" s="9" t="str">
        <f aca="false">IF(Q548="","",F548*R548/Q548-1)</f>
        <v/>
      </c>
      <c r="P548" s="9" t="n">
        <f aca="false">IF(S548="","",F548*T548/S548-1)</f>
        <v>-0.682664054848188</v>
      </c>
      <c r="Q548" s="5"/>
      <c r="R548" s="10" t="n">
        <v>1</v>
      </c>
      <c r="S548" s="5" t="n">
        <v>10.21</v>
      </c>
      <c r="T548" s="10" t="n">
        <v>1</v>
      </c>
      <c r="U548" s="4"/>
    </row>
    <row r="549" customFormat="false" ht="15" hidden="false" customHeight="false" outlineLevel="0" collapsed="false">
      <c r="A549" s="4" t="s">
        <v>1212</v>
      </c>
      <c r="B549" s="4" t="s">
        <v>1213</v>
      </c>
      <c r="C549" s="4" t="s">
        <v>29</v>
      </c>
      <c r="D549" s="4" t="s">
        <v>30</v>
      </c>
      <c r="E549" s="4" t="s">
        <v>53</v>
      </c>
      <c r="F549" s="5" t="n">
        <v>222.6</v>
      </c>
      <c r="G549" s="4" t="s">
        <v>26</v>
      </c>
      <c r="H549" s="6" t="n">
        <v>58163.5992</v>
      </c>
      <c r="I549" s="7" t="n">
        <v>-523.39</v>
      </c>
      <c r="J549" s="4" t="s">
        <v>32</v>
      </c>
      <c r="K549" s="4" t="s">
        <v>33</v>
      </c>
      <c r="L549" s="4" t="s">
        <v>42</v>
      </c>
      <c r="M549" s="8" t="str">
        <f aca="false">IF(OR(H549="",I549=""),"",IF(I549&gt;0,H549/I549,""))</f>
        <v/>
      </c>
      <c r="N549" s="4" t="str">
        <f aca="false">IF(I549="",IF(K549="NULL","FCF yok (NULL)","FCF kapsamı dışı"),IF(I549&lt;=0,"anlamsız (FCF ≤ 0)",IF(OR(K549="KOŞULLU"),"FCF KOŞULLU — yorum yapılmaz","")))</f>
        <v>anlamsız (FCF ≤ 0)</v>
      </c>
      <c r="O549" s="9" t="n">
        <f aca="false">IF(Q549="","",F549*R549/Q549-1)</f>
        <v>-0.0487179487179488</v>
      </c>
      <c r="P549" s="9" t="n">
        <f aca="false">IF(S549="","",F549*T549/S549-1)</f>
        <v>-0.0167844522968198</v>
      </c>
      <c r="Q549" s="5" t="n">
        <v>234</v>
      </c>
      <c r="R549" s="10" t="n">
        <v>1</v>
      </c>
      <c r="S549" s="5" t="n">
        <v>226.4</v>
      </c>
      <c r="T549" s="10" t="n">
        <v>1</v>
      </c>
      <c r="U549" s="4"/>
    </row>
    <row r="550" customFormat="false" ht="15" hidden="false" customHeight="false" outlineLevel="0" collapsed="false">
      <c r="A550" s="4" t="s">
        <v>1214</v>
      </c>
      <c r="B550" s="4" t="s">
        <v>1215</v>
      </c>
      <c r="C550" s="4" t="s">
        <v>29</v>
      </c>
      <c r="D550" s="4" t="s">
        <v>30</v>
      </c>
      <c r="E550" s="4" t="s">
        <v>41</v>
      </c>
      <c r="F550" s="5" t="n">
        <v>377.25</v>
      </c>
      <c r="G550" s="4" t="s">
        <v>26</v>
      </c>
      <c r="H550" s="6" t="n">
        <v>7922.25</v>
      </c>
      <c r="I550" s="7" t="n">
        <v>-432.653</v>
      </c>
      <c r="J550" s="4" t="s">
        <v>32</v>
      </c>
      <c r="K550" s="4" t="s">
        <v>33</v>
      </c>
      <c r="L550" s="4" t="s">
        <v>42</v>
      </c>
      <c r="M550" s="8" t="str">
        <f aca="false">IF(OR(H550="",I550=""),"",IF(I550&gt;0,H550/I550,""))</f>
        <v/>
      </c>
      <c r="N550" s="4" t="str">
        <f aca="false">IF(I550="",IF(K550="NULL","FCF yok (NULL)","FCF kapsamı dışı"),IF(I550&lt;=0,"anlamsız (FCF ≤ 0)",IF(OR(K550="KOŞULLU"),"FCF KOŞULLU — yorum yapılmaz","")))</f>
        <v>anlamsız (FCF ≤ 0)</v>
      </c>
      <c r="O550" s="9" t="n">
        <f aca="false">IF(Q550="","",F550*R550/Q550-1)</f>
        <v>-0.116510538641686</v>
      </c>
      <c r="P550" s="9" t="n">
        <f aca="false">IF(S550="","",F550*T550/S550-1)</f>
        <v>-0.0953237410071942</v>
      </c>
      <c r="Q550" s="5" t="n">
        <v>427</v>
      </c>
      <c r="R550" s="10" t="n">
        <v>1</v>
      </c>
      <c r="S550" s="5" t="n">
        <v>417</v>
      </c>
      <c r="T550" s="10" t="n">
        <v>1</v>
      </c>
      <c r="U550" s="4"/>
    </row>
    <row r="551" customFormat="false" ht="15" hidden="false" customHeight="false" outlineLevel="0" collapsed="false">
      <c r="A551" s="4" t="s">
        <v>1216</v>
      </c>
      <c r="B551" s="4" t="s">
        <v>1217</v>
      </c>
      <c r="C551" s="4" t="s">
        <v>29</v>
      </c>
      <c r="D551" s="4" t="s">
        <v>30</v>
      </c>
      <c r="E551" s="4" t="s">
        <v>31</v>
      </c>
      <c r="F551" s="5" t="n">
        <v>4.8</v>
      </c>
      <c r="G551" s="4" t="s">
        <v>26</v>
      </c>
      <c r="H551" s="6" t="n">
        <v>5385.6</v>
      </c>
      <c r="I551" s="7" t="n">
        <v>-6.13200000000003</v>
      </c>
      <c r="J551" s="4" t="s">
        <v>32</v>
      </c>
      <c r="K551" s="4" t="s">
        <v>33</v>
      </c>
      <c r="L551" s="4" t="s">
        <v>42</v>
      </c>
      <c r="M551" s="8" t="str">
        <f aca="false">IF(OR(H551="",I551=""),"",IF(I551&gt;0,H551/I551,""))</f>
        <v/>
      </c>
      <c r="N551" s="4" t="str">
        <f aca="false">IF(I551="",IF(K551="NULL","FCF yok (NULL)","FCF kapsamı dışı"),IF(I551&lt;=0,"anlamsız (FCF ≤ 0)",IF(OR(K551="KOŞULLU"),"FCF KOŞULLU — yorum yapılmaz","")))</f>
        <v>anlamsız (FCF ≤ 0)</v>
      </c>
      <c r="O551" s="9" t="n">
        <f aca="false">IF(Q551="","",F551*R551/Q551-1)</f>
        <v>-0.770773638968481</v>
      </c>
      <c r="P551" s="9" t="n">
        <f aca="false">IF(S551="","",F551*T551/S551-1)</f>
        <v>-0.0224032586558045</v>
      </c>
      <c r="Q551" s="5" t="n">
        <v>20.94</v>
      </c>
      <c r="R551" s="10" t="n">
        <v>1</v>
      </c>
      <c r="S551" s="5" t="n">
        <v>4.91</v>
      </c>
      <c r="T551" s="10" t="n">
        <v>1</v>
      </c>
      <c r="U551" s="4"/>
    </row>
    <row r="552" customFormat="false" ht="15" hidden="false" customHeight="false" outlineLevel="0" collapsed="false">
      <c r="A552" s="4" t="s">
        <v>1218</v>
      </c>
      <c r="B552" s="4" t="s">
        <v>1219</v>
      </c>
      <c r="C552" s="4" t="s">
        <v>29</v>
      </c>
      <c r="D552" s="4" t="s">
        <v>30</v>
      </c>
      <c r="E552" s="4" t="s">
        <v>53</v>
      </c>
      <c r="F552" s="5" t="n">
        <v>16.64</v>
      </c>
      <c r="G552" s="4" t="s">
        <v>26</v>
      </c>
      <c r="H552" s="6" t="n">
        <v>4073.472</v>
      </c>
      <c r="I552" s="7" t="n">
        <v>1159.684</v>
      </c>
      <c r="J552" s="4" t="s">
        <v>32</v>
      </c>
      <c r="K552" s="4" t="s">
        <v>33</v>
      </c>
      <c r="L552" s="4" t="s">
        <v>42</v>
      </c>
      <c r="M552" s="8" t="n">
        <f aca="false">IF(OR(H552="",I552=""),"",IF(I552&gt;0,H552/I552,""))</f>
        <v>3.51257066580206</v>
      </c>
      <c r="N552" s="4" t="str">
        <f aca="false">IF(I552="",IF(K552="NULL","FCF yok (NULL)","FCF kapsamı dışı"),IF(I552&lt;=0,"anlamsız (FCF ≤ 0)",IF(OR(K552="KOŞULLU"),"FCF KOŞULLU — yorum yapılmaz","")))</f>
        <v/>
      </c>
      <c r="O552" s="9" t="n">
        <f aca="false">IF(Q552="","",F552*R552/Q552-1)</f>
        <v>0.261561789234269</v>
      </c>
      <c r="P552" s="9" t="n">
        <f aca="false">IF(S552="","",F552*T552/S552-1)</f>
        <v>0.0146341463414634</v>
      </c>
      <c r="Q552" s="5" t="n">
        <v>13.19</v>
      </c>
      <c r="R552" s="10" t="n">
        <v>1</v>
      </c>
      <c r="S552" s="5" t="n">
        <v>16.4</v>
      </c>
      <c r="T552" s="10" t="n">
        <v>1</v>
      </c>
      <c r="U552" s="4"/>
    </row>
    <row r="553" customFormat="false" ht="15" hidden="false" customHeight="false" outlineLevel="0" collapsed="false">
      <c r="A553" s="4" t="s">
        <v>1220</v>
      </c>
      <c r="B553" s="4" t="s">
        <v>1221</v>
      </c>
      <c r="C553" s="4" t="s">
        <v>29</v>
      </c>
      <c r="D553" s="4" t="s">
        <v>30</v>
      </c>
      <c r="E553" s="4" t="s">
        <v>276</v>
      </c>
      <c r="F553" s="5" t="n">
        <v>278.5</v>
      </c>
      <c r="G553" s="4" t="s">
        <v>26</v>
      </c>
      <c r="H553" s="6" t="n">
        <v>101173.828125</v>
      </c>
      <c r="I553" s="7" t="n">
        <v>2267.469</v>
      </c>
      <c r="J553" s="4" t="s">
        <v>32</v>
      </c>
      <c r="K553" s="4" t="s">
        <v>33</v>
      </c>
      <c r="L553" s="4" t="s">
        <v>42</v>
      </c>
      <c r="M553" s="8" t="n">
        <f aca="false">IF(OR(H553="",I553=""),"",IF(I553&gt;0,H553/I553,""))</f>
        <v>44.6197183401405</v>
      </c>
      <c r="N553" s="4" t="str">
        <f aca="false">IF(I553="",IF(K553="NULL","FCF yok (NULL)","FCF kapsamı dışı"),IF(I553&lt;=0,"anlamsız (FCF ≤ 0)",IF(OR(K553="KOŞULLU"),"FCF KOŞULLU — yorum yapılmaz","")))</f>
        <v/>
      </c>
      <c r="O553" s="9" t="n">
        <f aca="false">IF(Q553="","",F553*R553/Q553-1)</f>
        <v>0.151302190988011</v>
      </c>
      <c r="P553" s="9" t="n">
        <f aca="false">IF(S553="","",F553*T553/S553-1)</f>
        <v>0.00380251855760339</v>
      </c>
      <c r="Q553" s="5" t="n">
        <v>241.9</v>
      </c>
      <c r="R553" s="10" t="n">
        <v>1</v>
      </c>
      <c r="S553" s="5" t="n">
        <v>277.4450102</v>
      </c>
      <c r="T553" s="10" t="n">
        <v>1</v>
      </c>
      <c r="U553" s="4"/>
    </row>
    <row r="554" customFormat="false" ht="15" hidden="false" customHeight="false" outlineLevel="0" collapsed="false">
      <c r="A554" s="4" t="s">
        <v>1222</v>
      </c>
      <c r="B554" s="4" t="s">
        <v>1223</v>
      </c>
      <c r="C554" s="4" t="s">
        <v>29</v>
      </c>
      <c r="D554" s="4" t="s">
        <v>30</v>
      </c>
      <c r="E554" s="4" t="s">
        <v>53</v>
      </c>
      <c r="F554" s="5" t="n">
        <v>124.8</v>
      </c>
      <c r="G554" s="4" t="s">
        <v>64</v>
      </c>
      <c r="H554" s="6" t="n">
        <v>40249.0299744</v>
      </c>
      <c r="I554" s="7" t="n">
        <v>-124.326999999999</v>
      </c>
      <c r="J554" s="4" t="s">
        <v>32</v>
      </c>
      <c r="K554" s="4" t="s">
        <v>33</v>
      </c>
      <c r="L554" s="4" t="s">
        <v>42</v>
      </c>
      <c r="M554" s="8" t="str">
        <f aca="false">IF(OR(H554="",I554=""),"",IF(I554&gt;0,H554/I554,""))</f>
        <v/>
      </c>
      <c r="N554" s="4" t="str">
        <f aca="false">IF(I554="",IF(K554="NULL","FCF yok (NULL)","FCF kapsamı dışı"),IF(I554&lt;=0,"anlamsız (FCF ≤ 0)",IF(OR(K554="KOŞULLU"),"FCF KOŞULLU — yorum yapılmaz","")))</f>
        <v>anlamsız (FCF ≤ 0)</v>
      </c>
      <c r="O554" s="9" t="n">
        <f aca="false">IF(Q554="","",F554*R554/Q554-1)</f>
        <v>-0.301622831561276</v>
      </c>
      <c r="P554" s="9" t="n">
        <f aca="false">IF(S554="","",F554*T554/S554-1)</f>
        <v>-0.0436781609195402</v>
      </c>
      <c r="Q554" s="5" t="n">
        <v>178.7</v>
      </c>
      <c r="R554" s="10" t="n">
        <v>1</v>
      </c>
      <c r="S554" s="5" t="n">
        <v>130.5</v>
      </c>
      <c r="T554" s="10" t="n">
        <v>1</v>
      </c>
      <c r="U554" s="4"/>
    </row>
    <row r="555" customFormat="false" ht="15" hidden="false" customHeight="false" outlineLevel="0" collapsed="false">
      <c r="A555" s="4" t="s">
        <v>1224</v>
      </c>
      <c r="B555" s="4" t="s">
        <v>1225</v>
      </c>
      <c r="C555" s="4" t="s">
        <v>29</v>
      </c>
      <c r="D555" s="4" t="s">
        <v>30</v>
      </c>
      <c r="E555" s="4" t="s">
        <v>123</v>
      </c>
      <c r="F555" s="5" t="n">
        <v>101.7</v>
      </c>
      <c r="G555" s="4" t="s">
        <v>26</v>
      </c>
      <c r="H555" s="6" t="n">
        <v>223740</v>
      </c>
      <c r="I555" s="7" t="n">
        <v>-3076.505</v>
      </c>
      <c r="J555" s="4" t="s">
        <v>32</v>
      </c>
      <c r="K555" s="4" t="s">
        <v>33</v>
      </c>
      <c r="L555" s="4" t="s">
        <v>42</v>
      </c>
      <c r="M555" s="8" t="str">
        <f aca="false">IF(OR(H555="",I555=""),"",IF(I555&gt;0,H555/I555,""))</f>
        <v/>
      </c>
      <c r="N555" s="4" t="str">
        <f aca="false">IF(I555="",IF(K555="NULL","FCF yok (NULL)","FCF kapsamı dışı"),IF(I555&lt;=0,"anlamsız (FCF ≤ 0)",IF(OR(K555="KOŞULLU"),"FCF KOŞULLU — yorum yapılmaz","")))</f>
        <v>anlamsız (FCF ≤ 0)</v>
      </c>
      <c r="O555" s="9" t="n">
        <f aca="false">IF(Q555="","",F555*R555/Q555-1)</f>
        <v>0.0412613903962322</v>
      </c>
      <c r="P555" s="9" t="n">
        <f aca="false">IF(S555="","",F555*T555/S555-1)</f>
        <v>0.0180180180180181</v>
      </c>
      <c r="Q555" s="5" t="n">
        <v>97.67</v>
      </c>
      <c r="R555" s="10" t="n">
        <v>1</v>
      </c>
      <c r="S555" s="5" t="n">
        <v>99.9</v>
      </c>
      <c r="T555" s="10" t="n">
        <v>1</v>
      </c>
      <c r="U555" s="4"/>
    </row>
    <row r="556" customFormat="false" ht="15" hidden="false" customHeight="false" outlineLevel="0" collapsed="false">
      <c r="A556" s="4" t="s">
        <v>1226</v>
      </c>
      <c r="B556" s="4" t="s">
        <v>1227</v>
      </c>
      <c r="C556" s="4" t="s">
        <v>29</v>
      </c>
      <c r="D556" s="4" t="s">
        <v>30</v>
      </c>
      <c r="E556" s="4" t="s">
        <v>45</v>
      </c>
      <c r="F556" s="5" t="n">
        <v>126.4</v>
      </c>
      <c r="G556" s="4" t="s">
        <v>26</v>
      </c>
      <c r="H556" s="6" t="n">
        <v>21488</v>
      </c>
      <c r="I556" s="7" t="n">
        <v>-171.6049328</v>
      </c>
      <c r="J556" s="4" t="s">
        <v>32</v>
      </c>
      <c r="K556" s="4" t="s">
        <v>33</v>
      </c>
      <c r="L556" s="4" t="s">
        <v>34</v>
      </c>
      <c r="M556" s="8" t="str">
        <f aca="false">IF(OR(H556="",I556=""),"",IF(I556&gt;0,H556/I556,""))</f>
        <v/>
      </c>
      <c r="N556" s="4" t="str">
        <f aca="false">IF(I556="",IF(K556="NULL","FCF yok (NULL)","FCF kapsamı dışı"),IF(I556&lt;=0,"anlamsız (FCF ≤ 0)",IF(OR(K556="KOŞULLU"),"FCF KOŞULLU — yorum yapılmaz","")))</f>
        <v>anlamsız (FCF ≤ 0)</v>
      </c>
      <c r="O556" s="9" t="n">
        <f aca="false">IF(Q556="","",F556*R556/Q556-1)</f>
        <v>1.52043868394816</v>
      </c>
      <c r="P556" s="9" t="n">
        <f aca="false">IF(S556="","",F556*T556/S556-1)</f>
        <v>0.121561668145519</v>
      </c>
      <c r="Q556" s="5" t="n">
        <v>50.15</v>
      </c>
      <c r="R556" s="10" t="n">
        <v>1</v>
      </c>
      <c r="S556" s="5" t="n">
        <v>112.7</v>
      </c>
      <c r="T556" s="10" t="n">
        <v>1</v>
      </c>
      <c r="U556" s="4"/>
    </row>
    <row r="557" customFormat="false" ht="15" hidden="false" customHeight="false" outlineLevel="0" collapsed="false">
      <c r="A557" s="4" t="s">
        <v>1228</v>
      </c>
      <c r="B557" s="4" t="s">
        <v>1229</v>
      </c>
      <c r="C557" s="4" t="s">
        <v>38</v>
      </c>
      <c r="D557" s="4"/>
      <c r="E557" s="4"/>
      <c r="F557" s="5" t="n">
        <v>6.95</v>
      </c>
      <c r="G557" s="4" t="s">
        <v>26</v>
      </c>
      <c r="H557" s="6" t="n">
        <v>479.55</v>
      </c>
      <c r="I557" s="7"/>
      <c r="J557" s="4"/>
      <c r="K557" s="4"/>
      <c r="L557" s="4"/>
      <c r="M557" s="8" t="str">
        <f aca="false">IF(OR(H557="",I557=""),"",IF(I557&gt;0,H557/I557,""))</f>
        <v/>
      </c>
      <c r="N557" s="4" t="str">
        <f aca="false">IF(I557="",IF(K557="NULL","FCF yok (NULL)","FCF kapsamı dışı"),IF(I557&lt;=0,"anlamsız (FCF ≤ 0)",IF(OR(K557="KOŞULLU"),"FCF KOŞULLU — yorum yapılmaz","")))</f>
        <v>FCF kapsamı dışı</v>
      </c>
      <c r="O557" s="9" t="n">
        <f aca="false">IF(Q557="","",F557*R557/Q557-1)</f>
        <v>-0.6525</v>
      </c>
      <c r="P557" s="9" t="n">
        <f aca="false">IF(S557="","",F557*T557/S557-1)</f>
        <v>-0.483271375464684</v>
      </c>
      <c r="Q557" s="5" t="n">
        <v>20</v>
      </c>
      <c r="R557" s="10" t="n">
        <v>1</v>
      </c>
      <c r="S557" s="5" t="n">
        <v>13.45</v>
      </c>
      <c r="T557" s="10" t="n">
        <v>1</v>
      </c>
      <c r="U557" s="4"/>
    </row>
    <row r="558" customFormat="false" ht="15" hidden="false" customHeight="false" outlineLevel="0" collapsed="false">
      <c r="A558" s="4" t="s">
        <v>1230</v>
      </c>
      <c r="B558" s="4" t="s">
        <v>1231</v>
      </c>
      <c r="C558" s="4" t="s">
        <v>29</v>
      </c>
      <c r="D558" s="4" t="s">
        <v>63</v>
      </c>
      <c r="E558" s="4" t="s">
        <v>63</v>
      </c>
      <c r="F558" s="5" t="n">
        <v>9.89</v>
      </c>
      <c r="G558" s="4" t="s">
        <v>338</v>
      </c>
      <c r="H558" s="6" t="n">
        <v>19738.8576</v>
      </c>
      <c r="I558" s="7" t="n">
        <v>-2186.2780384</v>
      </c>
      <c r="J558" s="4" t="s">
        <v>111</v>
      </c>
      <c r="K558" s="4" t="s">
        <v>33</v>
      </c>
      <c r="L558" s="4" t="s">
        <v>57</v>
      </c>
      <c r="M558" s="8" t="str">
        <f aca="false">IF(OR(H558="",I558=""),"",IF(I558&gt;0,H558/I558,""))</f>
        <v/>
      </c>
      <c r="N558" s="4" t="str">
        <f aca="false">IF(I558="",IF(K558="NULL","FCF yok (NULL)","FCF kapsamı dışı"),IF(I558&lt;=0,"anlamsız (FCF ≤ 0)",IF(OR(K558="KOŞULLU"),"FCF KOŞULLU — yorum yapılmaz","")))</f>
        <v>anlamsız (FCF ≤ 0)</v>
      </c>
      <c r="O558" s="9" t="n">
        <f aca="false">IF(Q558="","",F558*R558/Q558-1)</f>
        <v>-0.516617790811339</v>
      </c>
      <c r="P558" s="9" t="n">
        <f aca="false">IF(S558="","",F558*T558/S558-1)</f>
        <v>-0.685031847133758</v>
      </c>
      <c r="Q558" s="5" t="n">
        <v>20.46</v>
      </c>
      <c r="R558" s="10" t="n">
        <v>1</v>
      </c>
      <c r="S558" s="5" t="n">
        <v>31.4</v>
      </c>
      <c r="T558" s="10" t="n">
        <v>1</v>
      </c>
      <c r="U558" s="4"/>
    </row>
    <row r="559" customFormat="false" ht="15" hidden="false" customHeight="false" outlineLevel="0" collapsed="false">
      <c r="A559" s="4" t="s">
        <v>1232</v>
      </c>
      <c r="B559" s="4" t="s">
        <v>1233</v>
      </c>
      <c r="C559" s="4" t="s">
        <v>29</v>
      </c>
      <c r="D559" s="4" t="s">
        <v>30</v>
      </c>
      <c r="E559" s="4" t="s">
        <v>192</v>
      </c>
      <c r="F559" s="5" t="n">
        <v>4.42</v>
      </c>
      <c r="G559" s="4" t="s">
        <v>26</v>
      </c>
      <c r="H559" s="6" t="n">
        <v>1326</v>
      </c>
      <c r="I559" s="7" t="n">
        <v>-94.1420704</v>
      </c>
      <c r="J559" s="4" t="s">
        <v>32</v>
      </c>
      <c r="K559" s="4" t="s">
        <v>33</v>
      </c>
      <c r="L559" s="4" t="s">
        <v>34</v>
      </c>
      <c r="M559" s="8" t="str">
        <f aca="false">IF(OR(H559="",I559=""),"",IF(I559&gt;0,H559/I559,""))</f>
        <v/>
      </c>
      <c r="N559" s="4" t="str">
        <f aca="false">IF(I559="",IF(K559="NULL","FCF yok (NULL)","FCF kapsamı dışı"),IF(I559&lt;=0,"anlamsız (FCF ≤ 0)",IF(OR(K559="KOŞULLU"),"FCF KOŞULLU — yorum yapılmaz","")))</f>
        <v>anlamsız (FCF ≤ 0)</v>
      </c>
      <c r="O559" s="9" t="n">
        <f aca="false">IF(Q559="","",F559*R559/Q559-1)</f>
        <v>-0.811111111111111</v>
      </c>
      <c r="P559" s="9" t="n">
        <f aca="false">IF(S559="","",F559*T559/S559-1)</f>
        <v>-0.170731707317073</v>
      </c>
      <c r="Q559" s="5" t="n">
        <v>23.4</v>
      </c>
      <c r="R559" s="10" t="n">
        <v>1</v>
      </c>
      <c r="S559" s="5" t="n">
        <v>5.33</v>
      </c>
      <c r="T559" s="10" t="n">
        <v>1</v>
      </c>
      <c r="U559" s="4"/>
    </row>
    <row r="560" customFormat="false" ht="15" hidden="false" customHeight="false" outlineLevel="0" collapsed="false">
      <c r="A560" s="4" t="s">
        <v>1234</v>
      </c>
      <c r="B560" s="4" t="s">
        <v>1235</v>
      </c>
      <c r="C560" s="4" t="s">
        <v>25</v>
      </c>
      <c r="D560" s="4"/>
      <c r="E560" s="4"/>
      <c r="F560" s="5" t="n">
        <v>51.45</v>
      </c>
      <c r="G560" s="4" t="s">
        <v>141</v>
      </c>
      <c r="H560" s="6" t="n">
        <v>36015</v>
      </c>
      <c r="I560" s="7"/>
      <c r="J560" s="4"/>
      <c r="K560" s="4"/>
      <c r="L560" s="4"/>
      <c r="M560" s="8" t="str">
        <f aca="false">IF(OR(H560="",I560=""),"",IF(I560&gt;0,H560/I560,""))</f>
        <v/>
      </c>
      <c r="N560" s="4" t="str">
        <f aca="false">IF(I560="",IF(K560="NULL","FCF yok (NULL)","FCF kapsamı dışı"),IF(I560&lt;=0,"anlamsız (FCF ≤ 0)",IF(OR(K560="KOŞULLU"),"FCF KOŞULLU — yorum yapılmaz","")))</f>
        <v>FCF kapsamı dışı</v>
      </c>
      <c r="O560" s="9" t="n">
        <f aca="false">IF(Q560="","",F560*R560/Q560-1)</f>
        <v>-0.658457249070632</v>
      </c>
      <c r="P560" s="9" t="n">
        <f aca="false">IF(S560="","",F560*T560/S560-1)</f>
        <v>-0.650237933378654</v>
      </c>
      <c r="Q560" s="5" t="n">
        <v>150.64</v>
      </c>
      <c r="R560" s="10" t="n">
        <v>1</v>
      </c>
      <c r="S560" s="5" t="n">
        <v>147.1</v>
      </c>
      <c r="T560" s="10" t="n">
        <v>1</v>
      </c>
      <c r="U560" s="4"/>
    </row>
    <row r="561" customFormat="false" ht="15" hidden="false" customHeight="false" outlineLevel="0" collapsed="false">
      <c r="A561" s="4" t="s">
        <v>1236</v>
      </c>
      <c r="B561" s="4" t="s">
        <v>1237</v>
      </c>
      <c r="C561" s="4" t="s">
        <v>29</v>
      </c>
      <c r="D561" s="4" t="s">
        <v>30</v>
      </c>
      <c r="E561" s="4" t="s">
        <v>131</v>
      </c>
      <c r="F561" s="5" t="n">
        <v>7.48</v>
      </c>
      <c r="G561" s="4" t="s">
        <v>26</v>
      </c>
      <c r="H561" s="6" t="n">
        <v>3740</v>
      </c>
      <c r="I561" s="7" t="n">
        <v>183.9275056</v>
      </c>
      <c r="J561" s="4" t="s">
        <v>32</v>
      </c>
      <c r="K561" s="4" t="s">
        <v>154</v>
      </c>
      <c r="L561" s="4" t="s">
        <v>34</v>
      </c>
      <c r="M561" s="8" t="n">
        <f aca="false">IF(OR(H561="",I561=""),"",IF(I561&gt;0,H561/I561,""))</f>
        <v>20.3340984144788</v>
      </c>
      <c r="N561" s="4" t="str">
        <f aca="false">IF(I561="",IF(K561="NULL","FCF yok (NULL)","FCF kapsamı dışı"),IF(I561&lt;=0,"anlamsız (FCF ≤ 0)",IF(OR(K561="KOŞULLU"),"FCF KOŞULLU — yorum yapılmaz","")))</f>
        <v>FCF KOŞULLU — yorum yapılmaz</v>
      </c>
      <c r="O561" s="9" t="n">
        <f aca="false">IF(Q561="","",F561*R561/Q561-1)</f>
        <v>-0.495616992582603</v>
      </c>
      <c r="P561" s="9" t="n">
        <f aca="false">IF(S561="","",F561*T561/S561-1)</f>
        <v>-0.0434782608695652</v>
      </c>
      <c r="Q561" s="5" t="n">
        <v>14.83</v>
      </c>
      <c r="R561" s="10" t="n">
        <v>1</v>
      </c>
      <c r="S561" s="5" t="n">
        <v>7.82</v>
      </c>
      <c r="T561" s="10" t="n">
        <v>1</v>
      </c>
      <c r="U561" s="4"/>
    </row>
    <row r="562" customFormat="false" ht="15" hidden="false" customHeight="false" outlineLevel="0" collapsed="false">
      <c r="A562" s="4" t="s">
        <v>1238</v>
      </c>
      <c r="B562" s="4" t="s">
        <v>1239</v>
      </c>
      <c r="C562" s="4" t="s">
        <v>29</v>
      </c>
      <c r="D562" s="4" t="s">
        <v>30</v>
      </c>
      <c r="E562" s="4" t="s">
        <v>210</v>
      </c>
      <c r="F562" s="5" t="n">
        <v>137</v>
      </c>
      <c r="G562" s="4" t="s">
        <v>26</v>
      </c>
      <c r="H562" s="6" t="n">
        <v>2055</v>
      </c>
      <c r="I562" s="7" t="n">
        <v>62.00588</v>
      </c>
      <c r="J562" s="4" t="s">
        <v>32</v>
      </c>
      <c r="K562" s="4" t="s">
        <v>33</v>
      </c>
      <c r="L562" s="4" t="s">
        <v>57</v>
      </c>
      <c r="M562" s="8" t="n">
        <f aca="false">IF(OR(H562="",I562=""),"",IF(I562&gt;0,H562/I562,""))</f>
        <v>33.1420181440857</v>
      </c>
      <c r="N562" s="4" t="str">
        <f aca="false">IF(I562="",IF(K562="NULL","FCF yok (NULL)","FCF kapsamı dışı"),IF(I562&lt;=0,"anlamsız (FCF ≤ 0)",IF(OR(K562="KOŞULLU"),"FCF KOŞULLU — yorum yapılmaz","")))</f>
        <v/>
      </c>
      <c r="O562" s="9" t="n">
        <f aca="false">IF(Q562="","",F562*R562/Q562-1)</f>
        <v>-0.249315068493151</v>
      </c>
      <c r="P562" s="9" t="n">
        <f aca="false">IF(S562="","",F562*T562/S562-1)</f>
        <v>0.0538461538461539</v>
      </c>
      <c r="Q562" s="5" t="n">
        <v>182.5</v>
      </c>
      <c r="R562" s="10" t="n">
        <v>1</v>
      </c>
      <c r="S562" s="5" t="n">
        <v>130</v>
      </c>
      <c r="T562" s="10" t="n">
        <v>1</v>
      </c>
      <c r="U562" s="4"/>
    </row>
    <row r="563" customFormat="false" ht="15" hidden="false" customHeight="false" outlineLevel="0" collapsed="false">
      <c r="A563" s="4" t="s">
        <v>1240</v>
      </c>
      <c r="B563" s="4" t="s">
        <v>1241</v>
      </c>
      <c r="C563" s="4" t="s">
        <v>29</v>
      </c>
      <c r="D563" s="4" t="s">
        <v>30</v>
      </c>
      <c r="E563" s="4" t="s">
        <v>276</v>
      </c>
      <c r="F563" s="5" t="n">
        <v>292.5</v>
      </c>
      <c r="G563" s="4" t="s">
        <v>26</v>
      </c>
      <c r="H563" s="6" t="n">
        <v>403650</v>
      </c>
      <c r="I563" s="7" t="n">
        <v>-30271</v>
      </c>
      <c r="J563" s="4" t="s">
        <v>32</v>
      </c>
      <c r="K563" s="4" t="s">
        <v>33</v>
      </c>
      <c r="L563" s="4" t="s">
        <v>42</v>
      </c>
      <c r="M563" s="8" t="str">
        <f aca="false">IF(OR(H563="",I563=""),"",IF(I563&gt;0,H563/I563,""))</f>
        <v/>
      </c>
      <c r="N563" s="4" t="str">
        <f aca="false">IF(I563="",IF(K563="NULL","FCF yok (NULL)","FCF kapsamı dışı"),IF(I563&lt;=0,"anlamsız (FCF ≤ 0)",IF(OR(K563="KOŞULLU"),"FCF KOŞULLU — yorum yapılmaz","")))</f>
        <v>anlamsız (FCF ≤ 0)</v>
      </c>
      <c r="O563" s="9" t="n">
        <f aca="false">IF(Q563="","",F563*R563/Q563-1)</f>
        <v>-0.0736342042755345</v>
      </c>
      <c r="P563" s="9" t="n">
        <f aca="false">IF(S563="","",F563*T563/S563-1)</f>
        <v>-0.00340715502555367</v>
      </c>
      <c r="Q563" s="5" t="n">
        <v>315.75</v>
      </c>
      <c r="R563" s="10" t="n">
        <v>1</v>
      </c>
      <c r="S563" s="5" t="n">
        <v>293.5</v>
      </c>
      <c r="T563" s="10" t="n">
        <v>1</v>
      </c>
      <c r="U563" s="4"/>
    </row>
    <row r="564" customFormat="false" ht="15" hidden="false" customHeight="false" outlineLevel="0" collapsed="false">
      <c r="A564" s="4" t="s">
        <v>1242</v>
      </c>
      <c r="B564" s="4" t="s">
        <v>1243</v>
      </c>
      <c r="C564" s="4" t="s">
        <v>29</v>
      </c>
      <c r="D564" s="4" t="s">
        <v>63</v>
      </c>
      <c r="E564" s="4" t="s">
        <v>63</v>
      </c>
      <c r="F564" s="5" t="n">
        <v>258.5</v>
      </c>
      <c r="G564" s="4" t="s">
        <v>26</v>
      </c>
      <c r="H564" s="6" t="n">
        <v>95645</v>
      </c>
      <c r="I564" s="7" t="n">
        <v>2096.173</v>
      </c>
      <c r="J564" s="4" t="s">
        <v>111</v>
      </c>
      <c r="K564" s="4" t="s">
        <v>33</v>
      </c>
      <c r="L564" s="4" t="s">
        <v>42</v>
      </c>
      <c r="M564" s="8" t="n">
        <f aca="false">IF(OR(H564="",I564=""),"",IF(I564&gt;0,H564/I564,""))</f>
        <v>45.6283904047996</v>
      </c>
      <c r="N564" s="4" t="str">
        <f aca="false">IF(I564="",IF(K564="NULL","FCF yok (NULL)","FCF kapsamı dışı"),IF(I564&lt;=0,"anlamsız (FCF ≤ 0)",IF(OR(K564="KOŞULLU"),"FCF KOŞULLU — yorum yapılmaz","")))</f>
        <v/>
      </c>
      <c r="O564" s="9" t="n">
        <f aca="false">IF(Q564="","",F564*R564/Q564-1)</f>
        <v>2.18663708086785</v>
      </c>
      <c r="P564" s="9" t="n">
        <f aca="false">IF(S564="","",F564*T564/S564-1)</f>
        <v>0.0802340158796489</v>
      </c>
      <c r="Q564" s="5" t="n">
        <v>81.12</v>
      </c>
      <c r="R564" s="10" t="n">
        <v>1</v>
      </c>
      <c r="S564" s="5" t="n">
        <v>239.3</v>
      </c>
      <c r="T564" s="10" t="n">
        <v>1</v>
      </c>
      <c r="U564" s="4"/>
    </row>
    <row r="565" customFormat="false" ht="15" hidden="false" customHeight="false" outlineLevel="0" collapsed="false">
      <c r="A565" s="4" t="s">
        <v>1244</v>
      </c>
      <c r="B565" s="4" t="s">
        <v>1245</v>
      </c>
      <c r="C565" s="4" t="s">
        <v>29</v>
      </c>
      <c r="D565" s="4" t="s">
        <v>30</v>
      </c>
      <c r="E565" s="4" t="s">
        <v>41</v>
      </c>
      <c r="F565" s="5" t="n">
        <v>56.7</v>
      </c>
      <c r="G565" s="4" t="s">
        <v>26</v>
      </c>
      <c r="H565" s="6" t="n">
        <v>7087.5</v>
      </c>
      <c r="I565" s="7"/>
      <c r="J565" s="4" t="s">
        <v>32</v>
      </c>
      <c r="K565" s="4" t="s">
        <v>116</v>
      </c>
      <c r="L565" s="4" t="s">
        <v>42</v>
      </c>
      <c r="M565" s="8" t="str">
        <f aca="false">IF(OR(H565="",I565=""),"",IF(I565&gt;0,H565/I565,""))</f>
        <v/>
      </c>
      <c r="N565" s="4" t="str">
        <f aca="false">IF(I565="",IF(K565="NULL","FCF yok (NULL)","FCF kapsamı dışı"),IF(I565&lt;=0,"anlamsız (FCF ≤ 0)",IF(OR(K565="KOŞULLU"),"FCF KOŞULLU — yorum yapılmaz","")))</f>
        <v>FCF yok (NULL)</v>
      </c>
      <c r="O565" s="9" t="str">
        <f aca="false">IF(Q565="","",F565*R565/Q565-1)</f>
        <v/>
      </c>
      <c r="P565" s="9" t="n">
        <f aca="false">IF(S565="","",F565*T565/S565-1)</f>
        <v>-0.448979591836735</v>
      </c>
      <c r="Q565" s="5"/>
      <c r="R565" s="10" t="n">
        <v>1</v>
      </c>
      <c r="S565" s="5" t="n">
        <v>102.9</v>
      </c>
      <c r="T565" s="10" t="n">
        <v>1</v>
      </c>
      <c r="U565" s="4"/>
    </row>
    <row r="566" customFormat="false" ht="15" hidden="false" customHeight="false" outlineLevel="0" collapsed="false">
      <c r="A566" s="4" t="s">
        <v>1246</v>
      </c>
      <c r="B566" s="4" t="s">
        <v>1247</v>
      </c>
      <c r="C566" s="4" t="s">
        <v>29</v>
      </c>
      <c r="D566" s="4" t="s">
        <v>30</v>
      </c>
      <c r="E566" s="4" t="s">
        <v>162</v>
      </c>
      <c r="F566" s="5" t="n">
        <v>14.22</v>
      </c>
      <c r="G566" s="4" t="s">
        <v>26</v>
      </c>
      <c r="H566" s="6" t="n">
        <v>2858.22</v>
      </c>
      <c r="I566" s="7" t="n">
        <v>1108.435</v>
      </c>
      <c r="J566" s="4" t="s">
        <v>32</v>
      </c>
      <c r="K566" s="4" t="s">
        <v>86</v>
      </c>
      <c r="L566" s="4" t="s">
        <v>42</v>
      </c>
      <c r="M566" s="8" t="n">
        <f aca="false">IF(OR(H566="",I566=""),"",IF(I566&gt;0,H566/I566,""))</f>
        <v>2.57860857876195</v>
      </c>
      <c r="N566" s="4" t="str">
        <f aca="false">IF(I566="",IF(K566="NULL","FCF yok (NULL)","FCF kapsamı dışı"),IF(I566&lt;=0,"anlamsız (FCF ≤ 0)",IF(OR(K566="KOŞULLU"),"FCF KOŞULLU — yorum yapılmaz","")))</f>
        <v/>
      </c>
      <c r="O566" s="9" t="n">
        <f aca="false">IF(Q566="","",F566*R566/Q566-1)</f>
        <v>-0.447981366459627</v>
      </c>
      <c r="P566" s="9" t="n">
        <f aca="false">IF(S566="","",F566*T566/S566-1)</f>
        <v>-0.0424242424242424</v>
      </c>
      <c r="Q566" s="5" t="n">
        <v>25.76</v>
      </c>
      <c r="R566" s="10" t="n">
        <v>1</v>
      </c>
      <c r="S566" s="5" t="n">
        <v>14.85</v>
      </c>
      <c r="T566" s="10" t="n">
        <v>1</v>
      </c>
      <c r="U566" s="4"/>
    </row>
    <row r="567" customFormat="false" ht="15" hidden="false" customHeight="false" outlineLevel="0" collapsed="false">
      <c r="A567" s="4" t="s">
        <v>1248</v>
      </c>
      <c r="B567" s="4" t="s">
        <v>1249</v>
      </c>
      <c r="C567" s="4" t="s">
        <v>29</v>
      </c>
      <c r="D567" s="4" t="s">
        <v>30</v>
      </c>
      <c r="E567" s="4" t="s">
        <v>276</v>
      </c>
      <c r="F567" s="5" t="n">
        <v>63.95</v>
      </c>
      <c r="G567" s="4" t="s">
        <v>26</v>
      </c>
      <c r="H567" s="6" t="n">
        <v>1342.95</v>
      </c>
      <c r="I567" s="7" t="n">
        <v>-284.6141152</v>
      </c>
      <c r="J567" s="4" t="s">
        <v>32</v>
      </c>
      <c r="K567" s="4" t="s">
        <v>33</v>
      </c>
      <c r="L567" s="4" t="s">
        <v>57</v>
      </c>
      <c r="M567" s="8" t="str">
        <f aca="false">IF(OR(H567="",I567=""),"",IF(I567&gt;0,H567/I567,""))</f>
        <v/>
      </c>
      <c r="N567" s="4" t="str">
        <f aca="false">IF(I567="",IF(K567="NULL","FCF yok (NULL)","FCF kapsamı dışı"),IF(I567&lt;=0,"anlamsız (FCF ≤ 0)",IF(OR(K567="KOŞULLU"),"FCF KOŞULLU — yorum yapılmaz","")))</f>
        <v>anlamsız (FCF ≤ 0)</v>
      </c>
      <c r="O567" s="9" t="n">
        <f aca="false">IF(Q567="","",F567*R567/Q567-1)</f>
        <v>-0.363681592039801</v>
      </c>
      <c r="P567" s="9" t="n">
        <f aca="false">IF(S567="","",F567*T567/S567-1)</f>
        <v>-0.0455223880597014</v>
      </c>
      <c r="Q567" s="5" t="n">
        <v>100.5</v>
      </c>
      <c r="R567" s="10" t="n">
        <v>1</v>
      </c>
      <c r="S567" s="5" t="n">
        <v>67</v>
      </c>
      <c r="T567" s="10" t="n">
        <v>1</v>
      </c>
      <c r="U567" s="4"/>
    </row>
    <row r="568" customFormat="false" ht="15" hidden="false" customHeight="false" outlineLevel="0" collapsed="false">
      <c r="A568" s="4" t="s">
        <v>1250</v>
      </c>
      <c r="B568" s="4" t="s">
        <v>1251</v>
      </c>
      <c r="C568" s="4" t="s">
        <v>29</v>
      </c>
      <c r="D568" s="4" t="s">
        <v>30</v>
      </c>
      <c r="E568" s="4" t="s">
        <v>41</v>
      </c>
      <c r="F568" s="5" t="n">
        <v>71.65</v>
      </c>
      <c r="G568" s="4" t="s">
        <v>26</v>
      </c>
      <c r="H568" s="6" t="n">
        <v>1015.63875</v>
      </c>
      <c r="I568" s="7" t="n">
        <v>-78.262467</v>
      </c>
      <c r="J568" s="4" t="s">
        <v>32</v>
      </c>
      <c r="K568" s="4" t="s">
        <v>86</v>
      </c>
      <c r="L568" s="4" t="s">
        <v>42</v>
      </c>
      <c r="M568" s="8" t="str">
        <f aca="false">IF(OR(H568="",I568=""),"",IF(I568&gt;0,H568/I568,""))</f>
        <v/>
      </c>
      <c r="N568" s="4" t="str">
        <f aca="false">IF(I568="",IF(K568="NULL","FCF yok (NULL)","FCF kapsamı dışı"),IF(I568&lt;=0,"anlamsız (FCF ≤ 0)",IF(OR(K568="KOŞULLU"),"FCF KOŞULLU — yorum yapılmaz","")))</f>
        <v>anlamsız (FCF ≤ 0)</v>
      </c>
      <c r="O568" s="9" t="n">
        <f aca="false">IF(Q568="","",F568*R568/Q568-1)</f>
        <v>-0.602165463631316</v>
      </c>
      <c r="P568" s="9" t="n">
        <f aca="false">IF(S568="","",F568*T568/S568-1)</f>
        <v>-0.621500264131009</v>
      </c>
      <c r="Q568" s="5" t="n">
        <v>180.1</v>
      </c>
      <c r="R568" s="10" t="n">
        <v>1</v>
      </c>
      <c r="S568" s="5" t="n">
        <v>189.3</v>
      </c>
      <c r="T568" s="10" t="n">
        <v>1</v>
      </c>
      <c r="U568" s="4"/>
    </row>
    <row r="569" customFormat="false" ht="15" hidden="false" customHeight="false" outlineLevel="0" collapsed="false">
      <c r="A569" s="4" t="s">
        <v>1252</v>
      </c>
      <c r="B569" s="4" t="s">
        <v>1253</v>
      </c>
      <c r="C569" s="4" t="s">
        <v>29</v>
      </c>
      <c r="D569" s="4" t="s">
        <v>30</v>
      </c>
      <c r="E569" s="4" t="s">
        <v>182</v>
      </c>
      <c r="F569" s="5" t="n">
        <v>58.05</v>
      </c>
      <c r="G569" s="4" t="s">
        <v>26</v>
      </c>
      <c r="H569" s="6" t="n">
        <v>6675.75</v>
      </c>
      <c r="I569" s="7" t="n">
        <v>-876.3555856</v>
      </c>
      <c r="J569" s="4" t="s">
        <v>32</v>
      </c>
      <c r="K569" s="4" t="s">
        <v>33</v>
      </c>
      <c r="L569" s="4" t="s">
        <v>57</v>
      </c>
      <c r="M569" s="8" t="str">
        <f aca="false">IF(OR(H569="",I569=""),"",IF(I569&gt;0,H569/I569,""))</f>
        <v/>
      </c>
      <c r="N569" s="4" t="str">
        <f aca="false">IF(I569="",IF(K569="NULL","FCF yok (NULL)","FCF kapsamı dışı"),IF(I569&lt;=0,"anlamsız (FCF ≤ 0)",IF(OR(K569="KOŞULLU"),"FCF KOŞULLU — yorum yapılmaz","")))</f>
        <v>anlamsız (FCF ≤ 0)</v>
      </c>
      <c r="O569" s="9" t="n">
        <f aca="false">IF(Q569="","",F569*R569/Q569-1)</f>
        <v>-0.490789473684211</v>
      </c>
      <c r="P569" s="9" t="n">
        <f aca="false">IF(S569="","",F569*T569/S569-1)</f>
        <v>-0.0922595777951526</v>
      </c>
      <c r="Q569" s="5" t="n">
        <v>114</v>
      </c>
      <c r="R569" s="10" t="n">
        <v>1</v>
      </c>
      <c r="S569" s="5" t="n">
        <v>63.95</v>
      </c>
      <c r="T569" s="10" t="n">
        <v>1</v>
      </c>
      <c r="U569" s="4"/>
    </row>
    <row r="570" customFormat="false" ht="15" hidden="false" customHeight="false" outlineLevel="0" collapsed="false">
      <c r="A570" s="4" t="s">
        <v>1254</v>
      </c>
      <c r="B570" s="4" t="s">
        <v>1255</v>
      </c>
      <c r="C570" s="4" t="s">
        <v>29</v>
      </c>
      <c r="D570" s="4" t="s">
        <v>30</v>
      </c>
      <c r="E570" s="4" t="s">
        <v>147</v>
      </c>
      <c r="F570" s="5" t="n">
        <v>25.46</v>
      </c>
      <c r="G570" s="4" t="s">
        <v>64</v>
      </c>
      <c r="H570" s="6" t="n">
        <v>10184</v>
      </c>
      <c r="I570" s="7" t="n">
        <v>-35.121032</v>
      </c>
      <c r="J570" s="4" t="s">
        <v>32</v>
      </c>
      <c r="K570" s="4" t="s">
        <v>33</v>
      </c>
      <c r="L570" s="4" t="s">
        <v>57</v>
      </c>
      <c r="M570" s="8" t="str">
        <f aca="false">IF(OR(H570="",I570=""),"",IF(I570&gt;0,H570/I570,""))</f>
        <v/>
      </c>
      <c r="N570" s="4" t="str">
        <f aca="false">IF(I570="",IF(K570="NULL","FCF yok (NULL)","FCF kapsamı dışı"),IF(I570&lt;=0,"anlamsız (FCF ≤ 0)",IF(OR(K570="KOŞULLU"),"FCF KOŞULLU — yorum yapılmaz","")))</f>
        <v>anlamsız (FCF ≤ 0)</v>
      </c>
      <c r="O570" s="9" t="n">
        <f aca="false">IF(Q570="","",F570*R570/Q570-1)</f>
        <v>0.116666666666667</v>
      </c>
      <c r="P570" s="9" t="n">
        <f aca="false">IF(S570="","",F570*T570/S570-1)</f>
        <v>-0.116585704371964</v>
      </c>
      <c r="Q570" s="5" t="n">
        <v>22.8</v>
      </c>
      <c r="R570" s="10" t="n">
        <v>1</v>
      </c>
      <c r="S570" s="5" t="n">
        <v>28.82</v>
      </c>
      <c r="T570" s="10" t="n">
        <v>1</v>
      </c>
      <c r="U570" s="4"/>
    </row>
    <row r="571" customFormat="false" ht="15" hidden="false" customHeight="false" outlineLevel="0" collapsed="false">
      <c r="A571" s="4" t="s">
        <v>1256</v>
      </c>
      <c r="B571" s="4" t="s">
        <v>1257</v>
      </c>
      <c r="C571" s="4" t="s">
        <v>29</v>
      </c>
      <c r="D571" s="4" t="s">
        <v>30</v>
      </c>
      <c r="E571" s="4" t="s">
        <v>182</v>
      </c>
      <c r="F571" s="5" t="n">
        <v>269.75</v>
      </c>
      <c r="G571" s="4" t="s">
        <v>26</v>
      </c>
      <c r="H571" s="6" t="n">
        <v>134875</v>
      </c>
      <c r="I571" s="7" t="n">
        <v>-30816.062984</v>
      </c>
      <c r="J571" s="4" t="s">
        <v>32</v>
      </c>
      <c r="K571" s="4" t="s">
        <v>33</v>
      </c>
      <c r="L571" s="4" t="s">
        <v>34</v>
      </c>
      <c r="M571" s="8" t="str">
        <f aca="false">IF(OR(H571="",I571=""),"",IF(I571&gt;0,H571/I571,""))</f>
        <v/>
      </c>
      <c r="N571" s="4" t="str">
        <f aca="false">IF(I571="",IF(K571="NULL","FCF yok (NULL)","FCF kapsamı dışı"),IF(I571&lt;=0,"anlamsız (FCF ≤ 0)",IF(OR(K571="KOŞULLU"),"FCF KOŞULLU — yorum yapılmaz","")))</f>
        <v>anlamsız (FCF ≤ 0)</v>
      </c>
      <c r="O571" s="9" t="n">
        <f aca="false">IF(Q571="","",F571*R571/Q571-1)</f>
        <v>0.0738824008712711</v>
      </c>
      <c r="P571" s="9" t="n">
        <f aca="false">IF(S571="","",F571*T571/S571-1)</f>
        <v>-0.0698275862068966</v>
      </c>
      <c r="Q571" s="5" t="n">
        <v>251.191377921031</v>
      </c>
      <c r="R571" s="10" t="n">
        <v>1</v>
      </c>
      <c r="S571" s="5" t="n">
        <v>290</v>
      </c>
      <c r="T571" s="10" t="n">
        <v>1</v>
      </c>
      <c r="U571" s="4"/>
    </row>
    <row r="572" customFormat="false" ht="15" hidden="false" customHeight="false" outlineLevel="0" collapsed="false">
      <c r="A572" s="4" t="s">
        <v>1258</v>
      </c>
      <c r="B572" s="4" t="s">
        <v>1259</v>
      </c>
      <c r="C572" s="4" t="s">
        <v>29</v>
      </c>
      <c r="D572" s="4" t="s">
        <v>30</v>
      </c>
      <c r="E572" s="4" t="s">
        <v>387</v>
      </c>
      <c r="F572" s="5" t="n">
        <v>43.36</v>
      </c>
      <c r="G572" s="4" t="s">
        <v>76</v>
      </c>
      <c r="H572" s="6" t="n">
        <v>138860.4</v>
      </c>
      <c r="I572" s="7" t="n">
        <v>-880.2476432</v>
      </c>
      <c r="J572" s="4" t="s">
        <v>32</v>
      </c>
      <c r="K572" s="4" t="s">
        <v>33</v>
      </c>
      <c r="L572" s="4" t="s">
        <v>34</v>
      </c>
      <c r="M572" s="8" t="str">
        <f aca="false">IF(OR(H572="",I572=""),"",IF(I572&gt;0,H572/I572,""))</f>
        <v/>
      </c>
      <c r="N572" s="4" t="str">
        <f aca="false">IF(I572="",IF(K572="NULL","FCF yok (NULL)","FCF kapsamı dışı"),IF(I572&lt;=0,"anlamsız (FCF ≤ 0)",IF(OR(K572="KOŞULLU"),"FCF KOŞULLU — yorum yapılmaz","")))</f>
        <v>anlamsız (FCF ≤ 0)</v>
      </c>
      <c r="O572" s="9" t="n">
        <f aca="false">IF(Q572="","",F572*R572/Q572-1)</f>
        <v>0.701726844583988</v>
      </c>
      <c r="P572" s="9" t="n">
        <f aca="false">IF(S572="","",F572*T572/S572-1)</f>
        <v>-0.152297165200391</v>
      </c>
      <c r="Q572" s="5" t="n">
        <v>25.48</v>
      </c>
      <c r="R572" s="10" t="n">
        <v>1</v>
      </c>
      <c r="S572" s="5" t="n">
        <v>51.15</v>
      </c>
      <c r="T572" s="10" t="n">
        <v>1</v>
      </c>
      <c r="U572" s="4"/>
    </row>
    <row r="573" customFormat="false" ht="15" hidden="false" customHeight="false" outlineLevel="0" collapsed="false">
      <c r="A573" s="4" t="s">
        <v>1260</v>
      </c>
      <c r="B573" s="4" t="s">
        <v>1261</v>
      </c>
      <c r="C573" s="4" t="s">
        <v>29</v>
      </c>
      <c r="D573" s="4" t="s">
        <v>30</v>
      </c>
      <c r="E573" s="4" t="s">
        <v>41</v>
      </c>
      <c r="F573" s="5" t="n">
        <v>44.36</v>
      </c>
      <c r="G573" s="4" t="s">
        <v>26</v>
      </c>
      <c r="H573" s="6" t="n">
        <v>11338.416</v>
      </c>
      <c r="I573" s="7" t="n">
        <v>-679.395</v>
      </c>
      <c r="J573" s="4" t="s">
        <v>32</v>
      </c>
      <c r="K573" s="4" t="s">
        <v>33</v>
      </c>
      <c r="L573" s="4" t="s">
        <v>42</v>
      </c>
      <c r="M573" s="8" t="str">
        <f aca="false">IF(OR(H573="",I573=""),"",IF(I573&gt;0,H573/I573,""))</f>
        <v/>
      </c>
      <c r="N573" s="4" t="str">
        <f aca="false">IF(I573="",IF(K573="NULL","FCF yok (NULL)","FCF kapsamı dışı"),IF(I573&lt;=0,"anlamsız (FCF ≤ 0)",IF(OR(K573="KOŞULLU"),"FCF KOŞULLU — yorum yapılmaz","")))</f>
        <v>anlamsız (FCF ≤ 0)</v>
      </c>
      <c r="O573" s="9" t="n">
        <f aca="false">IF(Q573="","",F573*R573/Q573-1)</f>
        <v>0.195687331536388</v>
      </c>
      <c r="P573" s="9" t="n">
        <f aca="false">IF(S573="","",F573*T573/S573-1)</f>
        <v>-0.0739039665970772</v>
      </c>
      <c r="Q573" s="5" t="n">
        <v>37.1</v>
      </c>
      <c r="R573" s="10" t="n">
        <v>1</v>
      </c>
      <c r="S573" s="5" t="n">
        <v>47.9</v>
      </c>
      <c r="T573" s="10" t="n">
        <v>1</v>
      </c>
      <c r="U573" s="4"/>
    </row>
    <row r="574" customFormat="false" ht="15" hidden="false" customHeight="false" outlineLevel="0" collapsed="false">
      <c r="A574" s="4" t="s">
        <v>1262</v>
      </c>
      <c r="B574" s="4" t="s">
        <v>1263</v>
      </c>
      <c r="C574" s="4" t="s">
        <v>29</v>
      </c>
      <c r="D574" s="4" t="s">
        <v>30</v>
      </c>
      <c r="E574" s="4" t="s">
        <v>387</v>
      </c>
      <c r="F574" s="5" t="n">
        <v>96.35</v>
      </c>
      <c r="G574" s="4" t="s">
        <v>26</v>
      </c>
      <c r="H574" s="6" t="n">
        <v>25030.33880235</v>
      </c>
      <c r="I574" s="7" t="n">
        <v>-941.810999999999</v>
      </c>
      <c r="J574" s="4" t="s">
        <v>32</v>
      </c>
      <c r="K574" s="4" t="s">
        <v>33</v>
      </c>
      <c r="L574" s="4" t="s">
        <v>42</v>
      </c>
      <c r="M574" s="8" t="str">
        <f aca="false">IF(OR(H574="",I574=""),"",IF(I574&gt;0,H574/I574,""))</f>
        <v/>
      </c>
      <c r="N574" s="4" t="str">
        <f aca="false">IF(I574="",IF(K574="NULL","FCF yok (NULL)","FCF kapsamı dışı"),IF(I574&lt;=0,"anlamsız (FCF ≤ 0)",IF(OR(K574="KOŞULLU"),"FCF KOŞULLU — yorum yapılmaz","")))</f>
        <v>anlamsız (FCF ≤ 0)</v>
      </c>
      <c r="O574" s="9" t="n">
        <f aca="false">IF(Q574="","",F574*R574/Q574-1)</f>
        <v>0.31986301369863</v>
      </c>
      <c r="P574" s="9" t="n">
        <f aca="false">IF(S574="","",F574*T574/S574-1)</f>
        <v>-0.0867298578199053</v>
      </c>
      <c r="Q574" s="5" t="n">
        <v>73</v>
      </c>
      <c r="R574" s="10" t="n">
        <v>1</v>
      </c>
      <c r="S574" s="5" t="n">
        <v>105.5</v>
      </c>
      <c r="T574" s="10" t="n">
        <v>1</v>
      </c>
      <c r="U574" s="4"/>
    </row>
    <row r="575" customFormat="false" ht="15" hidden="false" customHeight="false" outlineLevel="0" collapsed="false">
      <c r="A575" s="4" t="s">
        <v>1264</v>
      </c>
      <c r="B575" s="4" t="s">
        <v>1265</v>
      </c>
      <c r="C575" s="4" t="s">
        <v>38</v>
      </c>
      <c r="D575" s="4"/>
      <c r="E575" s="4"/>
      <c r="F575" s="5" t="n">
        <v>92.1</v>
      </c>
      <c r="G575" s="4" t="s">
        <v>26</v>
      </c>
      <c r="H575" s="6" t="n">
        <v>92100</v>
      </c>
      <c r="I575" s="7"/>
      <c r="J575" s="4"/>
      <c r="K575" s="4"/>
      <c r="L575" s="4"/>
      <c r="M575" s="8" t="str">
        <f aca="false">IF(OR(H575="",I575=""),"",IF(I575&gt;0,H575/I575,""))</f>
        <v/>
      </c>
      <c r="N575" s="4" t="str">
        <f aca="false">IF(I575="",IF(K575="NULL","FCF yok (NULL)","FCF kapsamı dışı"),IF(I575&lt;=0,"anlamsız (FCF ≤ 0)",IF(OR(K575="KOŞULLU"),"FCF KOŞULLU — yorum yapılmaz","")))</f>
        <v>FCF kapsamı dışı</v>
      </c>
      <c r="O575" s="9" t="n">
        <f aca="false">IF(Q575="","",F575*R575/Q575-1)</f>
        <v>0.198438516590761</v>
      </c>
      <c r="P575" s="9" t="n">
        <f aca="false">IF(S575="","",F575*T575/S575-1)</f>
        <v>-0.00861141011840705</v>
      </c>
      <c r="Q575" s="5" t="n">
        <v>76.85</v>
      </c>
      <c r="R575" s="10" t="n">
        <v>1</v>
      </c>
      <c r="S575" s="5" t="n">
        <v>92.9</v>
      </c>
      <c r="T575" s="10" t="n">
        <v>1</v>
      </c>
      <c r="U575" s="4"/>
    </row>
    <row r="576" customFormat="false" ht="15" hidden="false" customHeight="false" outlineLevel="0" collapsed="false">
      <c r="A576" s="4" t="s">
        <v>1266</v>
      </c>
      <c r="B576" s="4" t="s">
        <v>1267</v>
      </c>
      <c r="C576" s="4" t="s">
        <v>29</v>
      </c>
      <c r="D576" s="4" t="s">
        <v>63</v>
      </c>
      <c r="E576" s="4" t="s">
        <v>63</v>
      </c>
      <c r="F576" s="5" t="n">
        <v>930</v>
      </c>
      <c r="G576" s="4" t="s">
        <v>1268</v>
      </c>
      <c r="H576" s="6" t="n">
        <v>27900</v>
      </c>
      <c r="I576" s="7" t="n">
        <v>294.1801712</v>
      </c>
      <c r="J576" s="4" t="s">
        <v>111</v>
      </c>
      <c r="K576" s="4" t="s">
        <v>33</v>
      </c>
      <c r="L576" s="4" t="s">
        <v>57</v>
      </c>
      <c r="M576" s="8" t="n">
        <f aca="false">IF(OR(H576="",I576=""),"",IF(I576&gt;0,H576/I576,""))</f>
        <v>94.8398387498117</v>
      </c>
      <c r="N576" s="4" t="str">
        <f aca="false">IF(I576="",IF(K576="NULL","FCF yok (NULL)","FCF kapsamı dışı"),IF(I576&lt;=0,"anlamsız (FCF ≤ 0)",IF(OR(K576="KOŞULLU"),"FCF KOŞULLU — yorum yapılmaz","")))</f>
        <v/>
      </c>
      <c r="O576" s="9" t="n">
        <f aca="false">IF(Q576="","",F576*R576/Q576-1)</f>
        <v>3.4862518089725</v>
      </c>
      <c r="P576" s="9" t="n">
        <f aca="false">IF(S576="","",F576*T576/S576-1)</f>
        <v>-0.685279187817259</v>
      </c>
      <c r="Q576" s="5" t="n">
        <v>207.3</v>
      </c>
      <c r="R576" s="10" t="n">
        <v>1</v>
      </c>
      <c r="S576" s="5" t="n">
        <v>2955</v>
      </c>
      <c r="T576" s="10" t="n">
        <v>1</v>
      </c>
      <c r="U576" s="4"/>
    </row>
    <row r="577" customFormat="false" ht="15" hidden="false" customHeight="false" outlineLevel="0" collapsed="false">
      <c r="A577" s="4" t="s">
        <v>1269</v>
      </c>
      <c r="B577" s="4" t="s">
        <v>1270</v>
      </c>
      <c r="C577" s="4" t="s">
        <v>29</v>
      </c>
      <c r="D577" s="4" t="s">
        <v>30</v>
      </c>
      <c r="E577" s="4" t="s">
        <v>147</v>
      </c>
      <c r="F577" s="5" t="n">
        <v>0.86</v>
      </c>
      <c r="G577" s="4" t="s">
        <v>141</v>
      </c>
      <c r="H577" s="6" t="n">
        <v>891.82</v>
      </c>
      <c r="I577" s="7"/>
      <c r="J577" s="4" t="s">
        <v>32</v>
      </c>
      <c r="K577" s="4" t="s">
        <v>116</v>
      </c>
      <c r="L577" s="4" t="s">
        <v>42</v>
      </c>
      <c r="M577" s="8" t="str">
        <f aca="false">IF(OR(H577="",I577=""),"",IF(I577&gt;0,H577/I577,""))</f>
        <v/>
      </c>
      <c r="N577" s="4" t="str">
        <f aca="false">IF(I577="",IF(K577="NULL","FCF yok (NULL)","FCF kapsamı dışı"),IF(I577&lt;=0,"anlamsız (FCF ≤ 0)",IF(OR(K577="KOŞULLU"),"FCF KOŞULLU — yorum yapılmaz","")))</f>
        <v>FCF yok (NULL)</v>
      </c>
      <c r="O577" s="9" t="n">
        <f aca="false">IF(Q577="","",F577*R577/Q577-1)</f>
        <v>-0.759316619853141</v>
      </c>
      <c r="P577" s="9" t="n">
        <f aca="false">IF(S577="","",F577*T577/S577-1)</f>
        <v>-0.104166666666667</v>
      </c>
      <c r="Q577" s="5" t="n">
        <v>22.68</v>
      </c>
      <c r="R577" s="10" t="n">
        <v>6.34732449038462</v>
      </c>
      <c r="S577" s="5" t="n">
        <v>0.96</v>
      </c>
      <c r="T577" s="10" t="n">
        <v>1</v>
      </c>
      <c r="U577" s="4" t="s">
        <v>1271</v>
      </c>
    </row>
    <row r="578" customFormat="false" ht="15" hidden="false" customHeight="false" outlineLevel="0" collapsed="false">
      <c r="A578" s="4" t="s">
        <v>1272</v>
      </c>
      <c r="B578" s="4" t="s">
        <v>1273</v>
      </c>
      <c r="C578" s="4" t="s">
        <v>29</v>
      </c>
      <c r="D578" s="4" t="s">
        <v>30</v>
      </c>
      <c r="E578" s="4" t="s">
        <v>387</v>
      </c>
      <c r="F578" s="5" t="n">
        <v>129.4</v>
      </c>
      <c r="G578" s="4" t="s">
        <v>26</v>
      </c>
      <c r="H578" s="6" t="n">
        <v>50217.552</v>
      </c>
      <c r="I578" s="7" t="n">
        <v>-993.830251199997</v>
      </c>
      <c r="J578" s="4" t="s">
        <v>32</v>
      </c>
      <c r="K578" s="4" t="s">
        <v>33</v>
      </c>
      <c r="L578" s="4" t="s">
        <v>57</v>
      </c>
      <c r="M578" s="8" t="str">
        <f aca="false">IF(OR(H578="",I578=""),"",IF(I578&gt;0,H578/I578,""))</f>
        <v/>
      </c>
      <c r="N578" s="4" t="str">
        <f aca="false">IF(I578="",IF(K578="NULL","FCF yok (NULL)","FCF kapsamı dışı"),IF(I578&lt;=0,"anlamsız (FCF ≤ 0)",IF(OR(K578="KOŞULLU"),"FCF KOŞULLU — yorum yapılmaz","")))</f>
        <v>anlamsız (FCF ≤ 0)</v>
      </c>
      <c r="O578" s="9" t="n">
        <f aca="false">IF(Q578="","",F578*R578/Q578-1)</f>
        <v>0.481396680022897</v>
      </c>
      <c r="P578" s="9" t="n">
        <f aca="false">IF(S578="","",F578*T578/S578-1)</f>
        <v>-0.00231303006939076</v>
      </c>
      <c r="Q578" s="5" t="n">
        <v>87.35</v>
      </c>
      <c r="R578" s="10" t="n">
        <v>1</v>
      </c>
      <c r="S578" s="5" t="n">
        <v>129.7</v>
      </c>
      <c r="T578" s="10" t="n">
        <v>1</v>
      </c>
      <c r="U578" s="4"/>
    </row>
    <row r="579" customFormat="false" ht="15" hidden="false" customHeight="false" outlineLevel="0" collapsed="false">
      <c r="A579" s="4" t="s">
        <v>1274</v>
      </c>
      <c r="B579" s="4" t="s">
        <v>1275</v>
      </c>
      <c r="C579" s="4" t="s">
        <v>38</v>
      </c>
      <c r="D579" s="4"/>
      <c r="E579" s="4"/>
      <c r="F579" s="5" t="n">
        <v>4.94</v>
      </c>
      <c r="G579" s="4" t="s">
        <v>46</v>
      </c>
      <c r="H579" s="6" t="n">
        <v>3211</v>
      </c>
      <c r="I579" s="7"/>
      <c r="J579" s="4"/>
      <c r="K579" s="4"/>
      <c r="L579" s="4"/>
      <c r="M579" s="8" t="str">
        <f aca="false">IF(OR(H579="",I579=""),"",IF(I579&gt;0,H579/I579,""))</f>
        <v/>
      </c>
      <c r="N579" s="4" t="str">
        <f aca="false">IF(I579="",IF(K579="NULL","FCF yok (NULL)","FCF kapsamı dışı"),IF(I579&lt;=0,"anlamsız (FCF ≤ 0)",IF(OR(K579="KOŞULLU"),"FCF KOŞULLU — yorum yapılmaz","")))</f>
        <v>FCF kapsamı dışı</v>
      </c>
      <c r="O579" s="9" t="n">
        <f aca="false">IF(Q579="","",F579*R579/Q579-1)</f>
        <v>-0.384039900249377</v>
      </c>
      <c r="P579" s="9" t="n">
        <f aca="false">IF(S579="","",F579*T579/S579-1)</f>
        <v>-0.0351562499999999</v>
      </c>
      <c r="Q579" s="5" t="n">
        <v>8.02</v>
      </c>
      <c r="R579" s="10" t="n">
        <v>1</v>
      </c>
      <c r="S579" s="5" t="n">
        <v>5.12</v>
      </c>
      <c r="T579" s="10" t="n">
        <v>1</v>
      </c>
      <c r="U579" s="4"/>
    </row>
    <row r="580" customFormat="false" ht="15" hidden="false" customHeight="false" outlineLevel="0" collapsed="false">
      <c r="A580" s="4" t="s">
        <v>1276</v>
      </c>
      <c r="B580" s="4" t="s">
        <v>1277</v>
      </c>
      <c r="C580" s="4" t="s">
        <v>60</v>
      </c>
      <c r="D580" s="4"/>
      <c r="E580" s="4"/>
      <c r="F580" s="5" t="n">
        <v>10</v>
      </c>
      <c r="G580" s="4" t="s">
        <v>26</v>
      </c>
      <c r="H580" s="6" t="n">
        <v>28000</v>
      </c>
      <c r="I580" s="7"/>
      <c r="J580" s="4"/>
      <c r="K580" s="4"/>
      <c r="L580" s="4"/>
      <c r="M580" s="8" t="str">
        <f aca="false">IF(OR(H580="",I580=""),"",IF(I580&gt;0,H580/I580,""))</f>
        <v/>
      </c>
      <c r="N580" s="4" t="str">
        <f aca="false">IF(I580="",IF(K580="NULL","FCF yok (NULL)","FCF kapsamı dışı"),IF(I580&lt;=0,"anlamsız (FCF ≤ 0)",IF(OR(K580="KOŞULLU"),"FCF KOŞULLU — yorum yapılmaz","")))</f>
        <v>FCF kapsamı dışı</v>
      </c>
      <c r="O580" s="9" t="n">
        <f aca="false">IF(Q580="","",F580*R580/Q580-1)</f>
        <v>-0.241559602009724</v>
      </c>
      <c r="P580" s="9" t="n">
        <f aca="false">IF(S580="","",F580*T580/S580-1)</f>
        <v>-0.0783410138248848</v>
      </c>
      <c r="Q580" s="5" t="n">
        <v>13.184951680446</v>
      </c>
      <c r="R580" s="10" t="n">
        <v>1</v>
      </c>
      <c r="S580" s="5" t="n">
        <v>10.85</v>
      </c>
      <c r="T580" s="10" t="n">
        <v>1</v>
      </c>
      <c r="U580" s="4"/>
    </row>
    <row r="581" customFormat="false" ht="15" hidden="false" customHeight="false" outlineLevel="0" collapsed="false">
      <c r="A581" s="4" t="s">
        <v>1278</v>
      </c>
      <c r="B581" s="4" t="s">
        <v>1279</v>
      </c>
      <c r="C581" s="4" t="s">
        <v>29</v>
      </c>
      <c r="D581" s="4" t="s">
        <v>30</v>
      </c>
      <c r="E581" s="4" t="s">
        <v>285</v>
      </c>
      <c r="F581" s="5" t="n">
        <v>0.83</v>
      </c>
      <c r="G581" s="4" t="s">
        <v>26</v>
      </c>
      <c r="H581" s="6" t="n">
        <v>6225</v>
      </c>
      <c r="I581" s="7"/>
      <c r="J581" s="4" t="s">
        <v>32</v>
      </c>
      <c r="K581" s="4" t="s">
        <v>116</v>
      </c>
      <c r="L581" s="4" t="s">
        <v>42</v>
      </c>
      <c r="M581" s="8" t="str">
        <f aca="false">IF(OR(H581="",I581=""),"",IF(I581&gt;0,H581/I581,""))</f>
        <v/>
      </c>
      <c r="N581" s="4" t="str">
        <f aca="false">IF(I581="",IF(K581="NULL","FCF yok (NULL)","FCF kapsamı dışı"),IF(I581&lt;=0,"anlamsız (FCF ≤ 0)",IF(OR(K581="KOŞULLU"),"FCF KOŞULLU — yorum yapılmaz","")))</f>
        <v>FCF yok (NULL)</v>
      </c>
      <c r="O581" s="9" t="n">
        <f aca="false">IF(Q581="","",F581*R581/Q581-1)</f>
        <v>-0.32520325203252</v>
      </c>
      <c r="P581" s="9" t="n">
        <f aca="false">IF(S581="","",F581*T581/S581-1)</f>
        <v>-0.0568181818181819</v>
      </c>
      <c r="Q581" s="5" t="n">
        <v>1.23</v>
      </c>
      <c r="R581" s="10" t="n">
        <v>1</v>
      </c>
      <c r="S581" s="5" t="n">
        <v>0.88</v>
      </c>
      <c r="T581" s="10" t="n">
        <v>1</v>
      </c>
      <c r="U581" s="4"/>
    </row>
    <row r="582" customFormat="false" ht="15" hidden="false" customHeight="false" outlineLevel="0" collapsed="false">
      <c r="A582" s="4" t="s">
        <v>1280</v>
      </c>
      <c r="B582" s="4" t="s">
        <v>1281</v>
      </c>
      <c r="C582" s="4" t="s">
        <v>29</v>
      </c>
      <c r="D582" s="4" t="s">
        <v>30</v>
      </c>
      <c r="E582" s="4" t="s">
        <v>123</v>
      </c>
      <c r="F582" s="5" t="n">
        <v>53.4</v>
      </c>
      <c r="G582" s="4" t="s">
        <v>76</v>
      </c>
      <c r="H582" s="6" t="n">
        <v>186900</v>
      </c>
      <c r="I582" s="7" t="n">
        <v>-46578.358</v>
      </c>
      <c r="J582" s="4" t="s">
        <v>32</v>
      </c>
      <c r="K582" s="4" t="s">
        <v>33</v>
      </c>
      <c r="L582" s="4" t="s">
        <v>42</v>
      </c>
      <c r="M582" s="8" t="str">
        <f aca="false">IF(OR(H582="",I582=""),"",IF(I582&gt;0,H582/I582,""))</f>
        <v/>
      </c>
      <c r="N582" s="4" t="str">
        <f aca="false">IF(I582="",IF(K582="NULL","FCF yok (NULL)","FCF kapsamı dışı"),IF(I582&lt;=0,"anlamsız (FCF ≤ 0)",IF(OR(K582="KOŞULLU"),"FCF KOŞULLU — yorum yapılmaz","")))</f>
        <v>anlamsız (FCF ≤ 0)</v>
      </c>
      <c r="O582" s="9" t="n">
        <f aca="false">IF(Q582="","",F582*R582/Q582-1)</f>
        <v>0.0171428571428571</v>
      </c>
      <c r="P582" s="9" t="n">
        <f aca="false">IF(S582="","",F582*T582/S582-1)</f>
        <v>0</v>
      </c>
      <c r="Q582" s="5" t="n">
        <v>52.5</v>
      </c>
      <c r="R582" s="10" t="n">
        <v>1</v>
      </c>
      <c r="S582" s="5" t="n">
        <v>53.4</v>
      </c>
      <c r="T582" s="10" t="n">
        <v>1</v>
      </c>
      <c r="U582" s="4"/>
    </row>
    <row r="583" customFormat="false" ht="15" hidden="false" customHeight="false" outlineLevel="0" collapsed="false">
      <c r="A583" s="4" t="s">
        <v>1282</v>
      </c>
      <c r="B583" s="4" t="s">
        <v>1283</v>
      </c>
      <c r="C583" s="4" t="s">
        <v>29</v>
      </c>
      <c r="D583" s="4" t="s">
        <v>30</v>
      </c>
      <c r="E583" s="4" t="s">
        <v>182</v>
      </c>
      <c r="F583" s="5" t="n">
        <v>402.75</v>
      </c>
      <c r="G583" s="4" t="s">
        <v>26</v>
      </c>
      <c r="H583" s="6" t="n">
        <v>40301.93390625</v>
      </c>
      <c r="I583" s="7" t="n">
        <v>2948.9602752</v>
      </c>
      <c r="J583" s="4" t="s">
        <v>32</v>
      </c>
      <c r="K583" s="4" t="s">
        <v>33</v>
      </c>
      <c r="L583" s="4" t="s">
        <v>34</v>
      </c>
      <c r="M583" s="8" t="n">
        <f aca="false">IF(OR(H583="",I583=""),"",IF(I583&gt;0,H583/I583,""))</f>
        <v>13.6664892522219</v>
      </c>
      <c r="N583" s="4" t="str">
        <f aca="false">IF(I583="",IF(K583="NULL","FCF yok (NULL)","FCF kapsamı dışı"),IF(I583&lt;=0,"anlamsız (FCF ≤ 0)",IF(OR(K583="KOŞULLU"),"FCF KOŞULLU — yorum yapılmaz","")))</f>
        <v/>
      </c>
      <c r="O583" s="9" t="n">
        <f aca="false">IF(Q583="","",F583*R583/Q583-1)</f>
        <v>-0.303802938634399</v>
      </c>
      <c r="P583" s="9" t="n">
        <f aca="false">IF(S583="","",F583*T583/S583-1)</f>
        <v>-0.00800492610837433</v>
      </c>
      <c r="Q583" s="5" t="n">
        <v>578.5</v>
      </c>
      <c r="R583" s="10" t="n">
        <v>1</v>
      </c>
      <c r="S583" s="5" t="n">
        <v>406</v>
      </c>
      <c r="T583" s="10" t="n">
        <v>1</v>
      </c>
      <c r="U583" s="4"/>
    </row>
    <row r="584" customFormat="false" ht="15" hidden="false" customHeight="false" outlineLevel="0" collapsed="false">
      <c r="A584" s="4" t="s">
        <v>1284</v>
      </c>
      <c r="B584" s="4" t="s">
        <v>1285</v>
      </c>
      <c r="C584" s="4" t="s">
        <v>29</v>
      </c>
      <c r="D584" s="4" t="s">
        <v>30</v>
      </c>
      <c r="E584" s="4" t="s">
        <v>295</v>
      </c>
      <c r="F584" s="5" t="n">
        <v>3.65</v>
      </c>
      <c r="G584" s="4" t="s">
        <v>26</v>
      </c>
      <c r="H584" s="6" t="n">
        <v>1314</v>
      </c>
      <c r="I584" s="7" t="n">
        <v>-2571.379</v>
      </c>
      <c r="J584" s="4" t="s">
        <v>32</v>
      </c>
      <c r="K584" s="4" t="s">
        <v>33</v>
      </c>
      <c r="L584" s="4" t="s">
        <v>42</v>
      </c>
      <c r="M584" s="8" t="str">
        <f aca="false">IF(OR(H584="",I584=""),"",IF(I584&gt;0,H584/I584,""))</f>
        <v/>
      </c>
      <c r="N584" s="4" t="str">
        <f aca="false">IF(I584="",IF(K584="NULL","FCF yok (NULL)","FCF kapsamı dışı"),IF(I584&lt;=0,"anlamsız (FCF ≤ 0)",IF(OR(K584="KOŞULLU"),"FCF KOŞULLU — yorum yapılmaz","")))</f>
        <v>anlamsız (FCF ≤ 0)</v>
      </c>
      <c r="O584" s="9" t="n">
        <f aca="false">IF(Q584="","",F584*R584/Q584-1)</f>
        <v>-0.331501831501832</v>
      </c>
      <c r="P584" s="9" t="n">
        <f aca="false">IF(S584="","",F584*T584/S584-1)</f>
        <v>-0.00273224043715858</v>
      </c>
      <c r="Q584" s="5" t="n">
        <v>5.46</v>
      </c>
      <c r="R584" s="10" t="n">
        <v>1</v>
      </c>
      <c r="S584" s="5" t="n">
        <v>3.66</v>
      </c>
      <c r="T584" s="10" t="n">
        <v>1</v>
      </c>
      <c r="U584" s="4"/>
    </row>
    <row r="585" customFormat="false" ht="15" hidden="false" customHeight="false" outlineLevel="0" collapsed="false">
      <c r="A585" s="4" t="s">
        <v>1286</v>
      </c>
      <c r="B585" s="4" t="s">
        <v>1287</v>
      </c>
      <c r="C585" s="4" t="s">
        <v>29</v>
      </c>
      <c r="D585" s="4" t="s">
        <v>30</v>
      </c>
      <c r="E585" s="4" t="s">
        <v>53</v>
      </c>
      <c r="F585" s="5" t="n">
        <v>1.97</v>
      </c>
      <c r="G585" s="4" t="s">
        <v>26</v>
      </c>
      <c r="H585" s="6" t="n">
        <v>8865</v>
      </c>
      <c r="I585" s="7" t="n">
        <v>463.123</v>
      </c>
      <c r="J585" s="4" t="s">
        <v>32</v>
      </c>
      <c r="K585" s="4" t="s">
        <v>33</v>
      </c>
      <c r="L585" s="4" t="s">
        <v>42</v>
      </c>
      <c r="M585" s="8" t="n">
        <f aca="false">IF(OR(H585="",I585=""),"",IF(I585&gt;0,H585/I585,""))</f>
        <v>19.1417830684289</v>
      </c>
      <c r="N585" s="4" t="str">
        <f aca="false">IF(I585="",IF(K585="NULL","FCF yok (NULL)","FCF kapsamı dışı"),IF(I585&lt;=0,"anlamsız (FCF ≤ 0)",IF(OR(K585="KOŞULLU"),"FCF KOŞULLU — yorum yapılmaz","")))</f>
        <v/>
      </c>
      <c r="O585" s="9" t="n">
        <f aca="false">IF(Q585="","",F585*R585/Q585-1)</f>
        <v>-0.281021897810219</v>
      </c>
      <c r="P585" s="9" t="n">
        <f aca="false">IF(S585="","",F585*T585/S585-1)</f>
        <v>-0.0247524752475248</v>
      </c>
      <c r="Q585" s="5" t="n">
        <v>2.74</v>
      </c>
      <c r="R585" s="10" t="n">
        <v>1</v>
      </c>
      <c r="S585" s="5" t="n">
        <v>2.02</v>
      </c>
      <c r="T585" s="10" t="n">
        <v>1</v>
      </c>
      <c r="U585" s="4"/>
    </row>
    <row r="586" customFormat="false" ht="15" hidden="false" customHeight="false" outlineLevel="0" collapsed="false">
      <c r="A586" s="4" t="s">
        <v>1288</v>
      </c>
      <c r="B586" s="4" t="s">
        <v>1289</v>
      </c>
      <c r="C586" s="4" t="s">
        <v>29</v>
      </c>
      <c r="D586" s="4" t="s">
        <v>30</v>
      </c>
      <c r="E586" s="4" t="s">
        <v>41</v>
      </c>
      <c r="F586" s="5" t="n">
        <v>381.25</v>
      </c>
      <c r="G586" s="4" t="s">
        <v>76</v>
      </c>
      <c r="H586" s="6" t="n">
        <v>734590.8217375</v>
      </c>
      <c r="I586" s="7" t="n">
        <v>151895.006</v>
      </c>
      <c r="J586" s="4" t="s">
        <v>32</v>
      </c>
      <c r="K586" s="4" t="s">
        <v>33</v>
      </c>
      <c r="L586" s="4" t="s">
        <v>42</v>
      </c>
      <c r="M586" s="8" t="n">
        <f aca="false">IF(OR(H586="",I586=""),"",IF(I586&gt;0,H586/I586,""))</f>
        <v>4.83617494137694</v>
      </c>
      <c r="N586" s="4" t="str">
        <f aca="false">IF(I586="",IF(K586="NULL","FCF yok (NULL)","FCF kapsamı dışı"),IF(I586&lt;=0,"anlamsız (FCF ≤ 0)",IF(OR(K586="KOŞULLU"),"FCF KOŞULLU — yorum yapılmaz","")))</f>
        <v/>
      </c>
      <c r="O586" s="9" t="n">
        <f aca="false">IF(Q586="","",F586*R586/Q586-1)</f>
        <v>1.07250271708213</v>
      </c>
      <c r="P586" s="9" t="n">
        <f aca="false">IF(S586="","",F586*T586/S586-1)</f>
        <v>-0.0807715491259795</v>
      </c>
      <c r="Q586" s="5" t="n">
        <v>183.956333015939</v>
      </c>
      <c r="R586" s="10" t="n">
        <v>1</v>
      </c>
      <c r="S586" s="5" t="n">
        <v>414.75</v>
      </c>
      <c r="T586" s="10" t="n">
        <v>1</v>
      </c>
      <c r="U586" s="4"/>
    </row>
    <row r="587" customFormat="false" ht="15" hidden="false" customHeight="false" outlineLevel="0" collapsed="false">
      <c r="A587" s="4" t="s">
        <v>1290</v>
      </c>
      <c r="B587" s="4" t="s">
        <v>1291</v>
      </c>
      <c r="C587" s="4" t="s">
        <v>29</v>
      </c>
      <c r="D587" s="4" t="s">
        <v>30</v>
      </c>
      <c r="E587" s="4" t="s">
        <v>305</v>
      </c>
      <c r="F587" s="5" t="n">
        <v>5.78</v>
      </c>
      <c r="G587" s="4" t="s">
        <v>26</v>
      </c>
      <c r="H587" s="6" t="n">
        <v>6242.4</v>
      </c>
      <c r="I587" s="7" t="n">
        <v>675.0094128</v>
      </c>
      <c r="J587" s="4" t="s">
        <v>32</v>
      </c>
      <c r="K587" s="4" t="s">
        <v>33</v>
      </c>
      <c r="L587" s="4" t="s">
        <v>34</v>
      </c>
      <c r="M587" s="8" t="n">
        <f aca="false">IF(OR(H587="",I587=""),"",IF(I587&gt;0,H587/I587,""))</f>
        <v>9.2478710394659</v>
      </c>
      <c r="N587" s="4" t="str">
        <f aca="false">IF(I587="",IF(K587="NULL","FCF yok (NULL)","FCF kapsamı dışı"),IF(I587&lt;=0,"anlamsız (FCF ≤ 0)",IF(OR(K587="KOŞULLU"),"FCF KOŞULLU — yorum yapılmaz","")))</f>
        <v/>
      </c>
      <c r="O587" s="9" t="n">
        <f aca="false">IF(Q587="","",F587*R587/Q587-1)</f>
        <v>-0.330243337195829</v>
      </c>
      <c r="P587" s="9" t="n">
        <f aca="false">IF(S587="","",F587*T587/S587-1)</f>
        <v>0.167676767676768</v>
      </c>
      <c r="Q587" s="5" t="n">
        <v>8.63</v>
      </c>
      <c r="R587" s="10" t="n">
        <v>1</v>
      </c>
      <c r="S587" s="5" t="n">
        <v>4.95</v>
      </c>
      <c r="T587" s="10" t="n">
        <v>1</v>
      </c>
      <c r="U587" s="4"/>
    </row>
    <row r="588" customFormat="false" ht="15" hidden="false" customHeight="false" outlineLevel="0" collapsed="false">
      <c r="A588" s="4" t="s">
        <v>1292</v>
      </c>
      <c r="B588" s="4" t="s">
        <v>1293</v>
      </c>
      <c r="C588" s="4" t="s">
        <v>29</v>
      </c>
      <c r="D588" s="4" t="s">
        <v>30</v>
      </c>
      <c r="E588" s="4" t="s">
        <v>85</v>
      </c>
      <c r="F588" s="5" t="n">
        <v>24.84</v>
      </c>
      <c r="G588" s="4" t="s">
        <v>26</v>
      </c>
      <c r="H588" s="6" t="n">
        <v>3183.805521</v>
      </c>
      <c r="I588" s="7" t="n">
        <v>-26.7992224</v>
      </c>
      <c r="J588" s="4" t="s">
        <v>32</v>
      </c>
      <c r="K588" s="4" t="s">
        <v>33</v>
      </c>
      <c r="L588" s="4" t="s">
        <v>57</v>
      </c>
      <c r="M588" s="8" t="str">
        <f aca="false">IF(OR(H588="",I588=""),"",IF(I588&gt;0,H588/I588,""))</f>
        <v/>
      </c>
      <c r="N588" s="4" t="str">
        <f aca="false">IF(I588="",IF(K588="NULL","FCF yok (NULL)","FCF kapsamı dışı"),IF(I588&lt;=0,"anlamsız (FCF ≤ 0)",IF(OR(K588="KOŞULLU"),"FCF KOŞULLU — yorum yapılmaz","")))</f>
        <v>anlamsız (FCF ≤ 0)</v>
      </c>
      <c r="O588" s="9" t="n">
        <f aca="false">IF(Q588="","",F588*R588/Q588-1)</f>
        <v>-0.19559585492228</v>
      </c>
      <c r="P588" s="9" t="n">
        <f aca="false">IF(S588="","",F588*T588/S588-1)</f>
        <v>-0.00400962309542907</v>
      </c>
      <c r="Q588" s="5" t="n">
        <v>30.88</v>
      </c>
      <c r="R588" s="10" t="n">
        <v>1</v>
      </c>
      <c r="S588" s="5" t="n">
        <v>24.94</v>
      </c>
      <c r="T588" s="10" t="n">
        <v>1</v>
      </c>
      <c r="U588" s="4"/>
    </row>
    <row r="589" customFormat="false" ht="15" hidden="false" customHeight="false" outlineLevel="0" collapsed="false">
      <c r="A589" s="4" t="s">
        <v>1294</v>
      </c>
      <c r="B589" s="4" t="s">
        <v>1295</v>
      </c>
      <c r="C589" s="4" t="s">
        <v>60</v>
      </c>
      <c r="D589" s="4"/>
      <c r="E589" s="4"/>
      <c r="F589" s="5" t="n">
        <v>5.31</v>
      </c>
      <c r="G589" s="4" t="s">
        <v>26</v>
      </c>
      <c r="H589" s="6" t="n">
        <v>106200</v>
      </c>
      <c r="I589" s="7"/>
      <c r="J589" s="4"/>
      <c r="K589" s="4"/>
      <c r="L589" s="4"/>
      <c r="M589" s="8" t="str">
        <f aca="false">IF(OR(H589="",I589=""),"",IF(I589&gt;0,H589/I589,""))</f>
        <v/>
      </c>
      <c r="N589" s="4" t="str">
        <f aca="false">IF(I589="",IF(K589="NULL","FCF yok (NULL)","FCF kapsamı dışı"),IF(I589&lt;=0,"anlamsız (FCF ≤ 0)",IF(OR(K589="KOŞULLU"),"FCF KOŞULLU — yorum yapılmaz","")))</f>
        <v>FCF kapsamı dışı</v>
      </c>
      <c r="O589" s="9" t="n">
        <f aca="false">IF(Q589="","",F589*R589/Q589-1)</f>
        <v>0.144718941314699</v>
      </c>
      <c r="P589" s="9" t="n">
        <f aca="false">IF(S589="","",F589*T589/S589-1)</f>
        <v>-0.140776699029126</v>
      </c>
      <c r="Q589" s="5" t="n">
        <v>9.27</v>
      </c>
      <c r="R589" s="10" t="n">
        <v>1.9984076433121</v>
      </c>
      <c r="S589" s="5" t="n">
        <v>6.18</v>
      </c>
      <c r="T589" s="10" t="n">
        <v>1</v>
      </c>
      <c r="U589" s="4" t="s">
        <v>1296</v>
      </c>
    </row>
    <row r="590" customFormat="false" ht="15" hidden="false" customHeight="false" outlineLevel="0" collapsed="false">
      <c r="A590" s="4" t="s">
        <v>1297</v>
      </c>
      <c r="B590" s="4" t="s">
        <v>1298</v>
      </c>
      <c r="C590" s="4" t="s">
        <v>29</v>
      </c>
      <c r="D590" s="4" t="s">
        <v>30</v>
      </c>
      <c r="E590" s="4" t="s">
        <v>85</v>
      </c>
      <c r="F590" s="5" t="n">
        <v>15.24</v>
      </c>
      <c r="G590" s="4" t="s">
        <v>26</v>
      </c>
      <c r="H590" s="6" t="n">
        <v>3429</v>
      </c>
      <c r="I590" s="7" t="n">
        <v>-732.4776512</v>
      </c>
      <c r="J590" s="4" t="s">
        <v>32</v>
      </c>
      <c r="K590" s="4" t="s">
        <v>33</v>
      </c>
      <c r="L590" s="4" t="s">
        <v>57</v>
      </c>
      <c r="M590" s="8" t="str">
        <f aca="false">IF(OR(H590="",I590=""),"",IF(I590&gt;0,H590/I590,""))</f>
        <v/>
      </c>
      <c r="N590" s="4" t="str">
        <f aca="false">IF(I590="",IF(K590="NULL","FCF yok (NULL)","FCF kapsamı dışı"),IF(I590&lt;=0,"anlamsız (FCF ≤ 0)",IF(OR(K590="KOŞULLU"),"FCF KOŞULLU — yorum yapılmaz","")))</f>
        <v>anlamsız (FCF ≤ 0)</v>
      </c>
      <c r="O590" s="9" t="str">
        <f aca="false">IF(Q590="","",F590*R590/Q590-1)</f>
        <v/>
      </c>
      <c r="P590" s="9" t="n">
        <f aca="false">IF(S590="","",F590*T590/S590-1)</f>
        <v>-0.134090909090909</v>
      </c>
      <c r="Q590" s="5"/>
      <c r="R590" s="10" t="n">
        <v>1</v>
      </c>
      <c r="S590" s="5" t="n">
        <v>17.6</v>
      </c>
      <c r="T590" s="10" t="n">
        <v>1</v>
      </c>
      <c r="U590" s="4"/>
    </row>
    <row r="591" customFormat="false" ht="15" hidden="false" customHeight="false" outlineLevel="0" collapsed="false">
      <c r="A591" s="4" t="s">
        <v>1299</v>
      </c>
      <c r="B591" s="4" t="s">
        <v>1300</v>
      </c>
      <c r="C591" s="4" t="s">
        <v>29</v>
      </c>
      <c r="D591" s="4" t="s">
        <v>63</v>
      </c>
      <c r="E591" s="4" t="s">
        <v>63</v>
      </c>
      <c r="F591" s="5" t="n">
        <v>288</v>
      </c>
      <c r="G591" s="4" t="s">
        <v>46</v>
      </c>
      <c r="H591" s="6" t="n">
        <v>13491.901728</v>
      </c>
      <c r="I591" s="7" t="n">
        <v>-109.386</v>
      </c>
      <c r="J591" s="4" t="s">
        <v>32</v>
      </c>
      <c r="K591" s="4" t="s">
        <v>33</v>
      </c>
      <c r="L591" s="4" t="s">
        <v>42</v>
      </c>
      <c r="M591" s="8" t="str">
        <f aca="false">IF(OR(H591="",I591=""),"",IF(I591&gt;0,H591/I591,""))</f>
        <v/>
      </c>
      <c r="N591" s="4" t="str">
        <f aca="false">IF(I591="",IF(K591="NULL","FCF yok (NULL)","FCF kapsamı dışı"),IF(I591&lt;=0,"anlamsız (FCF ≤ 0)",IF(OR(K591="KOŞULLU"),"FCF KOŞULLU — yorum yapılmaz","")))</f>
        <v>anlamsız (FCF ≤ 0)</v>
      </c>
      <c r="O591" s="9" t="n">
        <f aca="false">IF(Q591="","",F591*R591/Q591-1)</f>
        <v>-0.72147001934236</v>
      </c>
      <c r="P591" s="9" t="n">
        <f aca="false">IF(S591="","",F591*T591/S591-1)</f>
        <v>-0.685417804478427</v>
      </c>
      <c r="Q591" s="5" t="n">
        <v>1034</v>
      </c>
      <c r="R591" s="10" t="n">
        <v>1</v>
      </c>
      <c r="S591" s="5" t="n">
        <v>915.5</v>
      </c>
      <c r="T591" s="10" t="n">
        <v>1</v>
      </c>
      <c r="U591" s="4"/>
    </row>
    <row r="592" customFormat="false" ht="15" hidden="false" customHeight="false" outlineLevel="0" collapsed="false">
      <c r="A592" s="4" t="s">
        <v>1301</v>
      </c>
      <c r="B592" s="4" t="s">
        <v>1302</v>
      </c>
      <c r="C592" s="4" t="s">
        <v>29</v>
      </c>
      <c r="D592" s="4" t="s">
        <v>30</v>
      </c>
      <c r="E592" s="4" t="s">
        <v>192</v>
      </c>
      <c r="F592" s="5" t="n">
        <v>15.97</v>
      </c>
      <c r="G592" s="4" t="s">
        <v>26</v>
      </c>
      <c r="H592" s="6" t="n">
        <v>405.35333475</v>
      </c>
      <c r="I592" s="7" t="n">
        <v>-82.120328</v>
      </c>
      <c r="J592" s="4" t="s">
        <v>32</v>
      </c>
      <c r="K592" s="4" t="s">
        <v>33</v>
      </c>
      <c r="L592" s="4" t="s">
        <v>57</v>
      </c>
      <c r="M592" s="8" t="str">
        <f aca="false">IF(OR(H592="",I592=""),"",IF(I592&gt;0,H592/I592,""))</f>
        <v/>
      </c>
      <c r="N592" s="4" t="str">
        <f aca="false">IF(I592="",IF(K592="NULL","FCF yok (NULL)","FCF kapsamı dışı"),IF(I592&lt;=0,"anlamsız (FCF ≤ 0)",IF(OR(K592="KOŞULLU"),"FCF KOŞULLU — yorum yapılmaz","")))</f>
        <v>anlamsız (FCF ≤ 0)</v>
      </c>
      <c r="O592" s="9" t="n">
        <f aca="false">IF(Q592="","",F592*R592/Q592-1)</f>
        <v>-0.437279774489077</v>
      </c>
      <c r="P592" s="9" t="n">
        <f aca="false">IF(S592="","",F592*T592/S592-1)</f>
        <v>-0.0774119006354708</v>
      </c>
      <c r="Q592" s="5" t="n">
        <v>28.38</v>
      </c>
      <c r="R592" s="10" t="n">
        <v>1</v>
      </c>
      <c r="S592" s="5" t="n">
        <v>17.31</v>
      </c>
      <c r="T592" s="10" t="n">
        <v>1</v>
      </c>
      <c r="U592" s="4"/>
    </row>
    <row r="593" customFormat="false" ht="15" hidden="false" customHeight="false" outlineLevel="0" collapsed="false">
      <c r="A593" s="4" t="s">
        <v>1303</v>
      </c>
      <c r="B593" s="4" t="s">
        <v>1304</v>
      </c>
      <c r="C593" s="4" t="s">
        <v>29</v>
      </c>
      <c r="D593" s="4" t="s">
        <v>30</v>
      </c>
      <c r="E593" s="4" t="s">
        <v>53</v>
      </c>
      <c r="F593" s="5" t="n">
        <v>86.3</v>
      </c>
      <c r="G593" s="4" t="s">
        <v>26</v>
      </c>
      <c r="H593" s="6" t="n">
        <v>31868.5062865</v>
      </c>
      <c r="I593" s="7" t="n">
        <v>11696.54</v>
      </c>
      <c r="J593" s="4" t="s">
        <v>32</v>
      </c>
      <c r="K593" s="4" t="s">
        <v>33</v>
      </c>
      <c r="L593" s="4" t="s">
        <v>42</v>
      </c>
      <c r="M593" s="8" t="n">
        <f aca="false">IF(OR(H593="",I593=""),"",IF(I593&gt;0,H593/I593,""))</f>
        <v>2.72460969538855</v>
      </c>
      <c r="N593" s="4" t="str">
        <f aca="false">IF(I593="",IF(K593="NULL","FCF yok (NULL)","FCF kapsamı dışı"),IF(I593&lt;=0,"anlamsız (FCF ≤ 0)",IF(OR(K593="KOŞULLU"),"FCF KOŞULLU — yorum yapılmaz","")))</f>
        <v/>
      </c>
      <c r="O593" s="9" t="n">
        <f aca="false">IF(Q593="","",F593*R593/Q593-1)</f>
        <v>-0.206071757129715</v>
      </c>
      <c r="P593" s="9" t="n">
        <f aca="false">IF(S593="","",F593*T593/S593-1)</f>
        <v>-0.0103211009174312</v>
      </c>
      <c r="Q593" s="5" t="n">
        <v>108.7</v>
      </c>
      <c r="R593" s="10" t="n">
        <v>1</v>
      </c>
      <c r="S593" s="5" t="n">
        <v>87.2</v>
      </c>
      <c r="T593" s="10" t="n">
        <v>1</v>
      </c>
      <c r="U593" s="4"/>
    </row>
    <row r="594" customFormat="false" ht="15" hidden="false" customHeight="false" outlineLevel="0" collapsed="false">
      <c r="A594" s="4" t="s">
        <v>1305</v>
      </c>
      <c r="B594" s="4" t="s">
        <v>1306</v>
      </c>
      <c r="C594" s="4" t="s">
        <v>60</v>
      </c>
      <c r="D594" s="4"/>
      <c r="E594" s="4"/>
      <c r="F594" s="5" t="n">
        <v>1.46</v>
      </c>
      <c r="G594" s="4" t="s">
        <v>120</v>
      </c>
      <c r="H594" s="6" t="n">
        <v>1576.8</v>
      </c>
      <c r="I594" s="7"/>
      <c r="J594" s="4"/>
      <c r="K594" s="4"/>
      <c r="L594" s="4"/>
      <c r="M594" s="8" t="str">
        <f aca="false">IF(OR(H594="",I594=""),"",IF(I594&gt;0,H594/I594,""))</f>
        <v/>
      </c>
      <c r="N594" s="4" t="str">
        <f aca="false">IF(I594="",IF(K594="NULL","FCF yok (NULL)","FCF kapsamı dışı"),IF(I594&lt;=0,"anlamsız (FCF ≤ 0)",IF(OR(K594="KOŞULLU"),"FCF KOŞULLU — yorum yapılmaz","")))</f>
        <v>FCF kapsamı dışı</v>
      </c>
      <c r="O594" s="9" t="n">
        <f aca="false">IF(Q594="","",F594*R594/Q594-1)</f>
        <v>-0.190511413296083</v>
      </c>
      <c r="P594" s="9" t="n">
        <f aca="false">IF(S594="","",F594*T594/S594-1)</f>
        <v>-0.0266666666666667</v>
      </c>
      <c r="Q594" s="5" t="n">
        <v>3.62580967119342</v>
      </c>
      <c r="R594" s="10" t="n">
        <v>2.01030927835052</v>
      </c>
      <c r="S594" s="5" t="n">
        <v>1.5</v>
      </c>
      <c r="T594" s="10" t="n">
        <v>1</v>
      </c>
      <c r="U594" s="4" t="s">
        <v>1307</v>
      </c>
    </row>
    <row r="595" customFormat="false" ht="15" hidden="false" customHeight="false" outlineLevel="0" collapsed="false">
      <c r="A595" s="4" t="s">
        <v>1308</v>
      </c>
      <c r="B595" s="4" t="s">
        <v>1309</v>
      </c>
      <c r="C595" s="4" t="s">
        <v>29</v>
      </c>
      <c r="D595" s="4" t="s">
        <v>30</v>
      </c>
      <c r="E595" s="4" t="s">
        <v>565</v>
      </c>
      <c r="F595" s="5" t="n">
        <v>151.7</v>
      </c>
      <c r="G595" s="4" t="s">
        <v>26</v>
      </c>
      <c r="H595" s="6" t="n">
        <v>12136</v>
      </c>
      <c r="I595" s="7" t="n">
        <v>482.803</v>
      </c>
      <c r="J595" s="4" t="s">
        <v>32</v>
      </c>
      <c r="K595" s="4" t="s">
        <v>33</v>
      </c>
      <c r="L595" s="4" t="s">
        <v>42</v>
      </c>
      <c r="M595" s="8" t="n">
        <f aca="false">IF(OR(H595="",I595=""),"",IF(I595&gt;0,H595/I595,""))</f>
        <v>25.1365463760581</v>
      </c>
      <c r="N595" s="4" t="str">
        <f aca="false">IF(I595="",IF(K595="NULL","FCF yok (NULL)","FCF kapsamı dışı"),IF(I595&lt;=0,"anlamsız (FCF ≤ 0)",IF(OR(K595="KOŞULLU"),"FCF KOŞULLU — yorum yapılmaz","")))</f>
        <v/>
      </c>
      <c r="O595" s="9" t="n">
        <f aca="false">IF(Q595="","",F595*R595/Q595-1)</f>
        <v>-0.221652129297075</v>
      </c>
      <c r="P595" s="9" t="n">
        <f aca="false">IF(S595="","",F595*T595/S595-1)</f>
        <v>-0.190933333333333</v>
      </c>
      <c r="Q595" s="5" t="n">
        <v>194.9</v>
      </c>
      <c r="R595" s="10" t="n">
        <v>1</v>
      </c>
      <c r="S595" s="5" t="n">
        <v>187.5</v>
      </c>
      <c r="T595" s="10" t="n">
        <v>1</v>
      </c>
      <c r="U595" s="4"/>
    </row>
    <row r="596" customFormat="false" ht="15" hidden="false" customHeight="false" outlineLevel="0" collapsed="false">
      <c r="A596" s="4" t="s">
        <v>1310</v>
      </c>
      <c r="B596" s="4" t="s">
        <v>1311</v>
      </c>
      <c r="C596" s="4" t="s">
        <v>29</v>
      </c>
      <c r="D596" s="4" t="s">
        <v>30</v>
      </c>
      <c r="E596" s="4" t="s">
        <v>53</v>
      </c>
      <c r="F596" s="5" t="n">
        <v>6.61</v>
      </c>
      <c r="G596" s="4" t="s">
        <v>26</v>
      </c>
      <c r="H596" s="6" t="n">
        <v>4957.5</v>
      </c>
      <c r="I596" s="7" t="n">
        <v>-3239.47</v>
      </c>
      <c r="J596" s="4" t="s">
        <v>32</v>
      </c>
      <c r="K596" s="4" t="s">
        <v>33</v>
      </c>
      <c r="L596" s="4" t="s">
        <v>42</v>
      </c>
      <c r="M596" s="8" t="str">
        <f aca="false">IF(OR(H596="",I596=""),"",IF(I596&gt;0,H596/I596,""))</f>
        <v/>
      </c>
      <c r="N596" s="4" t="str">
        <f aca="false">IF(I596="",IF(K596="NULL","FCF yok (NULL)","FCF kapsamı dışı"),IF(I596&lt;=0,"anlamsız (FCF ≤ 0)",IF(OR(K596="KOŞULLU"),"FCF KOŞULLU — yorum yapılmaz","")))</f>
        <v>anlamsız (FCF ≤ 0)</v>
      </c>
      <c r="O596" s="9" t="n">
        <f aca="false">IF(Q596="","",F596*R596/Q596-1)</f>
        <v>-0.164348925410872</v>
      </c>
      <c r="P596" s="9" t="n">
        <f aca="false">IF(S596="","",F596*T596/S596-1)</f>
        <v>-0.0378457059679767</v>
      </c>
      <c r="Q596" s="5" t="n">
        <v>7.91</v>
      </c>
      <c r="R596" s="10" t="n">
        <v>1</v>
      </c>
      <c r="S596" s="5" t="n">
        <v>6.87</v>
      </c>
      <c r="T596" s="10" t="n">
        <v>1</v>
      </c>
      <c r="U596" s="4"/>
    </row>
    <row r="597" customFormat="false" ht="15" hidden="false" customHeight="false" outlineLevel="0" collapsed="false">
      <c r="A597" s="4" t="s">
        <v>1312</v>
      </c>
      <c r="B597" s="4"/>
      <c r="C597" s="4"/>
      <c r="D597" s="4"/>
      <c r="E597" s="4"/>
      <c r="F597" s="5" t="n">
        <v>9.3</v>
      </c>
      <c r="G597" s="4" t="s">
        <v>1313</v>
      </c>
      <c r="H597" s="6" t="n">
        <v>390.6</v>
      </c>
      <c r="I597" s="7"/>
      <c r="J597" s="4"/>
      <c r="K597" s="4"/>
      <c r="L597" s="4"/>
      <c r="M597" s="8" t="str">
        <f aca="false">IF(OR(H597="",I597=""),"",IF(I597&gt;0,H597/I597,""))</f>
        <v/>
      </c>
      <c r="N597" s="4" t="str">
        <f aca="false">IF(I597="",IF(K597="NULL","FCF yok (NULL)","FCF kapsamı dışı"),IF(I597&lt;=0,"anlamsız (FCF ≤ 0)",IF(OR(K597="KOŞULLU"),"FCF KOŞULLU — yorum yapılmaz","")))</f>
        <v>FCF kapsamı dışı</v>
      </c>
      <c r="O597" s="9" t="str">
        <f aca="false">IF(Q597="","",F597*R597/Q597-1)</f>
        <v/>
      </c>
      <c r="P597" s="9" t="str">
        <f aca="false">IF(S597="","",F597*T597/S597-1)</f>
        <v/>
      </c>
      <c r="Q597" s="5"/>
      <c r="R597" s="10" t="n">
        <v>1</v>
      </c>
      <c r="S597" s="5"/>
      <c r="T597" s="10" t="n">
        <v>1</v>
      </c>
      <c r="U597" s="4"/>
    </row>
    <row r="598" customFormat="false" ht="15" hidden="false" customHeight="false" outlineLevel="0" collapsed="false">
      <c r="A598" s="4" t="s">
        <v>1314</v>
      </c>
      <c r="B598" s="4" t="s">
        <v>1315</v>
      </c>
      <c r="C598" s="4" t="s">
        <v>29</v>
      </c>
      <c r="D598" s="4" t="s">
        <v>63</v>
      </c>
      <c r="E598" s="4" t="s">
        <v>63</v>
      </c>
      <c r="F598" s="5" t="n">
        <v>11.09</v>
      </c>
      <c r="G598" s="4" t="s">
        <v>120</v>
      </c>
      <c r="H598" s="6" t="n">
        <v>1948.9566</v>
      </c>
      <c r="I598" s="7" t="n">
        <v>-1091.96</v>
      </c>
      <c r="J598" s="4" t="s">
        <v>111</v>
      </c>
      <c r="K598" s="4" t="s">
        <v>33</v>
      </c>
      <c r="L598" s="4" t="s">
        <v>42</v>
      </c>
      <c r="M598" s="8" t="str">
        <f aca="false">IF(OR(H598="",I598=""),"",IF(I598&gt;0,H598/I598,""))</f>
        <v/>
      </c>
      <c r="N598" s="4" t="str">
        <f aca="false">IF(I598="",IF(K598="NULL","FCF yok (NULL)","FCF kapsamı dışı"),IF(I598&lt;=0,"anlamsız (FCF ≤ 0)",IF(OR(K598="KOŞULLU"),"FCF KOŞULLU — yorum yapılmaz","")))</f>
        <v>anlamsız (FCF ≤ 0)</v>
      </c>
      <c r="O598" s="9" t="n">
        <f aca="false">IF(Q598="","",F598*R598/Q598-1)</f>
        <v>-0.296766011414077</v>
      </c>
      <c r="P598" s="9" t="n">
        <f aca="false">IF(S598="","",F598*T598/S598-1)</f>
        <v>-0.129513343799058</v>
      </c>
      <c r="Q598" s="5" t="n">
        <v>15.77</v>
      </c>
      <c r="R598" s="10" t="n">
        <v>1</v>
      </c>
      <c r="S598" s="5" t="n">
        <v>12.74</v>
      </c>
      <c r="T598" s="10" t="n">
        <v>1</v>
      </c>
      <c r="U598" s="4"/>
    </row>
    <row r="599" customFormat="false" ht="15" hidden="false" customHeight="false" outlineLevel="0" collapsed="false">
      <c r="A599" s="4" t="s">
        <v>1316</v>
      </c>
      <c r="B599" s="4" t="s">
        <v>1317</v>
      </c>
      <c r="C599" s="4" t="s">
        <v>29</v>
      </c>
      <c r="D599" s="4" t="s">
        <v>30</v>
      </c>
      <c r="E599" s="4" t="s">
        <v>263</v>
      </c>
      <c r="F599" s="5" t="n">
        <v>0.43</v>
      </c>
      <c r="G599" s="4" t="s">
        <v>141</v>
      </c>
      <c r="H599" s="6" t="n">
        <v>1053.5</v>
      </c>
      <c r="I599" s="7" t="n">
        <v>-2456.8216096</v>
      </c>
      <c r="J599" s="4" t="s">
        <v>32</v>
      </c>
      <c r="K599" s="4" t="s">
        <v>33</v>
      </c>
      <c r="L599" s="4" t="s">
        <v>34</v>
      </c>
      <c r="M599" s="8" t="str">
        <f aca="false">IF(OR(H599="",I599=""),"",IF(I599&gt;0,H599/I599,""))</f>
        <v/>
      </c>
      <c r="N599" s="4" t="str">
        <f aca="false">IF(I599="",IF(K599="NULL","FCF yok (NULL)","FCF kapsamı dışı"),IF(I599&lt;=0,"anlamsız (FCF ≤ 0)",IF(OR(K599="KOŞULLU"),"FCF KOŞULLU — yorum yapılmaz","")))</f>
        <v>anlamsız (FCF ≤ 0)</v>
      </c>
      <c r="O599" s="9" t="n">
        <f aca="false">IF(Q599="","",F599*R599/Q599-1)</f>
        <v>-0.812467102789684</v>
      </c>
      <c r="P599" s="9" t="n">
        <f aca="false">IF(S599="","",F599*T599/S599-1)</f>
        <v>-0.57</v>
      </c>
      <c r="Q599" s="5" t="n">
        <v>2.29293103448276</v>
      </c>
      <c r="R599" s="10" t="n">
        <v>1</v>
      </c>
      <c r="S599" s="5" t="n">
        <v>1</v>
      </c>
      <c r="T599" s="10" t="n">
        <v>1</v>
      </c>
      <c r="U599" s="4"/>
    </row>
    <row r="600" customFormat="false" ht="15" hidden="false" customHeight="false" outlineLevel="0" collapsed="false">
      <c r="A600" s="4" t="s">
        <v>1318</v>
      </c>
      <c r="B600" s="4" t="s">
        <v>1319</v>
      </c>
      <c r="C600" s="4" t="s">
        <v>29</v>
      </c>
      <c r="D600" s="4" t="s">
        <v>63</v>
      </c>
      <c r="E600" s="4" t="s">
        <v>63</v>
      </c>
      <c r="F600" s="5" t="n">
        <v>55.15</v>
      </c>
      <c r="G600" s="4" t="s">
        <v>26</v>
      </c>
      <c r="H600" s="6" t="n">
        <v>1157.5985</v>
      </c>
      <c r="I600" s="7" t="n">
        <v>-2.4193344</v>
      </c>
      <c r="J600" s="4" t="s">
        <v>32</v>
      </c>
      <c r="K600" s="4" t="s">
        <v>33</v>
      </c>
      <c r="L600" s="4" t="s">
        <v>34</v>
      </c>
      <c r="M600" s="8" t="str">
        <f aca="false">IF(OR(H600="",I600=""),"",IF(I600&gt;0,H600/I600,""))</f>
        <v/>
      </c>
      <c r="N600" s="4" t="str">
        <f aca="false">IF(I600="",IF(K600="NULL","FCF yok (NULL)","FCF kapsamı dışı"),IF(I600&lt;=0,"anlamsız (FCF ≤ 0)",IF(OR(K600="KOŞULLU"),"FCF KOŞULLU — yorum yapılmaz","")))</f>
        <v>anlamsız (FCF ≤ 0)</v>
      </c>
      <c r="O600" s="9" t="str">
        <f aca="false">IF(Q600="","",F600*R600/Q600-1)</f>
        <v/>
      </c>
      <c r="P600" s="9" t="n">
        <f aca="false">IF(S600="","",F600*T600/S600-1)</f>
        <v>-0.166918429003021</v>
      </c>
      <c r="Q600" s="5"/>
      <c r="R600" s="10" t="n">
        <v>1</v>
      </c>
      <c r="S600" s="5" t="n">
        <v>66.2</v>
      </c>
      <c r="T600" s="10" t="n">
        <v>1</v>
      </c>
      <c r="U600" s="4"/>
    </row>
    <row r="601" customFormat="false" ht="15" hidden="false" customHeight="false" outlineLevel="0" collapsed="false">
      <c r="A601" s="4" t="s">
        <v>1320</v>
      </c>
      <c r="B601" s="4" t="s">
        <v>1321</v>
      </c>
      <c r="C601" s="4" t="s">
        <v>60</v>
      </c>
      <c r="D601" s="4"/>
      <c r="E601" s="4"/>
      <c r="F601" s="5" t="n">
        <v>33.9</v>
      </c>
      <c r="G601" s="4" t="s">
        <v>26</v>
      </c>
      <c r="H601" s="6" t="n">
        <v>336149.7395958</v>
      </c>
      <c r="I601" s="7"/>
      <c r="J601" s="4"/>
      <c r="K601" s="4"/>
      <c r="L601" s="4"/>
      <c r="M601" s="8" t="str">
        <f aca="false">IF(OR(H601="",I601=""),"",IF(I601&gt;0,H601/I601,""))</f>
        <v/>
      </c>
      <c r="N601" s="4" t="str">
        <f aca="false">IF(I601="",IF(K601="NULL","FCF yok (NULL)","FCF kapsamı dışı"),IF(I601&lt;=0,"anlamsız (FCF ≤ 0)",IF(OR(K601="KOŞULLU"),"FCF KOŞULLU — yorum yapılmaz","")))</f>
        <v>FCF kapsamı dışı</v>
      </c>
      <c r="O601" s="9" t="n">
        <f aca="false">IF(Q601="","",F601*R601/Q601-1)</f>
        <v>0.25648628613788</v>
      </c>
      <c r="P601" s="9" t="n">
        <f aca="false">IF(S601="","",F601*T601/S601-1)</f>
        <v>-0.0133876600698487</v>
      </c>
      <c r="Q601" s="5" t="n">
        <v>26.98</v>
      </c>
      <c r="R601" s="10" t="n">
        <v>1</v>
      </c>
      <c r="S601" s="5" t="n">
        <v>34.36</v>
      </c>
      <c r="T601" s="10" t="n">
        <v>1</v>
      </c>
      <c r="U601" s="4"/>
    </row>
    <row r="602" customFormat="false" ht="15" hidden="false" customHeight="false" outlineLevel="0" collapsed="false">
      <c r="A602" s="4" t="s">
        <v>1322</v>
      </c>
      <c r="B602" s="4" t="s">
        <v>1323</v>
      </c>
      <c r="C602" s="4" t="s">
        <v>60</v>
      </c>
      <c r="D602" s="4"/>
      <c r="E602" s="4"/>
      <c r="F602" s="5" t="n">
        <v>8.99</v>
      </c>
      <c r="G602" s="4" t="s">
        <v>26</v>
      </c>
      <c r="H602" s="6" t="n">
        <v>8091</v>
      </c>
      <c r="I602" s="7"/>
      <c r="J602" s="4"/>
      <c r="K602" s="4"/>
      <c r="L602" s="4"/>
      <c r="M602" s="8" t="str">
        <f aca="false">IF(OR(H602="",I602=""),"",IF(I602&gt;0,H602/I602,""))</f>
        <v/>
      </c>
      <c r="N602" s="4" t="str">
        <f aca="false">IF(I602="",IF(K602="NULL","FCF yok (NULL)","FCF kapsamı dışı"),IF(I602&lt;=0,"anlamsız (FCF ≤ 0)",IF(OR(K602="KOŞULLU"),"FCF KOŞULLU — yorum yapılmaz","")))</f>
        <v>FCF kapsamı dışı</v>
      </c>
      <c r="O602" s="9" t="str">
        <f aca="false">IF(Q602="","",F602*R602/Q602-1)</f>
        <v/>
      </c>
      <c r="P602" s="9" t="n">
        <f aca="false">IF(S602="","",F602*T602/S602-1)</f>
        <v>-0.109018830525273</v>
      </c>
      <c r="Q602" s="5"/>
      <c r="R602" s="10" t="n">
        <v>1</v>
      </c>
      <c r="S602" s="5" t="n">
        <v>10.09</v>
      </c>
      <c r="T602" s="10" t="n">
        <v>1</v>
      </c>
      <c r="U602" s="4"/>
    </row>
    <row r="603" customFormat="false" ht="15" hidden="false" customHeight="false" outlineLevel="0" collapsed="false">
      <c r="A603" s="4" t="s">
        <v>1324</v>
      </c>
      <c r="B603" s="4" t="s">
        <v>1325</v>
      </c>
      <c r="C603" s="4" t="s">
        <v>60</v>
      </c>
      <c r="D603" s="4"/>
      <c r="E603" s="4"/>
      <c r="F603" s="5" t="n">
        <v>0.95</v>
      </c>
      <c r="G603" s="4" t="s">
        <v>26</v>
      </c>
      <c r="H603" s="6" t="n">
        <v>5700</v>
      </c>
      <c r="I603" s="7"/>
      <c r="J603" s="4"/>
      <c r="K603" s="4"/>
      <c r="L603" s="4"/>
      <c r="M603" s="8" t="str">
        <f aca="false">IF(OR(H603="",I603=""),"",IF(I603&gt;0,H603/I603,""))</f>
        <v/>
      </c>
      <c r="N603" s="4" t="str">
        <f aca="false">IF(I603="",IF(K603="NULL","FCF yok (NULL)","FCF kapsamı dışı"),IF(I603&lt;=0,"anlamsız (FCF ≤ 0)",IF(OR(K603="KOŞULLU"),"FCF KOŞULLU — yorum yapılmaz","")))</f>
        <v>FCF kapsamı dışı</v>
      </c>
      <c r="O603" s="9" t="n">
        <f aca="false">IF(Q603="","",F603*R603/Q603-1)</f>
        <v>-0.403846153846154</v>
      </c>
      <c r="P603" s="9" t="n">
        <f aca="false">IF(S603="","",F603*T603/S603-1)</f>
        <v>-0.0776699029126214</v>
      </c>
      <c r="Q603" s="5" t="n">
        <v>1.9</v>
      </c>
      <c r="R603" s="10" t="n">
        <v>1.19230769230769</v>
      </c>
      <c r="S603" s="5" t="n">
        <v>1.03</v>
      </c>
      <c r="T603" s="10" t="n">
        <v>1</v>
      </c>
      <c r="U603" s="4" t="s">
        <v>1326</v>
      </c>
    </row>
    <row r="604" customFormat="false" ht="15" hidden="false" customHeight="false" outlineLevel="0" collapsed="false">
      <c r="A604" s="4" t="s">
        <v>1327</v>
      </c>
      <c r="B604" s="4" t="s">
        <v>1328</v>
      </c>
      <c r="C604" s="4" t="s">
        <v>29</v>
      </c>
      <c r="D604" s="4" t="s">
        <v>30</v>
      </c>
      <c r="E604" s="4" t="s">
        <v>171</v>
      </c>
      <c r="F604" s="5" t="n">
        <v>60.05</v>
      </c>
      <c r="G604" s="4" t="s">
        <v>26</v>
      </c>
      <c r="H604" s="6" t="n">
        <v>9608</v>
      </c>
      <c r="I604" s="7" t="n">
        <v>2577.4913248</v>
      </c>
      <c r="J604" s="4" t="s">
        <v>32</v>
      </c>
      <c r="K604" s="4" t="s">
        <v>154</v>
      </c>
      <c r="L604" s="4" t="s">
        <v>34</v>
      </c>
      <c r="M604" s="8" t="n">
        <f aca="false">IF(OR(H604="",I604=""),"",IF(I604&gt;0,H604/I604,""))</f>
        <v>3.7276556113125</v>
      </c>
      <c r="N604" s="4" t="str">
        <f aca="false">IF(I604="",IF(K604="NULL","FCF yok (NULL)","FCF kapsamı dışı"),IF(I604&lt;=0,"anlamsız (FCF ≤ 0)",IF(OR(K604="KOŞULLU"),"FCF KOŞULLU — yorum yapılmaz","")))</f>
        <v>FCF KOŞULLU — yorum yapılmaz</v>
      </c>
      <c r="O604" s="9" t="n">
        <f aca="false">IF(Q604="","",F604*R604/Q604-1)</f>
        <v>0.0177966101694915</v>
      </c>
      <c r="P604" s="9" t="n">
        <f aca="false">IF(S604="","",F604*T604/S604-1)</f>
        <v>-0.0468253968253969</v>
      </c>
      <c r="Q604" s="5" t="n">
        <v>59</v>
      </c>
      <c r="R604" s="10" t="n">
        <v>1</v>
      </c>
      <c r="S604" s="5" t="n">
        <v>63</v>
      </c>
      <c r="T604" s="10" t="n">
        <v>1</v>
      </c>
      <c r="U604" s="4"/>
    </row>
    <row r="605" customFormat="false" ht="15" hidden="false" customHeight="false" outlineLevel="0" collapsed="false">
      <c r="A605" s="4" t="s">
        <v>1329</v>
      </c>
      <c r="B605" s="4" t="s">
        <v>1330</v>
      </c>
      <c r="C605" s="4" t="s">
        <v>29</v>
      </c>
      <c r="D605" s="4" t="s">
        <v>30</v>
      </c>
      <c r="E605" s="4" t="s">
        <v>53</v>
      </c>
      <c r="F605" s="5" t="n">
        <v>69.4</v>
      </c>
      <c r="G605" s="4" t="s">
        <v>108</v>
      </c>
      <c r="H605" s="6" t="n">
        <v>1735</v>
      </c>
      <c r="I605" s="7" t="n">
        <v>0.3835984</v>
      </c>
      <c r="J605" s="4" t="s">
        <v>32</v>
      </c>
      <c r="K605" s="4" t="s">
        <v>154</v>
      </c>
      <c r="L605" s="4" t="s">
        <v>57</v>
      </c>
      <c r="M605" s="8" t="n">
        <f aca="false">IF(OR(H605="",I605=""),"",IF(I605&gt;0,H605/I605,""))</f>
        <v>4522.9594284022</v>
      </c>
      <c r="N605" s="4" t="str">
        <f aca="false">IF(I605="",IF(K605="NULL","FCF yok (NULL)","FCF kapsamı dışı"),IF(I605&lt;=0,"anlamsız (FCF ≤ 0)",IF(OR(K605="KOŞULLU"),"FCF KOŞULLU — yorum yapılmaz","")))</f>
        <v>FCF KOŞULLU — yorum yapılmaz</v>
      </c>
      <c r="O605" s="9" t="n">
        <f aca="false">IF(Q605="","",F605*R605/Q605-1)</f>
        <v>0.435664046338436</v>
      </c>
      <c r="P605" s="9" t="n">
        <f aca="false">IF(S605="","",F605*T605/S605-1)</f>
        <v>0.125709651257097</v>
      </c>
      <c r="Q605" s="5" t="n">
        <v>48.34</v>
      </c>
      <c r="R605" s="10" t="n">
        <v>1</v>
      </c>
      <c r="S605" s="5" t="n">
        <v>61.65</v>
      </c>
      <c r="T605" s="10" t="n">
        <v>1</v>
      </c>
      <c r="U605" s="4"/>
    </row>
    <row r="606" customFormat="false" ht="15" hidden="false" customHeight="false" outlineLevel="0" collapsed="false">
      <c r="A606" s="4" t="s">
        <v>1331</v>
      </c>
      <c r="B606" s="4" t="s">
        <v>1332</v>
      </c>
      <c r="C606" s="4" t="s">
        <v>29</v>
      </c>
      <c r="D606" s="4" t="s">
        <v>30</v>
      </c>
      <c r="E606" s="4" t="s">
        <v>159</v>
      </c>
      <c r="F606" s="5" t="n">
        <v>24.32</v>
      </c>
      <c r="G606" s="4" t="s">
        <v>26</v>
      </c>
      <c r="H606" s="6" t="n">
        <v>2845.44</v>
      </c>
      <c r="I606" s="7" t="n">
        <v>177.842</v>
      </c>
      <c r="J606" s="4" t="s">
        <v>32</v>
      </c>
      <c r="K606" s="4" t="s">
        <v>33</v>
      </c>
      <c r="L606" s="4" t="s">
        <v>42</v>
      </c>
      <c r="M606" s="8" t="n">
        <f aca="false">IF(OR(H606="",I606=""),"",IF(I606&gt;0,H606/I606,""))</f>
        <v>15.9998200650015</v>
      </c>
      <c r="N606" s="4" t="str">
        <f aca="false">IF(I606="",IF(K606="NULL","FCF yok (NULL)","FCF kapsamı dışı"),IF(I606&lt;=0,"anlamsız (FCF ≤ 0)",IF(OR(K606="KOŞULLU"),"FCF KOŞULLU — yorum yapılmaz","")))</f>
        <v/>
      </c>
      <c r="O606" s="9" t="n">
        <f aca="false">IF(Q606="","",F606*R606/Q606-1)</f>
        <v>0.263376623376624</v>
      </c>
      <c r="P606" s="9" t="n">
        <f aca="false">IF(S606="","",F606*T606/S606-1)</f>
        <v>-0.122655122655123</v>
      </c>
      <c r="Q606" s="5" t="n">
        <v>19.25</v>
      </c>
      <c r="R606" s="10" t="n">
        <v>1</v>
      </c>
      <c r="S606" s="5" t="n">
        <v>27.72</v>
      </c>
      <c r="T606" s="10" t="n">
        <v>1</v>
      </c>
      <c r="U606" s="4"/>
    </row>
    <row r="607" customFormat="false" ht="15" hidden="false" customHeight="false" outlineLevel="0" collapsed="false">
      <c r="A607" s="4" t="s">
        <v>1333</v>
      </c>
      <c r="B607" s="4" t="s">
        <v>1334</v>
      </c>
      <c r="C607" s="4" t="s">
        <v>38</v>
      </c>
      <c r="D607" s="4"/>
      <c r="E607" s="4"/>
      <c r="F607" s="5" t="n">
        <v>26.84</v>
      </c>
      <c r="G607" s="4" t="s">
        <v>46</v>
      </c>
      <c r="H607" s="6" t="n">
        <v>1395.68</v>
      </c>
      <c r="I607" s="7"/>
      <c r="J607" s="4"/>
      <c r="K607" s="4"/>
      <c r="L607" s="4"/>
      <c r="M607" s="8" t="str">
        <f aca="false">IF(OR(H607="",I607=""),"",IF(I607&gt;0,H607/I607,""))</f>
        <v/>
      </c>
      <c r="N607" s="4" t="str">
        <f aca="false">IF(I607="",IF(K607="NULL","FCF yok (NULL)","FCF kapsamı dışı"),IF(I607&lt;=0,"anlamsız (FCF ≤ 0)",IF(OR(K607="KOŞULLU"),"FCF KOŞULLU — yorum yapılmaz","")))</f>
        <v>FCF kapsamı dışı</v>
      </c>
      <c r="O607" s="9" t="n">
        <f aca="false">IF(Q607="","",F607*R607/Q607-1)</f>
        <v>-0.341834232466896</v>
      </c>
      <c r="P607" s="9" t="n">
        <f aca="false">IF(S607="","",F607*T607/S607-1)</f>
        <v>-0.0386819484240688</v>
      </c>
      <c r="Q607" s="5" t="n">
        <v>40.78</v>
      </c>
      <c r="R607" s="10" t="n">
        <v>1</v>
      </c>
      <c r="S607" s="5" t="n">
        <v>27.92</v>
      </c>
      <c r="T607" s="10" t="n">
        <v>1</v>
      </c>
      <c r="U607" s="4"/>
    </row>
    <row r="608" customFormat="false" ht="15" hidden="false" customHeight="false" outlineLevel="0" collapsed="false">
      <c r="A608" s="4" t="s">
        <v>1335</v>
      </c>
      <c r="B608" s="4" t="s">
        <v>1336</v>
      </c>
      <c r="C608" s="4" t="s">
        <v>29</v>
      </c>
      <c r="D608" s="4" t="s">
        <v>63</v>
      </c>
      <c r="E608" s="4" t="s">
        <v>63</v>
      </c>
      <c r="F608" s="5" t="n">
        <v>515</v>
      </c>
      <c r="G608" s="4" t="s">
        <v>64</v>
      </c>
      <c r="H608" s="6" t="n">
        <v>36050</v>
      </c>
      <c r="I608" s="7" t="n">
        <v>-134.234</v>
      </c>
      <c r="J608" s="4" t="s">
        <v>32</v>
      </c>
      <c r="K608" s="4" t="s">
        <v>33</v>
      </c>
      <c r="L608" s="4" t="s">
        <v>42</v>
      </c>
      <c r="M608" s="8" t="str">
        <f aca="false">IF(OR(H608="",I608=""),"",IF(I608&gt;0,H608/I608,""))</f>
        <v/>
      </c>
      <c r="N608" s="4" t="str">
        <f aca="false">IF(I608="",IF(K608="NULL","FCF yok (NULL)","FCF kapsamı dışı"),IF(I608&lt;=0,"anlamsız (FCF ≤ 0)",IF(OR(K608="KOŞULLU"),"FCF KOŞULLU — yorum yapılmaz","")))</f>
        <v>anlamsız (FCF ≤ 0)</v>
      </c>
      <c r="O608" s="9" t="n">
        <f aca="false">IF(Q608="","",F608*R608/Q608-1)</f>
        <v>0.558245083207262</v>
      </c>
      <c r="P608" s="9" t="n">
        <f aca="false">IF(S608="","",F608*T608/S608-1)</f>
        <v>0.0957446808510638</v>
      </c>
      <c r="Q608" s="5" t="n">
        <v>330.5</v>
      </c>
      <c r="R608" s="10" t="n">
        <v>1</v>
      </c>
      <c r="S608" s="5" t="n">
        <v>470</v>
      </c>
      <c r="T608" s="10" t="n">
        <v>1</v>
      </c>
      <c r="U608" s="4"/>
    </row>
    <row r="609" customFormat="false" ht="15" hidden="false" customHeight="false" outlineLevel="0" collapsed="false">
      <c r="A609" s="4" t="s">
        <v>1337</v>
      </c>
      <c r="B609" s="4" t="s">
        <v>1338</v>
      </c>
      <c r="C609" s="4" t="s">
        <v>29</v>
      </c>
      <c r="D609" s="4" t="s">
        <v>30</v>
      </c>
      <c r="E609" s="4" t="s">
        <v>119</v>
      </c>
      <c r="F609" s="5" t="n">
        <v>4.09</v>
      </c>
      <c r="G609" s="4" t="s">
        <v>26</v>
      </c>
      <c r="H609" s="6" t="n">
        <v>6544</v>
      </c>
      <c r="I609" s="7" t="n">
        <v>2198.965</v>
      </c>
      <c r="J609" s="4" t="s">
        <v>32</v>
      </c>
      <c r="K609" s="4" t="s">
        <v>33</v>
      </c>
      <c r="L609" s="4" t="s">
        <v>42</v>
      </c>
      <c r="M609" s="8" t="n">
        <f aca="false">IF(OR(H609="",I609=""),"",IF(I609&gt;0,H609/I609,""))</f>
        <v>2.97594550163372</v>
      </c>
      <c r="N609" s="4" t="str">
        <f aca="false">IF(I609="",IF(K609="NULL","FCF yok (NULL)","FCF kapsamı dışı"),IF(I609&lt;=0,"anlamsız (FCF ≤ 0)",IF(OR(K609="KOŞULLU"),"FCF KOŞULLU — yorum yapılmaz","")))</f>
        <v/>
      </c>
      <c r="O609" s="9" t="n">
        <f aca="false">IF(Q609="","",F609*R609/Q609-1)</f>
        <v>-0.641542506573182</v>
      </c>
      <c r="P609" s="9" t="n">
        <f aca="false">IF(S609="","",F609*T609/S609-1)</f>
        <v>-0.183632734530938</v>
      </c>
      <c r="Q609" s="5" t="n">
        <v>11.41</v>
      </c>
      <c r="R609" s="10" t="n">
        <v>1</v>
      </c>
      <c r="S609" s="5" t="n">
        <v>5.01</v>
      </c>
      <c r="T609" s="10" t="n">
        <v>1</v>
      </c>
      <c r="U609" s="4"/>
    </row>
    <row r="610" customFormat="false" ht="15" hidden="false" customHeight="false" outlineLevel="0" collapsed="false">
      <c r="A610" s="4" t="s">
        <v>1339</v>
      </c>
      <c r="B610" s="4" t="s">
        <v>1340</v>
      </c>
      <c r="C610" s="4" t="s">
        <v>29</v>
      </c>
      <c r="D610" s="4" t="s">
        <v>30</v>
      </c>
      <c r="E610" s="4" t="s">
        <v>119</v>
      </c>
      <c r="F610" s="5" t="n">
        <v>18.06</v>
      </c>
      <c r="G610" s="4" t="s">
        <v>26</v>
      </c>
      <c r="H610" s="6" t="n">
        <v>6058.3403265</v>
      </c>
      <c r="I610" s="7" t="n">
        <v>-13236.968</v>
      </c>
      <c r="J610" s="4" t="s">
        <v>32</v>
      </c>
      <c r="K610" s="4" t="s">
        <v>33</v>
      </c>
      <c r="L610" s="4" t="s">
        <v>42</v>
      </c>
      <c r="M610" s="8" t="str">
        <f aca="false">IF(OR(H610="",I610=""),"",IF(I610&gt;0,H610/I610,""))</f>
        <v/>
      </c>
      <c r="N610" s="4" t="str">
        <f aca="false">IF(I610="",IF(K610="NULL","FCF yok (NULL)","FCF kapsamı dışı"),IF(I610&lt;=0,"anlamsız (FCF ≤ 0)",IF(OR(K610="KOŞULLU"),"FCF KOŞULLU — yorum yapılmaz","")))</f>
        <v>anlamsız (FCF ≤ 0)</v>
      </c>
      <c r="O610" s="9" t="n">
        <f aca="false">IF(Q610="","",F610*R610/Q610-1)</f>
        <v>-0.50763358778626</v>
      </c>
      <c r="P610" s="9" t="n">
        <f aca="false">IF(S610="","",F610*T610/S610-1)</f>
        <v>-0.190134529147982</v>
      </c>
      <c r="Q610" s="5" t="n">
        <v>36.68</v>
      </c>
      <c r="R610" s="10" t="n">
        <v>1</v>
      </c>
      <c r="S610" s="5" t="n">
        <v>22.3</v>
      </c>
      <c r="T610" s="10" t="n">
        <v>1</v>
      </c>
      <c r="U610" s="4"/>
    </row>
    <row r="611" customFormat="false" ht="15" hidden="false" customHeight="false" outlineLevel="0" collapsed="false">
      <c r="A611" s="4" t="s">
        <v>1341</v>
      </c>
      <c r="B611" s="4" t="s">
        <v>1342</v>
      </c>
      <c r="C611" s="4" t="s">
        <v>29</v>
      </c>
      <c r="D611" s="4" t="s">
        <v>30</v>
      </c>
      <c r="E611" s="4" t="s">
        <v>31</v>
      </c>
      <c r="F611" s="5" t="n">
        <v>81.9</v>
      </c>
      <c r="G611" s="4" t="s">
        <v>26</v>
      </c>
      <c r="H611" s="6" t="n">
        <v>46425.4018137</v>
      </c>
      <c r="I611" s="7"/>
      <c r="J611" s="4" t="s">
        <v>32</v>
      </c>
      <c r="K611" s="4" t="s">
        <v>116</v>
      </c>
      <c r="L611" s="4" t="s">
        <v>42</v>
      </c>
      <c r="M611" s="8" t="str">
        <f aca="false">IF(OR(H611="",I611=""),"",IF(I611&gt;0,H611/I611,""))</f>
        <v/>
      </c>
      <c r="N611" s="4" t="str">
        <f aca="false">IF(I611="",IF(K611="NULL","FCF yok (NULL)","FCF kapsamı dışı"),IF(I611&lt;=0,"anlamsız (FCF ≤ 0)",IF(OR(K611="KOŞULLU"),"FCF KOŞULLU — yorum yapılmaz","")))</f>
        <v>FCF yok (NULL)</v>
      </c>
      <c r="O611" s="9" t="str">
        <f aca="false">IF(Q611="","",F611*R611/Q611-1)</f>
        <v/>
      </c>
      <c r="P611" s="9" t="n">
        <f aca="false">IF(S611="","",F611*T611/S611-1)</f>
        <v>-0.036470588235294</v>
      </c>
      <c r="Q611" s="5"/>
      <c r="R611" s="10" t="n">
        <v>1</v>
      </c>
      <c r="S611" s="5" t="n">
        <v>85</v>
      </c>
      <c r="T611" s="10" t="n">
        <v>1</v>
      </c>
      <c r="U611" s="4"/>
    </row>
    <row r="612" customFormat="false" ht="15" hidden="false" customHeight="false" outlineLevel="0" collapsed="false">
      <c r="A612" s="4" t="s">
        <v>1343</v>
      </c>
      <c r="B612" s="4" t="s">
        <v>1344</v>
      </c>
      <c r="C612" s="4" t="s">
        <v>38</v>
      </c>
      <c r="D612" s="4"/>
      <c r="E612" s="4"/>
      <c r="F612" s="5" t="n">
        <v>18.59</v>
      </c>
      <c r="G612" s="4" t="s">
        <v>46</v>
      </c>
      <c r="H612" s="6" t="n">
        <v>557.7</v>
      </c>
      <c r="I612" s="7"/>
      <c r="J612" s="4"/>
      <c r="K612" s="4"/>
      <c r="L612" s="4"/>
      <c r="M612" s="8" t="str">
        <f aca="false">IF(OR(H612="",I612=""),"",IF(I612&gt;0,H612/I612,""))</f>
        <v/>
      </c>
      <c r="N612" s="4" t="str">
        <f aca="false">IF(I612="",IF(K612="NULL","FCF yok (NULL)","FCF kapsamı dışı"),IF(I612&lt;=0,"anlamsız (FCF ≤ 0)",IF(OR(K612="KOŞULLU"),"FCF KOŞULLU — yorum yapılmaz","")))</f>
        <v>FCF kapsamı dışı</v>
      </c>
      <c r="O612" s="9" t="n">
        <f aca="false">IF(Q612="","",F612*R612/Q612-1)</f>
        <v>-0.204195205479452</v>
      </c>
      <c r="P612" s="9" t="n">
        <f aca="false">IF(S612="","",F612*T612/S612-1)</f>
        <v>0.00377969762419017</v>
      </c>
      <c r="Q612" s="5" t="n">
        <v>23.36</v>
      </c>
      <c r="R612" s="10" t="n">
        <v>1</v>
      </c>
      <c r="S612" s="5" t="n">
        <v>18.52</v>
      </c>
      <c r="T612" s="10" t="n">
        <v>1</v>
      </c>
      <c r="U612" s="4"/>
    </row>
    <row r="613" customFormat="false" ht="15" hidden="false" customHeight="false" outlineLevel="0" collapsed="false">
      <c r="A613" s="4" t="s">
        <v>1345</v>
      </c>
      <c r="B613" s="4" t="s">
        <v>1346</v>
      </c>
      <c r="C613" s="4" t="s">
        <v>38</v>
      </c>
      <c r="D613" s="4"/>
      <c r="E613" s="4"/>
      <c r="F613" s="5" t="n">
        <v>1.67</v>
      </c>
      <c r="G613" s="4" t="s">
        <v>120</v>
      </c>
      <c r="H613" s="6" t="n">
        <v>7348</v>
      </c>
      <c r="I613" s="7"/>
      <c r="J613" s="4"/>
      <c r="K613" s="4"/>
      <c r="L613" s="4"/>
      <c r="M613" s="8" t="str">
        <f aca="false">IF(OR(H613="",I613=""),"",IF(I613&gt;0,H613/I613,""))</f>
        <v/>
      </c>
      <c r="N613" s="4" t="str">
        <f aca="false">IF(I613="",IF(K613="NULL","FCF yok (NULL)","FCF kapsamı dışı"),IF(I613&lt;=0,"anlamsız (FCF ≤ 0)",IF(OR(K613="KOŞULLU"),"FCF KOŞULLU — yorum yapılmaz","")))</f>
        <v>FCF kapsamı dışı</v>
      </c>
      <c r="O613" s="9" t="n">
        <f aca="false">IF(Q613="","",F613*R613/Q613-1)</f>
        <v>-0.137710509716599</v>
      </c>
      <c r="P613" s="9" t="n">
        <f aca="false">IF(S613="","",F613*T613/S613-1)</f>
        <v>-0.0511363636363636</v>
      </c>
      <c r="Q613" s="5" t="n">
        <v>2.47</v>
      </c>
      <c r="R613" s="10" t="n">
        <v>1.2753623</v>
      </c>
      <c r="S613" s="5" t="n">
        <v>1.76</v>
      </c>
      <c r="T613" s="10" t="n">
        <v>1</v>
      </c>
      <c r="U613" s="4" t="s">
        <v>1347</v>
      </c>
    </row>
    <row r="614" customFormat="false" ht="15" hidden="false" customHeight="false" outlineLevel="0" collapsed="false">
      <c r="A614" s="4" t="s">
        <v>1348</v>
      </c>
      <c r="B614" s="4" t="s">
        <v>1349</v>
      </c>
      <c r="C614" s="4" t="s">
        <v>29</v>
      </c>
      <c r="D614" s="4" t="s">
        <v>30</v>
      </c>
      <c r="E614" s="4" t="s">
        <v>131</v>
      </c>
      <c r="F614" s="5" t="n">
        <v>15.95</v>
      </c>
      <c r="G614" s="4" t="s">
        <v>64</v>
      </c>
      <c r="H614" s="6" t="n">
        <v>669.9</v>
      </c>
      <c r="I614" s="7" t="n">
        <v>-536.1262688</v>
      </c>
      <c r="J614" s="4" t="s">
        <v>32</v>
      </c>
      <c r="K614" s="4" t="s">
        <v>33</v>
      </c>
      <c r="L614" s="4" t="s">
        <v>34</v>
      </c>
      <c r="M614" s="8" t="str">
        <f aca="false">IF(OR(H614="",I614=""),"",IF(I614&gt;0,H614/I614,""))</f>
        <v/>
      </c>
      <c r="N614" s="4" t="str">
        <f aca="false">IF(I614="",IF(K614="NULL","FCF yok (NULL)","FCF kapsamı dışı"),IF(I614&lt;=0,"anlamsız (FCF ≤ 0)",IF(OR(K614="KOŞULLU"),"FCF KOŞULLU — yorum yapılmaz","")))</f>
        <v>anlamsız (FCF ≤ 0)</v>
      </c>
      <c r="O614" s="9" t="n">
        <f aca="false">IF(Q614="","",F614*R614/Q614-1)</f>
        <v>-0.45</v>
      </c>
      <c r="P614" s="9" t="n">
        <f aca="false">IF(S614="","",F614*T614/S614-1)</f>
        <v>-0.0849110728628801</v>
      </c>
      <c r="Q614" s="5" t="n">
        <v>29</v>
      </c>
      <c r="R614" s="10" t="n">
        <v>1</v>
      </c>
      <c r="S614" s="5" t="n">
        <v>17.43</v>
      </c>
      <c r="T614" s="10" t="n">
        <v>1</v>
      </c>
      <c r="U614" s="4"/>
    </row>
    <row r="615" customFormat="false" ht="15" hidden="false" customHeight="false" outlineLevel="0" collapsed="false">
      <c r="A615" s="4" t="s">
        <v>1350</v>
      </c>
      <c r="B615" s="4" t="s">
        <v>1351</v>
      </c>
      <c r="C615" s="4" t="s">
        <v>38</v>
      </c>
      <c r="D615" s="4"/>
      <c r="E615" s="4"/>
      <c r="F615" s="5" t="n">
        <v>1.38</v>
      </c>
      <c r="G615" s="4" t="s">
        <v>26</v>
      </c>
      <c r="H615" s="6" t="n">
        <v>1131.6</v>
      </c>
      <c r="I615" s="7"/>
      <c r="J615" s="4"/>
      <c r="K615" s="4"/>
      <c r="L615" s="4"/>
      <c r="M615" s="8" t="str">
        <f aca="false">IF(OR(H615="",I615=""),"",IF(I615&gt;0,H615/I615,""))</f>
        <v/>
      </c>
      <c r="N615" s="4" t="str">
        <f aca="false">IF(I615="",IF(K615="NULL","FCF yok (NULL)","FCF kapsamı dışı"),IF(I615&lt;=0,"anlamsız (FCF ≤ 0)",IF(OR(K615="KOŞULLU"),"FCF KOŞULLU — yorum yapılmaz","")))</f>
        <v>FCF kapsamı dışı</v>
      </c>
      <c r="O615" s="9" t="n">
        <f aca="false">IF(Q615="","",F615*R615/Q615-1)</f>
        <v>-0.581818181818182</v>
      </c>
      <c r="P615" s="9" t="n">
        <f aca="false">IF(S615="","",F615*T615/S615-1)</f>
        <v>0.0534351145038168</v>
      </c>
      <c r="Q615" s="5" t="n">
        <v>3.3</v>
      </c>
      <c r="R615" s="10" t="n">
        <v>1</v>
      </c>
      <c r="S615" s="5" t="n">
        <v>1.31</v>
      </c>
      <c r="T615" s="10" t="n">
        <v>1</v>
      </c>
      <c r="U615" s="4"/>
    </row>
    <row r="616" customFormat="false" ht="15" hidden="false" customHeight="false" outlineLevel="0" collapsed="false">
      <c r="A616" s="4" t="s">
        <v>1352</v>
      </c>
      <c r="B616" s="4" t="s">
        <v>1353</v>
      </c>
      <c r="C616" s="4" t="s">
        <v>29</v>
      </c>
      <c r="D616" s="4" t="s">
        <v>30</v>
      </c>
      <c r="E616" s="4" t="s">
        <v>387</v>
      </c>
      <c r="F616" s="5" t="n">
        <v>27.7</v>
      </c>
      <c r="G616" s="4" t="s">
        <v>46</v>
      </c>
      <c r="H616" s="6" t="n">
        <v>5023.395</v>
      </c>
      <c r="I616" s="7" t="n">
        <v>-234.989</v>
      </c>
      <c r="J616" s="4" t="s">
        <v>32</v>
      </c>
      <c r="K616" s="4" t="s">
        <v>33</v>
      </c>
      <c r="L616" s="4" t="s">
        <v>42</v>
      </c>
      <c r="M616" s="8" t="str">
        <f aca="false">IF(OR(H616="",I616=""),"",IF(I616&gt;0,H616/I616,""))</f>
        <v/>
      </c>
      <c r="N616" s="4" t="str">
        <f aca="false">IF(I616="",IF(K616="NULL","FCF yok (NULL)","FCF kapsamı dışı"),IF(I616&lt;=0,"anlamsız (FCF ≤ 0)",IF(OR(K616="KOŞULLU"),"FCF KOŞULLU — yorum yapılmaz","")))</f>
        <v>anlamsız (FCF ≤ 0)</v>
      </c>
      <c r="O616" s="9" t="n">
        <f aca="false">IF(Q616="","",F616*R616/Q616-1)</f>
        <v>-0.731019571510667</v>
      </c>
      <c r="P616" s="9" t="n">
        <f aca="false">IF(S616="","",F616*T616/S616-1)</f>
        <v>-0.144533662754787</v>
      </c>
      <c r="Q616" s="5" t="n">
        <v>159.11</v>
      </c>
      <c r="R616" s="10" t="n">
        <v>1.54503523382447</v>
      </c>
      <c r="S616" s="5" t="n">
        <v>32.38</v>
      </c>
      <c r="T616" s="10" t="n">
        <v>1</v>
      </c>
      <c r="U616" s="4" t="s">
        <v>1354</v>
      </c>
    </row>
    <row r="617" customFormat="false" ht="15" hidden="false" customHeight="false" outlineLevel="0" collapsed="false">
      <c r="A617" s="4" t="s">
        <v>1355</v>
      </c>
      <c r="B617" s="4" t="s">
        <v>1356</v>
      </c>
      <c r="C617" s="4" t="s">
        <v>29</v>
      </c>
      <c r="D617" s="4" t="s">
        <v>30</v>
      </c>
      <c r="E617" s="4" t="s">
        <v>359</v>
      </c>
      <c r="F617" s="5" t="n">
        <v>9.2</v>
      </c>
      <c r="G617" s="4" t="s">
        <v>76</v>
      </c>
      <c r="H617" s="6" t="n">
        <v>2743.44</v>
      </c>
      <c r="I617" s="7" t="n">
        <v>-119.669</v>
      </c>
      <c r="J617" s="4" t="s">
        <v>32</v>
      </c>
      <c r="K617" s="4" t="s">
        <v>33</v>
      </c>
      <c r="L617" s="4" t="s">
        <v>42</v>
      </c>
      <c r="M617" s="8" t="str">
        <f aca="false">IF(OR(H617="",I617=""),"",IF(I617&gt;0,H617/I617,""))</f>
        <v/>
      </c>
      <c r="N617" s="4" t="str">
        <f aca="false">IF(I617="",IF(K617="NULL","FCF yok (NULL)","FCF kapsamı dışı"),IF(I617&lt;=0,"anlamsız (FCF ≤ 0)",IF(OR(K617="KOŞULLU"),"FCF KOŞULLU — yorum yapılmaz","")))</f>
        <v>anlamsız (FCF ≤ 0)</v>
      </c>
      <c r="O617" s="9" t="n">
        <f aca="false">IF(Q617="","",F617*R617/Q617-1)</f>
        <v>-0.341737649063033</v>
      </c>
      <c r="P617" s="9" t="n">
        <f aca="false">IF(S617="","",F617*T617/S617-1)</f>
        <v>-0.0107526881720431</v>
      </c>
      <c r="Q617" s="5" t="n">
        <v>13.9761904761905</v>
      </c>
      <c r="R617" s="10" t="n">
        <v>1</v>
      </c>
      <c r="S617" s="5" t="n">
        <v>9.3</v>
      </c>
      <c r="T617" s="10" t="n">
        <v>1</v>
      </c>
      <c r="U617" s="4"/>
    </row>
    <row r="618" customFormat="false" ht="15" hidden="false" customHeight="false" outlineLevel="0" collapsed="false">
      <c r="A618" s="4" t="s">
        <v>1357</v>
      </c>
      <c r="B618" s="4" t="s">
        <v>1358</v>
      </c>
      <c r="C618" s="4" t="s">
        <v>29</v>
      </c>
      <c r="D618" s="4" t="s">
        <v>30</v>
      </c>
      <c r="E618" s="4" t="s">
        <v>418</v>
      </c>
      <c r="F618" s="5" t="n">
        <v>26.68</v>
      </c>
      <c r="G618" s="4" t="s">
        <v>26</v>
      </c>
      <c r="H618" s="6" t="n">
        <v>3996.63550576</v>
      </c>
      <c r="I618" s="7" t="n">
        <v>123.991</v>
      </c>
      <c r="J618" s="4" t="s">
        <v>32</v>
      </c>
      <c r="K618" s="4" t="s">
        <v>33</v>
      </c>
      <c r="L618" s="4" t="s">
        <v>42</v>
      </c>
      <c r="M618" s="8" t="n">
        <f aca="false">IF(OR(H618="",I618=""),"",IF(I618&gt;0,H618/I618,""))</f>
        <v>32.2332710096701</v>
      </c>
      <c r="N618" s="4" t="str">
        <f aca="false">IF(I618="",IF(K618="NULL","FCF yok (NULL)","FCF kapsamı dışı"),IF(I618&lt;=0,"anlamsız (FCF ≤ 0)",IF(OR(K618="KOŞULLU"),"FCF KOŞULLU — yorum yapılmaz","")))</f>
        <v/>
      </c>
      <c r="O618" s="9" t="n">
        <f aca="false">IF(Q618="","",F618*R618/Q618-1)</f>
        <v>-0.236405266170578</v>
      </c>
      <c r="P618" s="9" t="n">
        <f aca="false">IF(S618="","",F618*T618/S618-1)</f>
        <v>0.00603318250377072</v>
      </c>
      <c r="Q618" s="5" t="n">
        <v>34.94</v>
      </c>
      <c r="R618" s="10" t="n">
        <v>1</v>
      </c>
      <c r="S618" s="5" t="n">
        <v>26.52</v>
      </c>
      <c r="T618" s="10" t="n">
        <v>1</v>
      </c>
      <c r="U618" s="4"/>
    </row>
    <row r="619" customFormat="false" ht="15" hidden="false" customHeight="false" outlineLevel="0" collapsed="false">
      <c r="A619" s="4" t="s">
        <v>1359</v>
      </c>
      <c r="B619" s="4" t="s">
        <v>1360</v>
      </c>
      <c r="C619" s="4" t="s">
        <v>29</v>
      </c>
      <c r="D619" s="4" t="s">
        <v>30</v>
      </c>
      <c r="E619" s="4" t="s">
        <v>31</v>
      </c>
      <c r="F619" s="5" t="n">
        <v>13.99</v>
      </c>
      <c r="G619" s="4" t="s">
        <v>108</v>
      </c>
      <c r="H619" s="6" t="n">
        <v>697.75125</v>
      </c>
      <c r="I619" s="7" t="n">
        <v>-8.903376</v>
      </c>
      <c r="J619" s="4" t="s">
        <v>32</v>
      </c>
      <c r="K619" s="4" t="s">
        <v>154</v>
      </c>
      <c r="L619" s="4" t="s">
        <v>34</v>
      </c>
      <c r="M619" s="8" t="str">
        <f aca="false">IF(OR(H619="",I619=""),"",IF(I619&gt;0,H619/I619,""))</f>
        <v/>
      </c>
      <c r="N619" s="4" t="str">
        <f aca="false">IF(I619="",IF(K619="NULL","FCF yok (NULL)","FCF kapsamı dışı"),IF(I619&lt;=0,"anlamsız (FCF ≤ 0)",IF(OR(K619="KOŞULLU"),"FCF KOŞULLU — yorum yapılmaz","")))</f>
        <v>anlamsız (FCF ≤ 0)</v>
      </c>
      <c r="O619" s="9" t="n">
        <f aca="false">IF(Q619="","",F619*R619/Q619-1)</f>
        <v>-0.657946210268949</v>
      </c>
      <c r="P619" s="9" t="n">
        <f aca="false">IF(S619="","",F619*T619/S619-1)</f>
        <v>-0.168746286393345</v>
      </c>
      <c r="Q619" s="5" t="n">
        <v>40.9</v>
      </c>
      <c r="R619" s="10" t="n">
        <v>1</v>
      </c>
      <c r="S619" s="5" t="n">
        <v>16.83</v>
      </c>
      <c r="T619" s="10" t="n">
        <v>1</v>
      </c>
      <c r="U619" s="4"/>
    </row>
    <row r="620" customFormat="false" ht="15" hidden="false" customHeight="false" outlineLevel="0" collapsed="false">
      <c r="A620" s="4" t="s">
        <v>1361</v>
      </c>
      <c r="B620" s="4" t="s">
        <v>1362</v>
      </c>
      <c r="C620" s="4" t="s">
        <v>29</v>
      </c>
      <c r="D620" s="4" t="s">
        <v>30</v>
      </c>
      <c r="E620" s="4" t="s">
        <v>85</v>
      </c>
      <c r="F620" s="5" t="n">
        <v>11.51</v>
      </c>
      <c r="G620" s="4" t="s">
        <v>141</v>
      </c>
      <c r="H620" s="6" t="n">
        <v>3453</v>
      </c>
      <c r="I620" s="7" t="n">
        <v>-24.819656</v>
      </c>
      <c r="J620" s="4" t="s">
        <v>32</v>
      </c>
      <c r="K620" s="4" t="s">
        <v>33</v>
      </c>
      <c r="L620" s="4" t="s">
        <v>57</v>
      </c>
      <c r="M620" s="8" t="str">
        <f aca="false">IF(OR(H620="",I620=""),"",IF(I620&gt;0,H620/I620,""))</f>
        <v/>
      </c>
      <c r="N620" s="4" t="str">
        <f aca="false">IF(I620="",IF(K620="NULL","FCF yok (NULL)","FCF kapsamı dışı"),IF(I620&lt;=0,"anlamsız (FCF ≤ 0)",IF(OR(K620="KOŞULLU"),"FCF KOŞULLU — yorum yapılmaz","")))</f>
        <v>anlamsız (FCF ≤ 0)</v>
      </c>
      <c r="O620" s="9" t="n">
        <f aca="false">IF(Q620="","",F620*R620/Q620-1)</f>
        <v>-0.564015151515152</v>
      </c>
      <c r="P620" s="9" t="n">
        <f aca="false">IF(S620="","",F620*T620/S620-1)</f>
        <v>0.0276785714285714</v>
      </c>
      <c r="Q620" s="5" t="n">
        <v>26.4</v>
      </c>
      <c r="R620" s="10" t="n">
        <v>1</v>
      </c>
      <c r="S620" s="5" t="n">
        <v>11.2</v>
      </c>
      <c r="T620" s="10" t="n">
        <v>1</v>
      </c>
      <c r="U620" s="4"/>
    </row>
    <row r="621" customFormat="false" ht="15" hidden="false" customHeight="false" outlineLevel="0" collapsed="false">
      <c r="A621" s="4" t="s">
        <v>1363</v>
      </c>
      <c r="B621" s="4" t="s">
        <v>1364</v>
      </c>
      <c r="C621" s="4" t="s">
        <v>29</v>
      </c>
      <c r="D621" s="4" t="s">
        <v>30</v>
      </c>
      <c r="E621" s="4" t="s">
        <v>126</v>
      </c>
      <c r="F621" s="5" t="n">
        <v>27.5</v>
      </c>
      <c r="G621" s="4" t="s">
        <v>26</v>
      </c>
      <c r="H621" s="6" t="n">
        <v>22825</v>
      </c>
      <c r="I621" s="7" t="n">
        <v>-3234.5796672</v>
      </c>
      <c r="J621" s="4" t="s">
        <v>32</v>
      </c>
      <c r="K621" s="4" t="s">
        <v>33</v>
      </c>
      <c r="L621" s="4" t="s">
        <v>57</v>
      </c>
      <c r="M621" s="8" t="str">
        <f aca="false">IF(OR(H621="",I621=""),"",IF(I621&gt;0,H621/I621,""))</f>
        <v/>
      </c>
      <c r="N621" s="4" t="str">
        <f aca="false">IF(I621="",IF(K621="NULL","FCF yok (NULL)","FCF kapsamı dışı"),IF(I621&lt;=0,"anlamsız (FCF ≤ 0)",IF(OR(K621="KOŞULLU"),"FCF KOŞULLU — yorum yapılmaz","")))</f>
        <v>anlamsız (FCF ≤ 0)</v>
      </c>
      <c r="O621" s="9" t="n">
        <f aca="false">IF(Q621="","",F621*R621/Q621-1)</f>
        <v>0.733987455759976</v>
      </c>
      <c r="P621" s="9" t="n">
        <f aca="false">IF(S621="","",F621*T621/S621-1)</f>
        <v>-0.0684281842818428</v>
      </c>
      <c r="Q621" s="5" t="n">
        <v>37.78</v>
      </c>
      <c r="R621" s="10" t="n">
        <v>2.38218349376771</v>
      </c>
      <c r="S621" s="5" t="n">
        <v>29.52</v>
      </c>
      <c r="T621" s="10" t="n">
        <v>1</v>
      </c>
      <c r="U621" s="4" t="s">
        <v>1365</v>
      </c>
    </row>
    <row r="622" customFormat="false" ht="15" hidden="false" customHeight="false" outlineLevel="0" collapsed="false">
      <c r="A622" s="4" t="s">
        <v>1366</v>
      </c>
      <c r="B622" s="4" t="s">
        <v>1367</v>
      </c>
      <c r="C622" s="4" t="s">
        <v>29</v>
      </c>
      <c r="D622" s="4" t="s">
        <v>63</v>
      </c>
      <c r="E622" s="4" t="s">
        <v>63</v>
      </c>
      <c r="F622" s="5" t="n">
        <v>0.91</v>
      </c>
      <c r="G622" s="4" t="s">
        <v>26</v>
      </c>
      <c r="H622" s="6" t="n">
        <v>586.95</v>
      </c>
      <c r="I622" s="7" t="n">
        <v>55.111</v>
      </c>
      <c r="J622" s="4" t="s">
        <v>32</v>
      </c>
      <c r="K622" s="4" t="s">
        <v>33</v>
      </c>
      <c r="L622" s="4" t="s">
        <v>42</v>
      </c>
      <c r="M622" s="8" t="n">
        <f aca="false">IF(OR(H622="",I622=""),"",IF(I622&gt;0,H622/I622,""))</f>
        <v>10.650323891782</v>
      </c>
      <c r="N622" s="4" t="str">
        <f aca="false">IF(I622="",IF(K622="NULL","FCF yok (NULL)","FCF kapsamı dışı"),IF(I622&lt;=0,"anlamsız (FCF ≤ 0)",IF(OR(K622="KOŞULLU"),"FCF KOŞULLU — yorum yapılmaz","")))</f>
        <v/>
      </c>
      <c r="O622" s="9" t="n">
        <f aca="false">IF(Q622="","",F622*R622/Q622-1)</f>
        <v>-0.620833333333333</v>
      </c>
      <c r="P622" s="9" t="n">
        <f aca="false">IF(S622="","",F622*T622/S622-1)</f>
        <v>-0.0714285714285714</v>
      </c>
      <c r="Q622" s="5" t="n">
        <v>2.4</v>
      </c>
      <c r="R622" s="10" t="n">
        <v>1</v>
      </c>
      <c r="S622" s="5" t="n">
        <v>0.98</v>
      </c>
      <c r="T622" s="10" t="n">
        <v>1</v>
      </c>
      <c r="U622" s="4"/>
    </row>
    <row r="623" customFormat="false" ht="15" hidden="false" customHeight="false" outlineLevel="0" collapsed="false">
      <c r="A623" s="4" t="s">
        <v>1368</v>
      </c>
      <c r="B623" s="4" t="s">
        <v>1369</v>
      </c>
      <c r="C623" s="4" t="s">
        <v>38</v>
      </c>
      <c r="D623" s="4"/>
      <c r="E623" s="4"/>
      <c r="F623" s="5" t="n">
        <v>211.2</v>
      </c>
      <c r="G623" s="4" t="s">
        <v>26</v>
      </c>
      <c r="H623" s="6" t="n">
        <v>51093.504</v>
      </c>
      <c r="I623" s="7"/>
      <c r="J623" s="4"/>
      <c r="K623" s="4"/>
      <c r="L623" s="4"/>
      <c r="M623" s="8" t="str">
        <f aca="false">IF(OR(H623="",I623=""),"",IF(I623&gt;0,H623/I623,""))</f>
        <v/>
      </c>
      <c r="N623" s="4" t="str">
        <f aca="false">IF(I623="",IF(K623="NULL","FCF yok (NULL)","FCF kapsamı dışı"),IF(I623&lt;=0,"anlamsız (FCF ≤ 0)",IF(OR(K623="KOŞULLU"),"FCF KOŞULLU — yorum yapılmaz","")))</f>
        <v>FCF kapsamı dışı</v>
      </c>
      <c r="O623" s="9" t="n">
        <f aca="false">IF(Q623="","",F623*R623/Q623-1)</f>
        <v>0.568085205520534</v>
      </c>
      <c r="P623" s="9" t="n">
        <f aca="false">IF(S623="","",F623*T623/S623-1)</f>
        <v>-0.0185873605947955</v>
      </c>
      <c r="Q623" s="5" t="n">
        <v>134.686558649019</v>
      </c>
      <c r="R623" s="10" t="n">
        <v>1</v>
      </c>
      <c r="S623" s="5" t="n">
        <v>215.2</v>
      </c>
      <c r="T623" s="10" t="n">
        <v>1</v>
      </c>
      <c r="U623" s="4"/>
    </row>
    <row r="624" customFormat="false" ht="15" hidden="false" customHeight="false" outlineLevel="0" collapsed="false">
      <c r="A624" s="4" t="s">
        <v>1370</v>
      </c>
      <c r="B624" s="4" t="s">
        <v>1371</v>
      </c>
      <c r="C624" s="4" t="s">
        <v>29</v>
      </c>
      <c r="D624" s="4" t="s">
        <v>30</v>
      </c>
      <c r="E624" s="4" t="s">
        <v>234</v>
      </c>
      <c r="F624" s="5" t="n">
        <v>16.77</v>
      </c>
      <c r="G624" s="4" t="s">
        <v>26</v>
      </c>
      <c r="H624" s="6" t="n">
        <v>5039.385</v>
      </c>
      <c r="I624" s="7" t="n">
        <v>-810.202</v>
      </c>
      <c r="J624" s="4" t="s">
        <v>32</v>
      </c>
      <c r="K624" s="4" t="s">
        <v>33</v>
      </c>
      <c r="L624" s="4" t="s">
        <v>42</v>
      </c>
      <c r="M624" s="8" t="str">
        <f aca="false">IF(OR(H624="",I624=""),"",IF(I624&gt;0,H624/I624,""))</f>
        <v/>
      </c>
      <c r="N624" s="4" t="str">
        <f aca="false">IF(I624="",IF(K624="NULL","FCF yok (NULL)","FCF kapsamı dışı"),IF(I624&lt;=0,"anlamsız (FCF ≤ 0)",IF(OR(K624="KOŞULLU"),"FCF KOŞULLU — yorum yapılmaz","")))</f>
        <v>anlamsız (FCF ≤ 0)</v>
      </c>
      <c r="O624" s="9" t="n">
        <f aca="false">IF(Q624="","",F624*R624/Q624-1)</f>
        <v>-0.376116071428571</v>
      </c>
      <c r="P624" s="9" t="n">
        <f aca="false">IF(S624="","",F624*T624/S624-1)</f>
        <v>-0.0875952121871599</v>
      </c>
      <c r="Q624" s="5" t="n">
        <v>26.88</v>
      </c>
      <c r="R624" s="10" t="n">
        <v>1</v>
      </c>
      <c r="S624" s="5" t="n">
        <v>18.38</v>
      </c>
      <c r="T624" s="10" t="n">
        <v>1</v>
      </c>
      <c r="U624" s="4"/>
    </row>
    <row r="625" customFormat="false" ht="15" hidden="false" customHeight="false" outlineLevel="0" collapsed="false">
      <c r="A625" s="4" t="s">
        <v>1372</v>
      </c>
      <c r="B625" s="4" t="s">
        <v>1373</v>
      </c>
      <c r="C625" s="4" t="s">
        <v>60</v>
      </c>
      <c r="D625" s="4"/>
      <c r="E625" s="4"/>
      <c r="F625" s="5" t="n">
        <v>36.36</v>
      </c>
      <c r="G625" s="4" t="s">
        <v>26</v>
      </c>
      <c r="H625" s="6" t="n">
        <v>307134.78468624</v>
      </c>
      <c r="I625" s="7"/>
      <c r="J625" s="4"/>
      <c r="K625" s="4"/>
      <c r="L625" s="4"/>
      <c r="M625" s="8" t="str">
        <f aca="false">IF(OR(H625="",I625=""),"",IF(I625&gt;0,H625/I625,""))</f>
        <v/>
      </c>
      <c r="N625" s="4" t="str">
        <f aca="false">IF(I625="",IF(K625="NULL","FCF yok (NULL)","FCF kapsamı dışı"),IF(I625&lt;=0,"anlamsız (FCF ≤ 0)",IF(OR(K625="KOŞULLU"),"FCF KOŞULLU — yorum yapılmaz","")))</f>
        <v>FCF kapsamı dışı</v>
      </c>
      <c r="O625" s="9" t="n">
        <f aca="false">IF(Q625="","",F625*R625/Q625-1)</f>
        <v>0.0288624787775891</v>
      </c>
      <c r="P625" s="9" t="n">
        <f aca="false">IF(S625="","",F625*T625/S625-1)</f>
        <v>-0.0060142154182613</v>
      </c>
      <c r="Q625" s="5" t="n">
        <v>35.34</v>
      </c>
      <c r="R625" s="10" t="n">
        <v>1</v>
      </c>
      <c r="S625" s="5" t="n">
        <v>36.58</v>
      </c>
      <c r="T625" s="10" t="n">
        <v>1</v>
      </c>
      <c r="U625" s="4"/>
    </row>
    <row r="626" customFormat="false" ht="15" hidden="false" customHeight="false" outlineLevel="0" collapsed="false">
      <c r="A626" s="4" t="s">
        <v>1374</v>
      </c>
      <c r="B626" s="4" t="s">
        <v>1375</v>
      </c>
      <c r="C626" s="4" t="s">
        <v>29</v>
      </c>
      <c r="D626" s="4" t="s">
        <v>30</v>
      </c>
      <c r="E626" s="4" t="s">
        <v>295</v>
      </c>
      <c r="F626" s="5" t="n">
        <v>2.5</v>
      </c>
      <c r="G626" s="4" t="s">
        <v>26</v>
      </c>
      <c r="H626" s="6" t="n">
        <v>1250</v>
      </c>
      <c r="I626" s="7" t="n">
        <v>175.272</v>
      </c>
      <c r="J626" s="4" t="s">
        <v>32</v>
      </c>
      <c r="K626" s="4" t="s">
        <v>33</v>
      </c>
      <c r="L626" s="4" t="s">
        <v>42</v>
      </c>
      <c r="M626" s="8" t="n">
        <f aca="false">IF(OR(H626="",I626=""),"",IF(I626&gt;0,H626/I626,""))</f>
        <v>7.13177233100552</v>
      </c>
      <c r="N626" s="4" t="str">
        <f aca="false">IF(I626="",IF(K626="NULL","FCF yok (NULL)","FCF kapsamı dışı"),IF(I626&lt;=0,"anlamsız (FCF ≤ 0)",IF(OR(K626="KOŞULLU"),"FCF KOŞULLU — yorum yapılmaz","")))</f>
        <v/>
      </c>
      <c r="O626" s="9" t="n">
        <f aca="false">IF(Q626="","",F626*R626/Q626-1)</f>
        <v>-0.27536231884058</v>
      </c>
      <c r="P626" s="9" t="n">
        <f aca="false">IF(S626="","",F626*T626/S626-1)</f>
        <v>-0.253731343283582</v>
      </c>
      <c r="Q626" s="5" t="n">
        <v>3.45</v>
      </c>
      <c r="R626" s="10" t="n">
        <v>1</v>
      </c>
      <c r="S626" s="5" t="n">
        <v>3.35</v>
      </c>
      <c r="T626" s="10" t="n">
        <v>1</v>
      </c>
      <c r="U626" s="4"/>
    </row>
    <row r="627" customFormat="false" ht="15" hidden="false" customHeight="false" outlineLevel="0" collapsed="false">
      <c r="A627" s="4" t="s">
        <v>1376</v>
      </c>
      <c r="B627" s="4" t="s">
        <v>1377</v>
      </c>
      <c r="C627" s="4" t="s">
        <v>29</v>
      </c>
      <c r="D627" s="4" t="s">
        <v>30</v>
      </c>
      <c r="E627" s="4" t="s">
        <v>418</v>
      </c>
      <c r="F627" s="5" t="n">
        <v>35.9</v>
      </c>
      <c r="G627" s="4" t="s">
        <v>141</v>
      </c>
      <c r="H627" s="6" t="n">
        <v>603.12</v>
      </c>
      <c r="I627" s="7" t="n">
        <v>8.3198848</v>
      </c>
      <c r="J627" s="4" t="s">
        <v>32</v>
      </c>
      <c r="K627" s="4" t="s">
        <v>33</v>
      </c>
      <c r="L627" s="4" t="s">
        <v>57</v>
      </c>
      <c r="M627" s="8" t="n">
        <f aca="false">IF(OR(H627="",I627=""),"",IF(I627&gt;0,H627/I627,""))</f>
        <v>72.4913883423001</v>
      </c>
      <c r="N627" s="4" t="str">
        <f aca="false">IF(I627="",IF(K627="NULL","FCF yok (NULL)","FCF kapsamı dışı"),IF(I627&lt;=0,"anlamsız (FCF ≤ 0)",IF(OR(K627="KOŞULLU"),"FCF KOŞULLU — yorum yapılmaz","")))</f>
        <v/>
      </c>
      <c r="O627" s="9" t="n">
        <f aca="false">IF(Q627="","",F627*R627/Q627-1)</f>
        <v>-0.46015037593985</v>
      </c>
      <c r="P627" s="9" t="n">
        <f aca="false">IF(S627="","",F627*T627/S627-1)</f>
        <v>0.0497076023391811</v>
      </c>
      <c r="Q627" s="5" t="n">
        <v>66.5</v>
      </c>
      <c r="R627" s="10" t="n">
        <v>1</v>
      </c>
      <c r="S627" s="5" t="n">
        <v>34.2</v>
      </c>
      <c r="T627" s="10" t="n">
        <v>1</v>
      </c>
      <c r="U627" s="4"/>
    </row>
    <row r="628" customFormat="false" ht="15" hidden="false" customHeight="false" outlineLevel="0" collapsed="false">
      <c r="A628" s="4" t="s">
        <v>1378</v>
      </c>
      <c r="B628" s="4" t="s">
        <v>1379</v>
      </c>
      <c r="C628" s="4" t="s">
        <v>29</v>
      </c>
      <c r="D628" s="4" t="s">
        <v>30</v>
      </c>
      <c r="E628" s="4" t="s">
        <v>171</v>
      </c>
      <c r="F628" s="5" t="n">
        <v>6.45</v>
      </c>
      <c r="G628" s="4" t="s">
        <v>26</v>
      </c>
      <c r="H628" s="6" t="n">
        <v>3096</v>
      </c>
      <c r="I628" s="7" t="n">
        <v>246.858</v>
      </c>
      <c r="J628" s="4" t="s">
        <v>32</v>
      </c>
      <c r="K628" s="4" t="s">
        <v>33</v>
      </c>
      <c r="L628" s="4" t="s">
        <v>42</v>
      </c>
      <c r="M628" s="8" t="n">
        <f aca="false">IF(OR(H628="",I628=""),"",IF(I628&gt;0,H628/I628,""))</f>
        <v>12.5416231193642</v>
      </c>
      <c r="N628" s="4" t="str">
        <f aca="false">IF(I628="",IF(K628="NULL","FCF yok (NULL)","FCF kapsamı dışı"),IF(I628&lt;=0,"anlamsız (FCF ≤ 0)",IF(OR(K628="KOŞULLU"),"FCF KOŞULLU — yorum yapılmaz","")))</f>
        <v/>
      </c>
      <c r="O628" s="9" t="n">
        <f aca="false">IF(Q628="","",F628*R628/Q628-1)</f>
        <v>-0.118852459016393</v>
      </c>
      <c r="P628" s="9" t="n">
        <f aca="false">IF(S628="","",F628*T628/S628-1)</f>
        <v>-0.00616332819722654</v>
      </c>
      <c r="Q628" s="5" t="n">
        <v>7.32</v>
      </c>
      <c r="R628" s="10" t="n">
        <v>1</v>
      </c>
      <c r="S628" s="5" t="n">
        <v>6.49</v>
      </c>
      <c r="T628" s="10" t="n">
        <v>1</v>
      </c>
      <c r="U628" s="4"/>
    </row>
    <row r="629" customFormat="false" ht="15" hidden="false" customHeight="false" outlineLevel="0" collapsed="false">
      <c r="A629" s="4" t="s">
        <v>1380</v>
      </c>
      <c r="B629" s="4" t="s">
        <v>1381</v>
      </c>
      <c r="C629" s="4" t="s">
        <v>29</v>
      </c>
      <c r="D629" s="4" t="s">
        <v>30</v>
      </c>
      <c r="E629" s="4" t="s">
        <v>85</v>
      </c>
      <c r="F629" s="5" t="n">
        <v>0.6</v>
      </c>
      <c r="G629" s="4" t="s">
        <v>141</v>
      </c>
      <c r="H629" s="6" t="n">
        <v>1023.0153348</v>
      </c>
      <c r="I629" s="7" t="n">
        <v>-1263.839</v>
      </c>
      <c r="J629" s="4" t="s">
        <v>32</v>
      </c>
      <c r="K629" s="4" t="s">
        <v>33</v>
      </c>
      <c r="L629" s="4" t="s">
        <v>42</v>
      </c>
      <c r="M629" s="8" t="str">
        <f aca="false">IF(OR(H629="",I629=""),"",IF(I629&gt;0,H629/I629,""))</f>
        <v/>
      </c>
      <c r="N629" s="4" t="str">
        <f aca="false">IF(I629="",IF(K629="NULL","FCF yok (NULL)","FCF kapsamı dışı"),IF(I629&lt;=0,"anlamsız (FCF ≤ 0)",IF(OR(K629="KOŞULLU"),"FCF KOŞULLU — yorum yapılmaz","")))</f>
        <v>anlamsız (FCF ≤ 0)</v>
      </c>
      <c r="O629" s="9" t="n">
        <f aca="false">IF(Q629="","",F629*R629/Q629-1)</f>
        <v>-0.68586387434555</v>
      </c>
      <c r="P629" s="9" t="n">
        <f aca="false">IF(S629="","",F629*T629/S629-1)</f>
        <v>-0.076923076923077</v>
      </c>
      <c r="Q629" s="5" t="n">
        <v>1.91</v>
      </c>
      <c r="R629" s="10" t="n">
        <v>1</v>
      </c>
      <c r="S629" s="5" t="n">
        <v>0.65</v>
      </c>
      <c r="T629" s="10" t="n">
        <v>1</v>
      </c>
      <c r="U629" s="4"/>
    </row>
    <row r="630" customFormat="false" ht="15" hidden="false" customHeight="false" outlineLevel="0" collapsed="false">
      <c r="A630" s="4" t="s">
        <v>1382</v>
      </c>
      <c r="B630" s="4" t="s">
        <v>1383</v>
      </c>
      <c r="C630" s="4" t="s">
        <v>29</v>
      </c>
      <c r="D630" s="4" t="s">
        <v>30</v>
      </c>
      <c r="E630" s="4" t="s">
        <v>53</v>
      </c>
      <c r="F630" s="5" t="n">
        <v>7.51</v>
      </c>
      <c r="G630" s="4" t="s">
        <v>26</v>
      </c>
      <c r="H630" s="6" t="n">
        <v>8163.2198</v>
      </c>
      <c r="I630" s="7" t="n">
        <v>-1652.764</v>
      </c>
      <c r="J630" s="4" t="s">
        <v>32</v>
      </c>
      <c r="K630" s="4" t="s">
        <v>33</v>
      </c>
      <c r="L630" s="4" t="s">
        <v>42</v>
      </c>
      <c r="M630" s="8" t="str">
        <f aca="false">IF(OR(H630="",I630=""),"",IF(I630&gt;0,H630/I630,""))</f>
        <v/>
      </c>
      <c r="N630" s="4" t="str">
        <f aca="false">IF(I630="",IF(K630="NULL","FCF yok (NULL)","FCF kapsamı dışı"),IF(I630&lt;=0,"anlamsız (FCF ≤ 0)",IF(OR(K630="KOŞULLU"),"FCF KOŞULLU — yorum yapılmaz","")))</f>
        <v>anlamsız (FCF ≤ 0)</v>
      </c>
      <c r="O630" s="9" t="n">
        <f aca="false">IF(Q630="","",F630*R630/Q630-1)</f>
        <v>-0.295497185741088</v>
      </c>
      <c r="P630" s="9" t="n">
        <f aca="false">IF(S630="","",F630*T630/S630-1)</f>
        <v>-0.116470588235294</v>
      </c>
      <c r="Q630" s="5" t="n">
        <v>10.66</v>
      </c>
      <c r="R630" s="10" t="n">
        <v>1</v>
      </c>
      <c r="S630" s="5" t="n">
        <v>8.5</v>
      </c>
      <c r="T630" s="10" t="n">
        <v>1</v>
      </c>
      <c r="U630" s="4"/>
    </row>
    <row r="631" customFormat="false" ht="15" hidden="false" customHeight="false" outlineLevel="0" collapsed="false">
      <c r="A631" s="4" t="s">
        <v>1384</v>
      </c>
      <c r="B631" s="4" t="s">
        <v>1385</v>
      </c>
      <c r="C631" s="4" t="s">
        <v>29</v>
      </c>
      <c r="D631" s="4" t="s">
        <v>30</v>
      </c>
      <c r="E631" s="4" t="s">
        <v>31</v>
      </c>
      <c r="F631" s="5" t="n">
        <v>5.6</v>
      </c>
      <c r="G631" s="4" t="s">
        <v>76</v>
      </c>
      <c r="H631" s="6" t="n">
        <v>978.6</v>
      </c>
      <c r="I631" s="7" t="n">
        <v>-116.407</v>
      </c>
      <c r="J631" s="4" t="s">
        <v>32</v>
      </c>
      <c r="K631" s="4" t="s">
        <v>33</v>
      </c>
      <c r="L631" s="4" t="s">
        <v>42</v>
      </c>
      <c r="M631" s="8" t="str">
        <f aca="false">IF(OR(H631="",I631=""),"",IF(I631&gt;0,H631/I631,""))</f>
        <v/>
      </c>
      <c r="N631" s="4" t="str">
        <f aca="false">IF(I631="",IF(K631="NULL","FCF yok (NULL)","FCF kapsamı dışı"),IF(I631&lt;=0,"anlamsız (FCF ≤ 0)",IF(OR(K631="KOŞULLU"),"FCF KOŞULLU — yorum yapılmaz","")))</f>
        <v>anlamsız (FCF ≤ 0)</v>
      </c>
      <c r="O631" s="9" t="n">
        <f aca="false">IF(Q631="","",F631*R631/Q631-1)</f>
        <v>-0.37219730941704</v>
      </c>
      <c r="P631" s="9" t="n">
        <f aca="false">IF(S631="","",F631*T631/S631-1)</f>
        <v>-0.0938511326860841</v>
      </c>
      <c r="Q631" s="5" t="n">
        <v>8.92</v>
      </c>
      <c r="R631" s="10" t="n">
        <v>1</v>
      </c>
      <c r="S631" s="5" t="n">
        <v>6.18</v>
      </c>
      <c r="T631" s="10" t="n">
        <v>1</v>
      </c>
      <c r="U631" s="4"/>
    </row>
    <row r="632" customFormat="false" ht="15" hidden="false" customHeight="false" outlineLevel="0" collapsed="false">
      <c r="A632" s="4" t="s">
        <v>1386</v>
      </c>
      <c r="B632" s="4" t="s">
        <v>1387</v>
      </c>
      <c r="C632" s="4" t="s">
        <v>38</v>
      </c>
      <c r="D632" s="4"/>
      <c r="E632" s="4"/>
      <c r="F632" s="5" t="n">
        <v>8.33</v>
      </c>
      <c r="G632" s="4" t="s">
        <v>26</v>
      </c>
      <c r="H632" s="6" t="n">
        <v>5214.58</v>
      </c>
      <c r="I632" s="7"/>
      <c r="J632" s="4"/>
      <c r="K632" s="4"/>
      <c r="L632" s="4"/>
      <c r="M632" s="8" t="str">
        <f aca="false">IF(OR(H632="",I632=""),"",IF(I632&gt;0,H632/I632,""))</f>
        <v/>
      </c>
      <c r="N632" s="4" t="str">
        <f aca="false">IF(I632="",IF(K632="NULL","FCF yok (NULL)","FCF kapsamı dışı"),IF(I632&lt;=0,"anlamsız (FCF ≤ 0)",IF(OR(K632="KOŞULLU"),"FCF KOŞULLU — yorum yapılmaz","")))</f>
        <v>FCF kapsamı dışı</v>
      </c>
      <c r="O632" s="9" t="str">
        <f aca="false">IF(Q632="","",F632*R632/Q632-1)</f>
        <v/>
      </c>
      <c r="P632" s="9" t="n">
        <f aca="false">IF(S632="","",F632*T632/S632-1)</f>
        <v>0.04125</v>
      </c>
      <c r="Q632" s="5"/>
      <c r="R632" s="10" t="n">
        <v>1</v>
      </c>
      <c r="S632" s="5" t="n">
        <v>8</v>
      </c>
      <c r="T632" s="10" t="n">
        <v>1</v>
      </c>
      <c r="U632" s="4"/>
    </row>
    <row r="633" customFormat="false" ht="15" hidden="false" customHeight="false" outlineLevel="0" collapsed="false">
      <c r="A633" s="4" t="s">
        <v>1388</v>
      </c>
      <c r="B633" s="4" t="s">
        <v>1389</v>
      </c>
      <c r="C633" s="4" t="s">
        <v>38</v>
      </c>
      <c r="D633" s="4"/>
      <c r="E633" s="4"/>
      <c r="F633" s="5" t="n">
        <v>17.55</v>
      </c>
      <c r="G633" s="4" t="s">
        <v>26</v>
      </c>
      <c r="H633" s="6" t="n">
        <v>3694.13854875</v>
      </c>
      <c r="I633" s="7"/>
      <c r="J633" s="4"/>
      <c r="K633" s="4"/>
      <c r="L633" s="4"/>
      <c r="M633" s="8" t="str">
        <f aca="false">IF(OR(H633="",I633=""),"",IF(I633&gt;0,H633/I633,""))</f>
        <v/>
      </c>
      <c r="N633" s="4" t="str">
        <f aca="false">IF(I633="",IF(K633="NULL","FCF yok (NULL)","FCF kapsamı dışı"),IF(I633&lt;=0,"anlamsız (FCF ≤ 0)",IF(OR(K633="KOŞULLU"),"FCF KOŞULLU — yorum yapılmaz","")))</f>
        <v>FCF kapsamı dışı</v>
      </c>
      <c r="O633" s="9" t="str">
        <f aca="false">IF(Q633="","",F633*R633/Q633-1)</f>
        <v/>
      </c>
      <c r="P633" s="9" t="n">
        <f aca="false">IF(S633="","",F633*T633/S633-1)</f>
        <v>0.179435483870968</v>
      </c>
      <c r="Q633" s="5"/>
      <c r="R633" s="10" t="n">
        <v>1</v>
      </c>
      <c r="S633" s="5" t="n">
        <v>14.88</v>
      </c>
      <c r="T633" s="10" t="n">
        <v>1</v>
      </c>
      <c r="U633" s="4"/>
    </row>
    <row r="634" customFormat="false" ht="15" hidden="false" customHeight="false" outlineLevel="0" collapsed="false">
      <c r="A634" s="4" t="s">
        <v>1390</v>
      </c>
      <c r="B634" s="4" t="s">
        <v>1391</v>
      </c>
      <c r="C634" s="4" t="s">
        <v>29</v>
      </c>
      <c r="D634" s="4" t="s">
        <v>30</v>
      </c>
      <c r="E634" s="4" t="s">
        <v>31</v>
      </c>
      <c r="F634" s="5" t="n">
        <v>1.89</v>
      </c>
      <c r="G634" s="4" t="s">
        <v>26</v>
      </c>
      <c r="H634" s="6" t="n">
        <v>9450</v>
      </c>
      <c r="I634" s="7" t="n">
        <v>-3589.209</v>
      </c>
      <c r="J634" s="4" t="s">
        <v>32</v>
      </c>
      <c r="K634" s="4" t="s">
        <v>33</v>
      </c>
      <c r="L634" s="4" t="s">
        <v>42</v>
      </c>
      <c r="M634" s="8" t="str">
        <f aca="false">IF(OR(H634="",I634=""),"",IF(I634&gt;0,H634/I634,""))</f>
        <v/>
      </c>
      <c r="N634" s="4" t="str">
        <f aca="false">IF(I634="",IF(K634="NULL","FCF yok (NULL)","FCF kapsamı dışı"),IF(I634&lt;=0,"anlamsız (FCF ≤ 0)",IF(OR(K634="KOŞULLU"),"FCF KOŞULLU — yorum yapılmaz","")))</f>
        <v>anlamsız (FCF ≤ 0)</v>
      </c>
      <c r="O634" s="9" t="n">
        <f aca="false">IF(Q634="","",F634*R634/Q634-1)</f>
        <v>-0.475</v>
      </c>
      <c r="P634" s="9" t="n">
        <f aca="false">IF(S634="","",F634*T634/S634-1)</f>
        <v>-0.152466367713004</v>
      </c>
      <c r="Q634" s="5" t="n">
        <v>3.6</v>
      </c>
      <c r="R634" s="10" t="n">
        <v>1</v>
      </c>
      <c r="S634" s="5" t="n">
        <v>2.23</v>
      </c>
      <c r="T634" s="10" t="n">
        <v>1</v>
      </c>
      <c r="U634" s="4"/>
    </row>
    <row r="635" customFormat="false" ht="15" hidden="false" customHeight="false" outlineLevel="0" collapsed="false">
      <c r="A635" s="4" t="s">
        <v>1392</v>
      </c>
      <c r="B635" s="4" t="s">
        <v>1393</v>
      </c>
      <c r="C635" s="4" t="s">
        <v>38</v>
      </c>
      <c r="D635" s="4"/>
      <c r="E635" s="4"/>
      <c r="F635" s="5" t="n">
        <v>19.06</v>
      </c>
      <c r="G635" s="4" t="s">
        <v>64</v>
      </c>
      <c r="H635" s="6" t="n">
        <v>89460.3972</v>
      </c>
      <c r="I635" s="7"/>
      <c r="J635" s="4"/>
      <c r="K635" s="4"/>
      <c r="L635" s="4"/>
      <c r="M635" s="8" t="str">
        <f aca="false">IF(OR(H635="",I635=""),"",IF(I635&gt;0,H635/I635,""))</f>
        <v/>
      </c>
      <c r="N635" s="4" t="str">
        <f aca="false">IF(I635="",IF(K635="NULL","FCF yok (NULL)","FCF kapsamı dışı"),IF(I635&lt;=0,"anlamsız (FCF ≤ 0)",IF(OR(K635="KOŞULLU"),"FCF KOŞULLU — yorum yapılmaz","")))</f>
        <v>FCF kapsamı dışı</v>
      </c>
      <c r="O635" s="9" t="n">
        <f aca="false">IF(Q635="","",F635*R635/Q635-1)</f>
        <v>-0.167685589519651</v>
      </c>
      <c r="P635" s="9" t="n">
        <f aca="false">IF(S635="","",F635*T635/S635-1)</f>
        <v>-0.0225641025641027</v>
      </c>
      <c r="Q635" s="5" t="n">
        <v>22.9</v>
      </c>
      <c r="R635" s="10" t="n">
        <v>1</v>
      </c>
      <c r="S635" s="5" t="n">
        <v>19.5</v>
      </c>
      <c r="T635" s="10" t="n">
        <v>1</v>
      </c>
      <c r="U635" s="4"/>
    </row>
  </sheetData>
  <autoFilter ref="A4:U635"/>
  <conditionalFormatting sqref="M5:M635">
    <cfRule type="cellIs" priority="2" operator="between" aboveAverage="0" equalAverage="0" bottom="0" percent="0" rank="0" text="" dxfId="6">
      <formula>0.0001</formula>
      <formula>10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1" t="s">
        <v>1394</v>
      </c>
      <c r="B1" s="12" t="s">
        <v>1395</v>
      </c>
    </row>
    <row r="2" customFormat="false" ht="15" hidden="false" customHeight="false" outlineLevel="0" collapsed="false">
      <c r="A2" s="11" t="s">
        <v>1396</v>
      </c>
      <c r="B2" s="12" t="s">
        <v>1397</v>
      </c>
    </row>
    <row r="3" customFormat="false" ht="23.85" hidden="false" customHeight="false" outlineLevel="0" collapsed="false">
      <c r="A3" s="11" t="s">
        <v>14</v>
      </c>
      <c r="B3" s="12" t="s">
        <v>1398</v>
      </c>
    </row>
    <row r="4" customFormat="false" ht="15" hidden="false" customHeight="false" outlineLevel="0" collapsed="false">
      <c r="A4" s="11" t="s">
        <v>1399</v>
      </c>
      <c r="B4" s="12" t="s">
        <v>1400</v>
      </c>
    </row>
    <row r="5" customFormat="false" ht="15" hidden="false" customHeight="false" outlineLevel="0" collapsed="false">
      <c r="A5" s="11" t="s">
        <v>1401</v>
      </c>
      <c r="B5" s="12" t="s">
        <v>1402</v>
      </c>
    </row>
    <row r="6" customFormat="false" ht="35.05" hidden="false" customHeight="false" outlineLevel="0" collapsed="false">
      <c r="A6" s="11" t="s">
        <v>1403</v>
      </c>
      <c r="B6" s="12" t="s">
        <v>1404</v>
      </c>
    </row>
    <row r="7" customFormat="false" ht="15" hidden="false" customHeight="false" outlineLevel="0" collapsed="false">
      <c r="A7" s="11" t="s">
        <v>4</v>
      </c>
      <c r="B7" s="12" t="s">
        <v>1405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2026-10-06T14:33:40Z</dcterms:created>
  <dc:creator>openpyxl</dc:creator>
  <dc:description/>
  <dc:language>en-US</dc:language>
  <cp:lastModifiedBy/>
  <dcterms:modified xsi:type="dcterms:W3CDTF">2026-10-06T14:33:40Z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