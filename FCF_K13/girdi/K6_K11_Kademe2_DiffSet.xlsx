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xr:revisionPtr revIDLastSave="0" documentId="11_56EB782EA736F60342B68F2662D0248030609F57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OKUBENI" sheetId="1" r:id="rId1"/>
    <sheet name="OZET" sheetId="2" r:id="rId2"/>
    <sheet name="RADAR" sheetId="3" r:id="rId3"/>
    <sheet name="FCF_SIM" sheetId="4" r:id="rId4"/>
    <sheet name="ORNEKLEM" sheetId="5" r:id="rId5"/>
    <sheet name="KACIRILAN" sheetId="6" r:id="rId6"/>
    <sheet name="SINIR" sheetId="7" r:id="rId7"/>
    <sheet name="BELGE" sheetId="8" r:id="rId8"/>
    <sheet name="MEKANIZMA" sheetId="9" r:id="rId9"/>
  </sheets>
  <definedNames>
    <definedName name="_xlnm._FilterDatabase" localSheetId="3" hidden="1">FCF_SIM!$A$1:$Q$340</definedName>
    <definedName name="_xlnm._FilterDatabase" localSheetId="4" hidden="1">ORNEKLEM!$A$1:$T$126</definedName>
    <definedName name="_xlnm._FilterDatabase" localSheetId="2" hidden="1">RADAR!$A$1:$BA$1192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4" i="9" l="1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N126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N125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D125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N124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D124" i="9"/>
  <c r="N123" i="9"/>
  <c r="D123" i="9"/>
  <c r="Q126" i="5"/>
  <c r="T126" i="5"/>
  <c r="P126" i="5"/>
  <c r="S126" i="5"/>
  <c r="O126" i="5"/>
  <c r="R126" i="5"/>
  <c r="Q125" i="5"/>
  <c r="T125" i="5"/>
  <c r="P125" i="5"/>
  <c r="S125" i="5"/>
  <c r="O125" i="5"/>
  <c r="R125" i="5"/>
  <c r="Q124" i="5"/>
  <c r="T124" i="5"/>
  <c r="P124" i="5"/>
  <c r="S124" i="5"/>
  <c r="O124" i="5"/>
  <c r="R124" i="5"/>
  <c r="Q123" i="5"/>
  <c r="T123" i="5"/>
  <c r="P123" i="5"/>
  <c r="S123" i="5"/>
  <c r="O123" i="5"/>
  <c r="R123" i="5"/>
  <c r="T122" i="5"/>
  <c r="S122" i="5"/>
  <c r="R122" i="5"/>
  <c r="Q122" i="5"/>
  <c r="P122" i="5"/>
  <c r="O122" i="5"/>
  <c r="T121" i="5"/>
  <c r="S121" i="5"/>
  <c r="R121" i="5"/>
  <c r="Q121" i="5"/>
  <c r="P121" i="5"/>
  <c r="O121" i="5"/>
  <c r="Q120" i="5"/>
  <c r="T120" i="5"/>
  <c r="P120" i="5"/>
  <c r="S120" i="5"/>
  <c r="O120" i="5"/>
  <c r="R120" i="5"/>
  <c r="T119" i="5"/>
  <c r="S119" i="5"/>
  <c r="R119" i="5"/>
  <c r="Q119" i="5"/>
  <c r="P119" i="5"/>
  <c r="O119" i="5"/>
  <c r="Q118" i="5"/>
  <c r="T118" i="5"/>
  <c r="P118" i="5"/>
  <c r="S118" i="5"/>
  <c r="O118" i="5"/>
  <c r="R118" i="5"/>
  <c r="T117" i="5"/>
  <c r="S117" i="5"/>
  <c r="R117" i="5"/>
  <c r="Q117" i="5"/>
  <c r="P117" i="5"/>
  <c r="O117" i="5"/>
  <c r="Q116" i="5"/>
  <c r="T116" i="5"/>
  <c r="P116" i="5"/>
  <c r="S116" i="5"/>
  <c r="O116" i="5"/>
  <c r="R116" i="5"/>
  <c r="Q115" i="5"/>
  <c r="T115" i="5"/>
  <c r="P115" i="5"/>
  <c r="S115" i="5"/>
  <c r="O115" i="5"/>
  <c r="R115" i="5"/>
  <c r="Q114" i="5"/>
  <c r="T114" i="5"/>
  <c r="P114" i="5"/>
  <c r="S114" i="5"/>
  <c r="O114" i="5"/>
  <c r="R114" i="5"/>
  <c r="Q113" i="5"/>
  <c r="T113" i="5"/>
  <c r="P113" i="5"/>
  <c r="S113" i="5"/>
  <c r="O113" i="5"/>
  <c r="R113" i="5"/>
  <c r="Q112" i="5"/>
  <c r="T112" i="5"/>
  <c r="P112" i="5"/>
  <c r="S112" i="5"/>
  <c r="O112" i="5"/>
  <c r="R112" i="5"/>
  <c r="Q111" i="5"/>
  <c r="T111" i="5"/>
  <c r="P111" i="5"/>
  <c r="S111" i="5"/>
  <c r="O111" i="5"/>
  <c r="R111" i="5"/>
  <c r="T110" i="5"/>
  <c r="S110" i="5"/>
  <c r="R110" i="5"/>
  <c r="Q110" i="5"/>
  <c r="P110" i="5"/>
  <c r="O110" i="5"/>
  <c r="T109" i="5"/>
  <c r="S109" i="5"/>
  <c r="R109" i="5"/>
  <c r="Q109" i="5"/>
  <c r="P109" i="5"/>
  <c r="O109" i="5"/>
  <c r="Q108" i="5"/>
  <c r="T108" i="5"/>
  <c r="P108" i="5"/>
  <c r="S108" i="5"/>
  <c r="O108" i="5"/>
  <c r="R108" i="5"/>
  <c r="Q107" i="5"/>
  <c r="T107" i="5"/>
  <c r="P107" i="5"/>
  <c r="S107" i="5"/>
  <c r="O107" i="5"/>
  <c r="R107" i="5"/>
  <c r="Q106" i="5"/>
  <c r="T106" i="5"/>
  <c r="P106" i="5"/>
  <c r="S106" i="5"/>
  <c r="O106" i="5"/>
  <c r="R106" i="5"/>
  <c r="T105" i="5"/>
  <c r="S105" i="5"/>
  <c r="R105" i="5"/>
  <c r="Q105" i="5"/>
  <c r="P105" i="5"/>
  <c r="O105" i="5"/>
  <c r="T104" i="5"/>
  <c r="S104" i="5"/>
  <c r="R104" i="5"/>
  <c r="Q104" i="5"/>
  <c r="P104" i="5"/>
  <c r="O104" i="5"/>
  <c r="T103" i="5"/>
  <c r="S103" i="5"/>
  <c r="R103" i="5"/>
  <c r="Q103" i="5"/>
  <c r="P103" i="5"/>
  <c r="O103" i="5"/>
  <c r="Q102" i="5"/>
  <c r="T102" i="5"/>
  <c r="P102" i="5"/>
  <c r="S102" i="5"/>
  <c r="O102" i="5"/>
  <c r="R102" i="5"/>
  <c r="Q101" i="5"/>
  <c r="T101" i="5"/>
  <c r="P101" i="5"/>
  <c r="S101" i="5"/>
  <c r="O101" i="5"/>
  <c r="R101" i="5"/>
  <c r="Q100" i="5"/>
  <c r="T100" i="5"/>
  <c r="P100" i="5"/>
  <c r="S100" i="5"/>
  <c r="O100" i="5"/>
  <c r="R100" i="5"/>
  <c r="T99" i="5"/>
  <c r="S99" i="5"/>
  <c r="R99" i="5"/>
  <c r="Q99" i="5"/>
  <c r="P99" i="5"/>
  <c r="O99" i="5"/>
  <c r="T98" i="5"/>
  <c r="S98" i="5"/>
  <c r="R98" i="5"/>
  <c r="Q98" i="5"/>
  <c r="P98" i="5"/>
  <c r="O98" i="5"/>
  <c r="Q97" i="5"/>
  <c r="T97" i="5"/>
  <c r="P97" i="5"/>
  <c r="S97" i="5"/>
  <c r="O97" i="5"/>
  <c r="R97" i="5"/>
  <c r="Q96" i="5"/>
  <c r="T96" i="5"/>
  <c r="P96" i="5"/>
  <c r="S96" i="5"/>
  <c r="O96" i="5"/>
  <c r="R96" i="5"/>
  <c r="Q95" i="5"/>
  <c r="T95" i="5"/>
  <c r="P95" i="5"/>
  <c r="S95" i="5"/>
  <c r="O95" i="5"/>
  <c r="R95" i="5"/>
  <c r="Q94" i="5"/>
  <c r="T94" i="5"/>
  <c r="P94" i="5"/>
  <c r="S94" i="5"/>
  <c r="O94" i="5"/>
  <c r="R94" i="5"/>
  <c r="Q93" i="5"/>
  <c r="T93" i="5"/>
  <c r="P93" i="5"/>
  <c r="S93" i="5"/>
  <c r="O93" i="5"/>
  <c r="R93" i="5"/>
  <c r="T92" i="5"/>
  <c r="S92" i="5"/>
  <c r="R92" i="5"/>
  <c r="Q92" i="5"/>
  <c r="P92" i="5"/>
  <c r="O92" i="5"/>
  <c r="Q91" i="5"/>
  <c r="T91" i="5"/>
  <c r="P91" i="5"/>
  <c r="S91" i="5"/>
  <c r="O91" i="5"/>
  <c r="R91" i="5"/>
  <c r="Q90" i="5"/>
  <c r="T90" i="5"/>
  <c r="P90" i="5"/>
  <c r="S90" i="5"/>
  <c r="O90" i="5"/>
  <c r="R90" i="5"/>
  <c r="Q89" i="5"/>
  <c r="T89" i="5"/>
  <c r="P89" i="5"/>
  <c r="S89" i="5"/>
  <c r="O89" i="5"/>
  <c r="R89" i="5"/>
  <c r="Q88" i="5"/>
  <c r="T88" i="5"/>
  <c r="P88" i="5"/>
  <c r="S88" i="5"/>
  <c r="O88" i="5"/>
  <c r="R88" i="5"/>
  <c r="Q87" i="5"/>
  <c r="T87" i="5"/>
  <c r="P87" i="5"/>
  <c r="S87" i="5"/>
  <c r="O87" i="5"/>
  <c r="R87" i="5"/>
  <c r="T86" i="5"/>
  <c r="S86" i="5"/>
  <c r="R86" i="5"/>
  <c r="Q86" i="5"/>
  <c r="P86" i="5"/>
  <c r="O86" i="5"/>
  <c r="Q85" i="5"/>
  <c r="T85" i="5"/>
  <c r="P85" i="5"/>
  <c r="S85" i="5"/>
  <c r="O85" i="5"/>
  <c r="R85" i="5"/>
  <c r="T84" i="5"/>
  <c r="S84" i="5"/>
  <c r="R84" i="5"/>
  <c r="Q84" i="5"/>
  <c r="P84" i="5"/>
  <c r="O84" i="5"/>
  <c r="Q83" i="5"/>
  <c r="T83" i="5"/>
  <c r="P83" i="5"/>
  <c r="S83" i="5"/>
  <c r="O83" i="5"/>
  <c r="R83" i="5"/>
  <c r="Q82" i="5"/>
  <c r="T82" i="5"/>
  <c r="P82" i="5"/>
  <c r="S82" i="5"/>
  <c r="O82" i="5"/>
  <c r="R82" i="5"/>
  <c r="Q81" i="5"/>
  <c r="T81" i="5"/>
  <c r="P81" i="5"/>
  <c r="S81" i="5"/>
  <c r="O81" i="5"/>
  <c r="R81" i="5"/>
  <c r="Q80" i="5"/>
  <c r="T80" i="5"/>
  <c r="P80" i="5"/>
  <c r="S80" i="5"/>
  <c r="O80" i="5"/>
  <c r="R80" i="5"/>
  <c r="Q79" i="5"/>
  <c r="T79" i="5"/>
  <c r="P79" i="5"/>
  <c r="S79" i="5"/>
  <c r="O79" i="5"/>
  <c r="R79" i="5"/>
  <c r="T78" i="5"/>
  <c r="S78" i="5"/>
  <c r="R78" i="5"/>
  <c r="Q78" i="5"/>
  <c r="P78" i="5"/>
  <c r="O78" i="5"/>
  <c r="Q77" i="5"/>
  <c r="T77" i="5"/>
  <c r="P77" i="5"/>
  <c r="S77" i="5"/>
  <c r="O77" i="5"/>
  <c r="R77" i="5"/>
  <c r="Q76" i="5"/>
  <c r="T76" i="5"/>
  <c r="P76" i="5"/>
  <c r="S76" i="5"/>
  <c r="O76" i="5"/>
  <c r="R76" i="5"/>
  <c r="Q75" i="5"/>
  <c r="T75" i="5"/>
  <c r="P75" i="5"/>
  <c r="S75" i="5"/>
  <c r="O75" i="5"/>
  <c r="R75" i="5"/>
  <c r="Q74" i="5"/>
  <c r="T74" i="5"/>
  <c r="P74" i="5"/>
  <c r="S74" i="5"/>
  <c r="O74" i="5"/>
  <c r="R74" i="5"/>
  <c r="Q73" i="5"/>
  <c r="T73" i="5"/>
  <c r="P73" i="5"/>
  <c r="S73" i="5"/>
  <c r="O73" i="5"/>
  <c r="R73" i="5"/>
  <c r="Q72" i="5"/>
  <c r="T72" i="5"/>
  <c r="P72" i="5"/>
  <c r="S72" i="5"/>
  <c r="O72" i="5"/>
  <c r="R72" i="5"/>
  <c r="Q71" i="5"/>
  <c r="T71" i="5"/>
  <c r="P71" i="5"/>
  <c r="S71" i="5"/>
  <c r="O71" i="5"/>
  <c r="R71" i="5"/>
  <c r="Q70" i="5"/>
  <c r="T70" i="5"/>
  <c r="P70" i="5"/>
  <c r="S70" i="5"/>
  <c r="O70" i="5"/>
  <c r="R70" i="5"/>
  <c r="Q69" i="5"/>
  <c r="T69" i="5"/>
  <c r="P69" i="5"/>
  <c r="S69" i="5"/>
  <c r="O69" i="5"/>
  <c r="R69" i="5"/>
  <c r="Q68" i="5"/>
  <c r="T68" i="5"/>
  <c r="P68" i="5"/>
  <c r="S68" i="5"/>
  <c r="O68" i="5"/>
  <c r="R68" i="5"/>
  <c r="Q67" i="5"/>
  <c r="T67" i="5"/>
  <c r="P67" i="5"/>
  <c r="S67" i="5"/>
  <c r="O67" i="5"/>
  <c r="R67" i="5"/>
  <c r="Q66" i="5"/>
  <c r="T66" i="5"/>
  <c r="P66" i="5"/>
  <c r="S66" i="5"/>
  <c r="O66" i="5"/>
  <c r="R66" i="5"/>
  <c r="Q65" i="5"/>
  <c r="T65" i="5"/>
  <c r="P65" i="5"/>
  <c r="S65" i="5"/>
  <c r="O65" i="5"/>
  <c r="R65" i="5"/>
  <c r="Q64" i="5"/>
  <c r="T64" i="5"/>
  <c r="P64" i="5"/>
  <c r="S64" i="5"/>
  <c r="O64" i="5"/>
  <c r="R64" i="5"/>
  <c r="Q63" i="5"/>
  <c r="T63" i="5"/>
  <c r="P63" i="5"/>
  <c r="S63" i="5"/>
  <c r="O63" i="5"/>
  <c r="R63" i="5"/>
  <c r="Q62" i="5"/>
  <c r="T62" i="5"/>
  <c r="P62" i="5"/>
  <c r="S62" i="5"/>
  <c r="O62" i="5"/>
  <c r="R62" i="5"/>
  <c r="Q61" i="5"/>
  <c r="T61" i="5"/>
  <c r="P61" i="5"/>
  <c r="S61" i="5"/>
  <c r="O61" i="5"/>
  <c r="R61" i="5"/>
  <c r="Q60" i="5"/>
  <c r="T60" i="5"/>
  <c r="P60" i="5"/>
  <c r="S60" i="5"/>
  <c r="O60" i="5"/>
  <c r="R60" i="5"/>
  <c r="Q59" i="5"/>
  <c r="T59" i="5"/>
  <c r="P59" i="5"/>
  <c r="S59" i="5"/>
  <c r="O59" i="5"/>
  <c r="R59" i="5"/>
  <c r="Q58" i="5"/>
  <c r="T58" i="5"/>
  <c r="P58" i="5"/>
  <c r="S58" i="5"/>
  <c r="O58" i="5"/>
  <c r="R58" i="5"/>
  <c r="Q57" i="5"/>
  <c r="T57" i="5"/>
  <c r="P57" i="5"/>
  <c r="S57" i="5"/>
  <c r="O57" i="5"/>
  <c r="R57" i="5"/>
  <c r="Q56" i="5"/>
  <c r="T56" i="5"/>
  <c r="P56" i="5"/>
  <c r="S56" i="5"/>
  <c r="O56" i="5"/>
  <c r="R56" i="5"/>
  <c r="Q55" i="5"/>
  <c r="T55" i="5"/>
  <c r="P55" i="5"/>
  <c r="S55" i="5"/>
  <c r="O55" i="5"/>
  <c r="R55" i="5"/>
  <c r="Q54" i="5"/>
  <c r="T54" i="5"/>
  <c r="P54" i="5"/>
  <c r="S54" i="5"/>
  <c r="O54" i="5"/>
  <c r="R54" i="5"/>
  <c r="Q53" i="5"/>
  <c r="T53" i="5"/>
  <c r="P53" i="5"/>
  <c r="S53" i="5"/>
  <c r="O53" i="5"/>
  <c r="R53" i="5"/>
  <c r="Q52" i="5"/>
  <c r="T52" i="5"/>
  <c r="P52" i="5"/>
  <c r="S52" i="5"/>
  <c r="O52" i="5"/>
  <c r="R52" i="5"/>
  <c r="Q51" i="5"/>
  <c r="T51" i="5"/>
  <c r="P51" i="5"/>
  <c r="S51" i="5"/>
  <c r="O51" i="5"/>
  <c r="R51" i="5"/>
  <c r="Q50" i="5"/>
  <c r="T50" i="5"/>
  <c r="P50" i="5"/>
  <c r="S50" i="5"/>
  <c r="O50" i="5"/>
  <c r="R50" i="5"/>
  <c r="Q49" i="5"/>
  <c r="T49" i="5"/>
  <c r="P49" i="5"/>
  <c r="S49" i="5"/>
  <c r="O49" i="5"/>
  <c r="R49" i="5"/>
  <c r="Q48" i="5"/>
  <c r="T48" i="5"/>
  <c r="P48" i="5"/>
  <c r="S48" i="5"/>
  <c r="O48" i="5"/>
  <c r="R48" i="5"/>
  <c r="Q47" i="5"/>
  <c r="T47" i="5"/>
  <c r="P47" i="5"/>
  <c r="S47" i="5"/>
  <c r="O47" i="5"/>
  <c r="R47" i="5"/>
  <c r="Q46" i="5"/>
  <c r="T46" i="5"/>
  <c r="P46" i="5"/>
  <c r="S46" i="5"/>
  <c r="O46" i="5"/>
  <c r="R46" i="5"/>
  <c r="Q45" i="5"/>
  <c r="T45" i="5"/>
  <c r="P45" i="5"/>
  <c r="S45" i="5"/>
  <c r="O45" i="5"/>
  <c r="R45" i="5"/>
  <c r="Q44" i="5"/>
  <c r="T44" i="5"/>
  <c r="P44" i="5"/>
  <c r="S44" i="5"/>
  <c r="O44" i="5"/>
  <c r="R44" i="5"/>
  <c r="Q43" i="5"/>
  <c r="T43" i="5"/>
  <c r="P43" i="5"/>
  <c r="S43" i="5"/>
  <c r="O43" i="5"/>
  <c r="R43" i="5"/>
  <c r="Q42" i="5"/>
  <c r="T42" i="5"/>
  <c r="P42" i="5"/>
  <c r="S42" i="5"/>
  <c r="O42" i="5"/>
  <c r="R42" i="5"/>
  <c r="Q41" i="5"/>
  <c r="T41" i="5"/>
  <c r="P41" i="5"/>
  <c r="S41" i="5"/>
  <c r="O41" i="5"/>
  <c r="R41" i="5"/>
  <c r="Q40" i="5"/>
  <c r="T40" i="5"/>
  <c r="P40" i="5"/>
  <c r="S40" i="5"/>
  <c r="O40" i="5"/>
  <c r="R40" i="5"/>
  <c r="Q39" i="5"/>
  <c r="T39" i="5"/>
  <c r="P39" i="5"/>
  <c r="S39" i="5"/>
  <c r="O39" i="5"/>
  <c r="R39" i="5"/>
  <c r="Q38" i="5"/>
  <c r="T38" i="5"/>
  <c r="P38" i="5"/>
  <c r="S38" i="5"/>
  <c r="O38" i="5"/>
  <c r="R38" i="5"/>
  <c r="Q37" i="5"/>
  <c r="T37" i="5"/>
  <c r="P37" i="5"/>
  <c r="S37" i="5"/>
  <c r="O37" i="5"/>
  <c r="R37" i="5"/>
  <c r="Q36" i="5"/>
  <c r="T36" i="5"/>
  <c r="P36" i="5"/>
  <c r="S36" i="5"/>
  <c r="O36" i="5"/>
  <c r="R36" i="5"/>
  <c r="Q35" i="5"/>
  <c r="T35" i="5"/>
  <c r="P35" i="5"/>
  <c r="S35" i="5"/>
  <c r="O35" i="5"/>
  <c r="R35" i="5"/>
  <c r="Q34" i="5"/>
  <c r="T34" i="5"/>
  <c r="P34" i="5"/>
  <c r="S34" i="5"/>
  <c r="O34" i="5"/>
  <c r="R34" i="5"/>
  <c r="Q33" i="5"/>
  <c r="T33" i="5"/>
  <c r="P33" i="5"/>
  <c r="S33" i="5"/>
  <c r="O33" i="5"/>
  <c r="R33" i="5"/>
  <c r="Q32" i="5"/>
  <c r="T32" i="5"/>
  <c r="P32" i="5"/>
  <c r="S32" i="5"/>
  <c r="O32" i="5"/>
  <c r="R32" i="5"/>
  <c r="Q31" i="5"/>
  <c r="T31" i="5"/>
  <c r="P31" i="5"/>
  <c r="S31" i="5"/>
  <c r="O31" i="5"/>
  <c r="R31" i="5"/>
  <c r="Q30" i="5"/>
  <c r="T30" i="5"/>
  <c r="P30" i="5"/>
  <c r="S30" i="5"/>
  <c r="O30" i="5"/>
  <c r="R30" i="5"/>
  <c r="Q29" i="5"/>
  <c r="T29" i="5"/>
  <c r="P29" i="5"/>
  <c r="S29" i="5"/>
  <c r="O29" i="5"/>
  <c r="R29" i="5"/>
  <c r="Q28" i="5"/>
  <c r="T28" i="5"/>
  <c r="P28" i="5"/>
  <c r="S28" i="5"/>
  <c r="O28" i="5"/>
  <c r="R28" i="5"/>
  <c r="Q27" i="5"/>
  <c r="T27" i="5"/>
  <c r="P27" i="5"/>
  <c r="S27" i="5"/>
  <c r="O27" i="5"/>
  <c r="R27" i="5"/>
  <c r="Q26" i="5"/>
  <c r="T26" i="5"/>
  <c r="P26" i="5"/>
  <c r="S26" i="5"/>
  <c r="O26" i="5"/>
  <c r="R26" i="5"/>
  <c r="Q25" i="5"/>
  <c r="T25" i="5"/>
  <c r="P25" i="5"/>
  <c r="S25" i="5"/>
  <c r="O25" i="5"/>
  <c r="R25" i="5"/>
  <c r="Q24" i="5"/>
  <c r="T24" i="5"/>
  <c r="P24" i="5"/>
  <c r="S24" i="5"/>
  <c r="O24" i="5"/>
  <c r="R24" i="5"/>
  <c r="Q23" i="5"/>
  <c r="T23" i="5"/>
  <c r="P23" i="5"/>
  <c r="S23" i="5"/>
  <c r="O23" i="5"/>
  <c r="R23" i="5"/>
  <c r="Q22" i="5"/>
  <c r="T22" i="5"/>
  <c r="P22" i="5"/>
  <c r="S22" i="5"/>
  <c r="O22" i="5"/>
  <c r="R22" i="5"/>
  <c r="Q21" i="5"/>
  <c r="T21" i="5"/>
  <c r="P21" i="5"/>
  <c r="S21" i="5"/>
  <c r="O21" i="5"/>
  <c r="R21" i="5"/>
  <c r="Q20" i="5"/>
  <c r="T20" i="5"/>
  <c r="P20" i="5"/>
  <c r="S20" i="5"/>
  <c r="O20" i="5"/>
  <c r="R20" i="5"/>
  <c r="Q19" i="5"/>
  <c r="T19" i="5"/>
  <c r="P19" i="5"/>
  <c r="S19" i="5"/>
  <c r="O19" i="5"/>
  <c r="R19" i="5"/>
  <c r="Q18" i="5"/>
  <c r="T18" i="5"/>
  <c r="P18" i="5"/>
  <c r="S18" i="5"/>
  <c r="O18" i="5"/>
  <c r="R18" i="5"/>
  <c r="Q17" i="5"/>
  <c r="T17" i="5"/>
  <c r="P17" i="5"/>
  <c r="S17" i="5"/>
  <c r="O17" i="5"/>
  <c r="R17" i="5"/>
  <c r="Q16" i="5"/>
  <c r="T16" i="5"/>
  <c r="P16" i="5"/>
  <c r="S16" i="5"/>
  <c r="O16" i="5"/>
  <c r="R16" i="5"/>
  <c r="Q15" i="5"/>
  <c r="T15" i="5"/>
  <c r="P15" i="5"/>
  <c r="S15" i="5"/>
  <c r="O15" i="5"/>
  <c r="R15" i="5"/>
  <c r="Q14" i="5"/>
  <c r="T14" i="5"/>
  <c r="P14" i="5"/>
  <c r="S14" i="5"/>
  <c r="O14" i="5"/>
  <c r="R14" i="5"/>
  <c r="Q13" i="5"/>
  <c r="T13" i="5"/>
  <c r="P13" i="5"/>
  <c r="S13" i="5"/>
  <c r="O13" i="5"/>
  <c r="R13" i="5"/>
  <c r="Q12" i="5"/>
  <c r="T12" i="5"/>
  <c r="P12" i="5"/>
  <c r="S12" i="5"/>
  <c r="O12" i="5"/>
  <c r="R12" i="5"/>
  <c r="Q11" i="5"/>
  <c r="T11" i="5"/>
  <c r="P11" i="5"/>
  <c r="S11" i="5"/>
  <c r="O11" i="5"/>
  <c r="R11" i="5"/>
  <c r="Q10" i="5"/>
  <c r="T10" i="5"/>
  <c r="P10" i="5"/>
  <c r="S10" i="5"/>
  <c r="O10" i="5"/>
  <c r="R10" i="5"/>
  <c r="Q9" i="5"/>
  <c r="T9" i="5"/>
  <c r="P9" i="5"/>
  <c r="S9" i="5"/>
  <c r="O9" i="5"/>
  <c r="R9" i="5"/>
  <c r="Q8" i="5"/>
  <c r="T8" i="5"/>
  <c r="P8" i="5"/>
  <c r="S8" i="5"/>
  <c r="O8" i="5"/>
  <c r="R8" i="5"/>
  <c r="Q7" i="5"/>
  <c r="T7" i="5"/>
  <c r="P7" i="5"/>
  <c r="S7" i="5"/>
  <c r="O7" i="5"/>
  <c r="R7" i="5"/>
  <c r="Q6" i="5"/>
  <c r="T6" i="5"/>
  <c r="P6" i="5"/>
  <c r="S6" i="5"/>
  <c r="O6" i="5"/>
  <c r="R6" i="5"/>
  <c r="Q5" i="5"/>
  <c r="T5" i="5"/>
  <c r="P5" i="5"/>
  <c r="S5" i="5"/>
  <c r="O5" i="5"/>
  <c r="R5" i="5"/>
  <c r="Q4" i="5"/>
  <c r="T4" i="5"/>
  <c r="P4" i="5"/>
  <c r="S4" i="5"/>
  <c r="O4" i="5"/>
  <c r="R4" i="5"/>
  <c r="Q3" i="5"/>
  <c r="T3" i="5"/>
  <c r="P3" i="5"/>
  <c r="S3" i="5"/>
  <c r="O3" i="5"/>
  <c r="R3" i="5"/>
  <c r="Q2" i="5"/>
  <c r="T2" i="5"/>
  <c r="P2" i="5"/>
  <c r="S2" i="5"/>
  <c r="O2" i="5"/>
  <c r="R2" i="5"/>
  <c r="O340" i="4"/>
  <c r="Q340" i="4"/>
  <c r="N340" i="4"/>
  <c r="P340" i="4"/>
  <c r="L340" i="4"/>
  <c r="M340" i="4"/>
  <c r="O339" i="4"/>
  <c r="Q339" i="4"/>
  <c r="N339" i="4"/>
  <c r="P339" i="4"/>
  <c r="L339" i="4"/>
  <c r="M339" i="4"/>
  <c r="O338" i="4"/>
  <c r="Q338" i="4"/>
  <c r="N338" i="4"/>
  <c r="P338" i="4"/>
  <c r="L338" i="4"/>
  <c r="M338" i="4"/>
  <c r="O337" i="4"/>
  <c r="Q337" i="4"/>
  <c r="N337" i="4"/>
  <c r="P337" i="4"/>
  <c r="L337" i="4"/>
  <c r="M337" i="4"/>
  <c r="O336" i="4"/>
  <c r="Q336" i="4"/>
  <c r="N336" i="4"/>
  <c r="P336" i="4"/>
  <c r="L336" i="4"/>
  <c r="M336" i="4"/>
  <c r="O335" i="4"/>
  <c r="Q335" i="4"/>
  <c r="N335" i="4"/>
  <c r="P335" i="4"/>
  <c r="L335" i="4"/>
  <c r="M335" i="4"/>
  <c r="O334" i="4"/>
  <c r="Q334" i="4"/>
  <c r="N334" i="4"/>
  <c r="P334" i="4"/>
  <c r="L334" i="4"/>
  <c r="M334" i="4"/>
  <c r="O333" i="4"/>
  <c r="Q333" i="4"/>
  <c r="N333" i="4"/>
  <c r="P333" i="4"/>
  <c r="L333" i="4"/>
  <c r="M333" i="4"/>
  <c r="O332" i="4"/>
  <c r="Q332" i="4"/>
  <c r="N332" i="4"/>
  <c r="P332" i="4"/>
  <c r="L332" i="4"/>
  <c r="M332" i="4"/>
  <c r="O331" i="4"/>
  <c r="Q331" i="4"/>
  <c r="N331" i="4"/>
  <c r="P331" i="4"/>
  <c r="L331" i="4"/>
  <c r="M331" i="4"/>
  <c r="O330" i="4"/>
  <c r="Q330" i="4"/>
  <c r="N330" i="4"/>
  <c r="P330" i="4"/>
  <c r="L330" i="4"/>
  <c r="M330" i="4"/>
  <c r="O329" i="4"/>
  <c r="Q329" i="4"/>
  <c r="N329" i="4"/>
  <c r="P329" i="4"/>
  <c r="L329" i="4"/>
  <c r="M329" i="4"/>
  <c r="O328" i="4"/>
  <c r="Q328" i="4"/>
  <c r="N328" i="4"/>
  <c r="P328" i="4"/>
  <c r="L328" i="4"/>
  <c r="M328" i="4"/>
  <c r="O327" i="4"/>
  <c r="Q327" i="4"/>
  <c r="N327" i="4"/>
  <c r="P327" i="4"/>
  <c r="L327" i="4"/>
  <c r="M327" i="4"/>
  <c r="O326" i="4"/>
  <c r="Q326" i="4"/>
  <c r="N326" i="4"/>
  <c r="P326" i="4"/>
  <c r="L326" i="4"/>
  <c r="M326" i="4"/>
  <c r="O325" i="4"/>
  <c r="Q325" i="4"/>
  <c r="N325" i="4"/>
  <c r="P325" i="4"/>
  <c r="L325" i="4"/>
  <c r="M325" i="4"/>
  <c r="O324" i="4"/>
  <c r="Q324" i="4"/>
  <c r="N324" i="4"/>
  <c r="P324" i="4"/>
  <c r="L324" i="4"/>
  <c r="M324" i="4"/>
  <c r="O323" i="4"/>
  <c r="Q323" i="4"/>
  <c r="N323" i="4"/>
  <c r="P323" i="4"/>
  <c r="L323" i="4"/>
  <c r="M323" i="4"/>
  <c r="O322" i="4"/>
  <c r="Q322" i="4"/>
  <c r="N322" i="4"/>
  <c r="P322" i="4"/>
  <c r="L322" i="4"/>
  <c r="M322" i="4"/>
  <c r="O321" i="4"/>
  <c r="Q321" i="4"/>
  <c r="N321" i="4"/>
  <c r="P321" i="4"/>
  <c r="L321" i="4"/>
  <c r="M321" i="4"/>
  <c r="O320" i="4"/>
  <c r="Q320" i="4"/>
  <c r="N320" i="4"/>
  <c r="P320" i="4"/>
  <c r="L320" i="4"/>
  <c r="M320" i="4"/>
  <c r="O319" i="4"/>
  <c r="Q319" i="4"/>
  <c r="N319" i="4"/>
  <c r="P319" i="4"/>
  <c r="L319" i="4"/>
  <c r="M319" i="4"/>
  <c r="O318" i="4"/>
  <c r="Q318" i="4"/>
  <c r="N318" i="4"/>
  <c r="P318" i="4"/>
  <c r="L318" i="4"/>
  <c r="M318" i="4"/>
  <c r="O317" i="4"/>
  <c r="Q317" i="4"/>
  <c r="N317" i="4"/>
  <c r="P317" i="4"/>
  <c r="L317" i="4"/>
  <c r="M317" i="4"/>
  <c r="O316" i="4"/>
  <c r="Q316" i="4"/>
  <c r="N316" i="4"/>
  <c r="P316" i="4"/>
  <c r="L316" i="4"/>
  <c r="M316" i="4"/>
  <c r="O315" i="4"/>
  <c r="Q315" i="4"/>
  <c r="N315" i="4"/>
  <c r="P315" i="4"/>
  <c r="L315" i="4"/>
  <c r="M315" i="4"/>
  <c r="O314" i="4"/>
  <c r="Q314" i="4"/>
  <c r="N314" i="4"/>
  <c r="P314" i="4"/>
  <c r="L314" i="4"/>
  <c r="M314" i="4"/>
  <c r="O313" i="4"/>
  <c r="Q313" i="4"/>
  <c r="N313" i="4"/>
  <c r="P313" i="4"/>
  <c r="L313" i="4"/>
  <c r="M313" i="4"/>
  <c r="O312" i="4"/>
  <c r="Q312" i="4"/>
  <c r="N312" i="4"/>
  <c r="P312" i="4"/>
  <c r="L312" i="4"/>
  <c r="M312" i="4"/>
  <c r="O311" i="4"/>
  <c r="Q311" i="4"/>
  <c r="N311" i="4"/>
  <c r="P311" i="4"/>
  <c r="L311" i="4"/>
  <c r="M311" i="4"/>
  <c r="O310" i="4"/>
  <c r="Q310" i="4"/>
  <c r="N310" i="4"/>
  <c r="P310" i="4"/>
  <c r="L310" i="4"/>
  <c r="M310" i="4"/>
  <c r="O309" i="4"/>
  <c r="Q309" i="4"/>
  <c r="N309" i="4"/>
  <c r="P309" i="4"/>
  <c r="L309" i="4"/>
  <c r="M309" i="4"/>
  <c r="O308" i="4"/>
  <c r="Q308" i="4"/>
  <c r="N308" i="4"/>
  <c r="P308" i="4"/>
  <c r="L308" i="4"/>
  <c r="M308" i="4"/>
  <c r="O307" i="4"/>
  <c r="Q307" i="4"/>
  <c r="N307" i="4"/>
  <c r="P307" i="4"/>
  <c r="L307" i="4"/>
  <c r="M307" i="4"/>
  <c r="O306" i="4"/>
  <c r="Q306" i="4"/>
  <c r="N306" i="4"/>
  <c r="P306" i="4"/>
  <c r="L306" i="4"/>
  <c r="M306" i="4"/>
  <c r="O305" i="4"/>
  <c r="Q305" i="4"/>
  <c r="N305" i="4"/>
  <c r="P305" i="4"/>
  <c r="L305" i="4"/>
  <c r="M305" i="4"/>
  <c r="O304" i="4"/>
  <c r="Q304" i="4"/>
  <c r="N304" i="4"/>
  <c r="P304" i="4"/>
  <c r="L304" i="4"/>
  <c r="M304" i="4"/>
  <c r="O303" i="4"/>
  <c r="Q303" i="4"/>
  <c r="N303" i="4"/>
  <c r="P303" i="4"/>
  <c r="L303" i="4"/>
  <c r="M303" i="4"/>
  <c r="O302" i="4"/>
  <c r="Q302" i="4"/>
  <c r="N302" i="4"/>
  <c r="P302" i="4"/>
  <c r="L302" i="4"/>
  <c r="M302" i="4"/>
  <c r="O301" i="4"/>
  <c r="Q301" i="4"/>
  <c r="N301" i="4"/>
  <c r="P301" i="4"/>
  <c r="L301" i="4"/>
  <c r="M301" i="4"/>
  <c r="O300" i="4"/>
  <c r="Q300" i="4"/>
  <c r="N300" i="4"/>
  <c r="P300" i="4"/>
  <c r="L300" i="4"/>
  <c r="M300" i="4"/>
  <c r="O299" i="4"/>
  <c r="Q299" i="4"/>
  <c r="N299" i="4"/>
  <c r="P299" i="4"/>
  <c r="L299" i="4"/>
  <c r="M299" i="4"/>
  <c r="O298" i="4"/>
  <c r="Q298" i="4"/>
  <c r="N298" i="4"/>
  <c r="P298" i="4"/>
  <c r="L298" i="4"/>
  <c r="M298" i="4"/>
  <c r="O297" i="4"/>
  <c r="Q297" i="4"/>
  <c r="N297" i="4"/>
  <c r="P297" i="4"/>
  <c r="L297" i="4"/>
  <c r="M297" i="4"/>
  <c r="O296" i="4"/>
  <c r="Q296" i="4"/>
  <c r="N296" i="4"/>
  <c r="P296" i="4"/>
  <c r="L296" i="4"/>
  <c r="M296" i="4"/>
  <c r="O295" i="4"/>
  <c r="Q295" i="4"/>
  <c r="N295" i="4"/>
  <c r="P295" i="4"/>
  <c r="L295" i="4"/>
  <c r="M295" i="4"/>
  <c r="O294" i="4"/>
  <c r="Q294" i="4"/>
  <c r="N294" i="4"/>
  <c r="P294" i="4"/>
  <c r="L294" i="4"/>
  <c r="M294" i="4"/>
  <c r="O293" i="4"/>
  <c r="Q293" i="4"/>
  <c r="N293" i="4"/>
  <c r="P293" i="4"/>
  <c r="L293" i="4"/>
  <c r="M293" i="4"/>
  <c r="O292" i="4"/>
  <c r="Q292" i="4"/>
  <c r="N292" i="4"/>
  <c r="P292" i="4"/>
  <c r="L292" i="4"/>
  <c r="M292" i="4"/>
  <c r="O291" i="4"/>
  <c r="Q291" i="4"/>
  <c r="N291" i="4"/>
  <c r="P291" i="4"/>
  <c r="L291" i="4"/>
  <c r="M291" i="4"/>
  <c r="O290" i="4"/>
  <c r="Q290" i="4"/>
  <c r="N290" i="4"/>
  <c r="P290" i="4"/>
  <c r="L290" i="4"/>
  <c r="M290" i="4"/>
  <c r="O289" i="4"/>
  <c r="Q289" i="4"/>
  <c r="N289" i="4"/>
  <c r="P289" i="4"/>
  <c r="L289" i="4"/>
  <c r="M289" i="4"/>
  <c r="O288" i="4"/>
  <c r="Q288" i="4"/>
  <c r="N288" i="4"/>
  <c r="P288" i="4"/>
  <c r="L288" i="4"/>
  <c r="M288" i="4"/>
  <c r="O287" i="4"/>
  <c r="Q287" i="4"/>
  <c r="N287" i="4"/>
  <c r="P287" i="4"/>
  <c r="L287" i="4"/>
  <c r="M287" i="4"/>
  <c r="O286" i="4"/>
  <c r="Q286" i="4"/>
  <c r="N286" i="4"/>
  <c r="P286" i="4"/>
  <c r="L286" i="4"/>
  <c r="M286" i="4"/>
  <c r="O285" i="4"/>
  <c r="Q285" i="4"/>
  <c r="N285" i="4"/>
  <c r="P285" i="4"/>
  <c r="L285" i="4"/>
  <c r="M285" i="4"/>
  <c r="O284" i="4"/>
  <c r="Q284" i="4"/>
  <c r="N284" i="4"/>
  <c r="P284" i="4"/>
  <c r="L284" i="4"/>
  <c r="M284" i="4"/>
  <c r="O283" i="4"/>
  <c r="Q283" i="4"/>
  <c r="N283" i="4"/>
  <c r="P283" i="4"/>
  <c r="L283" i="4"/>
  <c r="M283" i="4"/>
  <c r="O282" i="4"/>
  <c r="Q282" i="4"/>
  <c r="N282" i="4"/>
  <c r="P282" i="4"/>
  <c r="L282" i="4"/>
  <c r="M282" i="4"/>
  <c r="O281" i="4"/>
  <c r="Q281" i="4"/>
  <c r="N281" i="4"/>
  <c r="P281" i="4"/>
  <c r="L281" i="4"/>
  <c r="M281" i="4"/>
  <c r="O280" i="4"/>
  <c r="Q280" i="4"/>
  <c r="N280" i="4"/>
  <c r="P280" i="4"/>
  <c r="L280" i="4"/>
  <c r="M280" i="4"/>
  <c r="O279" i="4"/>
  <c r="Q279" i="4"/>
  <c r="N279" i="4"/>
  <c r="P279" i="4"/>
  <c r="L279" i="4"/>
  <c r="M279" i="4"/>
  <c r="O278" i="4"/>
  <c r="Q278" i="4"/>
  <c r="N278" i="4"/>
  <c r="P278" i="4"/>
  <c r="L278" i="4"/>
  <c r="M278" i="4"/>
  <c r="O277" i="4"/>
  <c r="Q277" i="4"/>
  <c r="N277" i="4"/>
  <c r="P277" i="4"/>
  <c r="L277" i="4"/>
  <c r="M277" i="4"/>
  <c r="O276" i="4"/>
  <c r="Q276" i="4"/>
  <c r="N276" i="4"/>
  <c r="P276" i="4"/>
  <c r="L276" i="4"/>
  <c r="M276" i="4"/>
  <c r="O275" i="4"/>
  <c r="Q275" i="4"/>
  <c r="N275" i="4"/>
  <c r="P275" i="4"/>
  <c r="L275" i="4"/>
  <c r="M275" i="4"/>
  <c r="O274" i="4"/>
  <c r="Q274" i="4"/>
  <c r="N274" i="4"/>
  <c r="P274" i="4"/>
  <c r="L274" i="4"/>
  <c r="M274" i="4"/>
  <c r="O273" i="4"/>
  <c r="Q273" i="4"/>
  <c r="N273" i="4"/>
  <c r="P273" i="4"/>
  <c r="L273" i="4"/>
  <c r="M273" i="4"/>
  <c r="O272" i="4"/>
  <c r="Q272" i="4"/>
  <c r="N272" i="4"/>
  <c r="P272" i="4"/>
  <c r="L272" i="4"/>
  <c r="M272" i="4"/>
  <c r="O271" i="4"/>
  <c r="Q271" i="4"/>
  <c r="N271" i="4"/>
  <c r="P271" i="4"/>
  <c r="L271" i="4"/>
  <c r="M271" i="4"/>
  <c r="O270" i="4"/>
  <c r="Q270" i="4"/>
  <c r="N270" i="4"/>
  <c r="P270" i="4"/>
  <c r="L270" i="4"/>
  <c r="M270" i="4"/>
  <c r="O269" i="4"/>
  <c r="Q269" i="4"/>
  <c r="N269" i="4"/>
  <c r="P269" i="4"/>
  <c r="L269" i="4"/>
  <c r="M269" i="4"/>
  <c r="O268" i="4"/>
  <c r="Q268" i="4"/>
  <c r="N268" i="4"/>
  <c r="P268" i="4"/>
  <c r="L268" i="4"/>
  <c r="M268" i="4"/>
  <c r="O267" i="4"/>
  <c r="Q267" i="4"/>
  <c r="N267" i="4"/>
  <c r="P267" i="4"/>
  <c r="L267" i="4"/>
  <c r="M267" i="4"/>
  <c r="O266" i="4"/>
  <c r="Q266" i="4"/>
  <c r="N266" i="4"/>
  <c r="P266" i="4"/>
  <c r="L266" i="4"/>
  <c r="M266" i="4"/>
  <c r="O265" i="4"/>
  <c r="Q265" i="4"/>
  <c r="N265" i="4"/>
  <c r="P265" i="4"/>
  <c r="L265" i="4"/>
  <c r="M265" i="4"/>
  <c r="O264" i="4"/>
  <c r="Q264" i="4"/>
  <c r="N264" i="4"/>
  <c r="P264" i="4"/>
  <c r="L264" i="4"/>
  <c r="M264" i="4"/>
  <c r="O263" i="4"/>
  <c r="Q263" i="4"/>
  <c r="N263" i="4"/>
  <c r="P263" i="4"/>
  <c r="L263" i="4"/>
  <c r="M263" i="4"/>
  <c r="O262" i="4"/>
  <c r="Q262" i="4"/>
  <c r="N262" i="4"/>
  <c r="P262" i="4"/>
  <c r="L262" i="4"/>
  <c r="M262" i="4"/>
  <c r="O261" i="4"/>
  <c r="Q261" i="4"/>
  <c r="N261" i="4"/>
  <c r="P261" i="4"/>
  <c r="L261" i="4"/>
  <c r="M261" i="4"/>
  <c r="O260" i="4"/>
  <c r="Q260" i="4"/>
  <c r="N260" i="4"/>
  <c r="P260" i="4"/>
  <c r="L260" i="4"/>
  <c r="M260" i="4"/>
  <c r="O259" i="4"/>
  <c r="Q259" i="4"/>
  <c r="N259" i="4"/>
  <c r="P259" i="4"/>
  <c r="L259" i="4"/>
  <c r="M259" i="4"/>
  <c r="O258" i="4"/>
  <c r="Q258" i="4"/>
  <c r="N258" i="4"/>
  <c r="P258" i="4"/>
  <c r="L258" i="4"/>
  <c r="M258" i="4"/>
  <c r="O257" i="4"/>
  <c r="Q257" i="4"/>
  <c r="N257" i="4"/>
  <c r="P257" i="4"/>
  <c r="L257" i="4"/>
  <c r="M257" i="4"/>
  <c r="O256" i="4"/>
  <c r="Q256" i="4"/>
  <c r="N256" i="4"/>
  <c r="P256" i="4"/>
  <c r="L256" i="4"/>
  <c r="M256" i="4"/>
  <c r="O255" i="4"/>
  <c r="Q255" i="4"/>
  <c r="N255" i="4"/>
  <c r="P255" i="4"/>
  <c r="L255" i="4"/>
  <c r="M255" i="4"/>
  <c r="O254" i="4"/>
  <c r="Q254" i="4"/>
  <c r="N254" i="4"/>
  <c r="P254" i="4"/>
  <c r="L254" i="4"/>
  <c r="M254" i="4"/>
  <c r="O253" i="4"/>
  <c r="Q253" i="4"/>
  <c r="N253" i="4"/>
  <c r="P253" i="4"/>
  <c r="L253" i="4"/>
  <c r="M253" i="4"/>
  <c r="O252" i="4"/>
  <c r="Q252" i="4"/>
  <c r="N252" i="4"/>
  <c r="P252" i="4"/>
  <c r="L252" i="4"/>
  <c r="M252" i="4"/>
  <c r="O251" i="4"/>
  <c r="Q251" i="4"/>
  <c r="N251" i="4"/>
  <c r="P251" i="4"/>
  <c r="L251" i="4"/>
  <c r="M251" i="4"/>
  <c r="O250" i="4"/>
  <c r="Q250" i="4"/>
  <c r="N250" i="4"/>
  <c r="P250" i="4"/>
  <c r="L250" i="4"/>
  <c r="M250" i="4"/>
  <c r="O249" i="4"/>
  <c r="Q249" i="4"/>
  <c r="N249" i="4"/>
  <c r="P249" i="4"/>
  <c r="L249" i="4"/>
  <c r="M249" i="4"/>
  <c r="O248" i="4"/>
  <c r="Q248" i="4"/>
  <c r="N248" i="4"/>
  <c r="P248" i="4"/>
  <c r="L248" i="4"/>
  <c r="M248" i="4"/>
  <c r="O247" i="4"/>
  <c r="Q247" i="4"/>
  <c r="N247" i="4"/>
  <c r="P247" i="4"/>
  <c r="L247" i="4"/>
  <c r="M247" i="4"/>
  <c r="O246" i="4"/>
  <c r="Q246" i="4"/>
  <c r="N246" i="4"/>
  <c r="P246" i="4"/>
  <c r="L246" i="4"/>
  <c r="M246" i="4"/>
  <c r="O245" i="4"/>
  <c r="Q245" i="4"/>
  <c r="N245" i="4"/>
  <c r="P245" i="4"/>
  <c r="L245" i="4"/>
  <c r="M245" i="4"/>
  <c r="O244" i="4"/>
  <c r="Q244" i="4"/>
  <c r="N244" i="4"/>
  <c r="P244" i="4"/>
  <c r="L244" i="4"/>
  <c r="M244" i="4"/>
  <c r="O243" i="4"/>
  <c r="Q243" i="4"/>
  <c r="N243" i="4"/>
  <c r="P243" i="4"/>
  <c r="L243" i="4"/>
  <c r="M243" i="4"/>
  <c r="O242" i="4"/>
  <c r="Q242" i="4"/>
  <c r="N242" i="4"/>
  <c r="P242" i="4"/>
  <c r="L242" i="4"/>
  <c r="M242" i="4"/>
  <c r="O241" i="4"/>
  <c r="Q241" i="4"/>
  <c r="N241" i="4"/>
  <c r="P241" i="4"/>
  <c r="L241" i="4"/>
  <c r="M241" i="4"/>
  <c r="O240" i="4"/>
  <c r="Q240" i="4"/>
  <c r="N240" i="4"/>
  <c r="P240" i="4"/>
  <c r="L240" i="4"/>
  <c r="M240" i="4"/>
  <c r="O239" i="4"/>
  <c r="Q239" i="4"/>
  <c r="N239" i="4"/>
  <c r="P239" i="4"/>
  <c r="L239" i="4"/>
  <c r="M239" i="4"/>
  <c r="O238" i="4"/>
  <c r="Q238" i="4"/>
  <c r="N238" i="4"/>
  <c r="P238" i="4"/>
  <c r="L238" i="4"/>
  <c r="M238" i="4"/>
  <c r="O237" i="4"/>
  <c r="Q237" i="4"/>
  <c r="N237" i="4"/>
  <c r="P237" i="4"/>
  <c r="L237" i="4"/>
  <c r="M237" i="4"/>
  <c r="O236" i="4"/>
  <c r="Q236" i="4"/>
  <c r="N236" i="4"/>
  <c r="P236" i="4"/>
  <c r="L236" i="4"/>
  <c r="M236" i="4"/>
  <c r="O235" i="4"/>
  <c r="Q235" i="4"/>
  <c r="N235" i="4"/>
  <c r="P235" i="4"/>
  <c r="L235" i="4"/>
  <c r="M235" i="4"/>
  <c r="O234" i="4"/>
  <c r="Q234" i="4"/>
  <c r="N234" i="4"/>
  <c r="P234" i="4"/>
  <c r="L234" i="4"/>
  <c r="M234" i="4"/>
  <c r="O233" i="4"/>
  <c r="Q233" i="4"/>
  <c r="N233" i="4"/>
  <c r="P233" i="4"/>
  <c r="L233" i="4"/>
  <c r="M233" i="4"/>
  <c r="O232" i="4"/>
  <c r="Q232" i="4"/>
  <c r="N232" i="4"/>
  <c r="P232" i="4"/>
  <c r="L232" i="4"/>
  <c r="M232" i="4"/>
  <c r="O231" i="4"/>
  <c r="Q231" i="4"/>
  <c r="N231" i="4"/>
  <c r="P231" i="4"/>
  <c r="L231" i="4"/>
  <c r="M231" i="4"/>
  <c r="O230" i="4"/>
  <c r="Q230" i="4"/>
  <c r="N230" i="4"/>
  <c r="P230" i="4"/>
  <c r="L230" i="4"/>
  <c r="M230" i="4"/>
  <c r="O229" i="4"/>
  <c r="Q229" i="4"/>
  <c r="N229" i="4"/>
  <c r="P229" i="4"/>
  <c r="L229" i="4"/>
  <c r="M229" i="4"/>
  <c r="O228" i="4"/>
  <c r="Q228" i="4"/>
  <c r="N228" i="4"/>
  <c r="P228" i="4"/>
  <c r="L228" i="4"/>
  <c r="M228" i="4"/>
  <c r="O227" i="4"/>
  <c r="Q227" i="4"/>
  <c r="N227" i="4"/>
  <c r="P227" i="4"/>
  <c r="L227" i="4"/>
  <c r="M227" i="4"/>
  <c r="O226" i="4"/>
  <c r="Q226" i="4"/>
  <c r="N226" i="4"/>
  <c r="P226" i="4"/>
  <c r="L226" i="4"/>
  <c r="M226" i="4"/>
  <c r="O225" i="4"/>
  <c r="Q225" i="4"/>
  <c r="N225" i="4"/>
  <c r="P225" i="4"/>
  <c r="L225" i="4"/>
  <c r="M225" i="4"/>
  <c r="O224" i="4"/>
  <c r="Q224" i="4"/>
  <c r="N224" i="4"/>
  <c r="P224" i="4"/>
  <c r="L224" i="4"/>
  <c r="M224" i="4"/>
  <c r="O223" i="4"/>
  <c r="Q223" i="4"/>
  <c r="N223" i="4"/>
  <c r="P223" i="4"/>
  <c r="L223" i="4"/>
  <c r="M223" i="4"/>
  <c r="O222" i="4"/>
  <c r="Q222" i="4"/>
  <c r="N222" i="4"/>
  <c r="P222" i="4"/>
  <c r="L222" i="4"/>
  <c r="M222" i="4"/>
  <c r="O221" i="4"/>
  <c r="Q221" i="4"/>
  <c r="N221" i="4"/>
  <c r="P221" i="4"/>
  <c r="L221" i="4"/>
  <c r="M221" i="4"/>
  <c r="O220" i="4"/>
  <c r="Q220" i="4"/>
  <c r="N220" i="4"/>
  <c r="P220" i="4"/>
  <c r="L220" i="4"/>
  <c r="M220" i="4"/>
  <c r="O219" i="4"/>
  <c r="Q219" i="4"/>
  <c r="N219" i="4"/>
  <c r="P219" i="4"/>
  <c r="L219" i="4"/>
  <c r="M219" i="4"/>
  <c r="O218" i="4"/>
  <c r="Q218" i="4"/>
  <c r="N218" i="4"/>
  <c r="P218" i="4"/>
  <c r="L218" i="4"/>
  <c r="M218" i="4"/>
  <c r="O217" i="4"/>
  <c r="Q217" i="4"/>
  <c r="N217" i="4"/>
  <c r="P217" i="4"/>
  <c r="L217" i="4"/>
  <c r="M217" i="4"/>
  <c r="O216" i="4"/>
  <c r="Q216" i="4"/>
  <c r="N216" i="4"/>
  <c r="P216" i="4"/>
  <c r="L216" i="4"/>
  <c r="M216" i="4"/>
  <c r="O215" i="4"/>
  <c r="Q215" i="4"/>
  <c r="N215" i="4"/>
  <c r="P215" i="4"/>
  <c r="L215" i="4"/>
  <c r="M215" i="4"/>
  <c r="O214" i="4"/>
  <c r="Q214" i="4"/>
  <c r="N214" i="4"/>
  <c r="P214" i="4"/>
  <c r="L214" i="4"/>
  <c r="M214" i="4"/>
  <c r="O213" i="4"/>
  <c r="Q213" i="4"/>
  <c r="N213" i="4"/>
  <c r="P213" i="4"/>
  <c r="L213" i="4"/>
  <c r="M213" i="4"/>
  <c r="O212" i="4"/>
  <c r="Q212" i="4"/>
  <c r="N212" i="4"/>
  <c r="P212" i="4"/>
  <c r="L212" i="4"/>
  <c r="M212" i="4"/>
  <c r="O211" i="4"/>
  <c r="Q211" i="4"/>
  <c r="N211" i="4"/>
  <c r="P211" i="4"/>
  <c r="L211" i="4"/>
  <c r="M211" i="4"/>
  <c r="O210" i="4"/>
  <c r="Q210" i="4"/>
  <c r="N210" i="4"/>
  <c r="P210" i="4"/>
  <c r="L210" i="4"/>
  <c r="M210" i="4"/>
  <c r="O209" i="4"/>
  <c r="Q209" i="4"/>
  <c r="N209" i="4"/>
  <c r="P209" i="4"/>
  <c r="L209" i="4"/>
  <c r="M209" i="4"/>
  <c r="O208" i="4"/>
  <c r="Q208" i="4"/>
  <c r="N208" i="4"/>
  <c r="P208" i="4"/>
  <c r="L208" i="4"/>
  <c r="M208" i="4"/>
  <c r="O207" i="4"/>
  <c r="Q207" i="4"/>
  <c r="N207" i="4"/>
  <c r="P207" i="4"/>
  <c r="L207" i="4"/>
  <c r="M207" i="4"/>
  <c r="O206" i="4"/>
  <c r="Q206" i="4"/>
  <c r="N206" i="4"/>
  <c r="P206" i="4"/>
  <c r="L206" i="4"/>
  <c r="M206" i="4"/>
  <c r="O205" i="4"/>
  <c r="Q205" i="4"/>
  <c r="N205" i="4"/>
  <c r="P205" i="4"/>
  <c r="L205" i="4"/>
  <c r="M205" i="4"/>
  <c r="O204" i="4"/>
  <c r="Q204" i="4"/>
  <c r="N204" i="4"/>
  <c r="P204" i="4"/>
  <c r="L204" i="4"/>
  <c r="M204" i="4"/>
  <c r="O203" i="4"/>
  <c r="Q203" i="4"/>
  <c r="N203" i="4"/>
  <c r="P203" i="4"/>
  <c r="L203" i="4"/>
  <c r="M203" i="4"/>
  <c r="O202" i="4"/>
  <c r="Q202" i="4"/>
  <c r="N202" i="4"/>
  <c r="P202" i="4"/>
  <c r="L202" i="4"/>
  <c r="M202" i="4"/>
  <c r="O201" i="4"/>
  <c r="Q201" i="4"/>
  <c r="N201" i="4"/>
  <c r="P201" i="4"/>
  <c r="L201" i="4"/>
  <c r="M201" i="4"/>
  <c r="O200" i="4"/>
  <c r="Q200" i="4"/>
  <c r="N200" i="4"/>
  <c r="P200" i="4"/>
  <c r="L200" i="4"/>
  <c r="M200" i="4"/>
  <c r="O199" i="4"/>
  <c r="Q199" i="4"/>
  <c r="N199" i="4"/>
  <c r="P199" i="4"/>
  <c r="L199" i="4"/>
  <c r="M199" i="4"/>
  <c r="O198" i="4"/>
  <c r="Q198" i="4"/>
  <c r="N198" i="4"/>
  <c r="P198" i="4"/>
  <c r="L198" i="4"/>
  <c r="M198" i="4"/>
  <c r="O197" i="4"/>
  <c r="Q197" i="4"/>
  <c r="N197" i="4"/>
  <c r="P197" i="4"/>
  <c r="L197" i="4"/>
  <c r="M197" i="4"/>
  <c r="O196" i="4"/>
  <c r="Q196" i="4"/>
  <c r="N196" i="4"/>
  <c r="P196" i="4"/>
  <c r="L196" i="4"/>
  <c r="M196" i="4"/>
  <c r="O195" i="4"/>
  <c r="Q195" i="4"/>
  <c r="N195" i="4"/>
  <c r="P195" i="4"/>
  <c r="L195" i="4"/>
  <c r="M195" i="4"/>
  <c r="O194" i="4"/>
  <c r="Q194" i="4"/>
  <c r="N194" i="4"/>
  <c r="P194" i="4"/>
  <c r="L194" i="4"/>
  <c r="M194" i="4"/>
  <c r="O193" i="4"/>
  <c r="Q193" i="4"/>
  <c r="N193" i="4"/>
  <c r="P193" i="4"/>
  <c r="L193" i="4"/>
  <c r="M193" i="4"/>
  <c r="O192" i="4"/>
  <c r="Q192" i="4"/>
  <c r="N192" i="4"/>
  <c r="P192" i="4"/>
  <c r="L192" i="4"/>
  <c r="M192" i="4"/>
  <c r="O191" i="4"/>
  <c r="Q191" i="4"/>
  <c r="N191" i="4"/>
  <c r="P191" i="4"/>
  <c r="L191" i="4"/>
  <c r="M191" i="4"/>
  <c r="O190" i="4"/>
  <c r="Q190" i="4"/>
  <c r="N190" i="4"/>
  <c r="P190" i="4"/>
  <c r="L190" i="4"/>
  <c r="M190" i="4"/>
  <c r="O189" i="4"/>
  <c r="Q189" i="4"/>
  <c r="N189" i="4"/>
  <c r="P189" i="4"/>
  <c r="L189" i="4"/>
  <c r="M189" i="4"/>
  <c r="O188" i="4"/>
  <c r="Q188" i="4"/>
  <c r="N188" i="4"/>
  <c r="P188" i="4"/>
  <c r="L188" i="4"/>
  <c r="M188" i="4"/>
  <c r="O187" i="4"/>
  <c r="Q187" i="4"/>
  <c r="N187" i="4"/>
  <c r="P187" i="4"/>
  <c r="L187" i="4"/>
  <c r="M187" i="4"/>
  <c r="O186" i="4"/>
  <c r="Q186" i="4"/>
  <c r="N186" i="4"/>
  <c r="P186" i="4"/>
  <c r="L186" i="4"/>
  <c r="M186" i="4"/>
  <c r="O185" i="4"/>
  <c r="Q185" i="4"/>
  <c r="N185" i="4"/>
  <c r="P185" i="4"/>
  <c r="L185" i="4"/>
  <c r="M185" i="4"/>
  <c r="O184" i="4"/>
  <c r="Q184" i="4"/>
  <c r="N184" i="4"/>
  <c r="P184" i="4"/>
  <c r="L184" i="4"/>
  <c r="M184" i="4"/>
  <c r="O183" i="4"/>
  <c r="Q183" i="4"/>
  <c r="N183" i="4"/>
  <c r="P183" i="4"/>
  <c r="L183" i="4"/>
  <c r="M183" i="4"/>
  <c r="O182" i="4"/>
  <c r="Q182" i="4"/>
  <c r="N182" i="4"/>
  <c r="P182" i="4"/>
  <c r="L182" i="4"/>
  <c r="M182" i="4"/>
  <c r="O181" i="4"/>
  <c r="Q181" i="4"/>
  <c r="N181" i="4"/>
  <c r="P181" i="4"/>
  <c r="L181" i="4"/>
  <c r="M181" i="4"/>
  <c r="O180" i="4"/>
  <c r="Q180" i="4"/>
  <c r="N180" i="4"/>
  <c r="P180" i="4"/>
  <c r="L180" i="4"/>
  <c r="M180" i="4"/>
  <c r="O179" i="4"/>
  <c r="Q179" i="4"/>
  <c r="N179" i="4"/>
  <c r="P179" i="4"/>
  <c r="L179" i="4"/>
  <c r="M179" i="4"/>
  <c r="O178" i="4"/>
  <c r="Q178" i="4"/>
  <c r="N178" i="4"/>
  <c r="P178" i="4"/>
  <c r="L178" i="4"/>
  <c r="M178" i="4"/>
  <c r="O177" i="4"/>
  <c r="Q177" i="4"/>
  <c r="N177" i="4"/>
  <c r="P177" i="4"/>
  <c r="L177" i="4"/>
  <c r="M177" i="4"/>
  <c r="O176" i="4"/>
  <c r="Q176" i="4"/>
  <c r="N176" i="4"/>
  <c r="P176" i="4"/>
  <c r="L176" i="4"/>
  <c r="M176" i="4"/>
  <c r="O175" i="4"/>
  <c r="Q175" i="4"/>
  <c r="N175" i="4"/>
  <c r="P175" i="4"/>
  <c r="L175" i="4"/>
  <c r="M175" i="4"/>
  <c r="O174" i="4"/>
  <c r="Q174" i="4"/>
  <c r="N174" i="4"/>
  <c r="P174" i="4"/>
  <c r="L174" i="4"/>
  <c r="M174" i="4"/>
  <c r="O173" i="4"/>
  <c r="Q173" i="4"/>
  <c r="N173" i="4"/>
  <c r="P173" i="4"/>
  <c r="L173" i="4"/>
  <c r="M173" i="4"/>
  <c r="O172" i="4"/>
  <c r="Q172" i="4"/>
  <c r="N172" i="4"/>
  <c r="P172" i="4"/>
  <c r="L172" i="4"/>
  <c r="M172" i="4"/>
  <c r="O171" i="4"/>
  <c r="Q171" i="4"/>
  <c r="N171" i="4"/>
  <c r="P171" i="4"/>
  <c r="L171" i="4"/>
  <c r="M171" i="4"/>
  <c r="O170" i="4"/>
  <c r="Q170" i="4"/>
  <c r="N170" i="4"/>
  <c r="P170" i="4"/>
  <c r="L170" i="4"/>
  <c r="M170" i="4"/>
  <c r="O169" i="4"/>
  <c r="Q169" i="4"/>
  <c r="N169" i="4"/>
  <c r="P169" i="4"/>
  <c r="L169" i="4"/>
  <c r="M169" i="4"/>
  <c r="O168" i="4"/>
  <c r="Q168" i="4"/>
  <c r="N168" i="4"/>
  <c r="P168" i="4"/>
  <c r="L168" i="4"/>
  <c r="M168" i="4"/>
  <c r="O167" i="4"/>
  <c r="Q167" i="4"/>
  <c r="N167" i="4"/>
  <c r="P167" i="4"/>
  <c r="L167" i="4"/>
  <c r="M167" i="4"/>
  <c r="O166" i="4"/>
  <c r="Q166" i="4"/>
  <c r="N166" i="4"/>
  <c r="P166" i="4"/>
  <c r="L166" i="4"/>
  <c r="M166" i="4"/>
  <c r="O165" i="4"/>
  <c r="Q165" i="4"/>
  <c r="N165" i="4"/>
  <c r="P165" i="4"/>
  <c r="L165" i="4"/>
  <c r="M165" i="4"/>
  <c r="O164" i="4"/>
  <c r="Q164" i="4"/>
  <c r="N164" i="4"/>
  <c r="P164" i="4"/>
  <c r="L164" i="4"/>
  <c r="M164" i="4"/>
  <c r="O163" i="4"/>
  <c r="Q163" i="4"/>
  <c r="N163" i="4"/>
  <c r="P163" i="4"/>
  <c r="L163" i="4"/>
  <c r="M163" i="4"/>
  <c r="O162" i="4"/>
  <c r="Q162" i="4"/>
  <c r="N162" i="4"/>
  <c r="P162" i="4"/>
  <c r="L162" i="4"/>
  <c r="M162" i="4"/>
  <c r="O161" i="4"/>
  <c r="Q161" i="4"/>
  <c r="N161" i="4"/>
  <c r="P161" i="4"/>
  <c r="L161" i="4"/>
  <c r="M161" i="4"/>
  <c r="O160" i="4"/>
  <c r="Q160" i="4"/>
  <c r="N160" i="4"/>
  <c r="P160" i="4"/>
  <c r="L160" i="4"/>
  <c r="M160" i="4"/>
  <c r="O159" i="4"/>
  <c r="Q159" i="4"/>
  <c r="N159" i="4"/>
  <c r="P159" i="4"/>
  <c r="L159" i="4"/>
  <c r="M159" i="4"/>
  <c r="O158" i="4"/>
  <c r="Q158" i="4"/>
  <c r="N158" i="4"/>
  <c r="P158" i="4"/>
  <c r="L158" i="4"/>
  <c r="M158" i="4"/>
  <c r="O157" i="4"/>
  <c r="Q157" i="4"/>
  <c r="N157" i="4"/>
  <c r="P157" i="4"/>
  <c r="L157" i="4"/>
  <c r="M157" i="4"/>
  <c r="O156" i="4"/>
  <c r="Q156" i="4"/>
  <c r="N156" i="4"/>
  <c r="P156" i="4"/>
  <c r="L156" i="4"/>
  <c r="M156" i="4"/>
  <c r="O155" i="4"/>
  <c r="Q155" i="4"/>
  <c r="N155" i="4"/>
  <c r="P155" i="4"/>
  <c r="L155" i="4"/>
  <c r="M155" i="4"/>
  <c r="O154" i="4"/>
  <c r="Q154" i="4"/>
  <c r="N154" i="4"/>
  <c r="P154" i="4"/>
  <c r="L154" i="4"/>
  <c r="M154" i="4"/>
  <c r="O153" i="4"/>
  <c r="Q153" i="4"/>
  <c r="N153" i="4"/>
  <c r="P153" i="4"/>
  <c r="L153" i="4"/>
  <c r="M153" i="4"/>
  <c r="O152" i="4"/>
  <c r="Q152" i="4"/>
  <c r="N152" i="4"/>
  <c r="P152" i="4"/>
  <c r="L152" i="4"/>
  <c r="M152" i="4"/>
  <c r="O151" i="4"/>
  <c r="Q151" i="4"/>
  <c r="N151" i="4"/>
  <c r="P151" i="4"/>
  <c r="L151" i="4"/>
  <c r="M151" i="4"/>
  <c r="O150" i="4"/>
  <c r="Q150" i="4"/>
  <c r="N150" i="4"/>
  <c r="P150" i="4"/>
  <c r="L150" i="4"/>
  <c r="M150" i="4"/>
  <c r="O149" i="4"/>
  <c r="Q149" i="4"/>
  <c r="N149" i="4"/>
  <c r="P149" i="4"/>
  <c r="L149" i="4"/>
  <c r="M149" i="4"/>
  <c r="O148" i="4"/>
  <c r="Q148" i="4"/>
  <c r="N148" i="4"/>
  <c r="P148" i="4"/>
  <c r="L148" i="4"/>
  <c r="M148" i="4"/>
  <c r="O147" i="4"/>
  <c r="Q147" i="4"/>
  <c r="N147" i="4"/>
  <c r="P147" i="4"/>
  <c r="L147" i="4"/>
  <c r="M147" i="4"/>
  <c r="O146" i="4"/>
  <c r="Q146" i="4"/>
  <c r="N146" i="4"/>
  <c r="P146" i="4"/>
  <c r="L146" i="4"/>
  <c r="M146" i="4"/>
  <c r="O145" i="4"/>
  <c r="Q145" i="4"/>
  <c r="N145" i="4"/>
  <c r="P145" i="4"/>
  <c r="L145" i="4"/>
  <c r="M145" i="4"/>
  <c r="O144" i="4"/>
  <c r="Q144" i="4"/>
  <c r="N144" i="4"/>
  <c r="P144" i="4"/>
  <c r="L144" i="4"/>
  <c r="M144" i="4"/>
  <c r="O143" i="4"/>
  <c r="Q143" i="4"/>
  <c r="N143" i="4"/>
  <c r="P143" i="4"/>
  <c r="L143" i="4"/>
  <c r="M143" i="4"/>
  <c r="O142" i="4"/>
  <c r="Q142" i="4"/>
  <c r="N142" i="4"/>
  <c r="P142" i="4"/>
  <c r="L142" i="4"/>
  <c r="M142" i="4"/>
  <c r="O141" i="4"/>
  <c r="Q141" i="4"/>
  <c r="N141" i="4"/>
  <c r="P141" i="4"/>
  <c r="L141" i="4"/>
  <c r="M141" i="4"/>
  <c r="O140" i="4"/>
  <c r="Q140" i="4"/>
  <c r="N140" i="4"/>
  <c r="P140" i="4"/>
  <c r="L140" i="4"/>
  <c r="M140" i="4"/>
  <c r="O139" i="4"/>
  <c r="Q139" i="4"/>
  <c r="N139" i="4"/>
  <c r="P139" i="4"/>
  <c r="L139" i="4"/>
  <c r="M139" i="4"/>
  <c r="O138" i="4"/>
  <c r="Q138" i="4"/>
  <c r="N138" i="4"/>
  <c r="P138" i="4"/>
  <c r="L138" i="4"/>
  <c r="M138" i="4"/>
  <c r="O137" i="4"/>
  <c r="Q137" i="4"/>
  <c r="N137" i="4"/>
  <c r="P137" i="4"/>
  <c r="L137" i="4"/>
  <c r="M137" i="4"/>
  <c r="O136" i="4"/>
  <c r="Q136" i="4"/>
  <c r="N136" i="4"/>
  <c r="P136" i="4"/>
  <c r="L136" i="4"/>
  <c r="M136" i="4"/>
  <c r="O135" i="4"/>
  <c r="Q135" i="4"/>
  <c r="N135" i="4"/>
  <c r="P135" i="4"/>
  <c r="L135" i="4"/>
  <c r="M135" i="4"/>
  <c r="O134" i="4"/>
  <c r="Q134" i="4"/>
  <c r="N134" i="4"/>
  <c r="P134" i="4"/>
  <c r="L134" i="4"/>
  <c r="M134" i="4"/>
  <c r="O133" i="4"/>
  <c r="Q133" i="4"/>
  <c r="N133" i="4"/>
  <c r="P133" i="4"/>
  <c r="L133" i="4"/>
  <c r="M133" i="4"/>
  <c r="O132" i="4"/>
  <c r="Q132" i="4"/>
  <c r="N132" i="4"/>
  <c r="P132" i="4"/>
  <c r="L132" i="4"/>
  <c r="M132" i="4"/>
  <c r="O131" i="4"/>
  <c r="Q131" i="4"/>
  <c r="N131" i="4"/>
  <c r="P131" i="4"/>
  <c r="L131" i="4"/>
  <c r="M131" i="4"/>
  <c r="O130" i="4"/>
  <c r="Q130" i="4"/>
  <c r="N130" i="4"/>
  <c r="P130" i="4"/>
  <c r="L130" i="4"/>
  <c r="M130" i="4"/>
  <c r="O129" i="4"/>
  <c r="Q129" i="4"/>
  <c r="N129" i="4"/>
  <c r="P129" i="4"/>
  <c r="L129" i="4"/>
  <c r="M129" i="4"/>
  <c r="O128" i="4"/>
  <c r="Q128" i="4"/>
  <c r="N128" i="4"/>
  <c r="P128" i="4"/>
  <c r="L128" i="4"/>
  <c r="M128" i="4"/>
  <c r="O127" i="4"/>
  <c r="Q127" i="4"/>
  <c r="N127" i="4"/>
  <c r="P127" i="4"/>
  <c r="L127" i="4"/>
  <c r="M127" i="4"/>
  <c r="O126" i="4"/>
  <c r="Q126" i="4"/>
  <c r="N126" i="4"/>
  <c r="P126" i="4"/>
  <c r="L126" i="4"/>
  <c r="M126" i="4"/>
  <c r="O125" i="4"/>
  <c r="Q125" i="4"/>
  <c r="N125" i="4"/>
  <c r="P125" i="4"/>
  <c r="L125" i="4"/>
  <c r="M125" i="4"/>
  <c r="O124" i="4"/>
  <c r="Q124" i="4"/>
  <c r="N124" i="4"/>
  <c r="P124" i="4"/>
  <c r="L124" i="4"/>
  <c r="M124" i="4"/>
  <c r="O123" i="4"/>
  <c r="Q123" i="4"/>
  <c r="N123" i="4"/>
  <c r="P123" i="4"/>
  <c r="L123" i="4"/>
  <c r="M123" i="4"/>
  <c r="O122" i="4"/>
  <c r="Q122" i="4"/>
  <c r="N122" i="4"/>
  <c r="P122" i="4"/>
  <c r="L122" i="4"/>
  <c r="M122" i="4"/>
  <c r="O121" i="4"/>
  <c r="Q121" i="4"/>
  <c r="N121" i="4"/>
  <c r="P121" i="4"/>
  <c r="L121" i="4"/>
  <c r="M121" i="4"/>
  <c r="O120" i="4"/>
  <c r="Q120" i="4"/>
  <c r="N120" i="4"/>
  <c r="P120" i="4"/>
  <c r="L120" i="4"/>
  <c r="M120" i="4"/>
  <c r="O119" i="4"/>
  <c r="Q119" i="4"/>
  <c r="N119" i="4"/>
  <c r="P119" i="4"/>
  <c r="L119" i="4"/>
  <c r="M119" i="4"/>
  <c r="O118" i="4"/>
  <c r="Q118" i="4"/>
  <c r="N118" i="4"/>
  <c r="P118" i="4"/>
  <c r="L118" i="4"/>
  <c r="M118" i="4"/>
  <c r="O117" i="4"/>
  <c r="Q117" i="4"/>
  <c r="N117" i="4"/>
  <c r="P117" i="4"/>
  <c r="L117" i="4"/>
  <c r="M117" i="4"/>
  <c r="O116" i="4"/>
  <c r="Q116" i="4"/>
  <c r="N116" i="4"/>
  <c r="P116" i="4"/>
  <c r="L116" i="4"/>
  <c r="M116" i="4"/>
  <c r="O115" i="4"/>
  <c r="Q115" i="4"/>
  <c r="N115" i="4"/>
  <c r="P115" i="4"/>
  <c r="L115" i="4"/>
  <c r="M115" i="4"/>
  <c r="O114" i="4"/>
  <c r="Q114" i="4"/>
  <c r="N114" i="4"/>
  <c r="P114" i="4"/>
  <c r="L114" i="4"/>
  <c r="M114" i="4"/>
  <c r="O113" i="4"/>
  <c r="Q113" i="4"/>
  <c r="N113" i="4"/>
  <c r="P113" i="4"/>
  <c r="L113" i="4"/>
  <c r="M113" i="4"/>
  <c r="O112" i="4"/>
  <c r="Q112" i="4"/>
  <c r="N112" i="4"/>
  <c r="P112" i="4"/>
  <c r="L112" i="4"/>
  <c r="M112" i="4"/>
  <c r="O111" i="4"/>
  <c r="Q111" i="4"/>
  <c r="N111" i="4"/>
  <c r="P111" i="4"/>
  <c r="L111" i="4"/>
  <c r="M111" i="4"/>
  <c r="O110" i="4"/>
  <c r="Q110" i="4"/>
  <c r="N110" i="4"/>
  <c r="P110" i="4"/>
  <c r="L110" i="4"/>
  <c r="M110" i="4"/>
  <c r="O109" i="4"/>
  <c r="Q109" i="4"/>
  <c r="N109" i="4"/>
  <c r="P109" i="4"/>
  <c r="L109" i="4"/>
  <c r="M109" i="4"/>
  <c r="O108" i="4"/>
  <c r="Q108" i="4"/>
  <c r="N108" i="4"/>
  <c r="P108" i="4"/>
  <c r="L108" i="4"/>
  <c r="M108" i="4"/>
  <c r="O107" i="4"/>
  <c r="Q107" i="4"/>
  <c r="N107" i="4"/>
  <c r="P107" i="4"/>
  <c r="L107" i="4"/>
  <c r="M107" i="4"/>
  <c r="O106" i="4"/>
  <c r="Q106" i="4"/>
  <c r="N106" i="4"/>
  <c r="P106" i="4"/>
  <c r="L106" i="4"/>
  <c r="M106" i="4"/>
  <c r="O105" i="4"/>
  <c r="Q105" i="4"/>
  <c r="N105" i="4"/>
  <c r="P105" i="4"/>
  <c r="L105" i="4"/>
  <c r="M105" i="4"/>
  <c r="O104" i="4"/>
  <c r="Q104" i="4"/>
  <c r="N104" i="4"/>
  <c r="P104" i="4"/>
  <c r="L104" i="4"/>
  <c r="M104" i="4"/>
  <c r="O103" i="4"/>
  <c r="Q103" i="4"/>
  <c r="N103" i="4"/>
  <c r="P103" i="4"/>
  <c r="L103" i="4"/>
  <c r="M103" i="4"/>
  <c r="O102" i="4"/>
  <c r="Q102" i="4"/>
  <c r="N102" i="4"/>
  <c r="P102" i="4"/>
  <c r="L102" i="4"/>
  <c r="M102" i="4"/>
  <c r="O101" i="4"/>
  <c r="Q101" i="4"/>
  <c r="N101" i="4"/>
  <c r="P101" i="4"/>
  <c r="L101" i="4"/>
  <c r="M101" i="4"/>
  <c r="O100" i="4"/>
  <c r="Q100" i="4"/>
  <c r="N100" i="4"/>
  <c r="P100" i="4"/>
  <c r="L100" i="4"/>
  <c r="M100" i="4"/>
  <c r="O99" i="4"/>
  <c r="Q99" i="4"/>
  <c r="N99" i="4"/>
  <c r="P99" i="4"/>
  <c r="L99" i="4"/>
  <c r="M99" i="4"/>
  <c r="O98" i="4"/>
  <c r="Q98" i="4"/>
  <c r="N98" i="4"/>
  <c r="P98" i="4"/>
  <c r="L98" i="4"/>
  <c r="M98" i="4"/>
  <c r="O97" i="4"/>
  <c r="Q97" i="4"/>
  <c r="N97" i="4"/>
  <c r="P97" i="4"/>
  <c r="L97" i="4"/>
  <c r="M97" i="4"/>
  <c r="O96" i="4"/>
  <c r="Q96" i="4"/>
  <c r="N96" i="4"/>
  <c r="P96" i="4"/>
  <c r="L96" i="4"/>
  <c r="M96" i="4"/>
  <c r="O95" i="4"/>
  <c r="Q95" i="4"/>
  <c r="N95" i="4"/>
  <c r="P95" i="4"/>
  <c r="L95" i="4"/>
  <c r="M95" i="4"/>
  <c r="O94" i="4"/>
  <c r="Q94" i="4"/>
  <c r="N94" i="4"/>
  <c r="P94" i="4"/>
  <c r="L94" i="4"/>
  <c r="M94" i="4"/>
  <c r="O93" i="4"/>
  <c r="Q93" i="4"/>
  <c r="N93" i="4"/>
  <c r="P93" i="4"/>
  <c r="L93" i="4"/>
  <c r="M93" i="4"/>
  <c r="O92" i="4"/>
  <c r="Q92" i="4"/>
  <c r="N92" i="4"/>
  <c r="P92" i="4"/>
  <c r="L92" i="4"/>
  <c r="M92" i="4"/>
  <c r="O91" i="4"/>
  <c r="Q91" i="4"/>
  <c r="N91" i="4"/>
  <c r="P91" i="4"/>
  <c r="L91" i="4"/>
  <c r="M91" i="4"/>
  <c r="O90" i="4"/>
  <c r="Q90" i="4"/>
  <c r="N90" i="4"/>
  <c r="P90" i="4"/>
  <c r="L90" i="4"/>
  <c r="M90" i="4"/>
  <c r="O89" i="4"/>
  <c r="Q89" i="4"/>
  <c r="N89" i="4"/>
  <c r="P89" i="4"/>
  <c r="L89" i="4"/>
  <c r="M89" i="4"/>
  <c r="O88" i="4"/>
  <c r="Q88" i="4"/>
  <c r="N88" i="4"/>
  <c r="P88" i="4"/>
  <c r="L88" i="4"/>
  <c r="M88" i="4"/>
  <c r="O87" i="4"/>
  <c r="Q87" i="4"/>
  <c r="N87" i="4"/>
  <c r="P87" i="4"/>
  <c r="L87" i="4"/>
  <c r="M87" i="4"/>
  <c r="O86" i="4"/>
  <c r="Q86" i="4"/>
  <c r="N86" i="4"/>
  <c r="P86" i="4"/>
  <c r="L86" i="4"/>
  <c r="M86" i="4"/>
  <c r="O85" i="4"/>
  <c r="Q85" i="4"/>
  <c r="N85" i="4"/>
  <c r="P85" i="4"/>
  <c r="L85" i="4"/>
  <c r="M85" i="4"/>
  <c r="O84" i="4"/>
  <c r="Q84" i="4"/>
  <c r="N84" i="4"/>
  <c r="P84" i="4"/>
  <c r="L84" i="4"/>
  <c r="M84" i="4"/>
  <c r="O83" i="4"/>
  <c r="Q83" i="4"/>
  <c r="N83" i="4"/>
  <c r="P83" i="4"/>
  <c r="L83" i="4"/>
  <c r="M83" i="4"/>
  <c r="O82" i="4"/>
  <c r="Q82" i="4"/>
  <c r="N82" i="4"/>
  <c r="P82" i="4"/>
  <c r="L82" i="4"/>
  <c r="M82" i="4"/>
  <c r="O81" i="4"/>
  <c r="Q81" i="4"/>
  <c r="N81" i="4"/>
  <c r="P81" i="4"/>
  <c r="L81" i="4"/>
  <c r="M81" i="4"/>
  <c r="O80" i="4"/>
  <c r="Q80" i="4"/>
  <c r="N80" i="4"/>
  <c r="P80" i="4"/>
  <c r="L80" i="4"/>
  <c r="M80" i="4"/>
  <c r="O79" i="4"/>
  <c r="Q79" i="4"/>
  <c r="N79" i="4"/>
  <c r="P79" i="4"/>
  <c r="L79" i="4"/>
  <c r="M79" i="4"/>
  <c r="O78" i="4"/>
  <c r="Q78" i="4"/>
  <c r="N78" i="4"/>
  <c r="P78" i="4"/>
  <c r="L78" i="4"/>
  <c r="M78" i="4"/>
  <c r="O77" i="4"/>
  <c r="Q77" i="4"/>
  <c r="N77" i="4"/>
  <c r="P77" i="4"/>
  <c r="L77" i="4"/>
  <c r="M77" i="4"/>
  <c r="O76" i="4"/>
  <c r="Q76" i="4"/>
  <c r="N76" i="4"/>
  <c r="P76" i="4"/>
  <c r="L76" i="4"/>
  <c r="M76" i="4"/>
  <c r="O75" i="4"/>
  <c r="Q75" i="4"/>
  <c r="N75" i="4"/>
  <c r="P75" i="4"/>
  <c r="L75" i="4"/>
  <c r="M75" i="4"/>
  <c r="O74" i="4"/>
  <c r="Q74" i="4"/>
  <c r="N74" i="4"/>
  <c r="P74" i="4"/>
  <c r="L74" i="4"/>
  <c r="M74" i="4"/>
  <c r="O73" i="4"/>
  <c r="Q73" i="4"/>
  <c r="N73" i="4"/>
  <c r="P73" i="4"/>
  <c r="L73" i="4"/>
  <c r="M73" i="4"/>
  <c r="O72" i="4"/>
  <c r="Q72" i="4"/>
  <c r="N72" i="4"/>
  <c r="P72" i="4"/>
  <c r="L72" i="4"/>
  <c r="M72" i="4"/>
  <c r="O71" i="4"/>
  <c r="Q71" i="4"/>
  <c r="N71" i="4"/>
  <c r="P71" i="4"/>
  <c r="L71" i="4"/>
  <c r="M71" i="4"/>
  <c r="O70" i="4"/>
  <c r="Q70" i="4"/>
  <c r="N70" i="4"/>
  <c r="P70" i="4"/>
  <c r="L70" i="4"/>
  <c r="M70" i="4"/>
  <c r="O69" i="4"/>
  <c r="Q69" i="4"/>
  <c r="N69" i="4"/>
  <c r="P69" i="4"/>
  <c r="L69" i="4"/>
  <c r="M69" i="4"/>
  <c r="O68" i="4"/>
  <c r="Q68" i="4"/>
  <c r="N68" i="4"/>
  <c r="P68" i="4"/>
  <c r="L68" i="4"/>
  <c r="M68" i="4"/>
  <c r="O67" i="4"/>
  <c r="Q67" i="4"/>
  <c r="N67" i="4"/>
  <c r="P67" i="4"/>
  <c r="L67" i="4"/>
  <c r="M67" i="4"/>
  <c r="O66" i="4"/>
  <c r="Q66" i="4"/>
  <c r="N66" i="4"/>
  <c r="P66" i="4"/>
  <c r="L66" i="4"/>
  <c r="M66" i="4"/>
  <c r="O65" i="4"/>
  <c r="Q65" i="4"/>
  <c r="N65" i="4"/>
  <c r="P65" i="4"/>
  <c r="L65" i="4"/>
  <c r="M65" i="4"/>
  <c r="O64" i="4"/>
  <c r="Q64" i="4"/>
  <c r="N64" i="4"/>
  <c r="P64" i="4"/>
  <c r="L64" i="4"/>
  <c r="M64" i="4"/>
  <c r="O63" i="4"/>
  <c r="Q63" i="4"/>
  <c r="N63" i="4"/>
  <c r="P63" i="4"/>
  <c r="L63" i="4"/>
  <c r="M63" i="4"/>
  <c r="O62" i="4"/>
  <c r="Q62" i="4"/>
  <c r="N62" i="4"/>
  <c r="P62" i="4"/>
  <c r="L62" i="4"/>
  <c r="M62" i="4"/>
  <c r="O61" i="4"/>
  <c r="Q61" i="4"/>
  <c r="N61" i="4"/>
  <c r="P61" i="4"/>
  <c r="L61" i="4"/>
  <c r="M61" i="4"/>
  <c r="O60" i="4"/>
  <c r="Q60" i="4"/>
  <c r="N60" i="4"/>
  <c r="P60" i="4"/>
  <c r="L60" i="4"/>
  <c r="M60" i="4"/>
  <c r="O59" i="4"/>
  <c r="Q59" i="4"/>
  <c r="N59" i="4"/>
  <c r="P59" i="4"/>
  <c r="L59" i="4"/>
  <c r="M59" i="4"/>
  <c r="O58" i="4"/>
  <c r="Q58" i="4"/>
  <c r="N58" i="4"/>
  <c r="P58" i="4"/>
  <c r="L58" i="4"/>
  <c r="M58" i="4"/>
  <c r="O57" i="4"/>
  <c r="Q57" i="4"/>
  <c r="N57" i="4"/>
  <c r="P57" i="4"/>
  <c r="L57" i="4"/>
  <c r="M57" i="4"/>
  <c r="O56" i="4"/>
  <c r="Q56" i="4"/>
  <c r="N56" i="4"/>
  <c r="P56" i="4"/>
  <c r="L56" i="4"/>
  <c r="M56" i="4"/>
  <c r="O55" i="4"/>
  <c r="Q55" i="4"/>
  <c r="N55" i="4"/>
  <c r="P55" i="4"/>
  <c r="L55" i="4"/>
  <c r="M55" i="4"/>
  <c r="O54" i="4"/>
  <c r="Q54" i="4"/>
  <c r="N54" i="4"/>
  <c r="P54" i="4"/>
  <c r="L54" i="4"/>
  <c r="M54" i="4"/>
  <c r="O53" i="4"/>
  <c r="Q53" i="4"/>
  <c r="N53" i="4"/>
  <c r="P53" i="4"/>
  <c r="L53" i="4"/>
  <c r="M53" i="4"/>
  <c r="O52" i="4"/>
  <c r="Q52" i="4"/>
  <c r="N52" i="4"/>
  <c r="P52" i="4"/>
  <c r="L52" i="4"/>
  <c r="M52" i="4"/>
  <c r="O51" i="4"/>
  <c r="Q51" i="4"/>
  <c r="N51" i="4"/>
  <c r="P51" i="4"/>
  <c r="L51" i="4"/>
  <c r="M51" i="4"/>
  <c r="O50" i="4"/>
  <c r="Q50" i="4"/>
  <c r="N50" i="4"/>
  <c r="P50" i="4"/>
  <c r="L50" i="4"/>
  <c r="M50" i="4"/>
  <c r="O49" i="4"/>
  <c r="Q49" i="4"/>
  <c r="N49" i="4"/>
  <c r="P49" i="4"/>
  <c r="L49" i="4"/>
  <c r="M49" i="4"/>
  <c r="O48" i="4"/>
  <c r="Q48" i="4"/>
  <c r="N48" i="4"/>
  <c r="P48" i="4"/>
  <c r="L48" i="4"/>
  <c r="M48" i="4"/>
  <c r="O47" i="4"/>
  <c r="Q47" i="4"/>
  <c r="N47" i="4"/>
  <c r="P47" i="4"/>
  <c r="L47" i="4"/>
  <c r="M47" i="4"/>
  <c r="O46" i="4"/>
  <c r="Q46" i="4"/>
  <c r="N46" i="4"/>
  <c r="P46" i="4"/>
  <c r="L46" i="4"/>
  <c r="M46" i="4"/>
  <c r="O45" i="4"/>
  <c r="Q45" i="4"/>
  <c r="N45" i="4"/>
  <c r="P45" i="4"/>
  <c r="L45" i="4"/>
  <c r="M45" i="4"/>
  <c r="O44" i="4"/>
  <c r="Q44" i="4"/>
  <c r="N44" i="4"/>
  <c r="P44" i="4"/>
  <c r="L44" i="4"/>
  <c r="M44" i="4"/>
  <c r="O43" i="4"/>
  <c r="Q43" i="4"/>
  <c r="N43" i="4"/>
  <c r="P43" i="4"/>
  <c r="L43" i="4"/>
  <c r="M43" i="4"/>
  <c r="O42" i="4"/>
  <c r="Q42" i="4"/>
  <c r="N42" i="4"/>
  <c r="P42" i="4"/>
  <c r="L42" i="4"/>
  <c r="M42" i="4"/>
  <c r="O41" i="4"/>
  <c r="Q41" i="4"/>
  <c r="N41" i="4"/>
  <c r="P41" i="4"/>
  <c r="L41" i="4"/>
  <c r="M41" i="4"/>
  <c r="O40" i="4"/>
  <c r="Q40" i="4"/>
  <c r="N40" i="4"/>
  <c r="P40" i="4"/>
  <c r="L40" i="4"/>
  <c r="M40" i="4"/>
  <c r="O39" i="4"/>
  <c r="Q39" i="4"/>
  <c r="N39" i="4"/>
  <c r="P39" i="4"/>
  <c r="L39" i="4"/>
  <c r="M39" i="4"/>
  <c r="O38" i="4"/>
  <c r="Q38" i="4"/>
  <c r="N38" i="4"/>
  <c r="P38" i="4"/>
  <c r="L38" i="4"/>
  <c r="M38" i="4"/>
  <c r="O37" i="4"/>
  <c r="Q37" i="4"/>
  <c r="N37" i="4"/>
  <c r="P37" i="4"/>
  <c r="L37" i="4"/>
  <c r="M37" i="4"/>
  <c r="O36" i="4"/>
  <c r="Q36" i="4"/>
  <c r="N36" i="4"/>
  <c r="P36" i="4"/>
  <c r="L36" i="4"/>
  <c r="M36" i="4"/>
  <c r="O35" i="4"/>
  <c r="Q35" i="4"/>
  <c r="N35" i="4"/>
  <c r="P35" i="4"/>
  <c r="L35" i="4"/>
  <c r="M35" i="4"/>
  <c r="O34" i="4"/>
  <c r="Q34" i="4"/>
  <c r="N34" i="4"/>
  <c r="P34" i="4"/>
  <c r="L34" i="4"/>
  <c r="M34" i="4"/>
  <c r="O33" i="4"/>
  <c r="Q33" i="4"/>
  <c r="N33" i="4"/>
  <c r="P33" i="4"/>
  <c r="L33" i="4"/>
  <c r="M33" i="4"/>
  <c r="O32" i="4"/>
  <c r="Q32" i="4"/>
  <c r="N32" i="4"/>
  <c r="P32" i="4"/>
  <c r="L32" i="4"/>
  <c r="M32" i="4"/>
  <c r="O31" i="4"/>
  <c r="Q31" i="4"/>
  <c r="N31" i="4"/>
  <c r="P31" i="4"/>
  <c r="L31" i="4"/>
  <c r="M31" i="4"/>
  <c r="O30" i="4"/>
  <c r="Q30" i="4"/>
  <c r="N30" i="4"/>
  <c r="P30" i="4"/>
  <c r="L30" i="4"/>
  <c r="M30" i="4"/>
  <c r="O29" i="4"/>
  <c r="Q29" i="4"/>
  <c r="N29" i="4"/>
  <c r="P29" i="4"/>
  <c r="L29" i="4"/>
  <c r="M29" i="4"/>
  <c r="O28" i="4"/>
  <c r="Q28" i="4"/>
  <c r="N28" i="4"/>
  <c r="P28" i="4"/>
  <c r="L28" i="4"/>
  <c r="M28" i="4"/>
  <c r="O27" i="4"/>
  <c r="Q27" i="4"/>
  <c r="N27" i="4"/>
  <c r="P27" i="4"/>
  <c r="L27" i="4"/>
  <c r="M27" i="4"/>
  <c r="O26" i="4"/>
  <c r="Q26" i="4"/>
  <c r="N26" i="4"/>
  <c r="P26" i="4"/>
  <c r="L26" i="4"/>
  <c r="M26" i="4"/>
  <c r="O25" i="4"/>
  <c r="Q25" i="4"/>
  <c r="N25" i="4"/>
  <c r="P25" i="4"/>
  <c r="L25" i="4"/>
  <c r="M25" i="4"/>
  <c r="O24" i="4"/>
  <c r="Q24" i="4"/>
  <c r="N24" i="4"/>
  <c r="P24" i="4"/>
  <c r="L24" i="4"/>
  <c r="M24" i="4"/>
  <c r="O23" i="4"/>
  <c r="Q23" i="4"/>
  <c r="N23" i="4"/>
  <c r="P23" i="4"/>
  <c r="L23" i="4"/>
  <c r="M23" i="4"/>
  <c r="O22" i="4"/>
  <c r="Q22" i="4"/>
  <c r="N22" i="4"/>
  <c r="P22" i="4"/>
  <c r="L22" i="4"/>
  <c r="M22" i="4"/>
  <c r="O21" i="4"/>
  <c r="Q21" i="4"/>
  <c r="N21" i="4"/>
  <c r="P21" i="4"/>
  <c r="L21" i="4"/>
  <c r="M21" i="4"/>
  <c r="O20" i="4"/>
  <c r="Q20" i="4"/>
  <c r="N20" i="4"/>
  <c r="P20" i="4"/>
  <c r="L20" i="4"/>
  <c r="M20" i="4"/>
  <c r="O19" i="4"/>
  <c r="Q19" i="4"/>
  <c r="N19" i="4"/>
  <c r="P19" i="4"/>
  <c r="L19" i="4"/>
  <c r="M19" i="4"/>
  <c r="O18" i="4"/>
  <c r="Q18" i="4"/>
  <c r="N18" i="4"/>
  <c r="P18" i="4"/>
  <c r="L18" i="4"/>
  <c r="M18" i="4"/>
  <c r="O17" i="4"/>
  <c r="Q17" i="4"/>
  <c r="N17" i="4"/>
  <c r="P17" i="4"/>
  <c r="L17" i="4"/>
  <c r="M17" i="4"/>
  <c r="O16" i="4"/>
  <c r="Q16" i="4"/>
  <c r="N16" i="4"/>
  <c r="P16" i="4"/>
  <c r="L16" i="4"/>
  <c r="M16" i="4"/>
  <c r="O15" i="4"/>
  <c r="Q15" i="4"/>
  <c r="N15" i="4"/>
  <c r="P15" i="4"/>
  <c r="L15" i="4"/>
  <c r="M15" i="4"/>
  <c r="O14" i="4"/>
  <c r="Q14" i="4"/>
  <c r="N14" i="4"/>
  <c r="P14" i="4"/>
  <c r="L14" i="4"/>
  <c r="M14" i="4"/>
  <c r="O13" i="4"/>
  <c r="Q13" i="4"/>
  <c r="N13" i="4"/>
  <c r="P13" i="4"/>
  <c r="L13" i="4"/>
  <c r="M13" i="4"/>
  <c r="O12" i="4"/>
  <c r="Q12" i="4"/>
  <c r="N12" i="4"/>
  <c r="P12" i="4"/>
  <c r="L12" i="4"/>
  <c r="M12" i="4"/>
  <c r="O11" i="4"/>
  <c r="Q11" i="4"/>
  <c r="N11" i="4"/>
  <c r="P11" i="4"/>
  <c r="L11" i="4"/>
  <c r="M11" i="4"/>
  <c r="O10" i="4"/>
  <c r="Q10" i="4"/>
  <c r="N10" i="4"/>
  <c r="P10" i="4"/>
  <c r="L10" i="4"/>
  <c r="M10" i="4"/>
  <c r="O9" i="4"/>
  <c r="Q9" i="4"/>
  <c r="N9" i="4"/>
  <c r="P9" i="4"/>
  <c r="L9" i="4"/>
  <c r="M9" i="4"/>
  <c r="O8" i="4"/>
  <c r="Q8" i="4"/>
  <c r="N8" i="4"/>
  <c r="P8" i="4"/>
  <c r="L8" i="4"/>
  <c r="M8" i="4"/>
  <c r="O7" i="4"/>
  <c r="Q7" i="4"/>
  <c r="N7" i="4"/>
  <c r="P7" i="4"/>
  <c r="L7" i="4"/>
  <c r="M7" i="4"/>
  <c r="O6" i="4"/>
  <c r="Q6" i="4"/>
  <c r="N6" i="4"/>
  <c r="P6" i="4"/>
  <c r="L6" i="4"/>
  <c r="M6" i="4"/>
  <c r="O5" i="4"/>
  <c r="Q5" i="4"/>
  <c r="N5" i="4"/>
  <c r="P5" i="4"/>
  <c r="L5" i="4"/>
  <c r="M5" i="4"/>
  <c r="O4" i="4"/>
  <c r="Q4" i="4"/>
  <c r="N4" i="4"/>
  <c r="P4" i="4"/>
  <c r="L4" i="4"/>
  <c r="M4" i="4"/>
  <c r="O3" i="4"/>
  <c r="Q3" i="4"/>
  <c r="N3" i="4"/>
  <c r="P3" i="4"/>
  <c r="L3" i="4"/>
  <c r="M3" i="4"/>
  <c r="O2" i="4"/>
  <c r="Q2" i="4"/>
  <c r="N2" i="4"/>
  <c r="P2" i="4"/>
  <c r="L2" i="4"/>
  <c r="M2" i="4"/>
  <c r="AW1192" i="3"/>
  <c r="AK1192" i="3"/>
  <c r="AN1192" i="3"/>
  <c r="AM1192" i="3"/>
  <c r="AL1192" i="3"/>
  <c r="AJ1192" i="3"/>
  <c r="AG1192" i="3"/>
  <c r="W1192" i="3"/>
  <c r="F1192" i="3"/>
  <c r="AW1191" i="3"/>
  <c r="AK1191" i="3"/>
  <c r="AN1191" i="3"/>
  <c r="AM1191" i="3"/>
  <c r="AL1191" i="3"/>
  <c r="W1191" i="3"/>
  <c r="AJ1191" i="3"/>
  <c r="AG1191" i="3"/>
  <c r="F1191" i="3"/>
  <c r="AW1190" i="3"/>
  <c r="AK1190" i="3"/>
  <c r="AN1190" i="3"/>
  <c r="AM1190" i="3"/>
  <c r="AL1190" i="3"/>
  <c r="AJ1190" i="3"/>
  <c r="AG1190" i="3"/>
  <c r="W1190" i="3"/>
  <c r="F1190" i="3"/>
  <c r="AW1189" i="3"/>
  <c r="AK1189" i="3"/>
  <c r="AN1189" i="3"/>
  <c r="AM1189" i="3"/>
  <c r="AL1189" i="3"/>
  <c r="AJ1189" i="3"/>
  <c r="AG1189" i="3"/>
  <c r="W1189" i="3"/>
  <c r="F1189" i="3"/>
  <c r="AW1188" i="3"/>
  <c r="AK1188" i="3"/>
  <c r="AN1188" i="3"/>
  <c r="AM1188" i="3"/>
  <c r="AL1188" i="3"/>
  <c r="AJ1188" i="3"/>
  <c r="AG1188" i="3"/>
  <c r="W1188" i="3"/>
  <c r="F1188" i="3"/>
  <c r="AW1187" i="3"/>
  <c r="AK1187" i="3"/>
  <c r="AN1187" i="3"/>
  <c r="AM1187" i="3"/>
  <c r="AL1187" i="3"/>
  <c r="AJ1187" i="3"/>
  <c r="AG1187" i="3"/>
  <c r="W1187" i="3"/>
  <c r="F1187" i="3"/>
  <c r="AW1186" i="3"/>
  <c r="AK1186" i="3"/>
  <c r="AN1186" i="3"/>
  <c r="AM1186" i="3"/>
  <c r="AL1186" i="3"/>
  <c r="AJ1186" i="3"/>
  <c r="AG1186" i="3"/>
  <c r="W1186" i="3"/>
  <c r="F1186" i="3"/>
  <c r="AW1185" i="3"/>
  <c r="AK1185" i="3"/>
  <c r="AN1185" i="3"/>
  <c r="AM1185" i="3"/>
  <c r="AL1185" i="3"/>
  <c r="AJ1185" i="3"/>
  <c r="AG1185" i="3"/>
  <c r="W1185" i="3"/>
  <c r="F1185" i="3"/>
  <c r="AW1184" i="3"/>
  <c r="AK1184" i="3"/>
  <c r="AN1184" i="3"/>
  <c r="AM1184" i="3"/>
  <c r="AL1184" i="3"/>
  <c r="AJ1184" i="3"/>
  <c r="AG1184" i="3"/>
  <c r="W1184" i="3"/>
  <c r="F1184" i="3"/>
  <c r="AW1183" i="3"/>
  <c r="AK1183" i="3"/>
  <c r="AN1183" i="3"/>
  <c r="AM1183" i="3"/>
  <c r="AL1183" i="3"/>
  <c r="AJ1183" i="3"/>
  <c r="AG1183" i="3"/>
  <c r="W1183" i="3"/>
  <c r="F1183" i="3"/>
  <c r="AW1182" i="3"/>
  <c r="AK1182" i="3"/>
  <c r="AN1182" i="3"/>
  <c r="AM1182" i="3"/>
  <c r="AL1182" i="3"/>
  <c r="W1182" i="3"/>
  <c r="AJ1182" i="3"/>
  <c r="AG1182" i="3"/>
  <c r="F1182" i="3"/>
  <c r="AW1181" i="3"/>
  <c r="AK1181" i="3"/>
  <c r="AN1181" i="3"/>
  <c r="AM1181" i="3"/>
  <c r="AL1181" i="3"/>
  <c r="W1181" i="3"/>
  <c r="AJ1181" i="3"/>
  <c r="AG1181" i="3"/>
  <c r="F1181" i="3"/>
  <c r="AW1180" i="3"/>
  <c r="AK1180" i="3"/>
  <c r="AN1180" i="3"/>
  <c r="AM1180" i="3"/>
  <c r="AL1180" i="3"/>
  <c r="W1180" i="3"/>
  <c r="AJ1180" i="3"/>
  <c r="AG1180" i="3"/>
  <c r="F1180" i="3"/>
  <c r="AW1179" i="3"/>
  <c r="AK1179" i="3"/>
  <c r="AN1179" i="3"/>
  <c r="AM1179" i="3"/>
  <c r="AL1179" i="3"/>
  <c r="AJ1179" i="3"/>
  <c r="AG1179" i="3"/>
  <c r="W1179" i="3"/>
  <c r="F1179" i="3"/>
  <c r="AW1178" i="3"/>
  <c r="AK1178" i="3"/>
  <c r="AN1178" i="3"/>
  <c r="AM1178" i="3"/>
  <c r="AL1178" i="3"/>
  <c r="AJ1178" i="3"/>
  <c r="AG1178" i="3"/>
  <c r="W1178" i="3"/>
  <c r="F1178" i="3"/>
  <c r="AW1177" i="3"/>
  <c r="AK1177" i="3"/>
  <c r="AN1177" i="3"/>
  <c r="AM1177" i="3"/>
  <c r="AL1177" i="3"/>
  <c r="AJ1177" i="3"/>
  <c r="AG1177" i="3"/>
  <c r="W1177" i="3"/>
  <c r="F1177" i="3"/>
  <c r="AW1176" i="3"/>
  <c r="AK1176" i="3"/>
  <c r="AN1176" i="3"/>
  <c r="AM1176" i="3"/>
  <c r="AL1176" i="3"/>
  <c r="AJ1176" i="3"/>
  <c r="AG1176" i="3"/>
  <c r="W1176" i="3"/>
  <c r="F1176" i="3"/>
  <c r="AW1175" i="3"/>
  <c r="AK1175" i="3"/>
  <c r="AN1175" i="3"/>
  <c r="AM1175" i="3"/>
  <c r="AL1175" i="3"/>
  <c r="AJ1175" i="3"/>
  <c r="AG1175" i="3"/>
  <c r="W1175" i="3"/>
  <c r="F1175" i="3"/>
  <c r="AW1174" i="3"/>
  <c r="AK1174" i="3"/>
  <c r="AN1174" i="3"/>
  <c r="AM1174" i="3"/>
  <c r="AL1174" i="3"/>
  <c r="AJ1174" i="3"/>
  <c r="AG1174" i="3"/>
  <c r="W1174" i="3"/>
  <c r="F1174" i="3"/>
  <c r="AW1173" i="3"/>
  <c r="AK1173" i="3"/>
  <c r="AN1173" i="3"/>
  <c r="AM1173" i="3"/>
  <c r="AL1173" i="3"/>
  <c r="AJ1173" i="3"/>
  <c r="AG1173" i="3"/>
  <c r="W1173" i="3"/>
  <c r="F1173" i="3"/>
  <c r="AW1172" i="3"/>
  <c r="AK1172" i="3"/>
  <c r="AN1172" i="3"/>
  <c r="AM1172" i="3"/>
  <c r="AL1172" i="3"/>
  <c r="AJ1172" i="3"/>
  <c r="AG1172" i="3"/>
  <c r="W1172" i="3"/>
  <c r="F1172" i="3"/>
  <c r="AW1171" i="3"/>
  <c r="AK1171" i="3"/>
  <c r="AN1171" i="3"/>
  <c r="AM1171" i="3"/>
  <c r="AL1171" i="3"/>
  <c r="W1171" i="3"/>
  <c r="AJ1171" i="3"/>
  <c r="AG1171" i="3"/>
  <c r="F1171" i="3"/>
  <c r="AW1170" i="3"/>
  <c r="AK1170" i="3"/>
  <c r="AN1170" i="3"/>
  <c r="AM1170" i="3"/>
  <c r="AL1170" i="3"/>
  <c r="AJ1170" i="3"/>
  <c r="AG1170" i="3"/>
  <c r="W1170" i="3"/>
  <c r="F1170" i="3"/>
  <c r="AW1169" i="3"/>
  <c r="AK1169" i="3"/>
  <c r="AN1169" i="3"/>
  <c r="AM1169" i="3"/>
  <c r="AL1169" i="3"/>
  <c r="AJ1169" i="3"/>
  <c r="AG1169" i="3"/>
  <c r="W1169" i="3"/>
  <c r="F1169" i="3"/>
  <c r="AW1168" i="3"/>
  <c r="AK1168" i="3"/>
  <c r="AN1168" i="3"/>
  <c r="AM1168" i="3"/>
  <c r="AL1168" i="3"/>
  <c r="AJ1168" i="3"/>
  <c r="AG1168" i="3"/>
  <c r="W1168" i="3"/>
  <c r="F1168" i="3"/>
  <c r="AW1167" i="3"/>
  <c r="AK1167" i="3"/>
  <c r="AN1167" i="3"/>
  <c r="AM1167" i="3"/>
  <c r="AL1167" i="3"/>
  <c r="AJ1167" i="3"/>
  <c r="AG1167" i="3"/>
  <c r="W1167" i="3"/>
  <c r="F1167" i="3"/>
  <c r="AW1166" i="3"/>
  <c r="AK1166" i="3"/>
  <c r="AN1166" i="3"/>
  <c r="AM1166" i="3"/>
  <c r="AL1166" i="3"/>
  <c r="AJ1166" i="3"/>
  <c r="AG1166" i="3"/>
  <c r="W1166" i="3"/>
  <c r="F1166" i="3"/>
  <c r="AW1165" i="3"/>
  <c r="AK1165" i="3"/>
  <c r="AN1165" i="3"/>
  <c r="AM1165" i="3"/>
  <c r="AL1165" i="3"/>
  <c r="AJ1165" i="3"/>
  <c r="AG1165" i="3"/>
  <c r="W1165" i="3"/>
  <c r="F1165" i="3"/>
  <c r="AW1164" i="3"/>
  <c r="AK1164" i="3"/>
  <c r="AN1164" i="3"/>
  <c r="AM1164" i="3"/>
  <c r="AL1164" i="3"/>
  <c r="W1164" i="3"/>
  <c r="AJ1164" i="3"/>
  <c r="AG1164" i="3"/>
  <c r="F1164" i="3"/>
  <c r="AW1163" i="3"/>
  <c r="AK1163" i="3"/>
  <c r="AN1163" i="3"/>
  <c r="AM1163" i="3"/>
  <c r="AL1163" i="3"/>
  <c r="AJ1163" i="3"/>
  <c r="AG1163" i="3"/>
  <c r="W1163" i="3"/>
  <c r="F1163" i="3"/>
  <c r="AW1162" i="3"/>
  <c r="AK1162" i="3"/>
  <c r="AN1162" i="3"/>
  <c r="AM1162" i="3"/>
  <c r="AL1162" i="3"/>
  <c r="AJ1162" i="3"/>
  <c r="AG1162" i="3"/>
  <c r="W1162" i="3"/>
  <c r="F1162" i="3"/>
  <c r="AW1161" i="3"/>
  <c r="AK1161" i="3"/>
  <c r="AN1161" i="3"/>
  <c r="AM1161" i="3"/>
  <c r="AL1161" i="3"/>
  <c r="AJ1161" i="3"/>
  <c r="AG1161" i="3"/>
  <c r="W1161" i="3"/>
  <c r="F1161" i="3"/>
  <c r="AW1160" i="3"/>
  <c r="AK1160" i="3"/>
  <c r="AN1160" i="3"/>
  <c r="AM1160" i="3"/>
  <c r="AL1160" i="3"/>
  <c r="AJ1160" i="3"/>
  <c r="AG1160" i="3"/>
  <c r="W1160" i="3"/>
  <c r="F1160" i="3"/>
  <c r="AW1159" i="3"/>
  <c r="AK1159" i="3"/>
  <c r="AN1159" i="3"/>
  <c r="AM1159" i="3"/>
  <c r="AL1159" i="3"/>
  <c r="W1159" i="3"/>
  <c r="AJ1159" i="3"/>
  <c r="AG1159" i="3"/>
  <c r="F1159" i="3"/>
  <c r="AW1158" i="3"/>
  <c r="AK1158" i="3"/>
  <c r="AN1158" i="3"/>
  <c r="AM1158" i="3"/>
  <c r="AL1158" i="3"/>
  <c r="AJ1158" i="3"/>
  <c r="AG1158" i="3"/>
  <c r="W1158" i="3"/>
  <c r="F1158" i="3"/>
  <c r="AW1157" i="3"/>
  <c r="AK1157" i="3"/>
  <c r="AN1157" i="3"/>
  <c r="AM1157" i="3"/>
  <c r="AL1157" i="3"/>
  <c r="AJ1157" i="3"/>
  <c r="AG1157" i="3"/>
  <c r="W1157" i="3"/>
  <c r="F1157" i="3"/>
  <c r="AW1156" i="3"/>
  <c r="AK1156" i="3"/>
  <c r="AN1156" i="3"/>
  <c r="AM1156" i="3"/>
  <c r="AL1156" i="3"/>
  <c r="W1156" i="3"/>
  <c r="AJ1156" i="3"/>
  <c r="AG1156" i="3"/>
  <c r="F1156" i="3"/>
  <c r="AW1155" i="3"/>
  <c r="AK1155" i="3"/>
  <c r="AN1155" i="3"/>
  <c r="AM1155" i="3"/>
  <c r="AL1155" i="3"/>
  <c r="AJ1155" i="3"/>
  <c r="AG1155" i="3"/>
  <c r="W1155" i="3"/>
  <c r="F1155" i="3"/>
  <c r="AW1154" i="3"/>
  <c r="AK1154" i="3"/>
  <c r="AN1154" i="3"/>
  <c r="AM1154" i="3"/>
  <c r="AL1154" i="3"/>
  <c r="AJ1154" i="3"/>
  <c r="AG1154" i="3"/>
  <c r="W1154" i="3"/>
  <c r="F1154" i="3"/>
  <c r="AW1153" i="3"/>
  <c r="AK1153" i="3"/>
  <c r="AN1153" i="3"/>
  <c r="AM1153" i="3"/>
  <c r="AL1153" i="3"/>
  <c r="AJ1153" i="3"/>
  <c r="AG1153" i="3"/>
  <c r="W1153" i="3"/>
  <c r="F1153" i="3"/>
  <c r="AW1152" i="3"/>
  <c r="AK1152" i="3"/>
  <c r="AN1152" i="3"/>
  <c r="AM1152" i="3"/>
  <c r="AL1152" i="3"/>
  <c r="W1152" i="3"/>
  <c r="AJ1152" i="3"/>
  <c r="AG1152" i="3"/>
  <c r="F1152" i="3"/>
  <c r="AW1151" i="3"/>
  <c r="AK1151" i="3"/>
  <c r="AN1151" i="3"/>
  <c r="AM1151" i="3"/>
  <c r="AL1151" i="3"/>
  <c r="AJ1151" i="3"/>
  <c r="AG1151" i="3"/>
  <c r="W1151" i="3"/>
  <c r="F1151" i="3"/>
  <c r="AW1150" i="3"/>
  <c r="AK1150" i="3"/>
  <c r="AN1150" i="3"/>
  <c r="AM1150" i="3"/>
  <c r="AL1150" i="3"/>
  <c r="AJ1150" i="3"/>
  <c r="AG1150" i="3"/>
  <c r="W1150" i="3"/>
  <c r="F1150" i="3"/>
  <c r="AW1149" i="3"/>
  <c r="AK1149" i="3"/>
  <c r="AN1149" i="3"/>
  <c r="AM1149" i="3"/>
  <c r="AL1149" i="3"/>
  <c r="W1149" i="3"/>
  <c r="AJ1149" i="3"/>
  <c r="AG1149" i="3"/>
  <c r="F1149" i="3"/>
  <c r="AW1148" i="3"/>
  <c r="AK1148" i="3"/>
  <c r="AN1148" i="3"/>
  <c r="AM1148" i="3"/>
  <c r="AL1148" i="3"/>
  <c r="AJ1148" i="3"/>
  <c r="AG1148" i="3"/>
  <c r="W1148" i="3"/>
  <c r="F1148" i="3"/>
  <c r="AW1147" i="3"/>
  <c r="AK1147" i="3"/>
  <c r="AN1147" i="3"/>
  <c r="AM1147" i="3"/>
  <c r="AL1147" i="3"/>
  <c r="AJ1147" i="3"/>
  <c r="AG1147" i="3"/>
  <c r="W1147" i="3"/>
  <c r="F1147" i="3"/>
  <c r="AW1146" i="3"/>
  <c r="AK1146" i="3"/>
  <c r="AN1146" i="3"/>
  <c r="AM1146" i="3"/>
  <c r="AL1146" i="3"/>
  <c r="AJ1146" i="3"/>
  <c r="AG1146" i="3"/>
  <c r="W1146" i="3"/>
  <c r="F1146" i="3"/>
  <c r="AW1145" i="3"/>
  <c r="AK1145" i="3"/>
  <c r="AN1145" i="3"/>
  <c r="AM1145" i="3"/>
  <c r="AL1145" i="3"/>
  <c r="AJ1145" i="3"/>
  <c r="AG1145" i="3"/>
  <c r="W1145" i="3"/>
  <c r="F1145" i="3"/>
  <c r="AW1144" i="3"/>
  <c r="AK1144" i="3"/>
  <c r="AN1144" i="3"/>
  <c r="AM1144" i="3"/>
  <c r="AL1144" i="3"/>
  <c r="AJ1144" i="3"/>
  <c r="AG1144" i="3"/>
  <c r="W1144" i="3"/>
  <c r="F1144" i="3"/>
  <c r="AW1143" i="3"/>
  <c r="AK1143" i="3"/>
  <c r="AN1143" i="3"/>
  <c r="AM1143" i="3"/>
  <c r="AL1143" i="3"/>
  <c r="AJ1143" i="3"/>
  <c r="AG1143" i="3"/>
  <c r="W1143" i="3"/>
  <c r="F1143" i="3"/>
  <c r="AW1142" i="3"/>
  <c r="AK1142" i="3"/>
  <c r="AN1142" i="3"/>
  <c r="AM1142" i="3"/>
  <c r="AL1142" i="3"/>
  <c r="AJ1142" i="3"/>
  <c r="AG1142" i="3"/>
  <c r="W1142" i="3"/>
  <c r="F1142" i="3"/>
  <c r="AW1141" i="3"/>
  <c r="AK1141" i="3"/>
  <c r="AN1141" i="3"/>
  <c r="AM1141" i="3"/>
  <c r="AL1141" i="3"/>
  <c r="AJ1141" i="3"/>
  <c r="AG1141" i="3"/>
  <c r="W1141" i="3"/>
  <c r="F1141" i="3"/>
  <c r="AW1140" i="3"/>
  <c r="AK1140" i="3"/>
  <c r="AN1140" i="3"/>
  <c r="AM1140" i="3"/>
  <c r="AL1140" i="3"/>
  <c r="W1140" i="3"/>
  <c r="AJ1140" i="3"/>
  <c r="AG1140" i="3"/>
  <c r="F1140" i="3"/>
  <c r="AW1139" i="3"/>
  <c r="AK1139" i="3"/>
  <c r="AN1139" i="3"/>
  <c r="AM1139" i="3"/>
  <c r="AL1139" i="3"/>
  <c r="W1139" i="3"/>
  <c r="AJ1139" i="3"/>
  <c r="AG1139" i="3"/>
  <c r="F1139" i="3"/>
  <c r="AW1138" i="3"/>
  <c r="AK1138" i="3"/>
  <c r="AN1138" i="3"/>
  <c r="AM1138" i="3"/>
  <c r="AL1138" i="3"/>
  <c r="W1138" i="3"/>
  <c r="AJ1138" i="3"/>
  <c r="AG1138" i="3"/>
  <c r="F1138" i="3"/>
  <c r="AW1137" i="3"/>
  <c r="AK1137" i="3"/>
  <c r="AN1137" i="3"/>
  <c r="AM1137" i="3"/>
  <c r="AL1137" i="3"/>
  <c r="W1137" i="3"/>
  <c r="AJ1137" i="3"/>
  <c r="AG1137" i="3"/>
  <c r="F1137" i="3"/>
  <c r="AW1136" i="3"/>
  <c r="AK1136" i="3"/>
  <c r="AN1136" i="3"/>
  <c r="AM1136" i="3"/>
  <c r="AL1136" i="3"/>
  <c r="W1136" i="3"/>
  <c r="AJ1136" i="3"/>
  <c r="AG1136" i="3"/>
  <c r="F1136" i="3"/>
  <c r="AW1135" i="3"/>
  <c r="AK1135" i="3"/>
  <c r="AN1135" i="3"/>
  <c r="AM1135" i="3"/>
  <c r="AL1135" i="3"/>
  <c r="AJ1135" i="3"/>
  <c r="AG1135" i="3"/>
  <c r="W1135" i="3"/>
  <c r="F1135" i="3"/>
  <c r="AW1134" i="3"/>
  <c r="AK1134" i="3"/>
  <c r="AN1134" i="3"/>
  <c r="AM1134" i="3"/>
  <c r="AL1134" i="3"/>
  <c r="W1134" i="3"/>
  <c r="AJ1134" i="3"/>
  <c r="AG1134" i="3"/>
  <c r="F1134" i="3"/>
  <c r="AW1133" i="3"/>
  <c r="AK1133" i="3"/>
  <c r="AN1133" i="3"/>
  <c r="AM1133" i="3"/>
  <c r="AL1133" i="3"/>
  <c r="AJ1133" i="3"/>
  <c r="AG1133" i="3"/>
  <c r="W1133" i="3"/>
  <c r="F1133" i="3"/>
  <c r="AW1132" i="3"/>
  <c r="AK1132" i="3"/>
  <c r="AN1132" i="3"/>
  <c r="AM1132" i="3"/>
  <c r="AL1132" i="3"/>
  <c r="AJ1132" i="3"/>
  <c r="AG1132" i="3"/>
  <c r="W1132" i="3"/>
  <c r="F1132" i="3"/>
  <c r="AW1131" i="3"/>
  <c r="AK1131" i="3"/>
  <c r="AN1131" i="3"/>
  <c r="AM1131" i="3"/>
  <c r="AL1131" i="3"/>
  <c r="AJ1131" i="3"/>
  <c r="AG1131" i="3"/>
  <c r="W1131" i="3"/>
  <c r="F1131" i="3"/>
  <c r="AW1130" i="3"/>
  <c r="AK1130" i="3"/>
  <c r="AN1130" i="3"/>
  <c r="AM1130" i="3"/>
  <c r="AL1130" i="3"/>
  <c r="AJ1130" i="3"/>
  <c r="AG1130" i="3"/>
  <c r="W1130" i="3"/>
  <c r="F1130" i="3"/>
  <c r="AW1129" i="3"/>
  <c r="AK1129" i="3"/>
  <c r="AN1129" i="3"/>
  <c r="AM1129" i="3"/>
  <c r="AL1129" i="3"/>
  <c r="AJ1129" i="3"/>
  <c r="AG1129" i="3"/>
  <c r="W1129" i="3"/>
  <c r="F1129" i="3"/>
  <c r="AW1128" i="3"/>
  <c r="AK1128" i="3"/>
  <c r="AN1128" i="3"/>
  <c r="AM1128" i="3"/>
  <c r="AL1128" i="3"/>
  <c r="AJ1128" i="3"/>
  <c r="AG1128" i="3"/>
  <c r="W1128" i="3"/>
  <c r="F1128" i="3"/>
  <c r="AW1127" i="3"/>
  <c r="AK1127" i="3"/>
  <c r="AN1127" i="3"/>
  <c r="AM1127" i="3"/>
  <c r="AL1127" i="3"/>
  <c r="AJ1127" i="3"/>
  <c r="AG1127" i="3"/>
  <c r="W1127" i="3"/>
  <c r="F1127" i="3"/>
  <c r="AW1126" i="3"/>
  <c r="AK1126" i="3"/>
  <c r="AN1126" i="3"/>
  <c r="AM1126" i="3"/>
  <c r="AL1126" i="3"/>
  <c r="AJ1126" i="3"/>
  <c r="AG1126" i="3"/>
  <c r="W1126" i="3"/>
  <c r="F1126" i="3"/>
  <c r="AW1125" i="3"/>
  <c r="AK1125" i="3"/>
  <c r="AN1125" i="3"/>
  <c r="AM1125" i="3"/>
  <c r="AL1125" i="3"/>
  <c r="W1125" i="3"/>
  <c r="AJ1125" i="3"/>
  <c r="AG1125" i="3"/>
  <c r="F1125" i="3"/>
  <c r="AW1124" i="3"/>
  <c r="AK1124" i="3"/>
  <c r="AN1124" i="3"/>
  <c r="AM1124" i="3"/>
  <c r="AL1124" i="3"/>
  <c r="AJ1124" i="3"/>
  <c r="AG1124" i="3"/>
  <c r="W1124" i="3"/>
  <c r="F1124" i="3"/>
  <c r="AW1123" i="3"/>
  <c r="AK1123" i="3"/>
  <c r="AN1123" i="3"/>
  <c r="AM1123" i="3"/>
  <c r="AL1123" i="3"/>
  <c r="AJ1123" i="3"/>
  <c r="AG1123" i="3"/>
  <c r="W1123" i="3"/>
  <c r="F1123" i="3"/>
  <c r="AW1122" i="3"/>
  <c r="AK1122" i="3"/>
  <c r="AN1122" i="3"/>
  <c r="AM1122" i="3"/>
  <c r="AL1122" i="3"/>
  <c r="AJ1122" i="3"/>
  <c r="AG1122" i="3"/>
  <c r="W1122" i="3"/>
  <c r="F1122" i="3"/>
  <c r="AW1121" i="3"/>
  <c r="AK1121" i="3"/>
  <c r="AN1121" i="3"/>
  <c r="AM1121" i="3"/>
  <c r="AL1121" i="3"/>
  <c r="AJ1121" i="3"/>
  <c r="AG1121" i="3"/>
  <c r="W1121" i="3"/>
  <c r="F1121" i="3"/>
  <c r="AW1120" i="3"/>
  <c r="AK1120" i="3"/>
  <c r="AN1120" i="3"/>
  <c r="AM1120" i="3"/>
  <c r="AL1120" i="3"/>
  <c r="AJ1120" i="3"/>
  <c r="AG1120" i="3"/>
  <c r="W1120" i="3"/>
  <c r="F1120" i="3"/>
  <c r="AW1119" i="3"/>
  <c r="AK1119" i="3"/>
  <c r="AN1119" i="3"/>
  <c r="AM1119" i="3"/>
  <c r="AL1119" i="3"/>
  <c r="AJ1119" i="3"/>
  <c r="AG1119" i="3"/>
  <c r="W1119" i="3"/>
  <c r="F1119" i="3"/>
  <c r="AW1118" i="3"/>
  <c r="AK1118" i="3"/>
  <c r="AN1118" i="3"/>
  <c r="AM1118" i="3"/>
  <c r="AL1118" i="3"/>
  <c r="AJ1118" i="3"/>
  <c r="AG1118" i="3"/>
  <c r="W1118" i="3"/>
  <c r="F1118" i="3"/>
  <c r="AW1117" i="3"/>
  <c r="AK1117" i="3"/>
  <c r="AN1117" i="3"/>
  <c r="AM1117" i="3"/>
  <c r="AL1117" i="3"/>
  <c r="AJ1117" i="3"/>
  <c r="AG1117" i="3"/>
  <c r="W1117" i="3"/>
  <c r="F1117" i="3"/>
  <c r="AW1116" i="3"/>
  <c r="AK1116" i="3"/>
  <c r="AN1116" i="3"/>
  <c r="AM1116" i="3"/>
  <c r="AL1116" i="3"/>
  <c r="AJ1116" i="3"/>
  <c r="AG1116" i="3"/>
  <c r="W1116" i="3"/>
  <c r="F1116" i="3"/>
  <c r="AW1115" i="3"/>
  <c r="AK1115" i="3"/>
  <c r="AN1115" i="3"/>
  <c r="AM1115" i="3"/>
  <c r="AL1115" i="3"/>
  <c r="AJ1115" i="3"/>
  <c r="AG1115" i="3"/>
  <c r="W1115" i="3"/>
  <c r="F1115" i="3"/>
  <c r="AW1114" i="3"/>
  <c r="AK1114" i="3"/>
  <c r="AN1114" i="3"/>
  <c r="AM1114" i="3"/>
  <c r="AL1114" i="3"/>
  <c r="AJ1114" i="3"/>
  <c r="AG1114" i="3"/>
  <c r="W1114" i="3"/>
  <c r="F1114" i="3"/>
  <c r="AW1113" i="3"/>
  <c r="AK1113" i="3"/>
  <c r="AN1113" i="3"/>
  <c r="AM1113" i="3"/>
  <c r="AL1113" i="3"/>
  <c r="AJ1113" i="3"/>
  <c r="AG1113" i="3"/>
  <c r="W1113" i="3"/>
  <c r="F1113" i="3"/>
  <c r="AW1112" i="3"/>
  <c r="AK1112" i="3"/>
  <c r="AN1112" i="3"/>
  <c r="AM1112" i="3"/>
  <c r="AL1112" i="3"/>
  <c r="AJ1112" i="3"/>
  <c r="AG1112" i="3"/>
  <c r="W1112" i="3"/>
  <c r="F1112" i="3"/>
  <c r="AW1111" i="3"/>
  <c r="AK1111" i="3"/>
  <c r="AN1111" i="3"/>
  <c r="AM1111" i="3"/>
  <c r="AL1111" i="3"/>
  <c r="AJ1111" i="3"/>
  <c r="AG1111" i="3"/>
  <c r="W1111" i="3"/>
  <c r="F1111" i="3"/>
  <c r="AW1110" i="3"/>
  <c r="AK1110" i="3"/>
  <c r="AN1110" i="3"/>
  <c r="AM1110" i="3"/>
  <c r="AL1110" i="3"/>
  <c r="AJ1110" i="3"/>
  <c r="AG1110" i="3"/>
  <c r="W1110" i="3"/>
  <c r="F1110" i="3"/>
  <c r="AW1109" i="3"/>
  <c r="AK1109" i="3"/>
  <c r="AN1109" i="3"/>
  <c r="AM1109" i="3"/>
  <c r="AL1109" i="3"/>
  <c r="AJ1109" i="3"/>
  <c r="AG1109" i="3"/>
  <c r="W1109" i="3"/>
  <c r="F1109" i="3"/>
  <c r="AW1108" i="3"/>
  <c r="AK1108" i="3"/>
  <c r="AN1108" i="3"/>
  <c r="AM1108" i="3"/>
  <c r="AL1108" i="3"/>
  <c r="W1108" i="3"/>
  <c r="AJ1108" i="3"/>
  <c r="AG1108" i="3"/>
  <c r="F1108" i="3"/>
  <c r="AW1107" i="3"/>
  <c r="AK1107" i="3"/>
  <c r="AN1107" i="3"/>
  <c r="AM1107" i="3"/>
  <c r="AL1107" i="3"/>
  <c r="AJ1107" i="3"/>
  <c r="AG1107" i="3"/>
  <c r="W1107" i="3"/>
  <c r="F1107" i="3"/>
  <c r="AW1106" i="3"/>
  <c r="AK1106" i="3"/>
  <c r="AN1106" i="3"/>
  <c r="AM1106" i="3"/>
  <c r="AL1106" i="3"/>
  <c r="AJ1106" i="3"/>
  <c r="AG1106" i="3"/>
  <c r="W1106" i="3"/>
  <c r="F1106" i="3"/>
  <c r="AW1105" i="3"/>
  <c r="AK1105" i="3"/>
  <c r="AN1105" i="3"/>
  <c r="AM1105" i="3"/>
  <c r="AL1105" i="3"/>
  <c r="AJ1105" i="3"/>
  <c r="AG1105" i="3"/>
  <c r="W1105" i="3"/>
  <c r="F1105" i="3"/>
  <c r="AW1104" i="3"/>
  <c r="AK1104" i="3"/>
  <c r="AN1104" i="3"/>
  <c r="AM1104" i="3"/>
  <c r="AL1104" i="3"/>
  <c r="AJ1104" i="3"/>
  <c r="AG1104" i="3"/>
  <c r="W1104" i="3"/>
  <c r="F1104" i="3"/>
  <c r="AW1103" i="3"/>
  <c r="AK1103" i="3"/>
  <c r="AN1103" i="3"/>
  <c r="AM1103" i="3"/>
  <c r="AL1103" i="3"/>
  <c r="AJ1103" i="3"/>
  <c r="AG1103" i="3"/>
  <c r="W1103" i="3"/>
  <c r="F1103" i="3"/>
  <c r="AW1102" i="3"/>
  <c r="AK1102" i="3"/>
  <c r="AN1102" i="3"/>
  <c r="AM1102" i="3"/>
  <c r="AL1102" i="3"/>
  <c r="AJ1102" i="3"/>
  <c r="AG1102" i="3"/>
  <c r="W1102" i="3"/>
  <c r="F1102" i="3"/>
  <c r="AW1101" i="3"/>
  <c r="AK1101" i="3"/>
  <c r="AN1101" i="3"/>
  <c r="AM1101" i="3"/>
  <c r="AL1101" i="3"/>
  <c r="AJ1101" i="3"/>
  <c r="AG1101" i="3"/>
  <c r="W1101" i="3"/>
  <c r="F1101" i="3"/>
  <c r="AW1100" i="3"/>
  <c r="AK1100" i="3"/>
  <c r="AN1100" i="3"/>
  <c r="AM1100" i="3"/>
  <c r="AL1100" i="3"/>
  <c r="AJ1100" i="3"/>
  <c r="AG1100" i="3"/>
  <c r="W1100" i="3"/>
  <c r="F1100" i="3"/>
  <c r="AW1099" i="3"/>
  <c r="AK1099" i="3"/>
  <c r="AN1099" i="3"/>
  <c r="AM1099" i="3"/>
  <c r="AL1099" i="3"/>
  <c r="AJ1099" i="3"/>
  <c r="AG1099" i="3"/>
  <c r="W1099" i="3"/>
  <c r="F1099" i="3"/>
  <c r="AW1098" i="3"/>
  <c r="AK1098" i="3"/>
  <c r="AN1098" i="3"/>
  <c r="AM1098" i="3"/>
  <c r="AL1098" i="3"/>
  <c r="AJ1098" i="3"/>
  <c r="AG1098" i="3"/>
  <c r="W1098" i="3"/>
  <c r="F1098" i="3"/>
  <c r="AW1097" i="3"/>
  <c r="AK1097" i="3"/>
  <c r="AN1097" i="3"/>
  <c r="AM1097" i="3"/>
  <c r="AL1097" i="3"/>
  <c r="AJ1097" i="3"/>
  <c r="AG1097" i="3"/>
  <c r="W1097" i="3"/>
  <c r="F1097" i="3"/>
  <c r="AW1096" i="3"/>
  <c r="AK1096" i="3"/>
  <c r="AN1096" i="3"/>
  <c r="AM1096" i="3"/>
  <c r="AL1096" i="3"/>
  <c r="AJ1096" i="3"/>
  <c r="AG1096" i="3"/>
  <c r="W1096" i="3"/>
  <c r="F1096" i="3"/>
  <c r="AW1095" i="3"/>
  <c r="AK1095" i="3"/>
  <c r="AN1095" i="3"/>
  <c r="AM1095" i="3"/>
  <c r="AL1095" i="3"/>
  <c r="AJ1095" i="3"/>
  <c r="AG1095" i="3"/>
  <c r="W1095" i="3"/>
  <c r="F1095" i="3"/>
  <c r="AW1094" i="3"/>
  <c r="AK1094" i="3"/>
  <c r="AN1094" i="3"/>
  <c r="AM1094" i="3"/>
  <c r="AL1094" i="3"/>
  <c r="AJ1094" i="3"/>
  <c r="AG1094" i="3"/>
  <c r="W1094" i="3"/>
  <c r="F1094" i="3"/>
  <c r="AW1093" i="3"/>
  <c r="AK1093" i="3"/>
  <c r="AN1093" i="3"/>
  <c r="AM1093" i="3"/>
  <c r="AL1093" i="3"/>
  <c r="AJ1093" i="3"/>
  <c r="AG1093" i="3"/>
  <c r="W1093" i="3"/>
  <c r="F1093" i="3"/>
  <c r="AW1092" i="3"/>
  <c r="AK1092" i="3"/>
  <c r="AN1092" i="3"/>
  <c r="AM1092" i="3"/>
  <c r="AL1092" i="3"/>
  <c r="AJ1092" i="3"/>
  <c r="AG1092" i="3"/>
  <c r="W1092" i="3"/>
  <c r="F1092" i="3"/>
  <c r="AW1091" i="3"/>
  <c r="AK1091" i="3"/>
  <c r="AN1091" i="3"/>
  <c r="AM1091" i="3"/>
  <c r="AL1091" i="3"/>
  <c r="AJ1091" i="3"/>
  <c r="AG1091" i="3"/>
  <c r="W1091" i="3"/>
  <c r="F1091" i="3"/>
  <c r="AW1090" i="3"/>
  <c r="AK1090" i="3"/>
  <c r="AN1090" i="3"/>
  <c r="AM1090" i="3"/>
  <c r="AL1090" i="3"/>
  <c r="AJ1090" i="3"/>
  <c r="AG1090" i="3"/>
  <c r="W1090" i="3"/>
  <c r="F1090" i="3"/>
  <c r="AW1089" i="3"/>
  <c r="AK1089" i="3"/>
  <c r="AN1089" i="3"/>
  <c r="AM1089" i="3"/>
  <c r="AL1089" i="3"/>
  <c r="AJ1089" i="3"/>
  <c r="AG1089" i="3"/>
  <c r="W1089" i="3"/>
  <c r="F1089" i="3"/>
  <c r="AW1088" i="3"/>
  <c r="AK1088" i="3"/>
  <c r="AN1088" i="3"/>
  <c r="AM1088" i="3"/>
  <c r="AL1088" i="3"/>
  <c r="AJ1088" i="3"/>
  <c r="AG1088" i="3"/>
  <c r="W1088" i="3"/>
  <c r="F1088" i="3"/>
  <c r="AW1087" i="3"/>
  <c r="AK1087" i="3"/>
  <c r="AN1087" i="3"/>
  <c r="AM1087" i="3"/>
  <c r="AL1087" i="3"/>
  <c r="AJ1087" i="3"/>
  <c r="AG1087" i="3"/>
  <c r="W1087" i="3"/>
  <c r="F1087" i="3"/>
  <c r="AW1086" i="3"/>
  <c r="AK1086" i="3"/>
  <c r="AN1086" i="3"/>
  <c r="AM1086" i="3"/>
  <c r="AL1086" i="3"/>
  <c r="AJ1086" i="3"/>
  <c r="AG1086" i="3"/>
  <c r="W1086" i="3"/>
  <c r="F1086" i="3"/>
  <c r="AW1085" i="3"/>
  <c r="AK1085" i="3"/>
  <c r="AN1085" i="3"/>
  <c r="AM1085" i="3"/>
  <c r="AL1085" i="3"/>
  <c r="AJ1085" i="3"/>
  <c r="AG1085" i="3"/>
  <c r="W1085" i="3"/>
  <c r="F1085" i="3"/>
  <c r="AW1084" i="3"/>
  <c r="AK1084" i="3"/>
  <c r="AN1084" i="3"/>
  <c r="AM1084" i="3"/>
  <c r="AL1084" i="3"/>
  <c r="AJ1084" i="3"/>
  <c r="AG1084" i="3"/>
  <c r="W1084" i="3"/>
  <c r="F1084" i="3"/>
  <c r="AW1083" i="3"/>
  <c r="AK1083" i="3"/>
  <c r="AN1083" i="3"/>
  <c r="AM1083" i="3"/>
  <c r="AL1083" i="3"/>
  <c r="AJ1083" i="3"/>
  <c r="AG1083" i="3"/>
  <c r="W1083" i="3"/>
  <c r="F1083" i="3"/>
  <c r="AW1082" i="3"/>
  <c r="AK1082" i="3"/>
  <c r="AN1082" i="3"/>
  <c r="AM1082" i="3"/>
  <c r="AL1082" i="3"/>
  <c r="AJ1082" i="3"/>
  <c r="AG1082" i="3"/>
  <c r="W1082" i="3"/>
  <c r="F1082" i="3"/>
  <c r="AW1081" i="3"/>
  <c r="AK1081" i="3"/>
  <c r="AN1081" i="3"/>
  <c r="AM1081" i="3"/>
  <c r="AL1081" i="3"/>
  <c r="AJ1081" i="3"/>
  <c r="AG1081" i="3"/>
  <c r="W1081" i="3"/>
  <c r="F1081" i="3"/>
  <c r="AW1080" i="3"/>
  <c r="AK1080" i="3"/>
  <c r="AN1080" i="3"/>
  <c r="AM1080" i="3"/>
  <c r="AL1080" i="3"/>
  <c r="AJ1080" i="3"/>
  <c r="AG1080" i="3"/>
  <c r="W1080" i="3"/>
  <c r="F1080" i="3"/>
  <c r="AW1079" i="3"/>
  <c r="AK1079" i="3"/>
  <c r="AN1079" i="3"/>
  <c r="AM1079" i="3"/>
  <c r="AL1079" i="3"/>
  <c r="AJ1079" i="3"/>
  <c r="AG1079" i="3"/>
  <c r="W1079" i="3"/>
  <c r="F1079" i="3"/>
  <c r="AW1078" i="3"/>
  <c r="AK1078" i="3"/>
  <c r="AN1078" i="3"/>
  <c r="AM1078" i="3"/>
  <c r="AL1078" i="3"/>
  <c r="AJ1078" i="3"/>
  <c r="AG1078" i="3"/>
  <c r="W1078" i="3"/>
  <c r="F1078" i="3"/>
  <c r="AW1077" i="3"/>
  <c r="AK1077" i="3"/>
  <c r="AN1077" i="3"/>
  <c r="AM1077" i="3"/>
  <c r="AL1077" i="3"/>
  <c r="AJ1077" i="3"/>
  <c r="AG1077" i="3"/>
  <c r="W1077" i="3"/>
  <c r="F1077" i="3"/>
  <c r="AW1076" i="3"/>
  <c r="AK1076" i="3"/>
  <c r="AN1076" i="3"/>
  <c r="AM1076" i="3"/>
  <c r="AL1076" i="3"/>
  <c r="AJ1076" i="3"/>
  <c r="AG1076" i="3"/>
  <c r="W1076" i="3"/>
  <c r="F1076" i="3"/>
  <c r="AW1075" i="3"/>
  <c r="AK1075" i="3"/>
  <c r="AN1075" i="3"/>
  <c r="AM1075" i="3"/>
  <c r="AL1075" i="3"/>
  <c r="AJ1075" i="3"/>
  <c r="AG1075" i="3"/>
  <c r="W1075" i="3"/>
  <c r="F1075" i="3"/>
  <c r="AW1074" i="3"/>
  <c r="AK1074" i="3"/>
  <c r="AN1074" i="3"/>
  <c r="AM1074" i="3"/>
  <c r="AL1074" i="3"/>
  <c r="AJ1074" i="3"/>
  <c r="AG1074" i="3"/>
  <c r="W1074" i="3"/>
  <c r="F1074" i="3"/>
  <c r="AW1073" i="3"/>
  <c r="AK1073" i="3"/>
  <c r="AN1073" i="3"/>
  <c r="AM1073" i="3"/>
  <c r="AL1073" i="3"/>
  <c r="AJ1073" i="3"/>
  <c r="AG1073" i="3"/>
  <c r="W1073" i="3"/>
  <c r="F1073" i="3"/>
  <c r="AW1072" i="3"/>
  <c r="AK1072" i="3"/>
  <c r="AN1072" i="3"/>
  <c r="AM1072" i="3"/>
  <c r="AL1072" i="3"/>
  <c r="AJ1072" i="3"/>
  <c r="AG1072" i="3"/>
  <c r="W1072" i="3"/>
  <c r="F1072" i="3"/>
  <c r="AW1071" i="3"/>
  <c r="AK1071" i="3"/>
  <c r="AN1071" i="3"/>
  <c r="AM1071" i="3"/>
  <c r="AL1071" i="3"/>
  <c r="AJ1071" i="3"/>
  <c r="AG1071" i="3"/>
  <c r="W1071" i="3"/>
  <c r="F1071" i="3"/>
  <c r="AW1070" i="3"/>
  <c r="AK1070" i="3"/>
  <c r="AN1070" i="3"/>
  <c r="AM1070" i="3"/>
  <c r="AL1070" i="3"/>
  <c r="AJ1070" i="3"/>
  <c r="AG1070" i="3"/>
  <c r="W1070" i="3"/>
  <c r="F1070" i="3"/>
  <c r="AW1069" i="3"/>
  <c r="AK1069" i="3"/>
  <c r="AN1069" i="3"/>
  <c r="AM1069" i="3"/>
  <c r="AL1069" i="3"/>
  <c r="W1069" i="3"/>
  <c r="AJ1069" i="3"/>
  <c r="AG1069" i="3"/>
  <c r="F1069" i="3"/>
  <c r="AW1068" i="3"/>
  <c r="AK1068" i="3"/>
  <c r="AN1068" i="3"/>
  <c r="AM1068" i="3"/>
  <c r="AL1068" i="3"/>
  <c r="AJ1068" i="3"/>
  <c r="AG1068" i="3"/>
  <c r="W1068" i="3"/>
  <c r="F1068" i="3"/>
  <c r="AW1067" i="3"/>
  <c r="AK1067" i="3"/>
  <c r="AN1067" i="3"/>
  <c r="AM1067" i="3"/>
  <c r="AL1067" i="3"/>
  <c r="W1067" i="3"/>
  <c r="AJ1067" i="3"/>
  <c r="AG1067" i="3"/>
  <c r="F1067" i="3"/>
  <c r="AW1066" i="3"/>
  <c r="AK1066" i="3"/>
  <c r="AN1066" i="3"/>
  <c r="AM1066" i="3"/>
  <c r="AL1066" i="3"/>
  <c r="AJ1066" i="3"/>
  <c r="AG1066" i="3"/>
  <c r="W1066" i="3"/>
  <c r="F1066" i="3"/>
  <c r="AW1065" i="3"/>
  <c r="AK1065" i="3"/>
  <c r="AN1065" i="3"/>
  <c r="AM1065" i="3"/>
  <c r="AL1065" i="3"/>
  <c r="AJ1065" i="3"/>
  <c r="AG1065" i="3"/>
  <c r="W1065" i="3"/>
  <c r="F1065" i="3"/>
  <c r="AW1064" i="3"/>
  <c r="AK1064" i="3"/>
  <c r="AN1064" i="3"/>
  <c r="AM1064" i="3"/>
  <c r="AL1064" i="3"/>
  <c r="AJ1064" i="3"/>
  <c r="AG1064" i="3"/>
  <c r="W1064" i="3"/>
  <c r="F1064" i="3"/>
  <c r="AW1063" i="3"/>
  <c r="AK1063" i="3"/>
  <c r="AN1063" i="3"/>
  <c r="AM1063" i="3"/>
  <c r="AL1063" i="3"/>
  <c r="AJ1063" i="3"/>
  <c r="AG1063" i="3"/>
  <c r="W1063" i="3"/>
  <c r="F1063" i="3"/>
  <c r="AW1062" i="3"/>
  <c r="AK1062" i="3"/>
  <c r="AN1062" i="3"/>
  <c r="AM1062" i="3"/>
  <c r="AL1062" i="3"/>
  <c r="AJ1062" i="3"/>
  <c r="AG1062" i="3"/>
  <c r="W1062" i="3"/>
  <c r="F1062" i="3"/>
  <c r="AW1061" i="3"/>
  <c r="AK1061" i="3"/>
  <c r="AN1061" i="3"/>
  <c r="AM1061" i="3"/>
  <c r="AL1061" i="3"/>
  <c r="AJ1061" i="3"/>
  <c r="AG1061" i="3"/>
  <c r="W1061" i="3"/>
  <c r="F1061" i="3"/>
  <c r="AW1060" i="3"/>
  <c r="AK1060" i="3"/>
  <c r="AN1060" i="3"/>
  <c r="AM1060" i="3"/>
  <c r="AL1060" i="3"/>
  <c r="AJ1060" i="3"/>
  <c r="AG1060" i="3"/>
  <c r="W1060" i="3"/>
  <c r="F1060" i="3"/>
  <c r="AW1059" i="3"/>
  <c r="AK1059" i="3"/>
  <c r="AN1059" i="3"/>
  <c r="AM1059" i="3"/>
  <c r="AL1059" i="3"/>
  <c r="W1059" i="3"/>
  <c r="AJ1059" i="3"/>
  <c r="AG1059" i="3"/>
  <c r="F1059" i="3"/>
  <c r="AW1058" i="3"/>
  <c r="AK1058" i="3"/>
  <c r="AN1058" i="3"/>
  <c r="AM1058" i="3"/>
  <c r="AL1058" i="3"/>
  <c r="AJ1058" i="3"/>
  <c r="AG1058" i="3"/>
  <c r="W1058" i="3"/>
  <c r="F1058" i="3"/>
  <c r="AW1057" i="3"/>
  <c r="AK1057" i="3"/>
  <c r="AN1057" i="3"/>
  <c r="AM1057" i="3"/>
  <c r="AL1057" i="3"/>
  <c r="AJ1057" i="3"/>
  <c r="AG1057" i="3"/>
  <c r="W1057" i="3"/>
  <c r="F1057" i="3"/>
  <c r="AW1056" i="3"/>
  <c r="AK1056" i="3"/>
  <c r="AN1056" i="3"/>
  <c r="AM1056" i="3"/>
  <c r="AL1056" i="3"/>
  <c r="AJ1056" i="3"/>
  <c r="AG1056" i="3"/>
  <c r="W1056" i="3"/>
  <c r="F1056" i="3"/>
  <c r="AW1055" i="3"/>
  <c r="AK1055" i="3"/>
  <c r="AN1055" i="3"/>
  <c r="AM1055" i="3"/>
  <c r="AL1055" i="3"/>
  <c r="AJ1055" i="3"/>
  <c r="AG1055" i="3"/>
  <c r="W1055" i="3"/>
  <c r="F1055" i="3"/>
  <c r="AW1054" i="3"/>
  <c r="AK1054" i="3"/>
  <c r="AN1054" i="3"/>
  <c r="AM1054" i="3"/>
  <c r="AL1054" i="3"/>
  <c r="AJ1054" i="3"/>
  <c r="AG1054" i="3"/>
  <c r="W1054" i="3"/>
  <c r="F1054" i="3"/>
  <c r="AW1053" i="3"/>
  <c r="AK1053" i="3"/>
  <c r="AN1053" i="3"/>
  <c r="AM1053" i="3"/>
  <c r="AL1053" i="3"/>
  <c r="AJ1053" i="3"/>
  <c r="AG1053" i="3"/>
  <c r="W1053" i="3"/>
  <c r="F1053" i="3"/>
  <c r="AW1052" i="3"/>
  <c r="AK1052" i="3"/>
  <c r="AN1052" i="3"/>
  <c r="AM1052" i="3"/>
  <c r="AL1052" i="3"/>
  <c r="AJ1052" i="3"/>
  <c r="AG1052" i="3"/>
  <c r="W1052" i="3"/>
  <c r="F1052" i="3"/>
  <c r="AW1051" i="3"/>
  <c r="AK1051" i="3"/>
  <c r="AN1051" i="3"/>
  <c r="AM1051" i="3"/>
  <c r="AL1051" i="3"/>
  <c r="AJ1051" i="3"/>
  <c r="AG1051" i="3"/>
  <c r="W1051" i="3"/>
  <c r="F1051" i="3"/>
  <c r="AW1050" i="3"/>
  <c r="AK1050" i="3"/>
  <c r="AN1050" i="3"/>
  <c r="AM1050" i="3"/>
  <c r="AL1050" i="3"/>
  <c r="AJ1050" i="3"/>
  <c r="AG1050" i="3"/>
  <c r="W1050" i="3"/>
  <c r="F1050" i="3"/>
  <c r="AW1049" i="3"/>
  <c r="AK1049" i="3"/>
  <c r="AN1049" i="3"/>
  <c r="AM1049" i="3"/>
  <c r="AL1049" i="3"/>
  <c r="AJ1049" i="3"/>
  <c r="AG1049" i="3"/>
  <c r="W1049" i="3"/>
  <c r="F1049" i="3"/>
  <c r="AW1048" i="3"/>
  <c r="AK1048" i="3"/>
  <c r="AN1048" i="3"/>
  <c r="AM1048" i="3"/>
  <c r="AL1048" i="3"/>
  <c r="AJ1048" i="3"/>
  <c r="AG1048" i="3"/>
  <c r="W1048" i="3"/>
  <c r="F1048" i="3"/>
  <c r="AW1047" i="3"/>
  <c r="AK1047" i="3"/>
  <c r="AN1047" i="3"/>
  <c r="AM1047" i="3"/>
  <c r="AL1047" i="3"/>
  <c r="AJ1047" i="3"/>
  <c r="AG1047" i="3"/>
  <c r="W1047" i="3"/>
  <c r="F1047" i="3"/>
  <c r="AW1046" i="3"/>
  <c r="AK1046" i="3"/>
  <c r="AN1046" i="3"/>
  <c r="AM1046" i="3"/>
  <c r="AL1046" i="3"/>
  <c r="AJ1046" i="3"/>
  <c r="AG1046" i="3"/>
  <c r="W1046" i="3"/>
  <c r="F1046" i="3"/>
  <c r="AW1045" i="3"/>
  <c r="AK1045" i="3"/>
  <c r="AN1045" i="3"/>
  <c r="AM1045" i="3"/>
  <c r="AL1045" i="3"/>
  <c r="AJ1045" i="3"/>
  <c r="AG1045" i="3"/>
  <c r="W1045" i="3"/>
  <c r="F1045" i="3"/>
  <c r="AW1044" i="3"/>
  <c r="AK1044" i="3"/>
  <c r="AN1044" i="3"/>
  <c r="AM1044" i="3"/>
  <c r="AL1044" i="3"/>
  <c r="AJ1044" i="3"/>
  <c r="AG1044" i="3"/>
  <c r="W1044" i="3"/>
  <c r="F1044" i="3"/>
  <c r="AW1043" i="3"/>
  <c r="AK1043" i="3"/>
  <c r="AN1043" i="3"/>
  <c r="AM1043" i="3"/>
  <c r="AL1043" i="3"/>
  <c r="AJ1043" i="3"/>
  <c r="AG1043" i="3"/>
  <c r="W1043" i="3"/>
  <c r="F1043" i="3"/>
  <c r="AW1042" i="3"/>
  <c r="AK1042" i="3"/>
  <c r="AN1042" i="3"/>
  <c r="AM1042" i="3"/>
  <c r="AL1042" i="3"/>
  <c r="AJ1042" i="3"/>
  <c r="AG1042" i="3"/>
  <c r="W1042" i="3"/>
  <c r="F1042" i="3"/>
  <c r="AW1041" i="3"/>
  <c r="AK1041" i="3"/>
  <c r="AN1041" i="3"/>
  <c r="AM1041" i="3"/>
  <c r="AL1041" i="3"/>
  <c r="AJ1041" i="3"/>
  <c r="AG1041" i="3"/>
  <c r="W1041" i="3"/>
  <c r="F1041" i="3"/>
  <c r="AW1040" i="3"/>
  <c r="AK1040" i="3"/>
  <c r="AN1040" i="3"/>
  <c r="AM1040" i="3"/>
  <c r="AL1040" i="3"/>
  <c r="AJ1040" i="3"/>
  <c r="AG1040" i="3"/>
  <c r="W1040" i="3"/>
  <c r="F1040" i="3"/>
  <c r="AW1039" i="3"/>
  <c r="AK1039" i="3"/>
  <c r="AN1039" i="3"/>
  <c r="AM1039" i="3"/>
  <c r="AL1039" i="3"/>
  <c r="AJ1039" i="3"/>
  <c r="AG1039" i="3"/>
  <c r="W1039" i="3"/>
  <c r="F1039" i="3"/>
  <c r="AW1038" i="3"/>
  <c r="AK1038" i="3"/>
  <c r="AN1038" i="3"/>
  <c r="AM1038" i="3"/>
  <c r="AL1038" i="3"/>
  <c r="AJ1038" i="3"/>
  <c r="AG1038" i="3"/>
  <c r="W1038" i="3"/>
  <c r="F1038" i="3"/>
  <c r="AW1037" i="3"/>
  <c r="AK1037" i="3"/>
  <c r="AN1037" i="3"/>
  <c r="AM1037" i="3"/>
  <c r="AL1037" i="3"/>
  <c r="AJ1037" i="3"/>
  <c r="AG1037" i="3"/>
  <c r="W1037" i="3"/>
  <c r="F1037" i="3"/>
  <c r="AW1036" i="3"/>
  <c r="AK1036" i="3"/>
  <c r="AN1036" i="3"/>
  <c r="AM1036" i="3"/>
  <c r="AL1036" i="3"/>
  <c r="AJ1036" i="3"/>
  <c r="AG1036" i="3"/>
  <c r="W1036" i="3"/>
  <c r="F1036" i="3"/>
  <c r="AW1035" i="3"/>
  <c r="AK1035" i="3"/>
  <c r="AN1035" i="3"/>
  <c r="AM1035" i="3"/>
  <c r="AL1035" i="3"/>
  <c r="AJ1035" i="3"/>
  <c r="AG1035" i="3"/>
  <c r="W1035" i="3"/>
  <c r="F1035" i="3"/>
  <c r="AW1034" i="3"/>
  <c r="AK1034" i="3"/>
  <c r="AN1034" i="3"/>
  <c r="AM1034" i="3"/>
  <c r="AL1034" i="3"/>
  <c r="AJ1034" i="3"/>
  <c r="AG1034" i="3"/>
  <c r="W1034" i="3"/>
  <c r="F1034" i="3"/>
  <c r="AW1033" i="3"/>
  <c r="AK1033" i="3"/>
  <c r="AN1033" i="3"/>
  <c r="AM1033" i="3"/>
  <c r="AL1033" i="3"/>
  <c r="AJ1033" i="3"/>
  <c r="AG1033" i="3"/>
  <c r="W1033" i="3"/>
  <c r="F1033" i="3"/>
  <c r="AW1032" i="3"/>
  <c r="AK1032" i="3"/>
  <c r="AN1032" i="3"/>
  <c r="AM1032" i="3"/>
  <c r="AL1032" i="3"/>
  <c r="AJ1032" i="3"/>
  <c r="AG1032" i="3"/>
  <c r="W1032" i="3"/>
  <c r="F1032" i="3"/>
  <c r="AW1031" i="3"/>
  <c r="AK1031" i="3"/>
  <c r="AN1031" i="3"/>
  <c r="AM1031" i="3"/>
  <c r="AL1031" i="3"/>
  <c r="AJ1031" i="3"/>
  <c r="AG1031" i="3"/>
  <c r="W1031" i="3"/>
  <c r="F1031" i="3"/>
  <c r="AW1030" i="3"/>
  <c r="AK1030" i="3"/>
  <c r="AN1030" i="3"/>
  <c r="AM1030" i="3"/>
  <c r="AL1030" i="3"/>
  <c r="AJ1030" i="3"/>
  <c r="AG1030" i="3"/>
  <c r="W1030" i="3"/>
  <c r="F1030" i="3"/>
  <c r="AW1029" i="3"/>
  <c r="AK1029" i="3"/>
  <c r="AN1029" i="3"/>
  <c r="AM1029" i="3"/>
  <c r="AL1029" i="3"/>
  <c r="AJ1029" i="3"/>
  <c r="AG1029" i="3"/>
  <c r="W1029" i="3"/>
  <c r="F1029" i="3"/>
  <c r="AW1028" i="3"/>
  <c r="AK1028" i="3"/>
  <c r="AN1028" i="3"/>
  <c r="AM1028" i="3"/>
  <c r="AL1028" i="3"/>
  <c r="AJ1028" i="3"/>
  <c r="AG1028" i="3"/>
  <c r="W1028" i="3"/>
  <c r="F1028" i="3"/>
  <c r="AW1027" i="3"/>
  <c r="AK1027" i="3"/>
  <c r="AN1027" i="3"/>
  <c r="AM1027" i="3"/>
  <c r="AL1027" i="3"/>
  <c r="AJ1027" i="3"/>
  <c r="AG1027" i="3"/>
  <c r="W1027" i="3"/>
  <c r="F1027" i="3"/>
  <c r="AW1026" i="3"/>
  <c r="AK1026" i="3"/>
  <c r="AN1026" i="3"/>
  <c r="AM1026" i="3"/>
  <c r="AL1026" i="3"/>
  <c r="AJ1026" i="3"/>
  <c r="AG1026" i="3"/>
  <c r="W1026" i="3"/>
  <c r="F1026" i="3"/>
  <c r="AW1025" i="3"/>
  <c r="AK1025" i="3"/>
  <c r="AN1025" i="3"/>
  <c r="AM1025" i="3"/>
  <c r="AL1025" i="3"/>
  <c r="AJ1025" i="3"/>
  <c r="AG1025" i="3"/>
  <c r="W1025" i="3"/>
  <c r="F1025" i="3"/>
  <c r="AW1024" i="3"/>
  <c r="AK1024" i="3"/>
  <c r="AN1024" i="3"/>
  <c r="AM1024" i="3"/>
  <c r="AL1024" i="3"/>
  <c r="AJ1024" i="3"/>
  <c r="AG1024" i="3"/>
  <c r="W1024" i="3"/>
  <c r="F1024" i="3"/>
  <c r="AW1023" i="3"/>
  <c r="AK1023" i="3"/>
  <c r="AN1023" i="3"/>
  <c r="AM1023" i="3"/>
  <c r="AL1023" i="3"/>
  <c r="AJ1023" i="3"/>
  <c r="AG1023" i="3"/>
  <c r="W1023" i="3"/>
  <c r="F1023" i="3"/>
  <c r="AW1022" i="3"/>
  <c r="AK1022" i="3"/>
  <c r="AN1022" i="3"/>
  <c r="AM1022" i="3"/>
  <c r="AL1022" i="3"/>
  <c r="AJ1022" i="3"/>
  <c r="AG1022" i="3"/>
  <c r="W1022" i="3"/>
  <c r="F1022" i="3"/>
  <c r="AW1021" i="3"/>
  <c r="AK1021" i="3"/>
  <c r="AN1021" i="3"/>
  <c r="AM1021" i="3"/>
  <c r="AL1021" i="3"/>
  <c r="AJ1021" i="3"/>
  <c r="AG1021" i="3"/>
  <c r="W1021" i="3"/>
  <c r="F1021" i="3"/>
  <c r="AW1020" i="3"/>
  <c r="AK1020" i="3"/>
  <c r="AN1020" i="3"/>
  <c r="AM1020" i="3"/>
  <c r="AL1020" i="3"/>
  <c r="AJ1020" i="3"/>
  <c r="AG1020" i="3"/>
  <c r="W1020" i="3"/>
  <c r="F1020" i="3"/>
  <c r="AW1019" i="3"/>
  <c r="AK1019" i="3"/>
  <c r="AN1019" i="3"/>
  <c r="AM1019" i="3"/>
  <c r="AL1019" i="3"/>
  <c r="AJ1019" i="3"/>
  <c r="AG1019" i="3"/>
  <c r="W1019" i="3"/>
  <c r="F1019" i="3"/>
  <c r="AW1018" i="3"/>
  <c r="AK1018" i="3"/>
  <c r="AN1018" i="3"/>
  <c r="AM1018" i="3"/>
  <c r="AL1018" i="3"/>
  <c r="AJ1018" i="3"/>
  <c r="AG1018" i="3"/>
  <c r="W1018" i="3"/>
  <c r="F1018" i="3"/>
  <c r="AW1017" i="3"/>
  <c r="AK1017" i="3"/>
  <c r="AN1017" i="3"/>
  <c r="AM1017" i="3"/>
  <c r="AL1017" i="3"/>
  <c r="AJ1017" i="3"/>
  <c r="AG1017" i="3"/>
  <c r="W1017" i="3"/>
  <c r="F1017" i="3"/>
  <c r="AW1016" i="3"/>
  <c r="AK1016" i="3"/>
  <c r="AN1016" i="3"/>
  <c r="AM1016" i="3"/>
  <c r="AL1016" i="3"/>
  <c r="AJ1016" i="3"/>
  <c r="AG1016" i="3"/>
  <c r="W1016" i="3"/>
  <c r="F1016" i="3"/>
  <c r="AW1015" i="3"/>
  <c r="AK1015" i="3"/>
  <c r="AN1015" i="3"/>
  <c r="AM1015" i="3"/>
  <c r="AL1015" i="3"/>
  <c r="AJ1015" i="3"/>
  <c r="AG1015" i="3"/>
  <c r="W1015" i="3"/>
  <c r="F1015" i="3"/>
  <c r="AW1014" i="3"/>
  <c r="AK1014" i="3"/>
  <c r="AN1014" i="3"/>
  <c r="AM1014" i="3"/>
  <c r="AL1014" i="3"/>
  <c r="AJ1014" i="3"/>
  <c r="AG1014" i="3"/>
  <c r="W1014" i="3"/>
  <c r="F1014" i="3"/>
  <c r="AW1013" i="3"/>
  <c r="AK1013" i="3"/>
  <c r="AN1013" i="3"/>
  <c r="AM1013" i="3"/>
  <c r="AL1013" i="3"/>
  <c r="AJ1013" i="3"/>
  <c r="AG1013" i="3"/>
  <c r="W1013" i="3"/>
  <c r="F1013" i="3"/>
  <c r="AW1012" i="3"/>
  <c r="AK1012" i="3"/>
  <c r="AN1012" i="3"/>
  <c r="AM1012" i="3"/>
  <c r="AL1012" i="3"/>
  <c r="AJ1012" i="3"/>
  <c r="AG1012" i="3"/>
  <c r="W1012" i="3"/>
  <c r="F1012" i="3"/>
  <c r="AW1011" i="3"/>
  <c r="AK1011" i="3"/>
  <c r="AN1011" i="3"/>
  <c r="AM1011" i="3"/>
  <c r="AL1011" i="3"/>
  <c r="AJ1011" i="3"/>
  <c r="AG1011" i="3"/>
  <c r="W1011" i="3"/>
  <c r="F1011" i="3"/>
  <c r="AW1010" i="3"/>
  <c r="AK1010" i="3"/>
  <c r="AN1010" i="3"/>
  <c r="AM1010" i="3"/>
  <c r="AL1010" i="3"/>
  <c r="AJ1010" i="3"/>
  <c r="AG1010" i="3"/>
  <c r="W1010" i="3"/>
  <c r="F1010" i="3"/>
  <c r="AW1009" i="3"/>
  <c r="AK1009" i="3"/>
  <c r="AN1009" i="3"/>
  <c r="AM1009" i="3"/>
  <c r="AL1009" i="3"/>
  <c r="AJ1009" i="3"/>
  <c r="AG1009" i="3"/>
  <c r="W1009" i="3"/>
  <c r="F1009" i="3"/>
  <c r="AW1008" i="3"/>
  <c r="AK1008" i="3"/>
  <c r="AN1008" i="3"/>
  <c r="AM1008" i="3"/>
  <c r="AL1008" i="3"/>
  <c r="AJ1008" i="3"/>
  <c r="AG1008" i="3"/>
  <c r="W1008" i="3"/>
  <c r="F1008" i="3"/>
  <c r="AW1007" i="3"/>
  <c r="AK1007" i="3"/>
  <c r="AN1007" i="3"/>
  <c r="AM1007" i="3"/>
  <c r="AL1007" i="3"/>
  <c r="AJ1007" i="3"/>
  <c r="AG1007" i="3"/>
  <c r="W1007" i="3"/>
  <c r="F1007" i="3"/>
  <c r="AW1006" i="3"/>
  <c r="AK1006" i="3"/>
  <c r="AN1006" i="3"/>
  <c r="AM1006" i="3"/>
  <c r="AL1006" i="3"/>
  <c r="AJ1006" i="3"/>
  <c r="AG1006" i="3"/>
  <c r="W1006" i="3"/>
  <c r="F1006" i="3"/>
  <c r="AW1005" i="3"/>
  <c r="AK1005" i="3"/>
  <c r="AN1005" i="3"/>
  <c r="AM1005" i="3"/>
  <c r="AL1005" i="3"/>
  <c r="AJ1005" i="3"/>
  <c r="AG1005" i="3"/>
  <c r="W1005" i="3"/>
  <c r="F1005" i="3"/>
  <c r="AW1004" i="3"/>
  <c r="AK1004" i="3"/>
  <c r="AN1004" i="3"/>
  <c r="AM1004" i="3"/>
  <c r="AL1004" i="3"/>
  <c r="AJ1004" i="3"/>
  <c r="AG1004" i="3"/>
  <c r="W1004" i="3"/>
  <c r="F1004" i="3"/>
  <c r="AW1003" i="3"/>
  <c r="AK1003" i="3"/>
  <c r="AN1003" i="3"/>
  <c r="AM1003" i="3"/>
  <c r="AL1003" i="3"/>
  <c r="W1003" i="3"/>
  <c r="AJ1003" i="3"/>
  <c r="AG1003" i="3"/>
  <c r="F1003" i="3"/>
  <c r="AW1002" i="3"/>
  <c r="AK1002" i="3"/>
  <c r="AN1002" i="3"/>
  <c r="AM1002" i="3"/>
  <c r="AL1002" i="3"/>
  <c r="AJ1002" i="3"/>
  <c r="AG1002" i="3"/>
  <c r="W1002" i="3"/>
  <c r="F1002" i="3"/>
  <c r="AW1001" i="3"/>
  <c r="AK1001" i="3"/>
  <c r="AN1001" i="3"/>
  <c r="AM1001" i="3"/>
  <c r="AL1001" i="3"/>
  <c r="AJ1001" i="3"/>
  <c r="AG1001" i="3"/>
  <c r="W1001" i="3"/>
  <c r="F1001" i="3"/>
  <c r="AW1000" i="3"/>
  <c r="AK1000" i="3"/>
  <c r="AN1000" i="3"/>
  <c r="AM1000" i="3"/>
  <c r="AL1000" i="3"/>
  <c r="AJ1000" i="3"/>
  <c r="AG1000" i="3"/>
  <c r="W1000" i="3"/>
  <c r="F1000" i="3"/>
  <c r="AW999" i="3"/>
  <c r="AK999" i="3"/>
  <c r="AN999" i="3"/>
  <c r="AM999" i="3"/>
  <c r="AL999" i="3"/>
  <c r="AJ999" i="3"/>
  <c r="AG999" i="3"/>
  <c r="W999" i="3"/>
  <c r="F999" i="3"/>
  <c r="AW998" i="3"/>
  <c r="AK998" i="3"/>
  <c r="AN998" i="3"/>
  <c r="AM998" i="3"/>
  <c r="AL998" i="3"/>
  <c r="AJ998" i="3"/>
  <c r="AG998" i="3"/>
  <c r="W998" i="3"/>
  <c r="F998" i="3"/>
  <c r="AW997" i="3"/>
  <c r="AK997" i="3"/>
  <c r="AN997" i="3"/>
  <c r="AM997" i="3"/>
  <c r="AL997" i="3"/>
  <c r="AJ997" i="3"/>
  <c r="AG997" i="3"/>
  <c r="W997" i="3"/>
  <c r="F997" i="3"/>
  <c r="AW996" i="3"/>
  <c r="AK996" i="3"/>
  <c r="AN996" i="3"/>
  <c r="AM996" i="3"/>
  <c r="AL996" i="3"/>
  <c r="AJ996" i="3"/>
  <c r="AG996" i="3"/>
  <c r="W996" i="3"/>
  <c r="F996" i="3"/>
  <c r="AW995" i="3"/>
  <c r="AK995" i="3"/>
  <c r="AN995" i="3"/>
  <c r="AM995" i="3"/>
  <c r="AL995" i="3"/>
  <c r="AJ995" i="3"/>
  <c r="AG995" i="3"/>
  <c r="W995" i="3"/>
  <c r="F995" i="3"/>
  <c r="AW994" i="3"/>
  <c r="AK994" i="3"/>
  <c r="AN994" i="3"/>
  <c r="AM994" i="3"/>
  <c r="AL994" i="3"/>
  <c r="AJ994" i="3"/>
  <c r="AG994" i="3"/>
  <c r="W994" i="3"/>
  <c r="F994" i="3"/>
  <c r="AW993" i="3"/>
  <c r="AK993" i="3"/>
  <c r="AN993" i="3"/>
  <c r="AM993" i="3"/>
  <c r="AL993" i="3"/>
  <c r="AJ993" i="3"/>
  <c r="AG993" i="3"/>
  <c r="W993" i="3"/>
  <c r="F993" i="3"/>
  <c r="AW992" i="3"/>
  <c r="AK992" i="3"/>
  <c r="AN992" i="3"/>
  <c r="AM992" i="3"/>
  <c r="AL992" i="3"/>
  <c r="AJ992" i="3"/>
  <c r="AG992" i="3"/>
  <c r="W992" i="3"/>
  <c r="F992" i="3"/>
  <c r="AW991" i="3"/>
  <c r="AK991" i="3"/>
  <c r="AN991" i="3"/>
  <c r="AM991" i="3"/>
  <c r="AL991" i="3"/>
  <c r="AJ991" i="3"/>
  <c r="AG991" i="3"/>
  <c r="W991" i="3"/>
  <c r="F991" i="3"/>
  <c r="AW990" i="3"/>
  <c r="AK990" i="3"/>
  <c r="AN990" i="3"/>
  <c r="AM990" i="3"/>
  <c r="AL990" i="3"/>
  <c r="AJ990" i="3"/>
  <c r="AG990" i="3"/>
  <c r="W990" i="3"/>
  <c r="F990" i="3"/>
  <c r="AW989" i="3"/>
  <c r="AK989" i="3"/>
  <c r="AN989" i="3"/>
  <c r="AM989" i="3"/>
  <c r="AL989" i="3"/>
  <c r="AJ989" i="3"/>
  <c r="AG989" i="3"/>
  <c r="W989" i="3"/>
  <c r="F989" i="3"/>
  <c r="AW988" i="3"/>
  <c r="AK988" i="3"/>
  <c r="AN988" i="3"/>
  <c r="AM988" i="3"/>
  <c r="AL988" i="3"/>
  <c r="AJ988" i="3"/>
  <c r="AG988" i="3"/>
  <c r="W988" i="3"/>
  <c r="F988" i="3"/>
  <c r="AW987" i="3"/>
  <c r="AK987" i="3"/>
  <c r="AN987" i="3"/>
  <c r="AM987" i="3"/>
  <c r="AL987" i="3"/>
  <c r="AJ987" i="3"/>
  <c r="AG987" i="3"/>
  <c r="W987" i="3"/>
  <c r="F987" i="3"/>
  <c r="AW986" i="3"/>
  <c r="AK986" i="3"/>
  <c r="AN986" i="3"/>
  <c r="AM986" i="3"/>
  <c r="AL986" i="3"/>
  <c r="AJ986" i="3"/>
  <c r="AG986" i="3"/>
  <c r="W986" i="3"/>
  <c r="F986" i="3"/>
  <c r="AW985" i="3"/>
  <c r="AK985" i="3"/>
  <c r="AN985" i="3"/>
  <c r="AM985" i="3"/>
  <c r="AL985" i="3"/>
  <c r="AJ985" i="3"/>
  <c r="AG985" i="3"/>
  <c r="W985" i="3"/>
  <c r="F985" i="3"/>
  <c r="AW984" i="3"/>
  <c r="AK984" i="3"/>
  <c r="AN984" i="3"/>
  <c r="AM984" i="3"/>
  <c r="AL984" i="3"/>
  <c r="AJ984" i="3"/>
  <c r="AG984" i="3"/>
  <c r="W984" i="3"/>
  <c r="F984" i="3"/>
  <c r="AW983" i="3"/>
  <c r="AK983" i="3"/>
  <c r="AN983" i="3"/>
  <c r="AM983" i="3"/>
  <c r="AL983" i="3"/>
  <c r="AJ983" i="3"/>
  <c r="AG983" i="3"/>
  <c r="W983" i="3"/>
  <c r="F983" i="3"/>
  <c r="AW982" i="3"/>
  <c r="AK982" i="3"/>
  <c r="AN982" i="3"/>
  <c r="AM982" i="3"/>
  <c r="AL982" i="3"/>
  <c r="AJ982" i="3"/>
  <c r="AG982" i="3"/>
  <c r="W982" i="3"/>
  <c r="F982" i="3"/>
  <c r="AW981" i="3"/>
  <c r="AK981" i="3"/>
  <c r="AN981" i="3"/>
  <c r="AM981" i="3"/>
  <c r="AL981" i="3"/>
  <c r="AJ981" i="3"/>
  <c r="AG981" i="3"/>
  <c r="W981" i="3"/>
  <c r="F981" i="3"/>
  <c r="AW980" i="3"/>
  <c r="AK980" i="3"/>
  <c r="AN980" i="3"/>
  <c r="AM980" i="3"/>
  <c r="AL980" i="3"/>
  <c r="AJ980" i="3"/>
  <c r="AG980" i="3"/>
  <c r="W980" i="3"/>
  <c r="F980" i="3"/>
  <c r="AW979" i="3"/>
  <c r="AK979" i="3"/>
  <c r="AN979" i="3"/>
  <c r="AM979" i="3"/>
  <c r="AL979" i="3"/>
  <c r="W979" i="3"/>
  <c r="AJ979" i="3"/>
  <c r="AG979" i="3"/>
  <c r="F979" i="3"/>
  <c r="AW978" i="3"/>
  <c r="AK978" i="3"/>
  <c r="AN978" i="3"/>
  <c r="AM978" i="3"/>
  <c r="AL978" i="3"/>
  <c r="AJ978" i="3"/>
  <c r="AG978" i="3"/>
  <c r="W978" i="3"/>
  <c r="F978" i="3"/>
  <c r="AW977" i="3"/>
  <c r="AK977" i="3"/>
  <c r="AN977" i="3"/>
  <c r="AM977" i="3"/>
  <c r="AL977" i="3"/>
  <c r="W977" i="3"/>
  <c r="AJ977" i="3"/>
  <c r="AG977" i="3"/>
  <c r="F977" i="3"/>
  <c r="AW976" i="3"/>
  <c r="AK976" i="3"/>
  <c r="AN976" i="3"/>
  <c r="AM976" i="3"/>
  <c r="AL976" i="3"/>
  <c r="W976" i="3"/>
  <c r="AJ976" i="3"/>
  <c r="AG976" i="3"/>
  <c r="F976" i="3"/>
  <c r="AW975" i="3"/>
  <c r="AK975" i="3"/>
  <c r="AN975" i="3"/>
  <c r="AM975" i="3"/>
  <c r="AL975" i="3"/>
  <c r="W975" i="3"/>
  <c r="AJ975" i="3"/>
  <c r="AG975" i="3"/>
  <c r="F975" i="3"/>
  <c r="AW974" i="3"/>
  <c r="AK974" i="3"/>
  <c r="AN974" i="3"/>
  <c r="AM974" i="3"/>
  <c r="AL974" i="3"/>
  <c r="W974" i="3"/>
  <c r="AJ974" i="3"/>
  <c r="AG974" i="3"/>
  <c r="F974" i="3"/>
  <c r="AW973" i="3"/>
  <c r="AK973" i="3"/>
  <c r="AN973" i="3"/>
  <c r="AM973" i="3"/>
  <c r="AL973" i="3"/>
  <c r="AJ973" i="3"/>
  <c r="AG973" i="3"/>
  <c r="W973" i="3"/>
  <c r="F973" i="3"/>
  <c r="AW972" i="3"/>
  <c r="AK972" i="3"/>
  <c r="AN972" i="3"/>
  <c r="AM972" i="3"/>
  <c r="AL972" i="3"/>
  <c r="W972" i="3"/>
  <c r="AJ972" i="3"/>
  <c r="AG972" i="3"/>
  <c r="F972" i="3"/>
  <c r="AW971" i="3"/>
  <c r="AK971" i="3"/>
  <c r="AN971" i="3"/>
  <c r="AM971" i="3"/>
  <c r="AL971" i="3"/>
  <c r="W971" i="3"/>
  <c r="AJ971" i="3"/>
  <c r="AG971" i="3"/>
  <c r="F971" i="3"/>
  <c r="AW970" i="3"/>
  <c r="AK970" i="3"/>
  <c r="AN970" i="3"/>
  <c r="AM970" i="3"/>
  <c r="AL970" i="3"/>
  <c r="AJ970" i="3"/>
  <c r="AG970" i="3"/>
  <c r="W970" i="3"/>
  <c r="F970" i="3"/>
  <c r="AW969" i="3"/>
  <c r="AK969" i="3"/>
  <c r="AN969" i="3"/>
  <c r="AM969" i="3"/>
  <c r="AL969" i="3"/>
  <c r="AJ969" i="3"/>
  <c r="AG969" i="3"/>
  <c r="W969" i="3"/>
  <c r="F969" i="3"/>
  <c r="AW968" i="3"/>
  <c r="AK968" i="3"/>
  <c r="AN968" i="3"/>
  <c r="AM968" i="3"/>
  <c r="AL968" i="3"/>
  <c r="AJ968" i="3"/>
  <c r="AG968" i="3"/>
  <c r="W968" i="3"/>
  <c r="F968" i="3"/>
  <c r="AW967" i="3"/>
  <c r="AK967" i="3"/>
  <c r="AN967" i="3"/>
  <c r="AM967" i="3"/>
  <c r="AL967" i="3"/>
  <c r="AJ967" i="3"/>
  <c r="AG967" i="3"/>
  <c r="W967" i="3"/>
  <c r="F967" i="3"/>
  <c r="AW966" i="3"/>
  <c r="AK966" i="3"/>
  <c r="AN966" i="3"/>
  <c r="AM966" i="3"/>
  <c r="AL966" i="3"/>
  <c r="AJ966" i="3"/>
  <c r="AG966" i="3"/>
  <c r="W966" i="3"/>
  <c r="F966" i="3"/>
  <c r="AW965" i="3"/>
  <c r="AK965" i="3"/>
  <c r="AN965" i="3"/>
  <c r="AM965" i="3"/>
  <c r="AL965" i="3"/>
  <c r="AJ965" i="3"/>
  <c r="AG965" i="3"/>
  <c r="W965" i="3"/>
  <c r="F965" i="3"/>
  <c r="AW964" i="3"/>
  <c r="AK964" i="3"/>
  <c r="AN964" i="3"/>
  <c r="AM964" i="3"/>
  <c r="AL964" i="3"/>
  <c r="AJ964" i="3"/>
  <c r="AG964" i="3"/>
  <c r="W964" i="3"/>
  <c r="F964" i="3"/>
  <c r="AW963" i="3"/>
  <c r="AK963" i="3"/>
  <c r="AN963" i="3"/>
  <c r="AM963" i="3"/>
  <c r="AL963" i="3"/>
  <c r="AJ963" i="3"/>
  <c r="AG963" i="3"/>
  <c r="W963" i="3"/>
  <c r="F963" i="3"/>
  <c r="AW962" i="3"/>
  <c r="AK962" i="3"/>
  <c r="AN962" i="3"/>
  <c r="AM962" i="3"/>
  <c r="AL962" i="3"/>
  <c r="AJ962" i="3"/>
  <c r="AG962" i="3"/>
  <c r="W962" i="3"/>
  <c r="F962" i="3"/>
  <c r="AW961" i="3"/>
  <c r="AK961" i="3"/>
  <c r="AN961" i="3"/>
  <c r="AM961" i="3"/>
  <c r="AL961" i="3"/>
  <c r="AJ961" i="3"/>
  <c r="AG961" i="3"/>
  <c r="W961" i="3"/>
  <c r="F961" i="3"/>
  <c r="AW960" i="3"/>
  <c r="AK960" i="3"/>
  <c r="AN960" i="3"/>
  <c r="AM960" i="3"/>
  <c r="AL960" i="3"/>
  <c r="AJ960" i="3"/>
  <c r="AG960" i="3"/>
  <c r="W960" i="3"/>
  <c r="F960" i="3"/>
  <c r="AW959" i="3"/>
  <c r="AK959" i="3"/>
  <c r="AN959" i="3"/>
  <c r="AM959" i="3"/>
  <c r="AL959" i="3"/>
  <c r="AJ959" i="3"/>
  <c r="AG959" i="3"/>
  <c r="W959" i="3"/>
  <c r="F959" i="3"/>
  <c r="AW958" i="3"/>
  <c r="AK958" i="3"/>
  <c r="AN958" i="3"/>
  <c r="AM958" i="3"/>
  <c r="AL958" i="3"/>
  <c r="W958" i="3"/>
  <c r="AJ958" i="3"/>
  <c r="AG958" i="3"/>
  <c r="F958" i="3"/>
  <c r="AW957" i="3"/>
  <c r="AK957" i="3"/>
  <c r="AN957" i="3"/>
  <c r="AM957" i="3"/>
  <c r="AL957" i="3"/>
  <c r="W957" i="3"/>
  <c r="AJ957" i="3"/>
  <c r="AG957" i="3"/>
  <c r="F957" i="3"/>
  <c r="AW956" i="3"/>
  <c r="AK956" i="3"/>
  <c r="AN956" i="3"/>
  <c r="AM956" i="3"/>
  <c r="AL956" i="3"/>
  <c r="AJ956" i="3"/>
  <c r="AG956" i="3"/>
  <c r="W956" i="3"/>
  <c r="F956" i="3"/>
  <c r="AW955" i="3"/>
  <c r="AK955" i="3"/>
  <c r="AN955" i="3"/>
  <c r="AM955" i="3"/>
  <c r="AL955" i="3"/>
  <c r="AJ955" i="3"/>
  <c r="AG955" i="3"/>
  <c r="W955" i="3"/>
  <c r="F955" i="3"/>
  <c r="AW954" i="3"/>
  <c r="AK954" i="3"/>
  <c r="AN954" i="3"/>
  <c r="AM954" i="3"/>
  <c r="AL954" i="3"/>
  <c r="AJ954" i="3"/>
  <c r="AG954" i="3"/>
  <c r="W954" i="3"/>
  <c r="F954" i="3"/>
  <c r="AW953" i="3"/>
  <c r="AK953" i="3"/>
  <c r="AN953" i="3"/>
  <c r="AM953" i="3"/>
  <c r="AL953" i="3"/>
  <c r="AJ953" i="3"/>
  <c r="AG953" i="3"/>
  <c r="W953" i="3"/>
  <c r="F953" i="3"/>
  <c r="AW952" i="3"/>
  <c r="AK952" i="3"/>
  <c r="AN952" i="3"/>
  <c r="AM952" i="3"/>
  <c r="AL952" i="3"/>
  <c r="AJ952" i="3"/>
  <c r="AG952" i="3"/>
  <c r="W952" i="3"/>
  <c r="F952" i="3"/>
  <c r="AW951" i="3"/>
  <c r="AK951" i="3"/>
  <c r="AN951" i="3"/>
  <c r="AM951" i="3"/>
  <c r="AL951" i="3"/>
  <c r="AJ951" i="3"/>
  <c r="AG951" i="3"/>
  <c r="W951" i="3"/>
  <c r="F951" i="3"/>
  <c r="AW950" i="3"/>
  <c r="AK950" i="3"/>
  <c r="AN950" i="3"/>
  <c r="AM950" i="3"/>
  <c r="AL950" i="3"/>
  <c r="AJ950" i="3"/>
  <c r="AG950" i="3"/>
  <c r="W950" i="3"/>
  <c r="F950" i="3"/>
  <c r="AW949" i="3"/>
  <c r="AK949" i="3"/>
  <c r="AN949" i="3"/>
  <c r="AM949" i="3"/>
  <c r="AL949" i="3"/>
  <c r="AJ949" i="3"/>
  <c r="AG949" i="3"/>
  <c r="W949" i="3"/>
  <c r="F949" i="3"/>
  <c r="AW948" i="3"/>
  <c r="AK948" i="3"/>
  <c r="AN948" i="3"/>
  <c r="AM948" i="3"/>
  <c r="AL948" i="3"/>
  <c r="AJ948" i="3"/>
  <c r="AG948" i="3"/>
  <c r="W948" i="3"/>
  <c r="F948" i="3"/>
  <c r="AW947" i="3"/>
  <c r="AK947" i="3"/>
  <c r="AN947" i="3"/>
  <c r="AM947" i="3"/>
  <c r="AL947" i="3"/>
  <c r="AJ947" i="3"/>
  <c r="AG947" i="3"/>
  <c r="W947" i="3"/>
  <c r="F947" i="3"/>
  <c r="AW946" i="3"/>
  <c r="AK946" i="3"/>
  <c r="AN946" i="3"/>
  <c r="AM946" i="3"/>
  <c r="AL946" i="3"/>
  <c r="AJ946" i="3"/>
  <c r="AG946" i="3"/>
  <c r="W946" i="3"/>
  <c r="F946" i="3"/>
  <c r="AW945" i="3"/>
  <c r="AK945" i="3"/>
  <c r="AN945" i="3"/>
  <c r="AM945" i="3"/>
  <c r="AL945" i="3"/>
  <c r="AJ945" i="3"/>
  <c r="AG945" i="3"/>
  <c r="W945" i="3"/>
  <c r="F945" i="3"/>
  <c r="AW944" i="3"/>
  <c r="AK944" i="3"/>
  <c r="AN944" i="3"/>
  <c r="AM944" i="3"/>
  <c r="AL944" i="3"/>
  <c r="AJ944" i="3"/>
  <c r="AG944" i="3"/>
  <c r="W944" i="3"/>
  <c r="F944" i="3"/>
  <c r="AW943" i="3"/>
  <c r="AK943" i="3"/>
  <c r="AN943" i="3"/>
  <c r="AM943" i="3"/>
  <c r="AL943" i="3"/>
  <c r="AJ943" i="3"/>
  <c r="AG943" i="3"/>
  <c r="W943" i="3"/>
  <c r="F943" i="3"/>
  <c r="AW942" i="3"/>
  <c r="AK942" i="3"/>
  <c r="AN942" i="3"/>
  <c r="AM942" i="3"/>
  <c r="AL942" i="3"/>
  <c r="AJ942" i="3"/>
  <c r="AG942" i="3"/>
  <c r="W942" i="3"/>
  <c r="F942" i="3"/>
  <c r="AW941" i="3"/>
  <c r="AK941" i="3"/>
  <c r="AN941" i="3"/>
  <c r="AM941" i="3"/>
  <c r="AL941" i="3"/>
  <c r="AJ941" i="3"/>
  <c r="AG941" i="3"/>
  <c r="W941" i="3"/>
  <c r="F941" i="3"/>
  <c r="AW940" i="3"/>
  <c r="AK940" i="3"/>
  <c r="AN940" i="3"/>
  <c r="AM940" i="3"/>
  <c r="AL940" i="3"/>
  <c r="AJ940" i="3"/>
  <c r="AG940" i="3"/>
  <c r="W940" i="3"/>
  <c r="F940" i="3"/>
  <c r="AW939" i="3"/>
  <c r="AK939" i="3"/>
  <c r="AN939" i="3"/>
  <c r="AM939" i="3"/>
  <c r="AL939" i="3"/>
  <c r="AJ939" i="3"/>
  <c r="AG939" i="3"/>
  <c r="W939" i="3"/>
  <c r="F939" i="3"/>
  <c r="AW938" i="3"/>
  <c r="AK938" i="3"/>
  <c r="AN938" i="3"/>
  <c r="AM938" i="3"/>
  <c r="AL938" i="3"/>
  <c r="AJ938" i="3"/>
  <c r="AG938" i="3"/>
  <c r="W938" i="3"/>
  <c r="F938" i="3"/>
  <c r="AW937" i="3"/>
  <c r="AK937" i="3"/>
  <c r="AN937" i="3"/>
  <c r="AM937" i="3"/>
  <c r="AL937" i="3"/>
  <c r="AJ937" i="3"/>
  <c r="AG937" i="3"/>
  <c r="W937" i="3"/>
  <c r="F937" i="3"/>
  <c r="AW936" i="3"/>
  <c r="AK936" i="3"/>
  <c r="AN936" i="3"/>
  <c r="AM936" i="3"/>
  <c r="AL936" i="3"/>
  <c r="AJ936" i="3"/>
  <c r="AG936" i="3"/>
  <c r="W936" i="3"/>
  <c r="F936" i="3"/>
  <c r="AW935" i="3"/>
  <c r="AK935" i="3"/>
  <c r="AN935" i="3"/>
  <c r="AM935" i="3"/>
  <c r="AL935" i="3"/>
  <c r="AJ935" i="3"/>
  <c r="AG935" i="3"/>
  <c r="W935" i="3"/>
  <c r="F935" i="3"/>
  <c r="AW934" i="3"/>
  <c r="AK934" i="3"/>
  <c r="AN934" i="3"/>
  <c r="AM934" i="3"/>
  <c r="AL934" i="3"/>
  <c r="AJ934" i="3"/>
  <c r="AG934" i="3"/>
  <c r="W934" i="3"/>
  <c r="F934" i="3"/>
  <c r="AW933" i="3"/>
  <c r="AK933" i="3"/>
  <c r="AN933" i="3"/>
  <c r="AM933" i="3"/>
  <c r="AL933" i="3"/>
  <c r="AJ933" i="3"/>
  <c r="AG933" i="3"/>
  <c r="W933" i="3"/>
  <c r="F933" i="3"/>
  <c r="AW932" i="3"/>
  <c r="AK932" i="3"/>
  <c r="AN932" i="3"/>
  <c r="AM932" i="3"/>
  <c r="AL932" i="3"/>
  <c r="AJ932" i="3"/>
  <c r="AG932" i="3"/>
  <c r="W932" i="3"/>
  <c r="F932" i="3"/>
  <c r="AW931" i="3"/>
  <c r="AK931" i="3"/>
  <c r="AN931" i="3"/>
  <c r="AM931" i="3"/>
  <c r="AL931" i="3"/>
  <c r="AJ931" i="3"/>
  <c r="AG931" i="3"/>
  <c r="W931" i="3"/>
  <c r="F931" i="3"/>
  <c r="AW930" i="3"/>
  <c r="AK930" i="3"/>
  <c r="AN930" i="3"/>
  <c r="AM930" i="3"/>
  <c r="AL930" i="3"/>
  <c r="AJ930" i="3"/>
  <c r="AG930" i="3"/>
  <c r="W930" i="3"/>
  <c r="F930" i="3"/>
  <c r="AW929" i="3"/>
  <c r="AK929" i="3"/>
  <c r="AN929" i="3"/>
  <c r="AM929" i="3"/>
  <c r="AL929" i="3"/>
  <c r="AJ929" i="3"/>
  <c r="AG929" i="3"/>
  <c r="W929" i="3"/>
  <c r="F929" i="3"/>
  <c r="AW928" i="3"/>
  <c r="AK928" i="3"/>
  <c r="AN928" i="3"/>
  <c r="AM928" i="3"/>
  <c r="AL928" i="3"/>
  <c r="AJ928" i="3"/>
  <c r="AG928" i="3"/>
  <c r="W928" i="3"/>
  <c r="F928" i="3"/>
  <c r="AW927" i="3"/>
  <c r="AK927" i="3"/>
  <c r="AN927" i="3"/>
  <c r="AM927" i="3"/>
  <c r="AL927" i="3"/>
  <c r="AJ927" i="3"/>
  <c r="AG927" i="3"/>
  <c r="W927" i="3"/>
  <c r="F927" i="3"/>
  <c r="AW926" i="3"/>
  <c r="AK926" i="3"/>
  <c r="AN926" i="3"/>
  <c r="AM926" i="3"/>
  <c r="AL926" i="3"/>
  <c r="AJ926" i="3"/>
  <c r="AG926" i="3"/>
  <c r="W926" i="3"/>
  <c r="F926" i="3"/>
  <c r="AW925" i="3"/>
  <c r="AK925" i="3"/>
  <c r="AN925" i="3"/>
  <c r="AM925" i="3"/>
  <c r="AL925" i="3"/>
  <c r="AJ925" i="3"/>
  <c r="AG925" i="3"/>
  <c r="W925" i="3"/>
  <c r="F925" i="3"/>
  <c r="AW924" i="3"/>
  <c r="AK924" i="3"/>
  <c r="AN924" i="3"/>
  <c r="AM924" i="3"/>
  <c r="AL924" i="3"/>
  <c r="W924" i="3"/>
  <c r="AJ924" i="3"/>
  <c r="AG924" i="3"/>
  <c r="F924" i="3"/>
  <c r="AW923" i="3"/>
  <c r="AK923" i="3"/>
  <c r="AN923" i="3"/>
  <c r="AM923" i="3"/>
  <c r="AL923" i="3"/>
  <c r="AJ923" i="3"/>
  <c r="AG923" i="3"/>
  <c r="W923" i="3"/>
  <c r="F923" i="3"/>
  <c r="AW922" i="3"/>
  <c r="AK922" i="3"/>
  <c r="AN922" i="3"/>
  <c r="AM922" i="3"/>
  <c r="AL922" i="3"/>
  <c r="AJ922" i="3"/>
  <c r="AG922" i="3"/>
  <c r="W922" i="3"/>
  <c r="F922" i="3"/>
  <c r="AW921" i="3"/>
  <c r="AK921" i="3"/>
  <c r="AN921" i="3"/>
  <c r="AM921" i="3"/>
  <c r="AL921" i="3"/>
  <c r="AJ921" i="3"/>
  <c r="AG921" i="3"/>
  <c r="W921" i="3"/>
  <c r="F921" i="3"/>
  <c r="AW920" i="3"/>
  <c r="AK920" i="3"/>
  <c r="AN920" i="3"/>
  <c r="AM920" i="3"/>
  <c r="AL920" i="3"/>
  <c r="AJ920" i="3"/>
  <c r="AG920" i="3"/>
  <c r="W920" i="3"/>
  <c r="F920" i="3"/>
  <c r="AW919" i="3"/>
  <c r="AK919" i="3"/>
  <c r="AN919" i="3"/>
  <c r="AM919" i="3"/>
  <c r="AL919" i="3"/>
  <c r="AJ919" i="3"/>
  <c r="AG919" i="3"/>
  <c r="W919" i="3"/>
  <c r="F919" i="3"/>
  <c r="AW918" i="3"/>
  <c r="AK918" i="3"/>
  <c r="AN918" i="3"/>
  <c r="AM918" i="3"/>
  <c r="AL918" i="3"/>
  <c r="AJ918" i="3"/>
  <c r="AG918" i="3"/>
  <c r="W918" i="3"/>
  <c r="F918" i="3"/>
  <c r="AW917" i="3"/>
  <c r="AK917" i="3"/>
  <c r="AN917" i="3"/>
  <c r="AM917" i="3"/>
  <c r="AL917" i="3"/>
  <c r="AJ917" i="3"/>
  <c r="AG917" i="3"/>
  <c r="W917" i="3"/>
  <c r="F917" i="3"/>
  <c r="AW916" i="3"/>
  <c r="AK916" i="3"/>
  <c r="AN916" i="3"/>
  <c r="AM916" i="3"/>
  <c r="AL916" i="3"/>
  <c r="AJ916" i="3"/>
  <c r="AG916" i="3"/>
  <c r="W916" i="3"/>
  <c r="F916" i="3"/>
  <c r="AW915" i="3"/>
  <c r="AK915" i="3"/>
  <c r="AN915" i="3"/>
  <c r="AM915" i="3"/>
  <c r="AL915" i="3"/>
  <c r="AJ915" i="3"/>
  <c r="AG915" i="3"/>
  <c r="W915" i="3"/>
  <c r="F915" i="3"/>
  <c r="AW914" i="3"/>
  <c r="AK914" i="3"/>
  <c r="AN914" i="3"/>
  <c r="AM914" i="3"/>
  <c r="AL914" i="3"/>
  <c r="AJ914" i="3"/>
  <c r="AG914" i="3"/>
  <c r="W914" i="3"/>
  <c r="F914" i="3"/>
  <c r="AW913" i="3"/>
  <c r="AK913" i="3"/>
  <c r="AN913" i="3"/>
  <c r="AM913" i="3"/>
  <c r="AL913" i="3"/>
  <c r="AJ913" i="3"/>
  <c r="AG913" i="3"/>
  <c r="W913" i="3"/>
  <c r="F913" i="3"/>
  <c r="AW912" i="3"/>
  <c r="AK912" i="3"/>
  <c r="AN912" i="3"/>
  <c r="AM912" i="3"/>
  <c r="AL912" i="3"/>
  <c r="AJ912" i="3"/>
  <c r="AG912" i="3"/>
  <c r="W912" i="3"/>
  <c r="F912" i="3"/>
  <c r="AW911" i="3"/>
  <c r="AK911" i="3"/>
  <c r="AN911" i="3"/>
  <c r="AM911" i="3"/>
  <c r="AL911" i="3"/>
  <c r="AJ911" i="3"/>
  <c r="AG911" i="3"/>
  <c r="W911" i="3"/>
  <c r="F911" i="3"/>
  <c r="AW910" i="3"/>
  <c r="AK910" i="3"/>
  <c r="AN910" i="3"/>
  <c r="AM910" i="3"/>
  <c r="AL910" i="3"/>
  <c r="AJ910" i="3"/>
  <c r="AG910" i="3"/>
  <c r="W910" i="3"/>
  <c r="F910" i="3"/>
  <c r="AW909" i="3"/>
  <c r="AK909" i="3"/>
  <c r="AN909" i="3"/>
  <c r="AM909" i="3"/>
  <c r="AL909" i="3"/>
  <c r="AJ909" i="3"/>
  <c r="AG909" i="3"/>
  <c r="W909" i="3"/>
  <c r="F909" i="3"/>
  <c r="AW908" i="3"/>
  <c r="AK908" i="3"/>
  <c r="AN908" i="3"/>
  <c r="AM908" i="3"/>
  <c r="AL908" i="3"/>
  <c r="AJ908" i="3"/>
  <c r="AG908" i="3"/>
  <c r="W908" i="3"/>
  <c r="F908" i="3"/>
  <c r="AW907" i="3"/>
  <c r="AK907" i="3"/>
  <c r="AN907" i="3"/>
  <c r="AM907" i="3"/>
  <c r="AL907" i="3"/>
  <c r="AJ907" i="3"/>
  <c r="AG907" i="3"/>
  <c r="W907" i="3"/>
  <c r="F907" i="3"/>
  <c r="AW906" i="3"/>
  <c r="AK906" i="3"/>
  <c r="AN906" i="3"/>
  <c r="AM906" i="3"/>
  <c r="AL906" i="3"/>
  <c r="AJ906" i="3"/>
  <c r="AG906" i="3"/>
  <c r="W906" i="3"/>
  <c r="F906" i="3"/>
  <c r="AW905" i="3"/>
  <c r="AK905" i="3"/>
  <c r="AN905" i="3"/>
  <c r="AM905" i="3"/>
  <c r="AL905" i="3"/>
  <c r="AJ905" i="3"/>
  <c r="AG905" i="3"/>
  <c r="W905" i="3"/>
  <c r="F905" i="3"/>
  <c r="AW904" i="3"/>
  <c r="AK904" i="3"/>
  <c r="AN904" i="3"/>
  <c r="AM904" i="3"/>
  <c r="AL904" i="3"/>
  <c r="AJ904" i="3"/>
  <c r="AG904" i="3"/>
  <c r="W904" i="3"/>
  <c r="F904" i="3"/>
  <c r="AW903" i="3"/>
  <c r="AK903" i="3"/>
  <c r="AN903" i="3"/>
  <c r="AM903" i="3"/>
  <c r="AL903" i="3"/>
  <c r="AJ903" i="3"/>
  <c r="AG903" i="3"/>
  <c r="W903" i="3"/>
  <c r="F903" i="3"/>
  <c r="AW902" i="3"/>
  <c r="AK902" i="3"/>
  <c r="AN902" i="3"/>
  <c r="AM902" i="3"/>
  <c r="AL902" i="3"/>
  <c r="AJ902" i="3"/>
  <c r="AG902" i="3"/>
  <c r="W902" i="3"/>
  <c r="F902" i="3"/>
  <c r="AW901" i="3"/>
  <c r="AK901" i="3"/>
  <c r="AN901" i="3"/>
  <c r="AM901" i="3"/>
  <c r="AL901" i="3"/>
  <c r="AJ901" i="3"/>
  <c r="AG901" i="3"/>
  <c r="W901" i="3"/>
  <c r="F901" i="3"/>
  <c r="AW900" i="3"/>
  <c r="AK900" i="3"/>
  <c r="AN900" i="3"/>
  <c r="AM900" i="3"/>
  <c r="AL900" i="3"/>
  <c r="AJ900" i="3"/>
  <c r="AG900" i="3"/>
  <c r="W900" i="3"/>
  <c r="F900" i="3"/>
  <c r="AW899" i="3"/>
  <c r="AK899" i="3"/>
  <c r="AN899" i="3"/>
  <c r="AM899" i="3"/>
  <c r="AL899" i="3"/>
  <c r="AJ899" i="3"/>
  <c r="AG899" i="3"/>
  <c r="W899" i="3"/>
  <c r="F899" i="3"/>
  <c r="AW898" i="3"/>
  <c r="AK898" i="3"/>
  <c r="AN898" i="3"/>
  <c r="AM898" i="3"/>
  <c r="AL898" i="3"/>
  <c r="AJ898" i="3"/>
  <c r="AG898" i="3"/>
  <c r="W898" i="3"/>
  <c r="F898" i="3"/>
  <c r="AW897" i="3"/>
  <c r="AK897" i="3"/>
  <c r="AN897" i="3"/>
  <c r="AM897" i="3"/>
  <c r="AL897" i="3"/>
  <c r="AJ897" i="3"/>
  <c r="AG897" i="3"/>
  <c r="W897" i="3"/>
  <c r="F897" i="3"/>
  <c r="AW896" i="3"/>
  <c r="AK896" i="3"/>
  <c r="AN896" i="3"/>
  <c r="AM896" i="3"/>
  <c r="AL896" i="3"/>
  <c r="AJ896" i="3"/>
  <c r="AG896" i="3"/>
  <c r="W896" i="3"/>
  <c r="F896" i="3"/>
  <c r="AW895" i="3"/>
  <c r="AK895" i="3"/>
  <c r="AN895" i="3"/>
  <c r="AM895" i="3"/>
  <c r="AL895" i="3"/>
  <c r="AJ895" i="3"/>
  <c r="AG895" i="3"/>
  <c r="W895" i="3"/>
  <c r="F895" i="3"/>
  <c r="AW894" i="3"/>
  <c r="AK894" i="3"/>
  <c r="AN894" i="3"/>
  <c r="AM894" i="3"/>
  <c r="AL894" i="3"/>
  <c r="AJ894" i="3"/>
  <c r="AG894" i="3"/>
  <c r="W894" i="3"/>
  <c r="F894" i="3"/>
  <c r="AW893" i="3"/>
  <c r="AK893" i="3"/>
  <c r="AN893" i="3"/>
  <c r="AM893" i="3"/>
  <c r="AL893" i="3"/>
  <c r="AJ893" i="3"/>
  <c r="AG893" i="3"/>
  <c r="W893" i="3"/>
  <c r="F893" i="3"/>
  <c r="AW892" i="3"/>
  <c r="AK892" i="3"/>
  <c r="AN892" i="3"/>
  <c r="AM892" i="3"/>
  <c r="AL892" i="3"/>
  <c r="AJ892" i="3"/>
  <c r="AG892" i="3"/>
  <c r="W892" i="3"/>
  <c r="F892" i="3"/>
  <c r="AW891" i="3"/>
  <c r="AK891" i="3"/>
  <c r="AN891" i="3"/>
  <c r="AM891" i="3"/>
  <c r="AL891" i="3"/>
  <c r="AJ891" i="3"/>
  <c r="AG891" i="3"/>
  <c r="W891" i="3"/>
  <c r="F891" i="3"/>
  <c r="AW890" i="3"/>
  <c r="AK890" i="3"/>
  <c r="AN890" i="3"/>
  <c r="AM890" i="3"/>
  <c r="AL890" i="3"/>
  <c r="AJ890" i="3"/>
  <c r="AG890" i="3"/>
  <c r="W890" i="3"/>
  <c r="F890" i="3"/>
  <c r="AW889" i="3"/>
  <c r="AK889" i="3"/>
  <c r="AN889" i="3"/>
  <c r="AM889" i="3"/>
  <c r="AL889" i="3"/>
  <c r="AJ889" i="3"/>
  <c r="AG889" i="3"/>
  <c r="W889" i="3"/>
  <c r="F889" i="3"/>
  <c r="AW888" i="3"/>
  <c r="AK888" i="3"/>
  <c r="AN888" i="3"/>
  <c r="AM888" i="3"/>
  <c r="AL888" i="3"/>
  <c r="AJ888" i="3"/>
  <c r="AG888" i="3"/>
  <c r="W888" i="3"/>
  <c r="F888" i="3"/>
  <c r="AW887" i="3"/>
  <c r="AK887" i="3"/>
  <c r="AN887" i="3"/>
  <c r="AM887" i="3"/>
  <c r="AL887" i="3"/>
  <c r="AJ887" i="3"/>
  <c r="AG887" i="3"/>
  <c r="W887" i="3"/>
  <c r="F887" i="3"/>
  <c r="AW886" i="3"/>
  <c r="AK886" i="3"/>
  <c r="AN886" i="3"/>
  <c r="AM886" i="3"/>
  <c r="AL886" i="3"/>
  <c r="AJ886" i="3"/>
  <c r="AG886" i="3"/>
  <c r="W886" i="3"/>
  <c r="F886" i="3"/>
  <c r="AW885" i="3"/>
  <c r="AK885" i="3"/>
  <c r="AN885" i="3"/>
  <c r="AM885" i="3"/>
  <c r="AL885" i="3"/>
  <c r="AJ885" i="3"/>
  <c r="AG885" i="3"/>
  <c r="W885" i="3"/>
  <c r="F885" i="3"/>
  <c r="AW884" i="3"/>
  <c r="AK884" i="3"/>
  <c r="AN884" i="3"/>
  <c r="AM884" i="3"/>
  <c r="AL884" i="3"/>
  <c r="AJ884" i="3"/>
  <c r="AG884" i="3"/>
  <c r="W884" i="3"/>
  <c r="F884" i="3"/>
  <c r="AW883" i="3"/>
  <c r="AK883" i="3"/>
  <c r="AN883" i="3"/>
  <c r="AM883" i="3"/>
  <c r="AL883" i="3"/>
  <c r="AJ883" i="3"/>
  <c r="AG883" i="3"/>
  <c r="W883" i="3"/>
  <c r="F883" i="3"/>
  <c r="AW882" i="3"/>
  <c r="AK882" i="3"/>
  <c r="AN882" i="3"/>
  <c r="AM882" i="3"/>
  <c r="AL882" i="3"/>
  <c r="AJ882" i="3"/>
  <c r="AG882" i="3"/>
  <c r="W882" i="3"/>
  <c r="F882" i="3"/>
  <c r="AW881" i="3"/>
  <c r="AK881" i="3"/>
  <c r="AN881" i="3"/>
  <c r="AM881" i="3"/>
  <c r="AL881" i="3"/>
  <c r="AJ881" i="3"/>
  <c r="AG881" i="3"/>
  <c r="W881" i="3"/>
  <c r="F881" i="3"/>
  <c r="AW880" i="3"/>
  <c r="AK880" i="3"/>
  <c r="AN880" i="3"/>
  <c r="AM880" i="3"/>
  <c r="AL880" i="3"/>
  <c r="AJ880" i="3"/>
  <c r="AG880" i="3"/>
  <c r="W880" i="3"/>
  <c r="F880" i="3"/>
  <c r="AW879" i="3"/>
  <c r="AK879" i="3"/>
  <c r="AN879" i="3"/>
  <c r="AM879" i="3"/>
  <c r="AL879" i="3"/>
  <c r="AJ879" i="3"/>
  <c r="AG879" i="3"/>
  <c r="W879" i="3"/>
  <c r="F879" i="3"/>
  <c r="AW878" i="3"/>
  <c r="AK878" i="3"/>
  <c r="AN878" i="3"/>
  <c r="AM878" i="3"/>
  <c r="AL878" i="3"/>
  <c r="AJ878" i="3"/>
  <c r="AG878" i="3"/>
  <c r="W878" i="3"/>
  <c r="F878" i="3"/>
  <c r="AW877" i="3"/>
  <c r="AK877" i="3"/>
  <c r="AN877" i="3"/>
  <c r="AM877" i="3"/>
  <c r="AL877" i="3"/>
  <c r="AJ877" i="3"/>
  <c r="AG877" i="3"/>
  <c r="W877" i="3"/>
  <c r="F877" i="3"/>
  <c r="AW876" i="3"/>
  <c r="AK876" i="3"/>
  <c r="AN876" i="3"/>
  <c r="AM876" i="3"/>
  <c r="AL876" i="3"/>
  <c r="W876" i="3"/>
  <c r="AJ876" i="3"/>
  <c r="AG876" i="3"/>
  <c r="F876" i="3"/>
  <c r="AW875" i="3"/>
  <c r="AK875" i="3"/>
  <c r="AN875" i="3"/>
  <c r="AM875" i="3"/>
  <c r="AL875" i="3"/>
  <c r="AJ875" i="3"/>
  <c r="AG875" i="3"/>
  <c r="W875" i="3"/>
  <c r="F875" i="3"/>
  <c r="AW874" i="3"/>
  <c r="AK874" i="3"/>
  <c r="AN874" i="3"/>
  <c r="AM874" i="3"/>
  <c r="AL874" i="3"/>
  <c r="AJ874" i="3"/>
  <c r="AG874" i="3"/>
  <c r="W874" i="3"/>
  <c r="F874" i="3"/>
  <c r="AW873" i="3"/>
  <c r="AK873" i="3"/>
  <c r="AN873" i="3"/>
  <c r="AM873" i="3"/>
  <c r="AL873" i="3"/>
  <c r="AJ873" i="3"/>
  <c r="AG873" i="3"/>
  <c r="W873" i="3"/>
  <c r="F873" i="3"/>
  <c r="AW872" i="3"/>
  <c r="AK872" i="3"/>
  <c r="AN872" i="3"/>
  <c r="AM872" i="3"/>
  <c r="AL872" i="3"/>
  <c r="AJ872" i="3"/>
  <c r="AG872" i="3"/>
  <c r="W872" i="3"/>
  <c r="F872" i="3"/>
  <c r="AW871" i="3"/>
  <c r="AK871" i="3"/>
  <c r="AN871" i="3"/>
  <c r="AM871" i="3"/>
  <c r="AL871" i="3"/>
  <c r="AJ871" i="3"/>
  <c r="AG871" i="3"/>
  <c r="W871" i="3"/>
  <c r="F871" i="3"/>
  <c r="AW870" i="3"/>
  <c r="AK870" i="3"/>
  <c r="AN870" i="3"/>
  <c r="AM870" i="3"/>
  <c r="AL870" i="3"/>
  <c r="AJ870" i="3"/>
  <c r="AG870" i="3"/>
  <c r="W870" i="3"/>
  <c r="F870" i="3"/>
  <c r="AW869" i="3"/>
  <c r="AK869" i="3"/>
  <c r="AN869" i="3"/>
  <c r="AM869" i="3"/>
  <c r="AL869" i="3"/>
  <c r="AJ869" i="3"/>
  <c r="AG869" i="3"/>
  <c r="W869" i="3"/>
  <c r="F869" i="3"/>
  <c r="AW868" i="3"/>
  <c r="AK868" i="3"/>
  <c r="AN868" i="3"/>
  <c r="AM868" i="3"/>
  <c r="AL868" i="3"/>
  <c r="AJ868" i="3"/>
  <c r="AG868" i="3"/>
  <c r="W868" i="3"/>
  <c r="F868" i="3"/>
  <c r="AW867" i="3"/>
  <c r="AK867" i="3"/>
  <c r="AN867" i="3"/>
  <c r="AM867" i="3"/>
  <c r="AL867" i="3"/>
  <c r="AJ867" i="3"/>
  <c r="AG867" i="3"/>
  <c r="W867" i="3"/>
  <c r="F867" i="3"/>
  <c r="AW866" i="3"/>
  <c r="AK866" i="3"/>
  <c r="AN866" i="3"/>
  <c r="AM866" i="3"/>
  <c r="AL866" i="3"/>
  <c r="W866" i="3"/>
  <c r="AJ866" i="3"/>
  <c r="AG866" i="3"/>
  <c r="F866" i="3"/>
  <c r="AW865" i="3"/>
  <c r="AK865" i="3"/>
  <c r="AN865" i="3"/>
  <c r="AM865" i="3"/>
  <c r="AL865" i="3"/>
  <c r="AJ865" i="3"/>
  <c r="AG865" i="3"/>
  <c r="W865" i="3"/>
  <c r="F865" i="3"/>
  <c r="AW864" i="3"/>
  <c r="AK864" i="3"/>
  <c r="AN864" i="3"/>
  <c r="AM864" i="3"/>
  <c r="AL864" i="3"/>
  <c r="W864" i="3"/>
  <c r="AJ864" i="3"/>
  <c r="AG864" i="3"/>
  <c r="F864" i="3"/>
  <c r="AW863" i="3"/>
  <c r="AK863" i="3"/>
  <c r="AN863" i="3"/>
  <c r="AM863" i="3"/>
  <c r="AL863" i="3"/>
  <c r="AJ863" i="3"/>
  <c r="AG863" i="3"/>
  <c r="W863" i="3"/>
  <c r="F863" i="3"/>
  <c r="AW862" i="3"/>
  <c r="AK862" i="3"/>
  <c r="AN862" i="3"/>
  <c r="AM862" i="3"/>
  <c r="AL862" i="3"/>
  <c r="AJ862" i="3"/>
  <c r="AG862" i="3"/>
  <c r="W862" i="3"/>
  <c r="F862" i="3"/>
  <c r="AW861" i="3"/>
  <c r="AK861" i="3"/>
  <c r="AN861" i="3"/>
  <c r="AM861" i="3"/>
  <c r="AL861" i="3"/>
  <c r="AJ861" i="3"/>
  <c r="AG861" i="3"/>
  <c r="W861" i="3"/>
  <c r="F861" i="3"/>
  <c r="AW860" i="3"/>
  <c r="AK860" i="3"/>
  <c r="AN860" i="3"/>
  <c r="AM860" i="3"/>
  <c r="AL860" i="3"/>
  <c r="AJ860" i="3"/>
  <c r="AG860" i="3"/>
  <c r="W860" i="3"/>
  <c r="F860" i="3"/>
  <c r="AW859" i="3"/>
  <c r="AK859" i="3"/>
  <c r="AN859" i="3"/>
  <c r="AM859" i="3"/>
  <c r="AL859" i="3"/>
  <c r="AJ859" i="3"/>
  <c r="AG859" i="3"/>
  <c r="W859" i="3"/>
  <c r="F859" i="3"/>
  <c r="AW858" i="3"/>
  <c r="AK858" i="3"/>
  <c r="AN858" i="3"/>
  <c r="AM858" i="3"/>
  <c r="AL858" i="3"/>
  <c r="AJ858" i="3"/>
  <c r="AG858" i="3"/>
  <c r="W858" i="3"/>
  <c r="F858" i="3"/>
  <c r="AW857" i="3"/>
  <c r="AK857" i="3"/>
  <c r="AN857" i="3"/>
  <c r="AM857" i="3"/>
  <c r="AL857" i="3"/>
  <c r="W857" i="3"/>
  <c r="AJ857" i="3"/>
  <c r="AG857" i="3"/>
  <c r="F857" i="3"/>
  <c r="AW856" i="3"/>
  <c r="AK856" i="3"/>
  <c r="AN856" i="3"/>
  <c r="AM856" i="3"/>
  <c r="AL856" i="3"/>
  <c r="W856" i="3"/>
  <c r="AJ856" i="3"/>
  <c r="AG856" i="3"/>
  <c r="F856" i="3"/>
  <c r="AW855" i="3"/>
  <c r="AK855" i="3"/>
  <c r="AN855" i="3"/>
  <c r="AM855" i="3"/>
  <c r="AL855" i="3"/>
  <c r="AJ855" i="3"/>
  <c r="AG855" i="3"/>
  <c r="W855" i="3"/>
  <c r="F855" i="3"/>
  <c r="AW854" i="3"/>
  <c r="AK854" i="3"/>
  <c r="AN854" i="3"/>
  <c r="AM854" i="3"/>
  <c r="AL854" i="3"/>
  <c r="AJ854" i="3"/>
  <c r="AG854" i="3"/>
  <c r="W854" i="3"/>
  <c r="F854" i="3"/>
  <c r="AW853" i="3"/>
  <c r="AK853" i="3"/>
  <c r="AN853" i="3"/>
  <c r="AM853" i="3"/>
  <c r="AL853" i="3"/>
  <c r="W853" i="3"/>
  <c r="AJ853" i="3"/>
  <c r="AG853" i="3"/>
  <c r="F853" i="3"/>
  <c r="AW852" i="3"/>
  <c r="AK852" i="3"/>
  <c r="AN852" i="3"/>
  <c r="AM852" i="3"/>
  <c r="AL852" i="3"/>
  <c r="W852" i="3"/>
  <c r="AJ852" i="3"/>
  <c r="AG852" i="3"/>
  <c r="F852" i="3"/>
  <c r="AW851" i="3"/>
  <c r="AK851" i="3"/>
  <c r="AN851" i="3"/>
  <c r="AM851" i="3"/>
  <c r="AL851" i="3"/>
  <c r="W851" i="3"/>
  <c r="AJ851" i="3"/>
  <c r="AG851" i="3"/>
  <c r="F851" i="3"/>
  <c r="AW850" i="3"/>
  <c r="AK850" i="3"/>
  <c r="AN850" i="3"/>
  <c r="AM850" i="3"/>
  <c r="AL850" i="3"/>
  <c r="W850" i="3"/>
  <c r="AJ850" i="3"/>
  <c r="AG850" i="3"/>
  <c r="F850" i="3"/>
  <c r="AW849" i="3"/>
  <c r="AK849" i="3"/>
  <c r="AN849" i="3"/>
  <c r="AM849" i="3"/>
  <c r="AL849" i="3"/>
  <c r="W849" i="3"/>
  <c r="AJ849" i="3"/>
  <c r="AG849" i="3"/>
  <c r="F849" i="3"/>
  <c r="AW848" i="3"/>
  <c r="AK848" i="3"/>
  <c r="AN848" i="3"/>
  <c r="AM848" i="3"/>
  <c r="AL848" i="3"/>
  <c r="AJ848" i="3"/>
  <c r="AG848" i="3"/>
  <c r="W848" i="3"/>
  <c r="F848" i="3"/>
  <c r="AW847" i="3"/>
  <c r="AK847" i="3"/>
  <c r="AN847" i="3"/>
  <c r="AM847" i="3"/>
  <c r="AL847" i="3"/>
  <c r="W847" i="3"/>
  <c r="AJ847" i="3"/>
  <c r="AG847" i="3"/>
  <c r="F847" i="3"/>
  <c r="AW846" i="3"/>
  <c r="AK846" i="3"/>
  <c r="AN846" i="3"/>
  <c r="AM846" i="3"/>
  <c r="AL846" i="3"/>
  <c r="AJ846" i="3"/>
  <c r="AG846" i="3"/>
  <c r="W846" i="3"/>
  <c r="F846" i="3"/>
  <c r="AW845" i="3"/>
  <c r="AK845" i="3"/>
  <c r="AN845" i="3"/>
  <c r="AM845" i="3"/>
  <c r="AL845" i="3"/>
  <c r="AJ845" i="3"/>
  <c r="AG845" i="3"/>
  <c r="W845" i="3"/>
  <c r="F845" i="3"/>
  <c r="AW844" i="3"/>
  <c r="AK844" i="3"/>
  <c r="AN844" i="3"/>
  <c r="AM844" i="3"/>
  <c r="AL844" i="3"/>
  <c r="AJ844" i="3"/>
  <c r="AG844" i="3"/>
  <c r="W844" i="3"/>
  <c r="F844" i="3"/>
  <c r="AW843" i="3"/>
  <c r="AK843" i="3"/>
  <c r="AN843" i="3"/>
  <c r="AM843" i="3"/>
  <c r="AL843" i="3"/>
  <c r="AJ843" i="3"/>
  <c r="AG843" i="3"/>
  <c r="W843" i="3"/>
  <c r="F843" i="3"/>
  <c r="AW842" i="3"/>
  <c r="AK842" i="3"/>
  <c r="AN842" i="3"/>
  <c r="AM842" i="3"/>
  <c r="AL842" i="3"/>
  <c r="AJ842" i="3"/>
  <c r="AG842" i="3"/>
  <c r="W842" i="3"/>
  <c r="F842" i="3"/>
  <c r="AW841" i="3"/>
  <c r="AK841" i="3"/>
  <c r="AN841" i="3"/>
  <c r="AM841" i="3"/>
  <c r="AL841" i="3"/>
  <c r="AJ841" i="3"/>
  <c r="AG841" i="3"/>
  <c r="W841" i="3"/>
  <c r="F841" i="3"/>
  <c r="AW840" i="3"/>
  <c r="AK840" i="3"/>
  <c r="AN840" i="3"/>
  <c r="AM840" i="3"/>
  <c r="AL840" i="3"/>
  <c r="AJ840" i="3"/>
  <c r="AG840" i="3"/>
  <c r="W840" i="3"/>
  <c r="F840" i="3"/>
  <c r="AW839" i="3"/>
  <c r="AK839" i="3"/>
  <c r="AN839" i="3"/>
  <c r="AM839" i="3"/>
  <c r="AL839" i="3"/>
  <c r="AJ839" i="3"/>
  <c r="AG839" i="3"/>
  <c r="W839" i="3"/>
  <c r="F839" i="3"/>
  <c r="AW838" i="3"/>
  <c r="AK838" i="3"/>
  <c r="AN838" i="3"/>
  <c r="AM838" i="3"/>
  <c r="AL838" i="3"/>
  <c r="AJ838" i="3"/>
  <c r="AG838" i="3"/>
  <c r="W838" i="3"/>
  <c r="F838" i="3"/>
  <c r="AW837" i="3"/>
  <c r="AK837" i="3"/>
  <c r="AN837" i="3"/>
  <c r="AM837" i="3"/>
  <c r="AL837" i="3"/>
  <c r="AJ837" i="3"/>
  <c r="AG837" i="3"/>
  <c r="W837" i="3"/>
  <c r="F837" i="3"/>
  <c r="AW836" i="3"/>
  <c r="AK836" i="3"/>
  <c r="AN836" i="3"/>
  <c r="AM836" i="3"/>
  <c r="AL836" i="3"/>
  <c r="AJ836" i="3"/>
  <c r="AG836" i="3"/>
  <c r="W836" i="3"/>
  <c r="F836" i="3"/>
  <c r="AW835" i="3"/>
  <c r="AK835" i="3"/>
  <c r="AN835" i="3"/>
  <c r="AM835" i="3"/>
  <c r="AL835" i="3"/>
  <c r="AJ835" i="3"/>
  <c r="AG835" i="3"/>
  <c r="W835" i="3"/>
  <c r="F835" i="3"/>
  <c r="AW834" i="3"/>
  <c r="AK834" i="3"/>
  <c r="AN834" i="3"/>
  <c r="AM834" i="3"/>
  <c r="AL834" i="3"/>
  <c r="AJ834" i="3"/>
  <c r="AG834" i="3"/>
  <c r="W834" i="3"/>
  <c r="F834" i="3"/>
  <c r="AW833" i="3"/>
  <c r="AK833" i="3"/>
  <c r="AN833" i="3"/>
  <c r="AM833" i="3"/>
  <c r="AL833" i="3"/>
  <c r="W833" i="3"/>
  <c r="AJ833" i="3"/>
  <c r="AG833" i="3"/>
  <c r="F833" i="3"/>
  <c r="AW832" i="3"/>
  <c r="AK832" i="3"/>
  <c r="AN832" i="3"/>
  <c r="AM832" i="3"/>
  <c r="AL832" i="3"/>
  <c r="AJ832" i="3"/>
  <c r="AG832" i="3"/>
  <c r="W832" i="3"/>
  <c r="F832" i="3"/>
  <c r="AW831" i="3"/>
  <c r="AK831" i="3"/>
  <c r="AN831" i="3"/>
  <c r="AM831" i="3"/>
  <c r="AL831" i="3"/>
  <c r="AJ831" i="3"/>
  <c r="AG831" i="3"/>
  <c r="W831" i="3"/>
  <c r="F831" i="3"/>
  <c r="AW830" i="3"/>
  <c r="AK830" i="3"/>
  <c r="AN830" i="3"/>
  <c r="AM830" i="3"/>
  <c r="AL830" i="3"/>
  <c r="AJ830" i="3"/>
  <c r="AG830" i="3"/>
  <c r="W830" i="3"/>
  <c r="F830" i="3"/>
  <c r="AW829" i="3"/>
  <c r="AK829" i="3"/>
  <c r="AN829" i="3"/>
  <c r="AM829" i="3"/>
  <c r="AL829" i="3"/>
  <c r="W829" i="3"/>
  <c r="AJ829" i="3"/>
  <c r="AG829" i="3"/>
  <c r="F829" i="3"/>
  <c r="AW828" i="3"/>
  <c r="AK828" i="3"/>
  <c r="AN828" i="3"/>
  <c r="AM828" i="3"/>
  <c r="AL828" i="3"/>
  <c r="W828" i="3"/>
  <c r="AJ828" i="3"/>
  <c r="AG828" i="3"/>
  <c r="F828" i="3"/>
  <c r="AW827" i="3"/>
  <c r="AK827" i="3"/>
  <c r="AN827" i="3"/>
  <c r="AM827" i="3"/>
  <c r="AL827" i="3"/>
  <c r="AJ827" i="3"/>
  <c r="AG827" i="3"/>
  <c r="W827" i="3"/>
  <c r="F827" i="3"/>
  <c r="AW826" i="3"/>
  <c r="AK826" i="3"/>
  <c r="AN826" i="3"/>
  <c r="AM826" i="3"/>
  <c r="AL826" i="3"/>
  <c r="AJ826" i="3"/>
  <c r="AG826" i="3"/>
  <c r="W826" i="3"/>
  <c r="F826" i="3"/>
  <c r="AW825" i="3"/>
  <c r="AK825" i="3"/>
  <c r="AN825" i="3"/>
  <c r="AM825" i="3"/>
  <c r="AL825" i="3"/>
  <c r="AJ825" i="3"/>
  <c r="AG825" i="3"/>
  <c r="W825" i="3"/>
  <c r="F825" i="3"/>
  <c r="AW824" i="3"/>
  <c r="AK824" i="3"/>
  <c r="AN824" i="3"/>
  <c r="AM824" i="3"/>
  <c r="AL824" i="3"/>
  <c r="AJ824" i="3"/>
  <c r="AG824" i="3"/>
  <c r="W824" i="3"/>
  <c r="F824" i="3"/>
  <c r="AW823" i="3"/>
  <c r="AK823" i="3"/>
  <c r="AN823" i="3"/>
  <c r="AM823" i="3"/>
  <c r="AL823" i="3"/>
  <c r="AJ823" i="3"/>
  <c r="AG823" i="3"/>
  <c r="W823" i="3"/>
  <c r="F823" i="3"/>
  <c r="AW822" i="3"/>
  <c r="AK822" i="3"/>
  <c r="AN822" i="3"/>
  <c r="AM822" i="3"/>
  <c r="AL822" i="3"/>
  <c r="AJ822" i="3"/>
  <c r="AG822" i="3"/>
  <c r="W822" i="3"/>
  <c r="F822" i="3"/>
  <c r="AW821" i="3"/>
  <c r="AK821" i="3"/>
  <c r="AN821" i="3"/>
  <c r="AM821" i="3"/>
  <c r="AL821" i="3"/>
  <c r="AJ821" i="3"/>
  <c r="AG821" i="3"/>
  <c r="W821" i="3"/>
  <c r="F821" i="3"/>
  <c r="AW820" i="3"/>
  <c r="AK820" i="3"/>
  <c r="AN820" i="3"/>
  <c r="AM820" i="3"/>
  <c r="AL820" i="3"/>
  <c r="AJ820" i="3"/>
  <c r="AG820" i="3"/>
  <c r="W820" i="3"/>
  <c r="F820" i="3"/>
  <c r="AW819" i="3"/>
  <c r="AK819" i="3"/>
  <c r="AN819" i="3"/>
  <c r="AM819" i="3"/>
  <c r="AL819" i="3"/>
  <c r="AJ819" i="3"/>
  <c r="AG819" i="3"/>
  <c r="W819" i="3"/>
  <c r="F819" i="3"/>
  <c r="AW818" i="3"/>
  <c r="AK818" i="3"/>
  <c r="AN818" i="3"/>
  <c r="AM818" i="3"/>
  <c r="AL818" i="3"/>
  <c r="AJ818" i="3"/>
  <c r="AG818" i="3"/>
  <c r="W818" i="3"/>
  <c r="F818" i="3"/>
  <c r="AW817" i="3"/>
  <c r="AK817" i="3"/>
  <c r="AN817" i="3"/>
  <c r="AM817" i="3"/>
  <c r="AL817" i="3"/>
  <c r="AJ817" i="3"/>
  <c r="AG817" i="3"/>
  <c r="W817" i="3"/>
  <c r="F817" i="3"/>
  <c r="AW816" i="3"/>
  <c r="AK816" i="3"/>
  <c r="AN816" i="3"/>
  <c r="AM816" i="3"/>
  <c r="AL816" i="3"/>
  <c r="AJ816" i="3"/>
  <c r="AG816" i="3"/>
  <c r="W816" i="3"/>
  <c r="F816" i="3"/>
  <c r="AW815" i="3"/>
  <c r="AK815" i="3"/>
  <c r="AN815" i="3"/>
  <c r="AM815" i="3"/>
  <c r="AL815" i="3"/>
  <c r="AJ815" i="3"/>
  <c r="AG815" i="3"/>
  <c r="W815" i="3"/>
  <c r="F815" i="3"/>
  <c r="AW814" i="3"/>
  <c r="AK814" i="3"/>
  <c r="AN814" i="3"/>
  <c r="AM814" i="3"/>
  <c r="AL814" i="3"/>
  <c r="AJ814" i="3"/>
  <c r="AG814" i="3"/>
  <c r="W814" i="3"/>
  <c r="F814" i="3"/>
  <c r="AW813" i="3"/>
  <c r="AK813" i="3"/>
  <c r="AN813" i="3"/>
  <c r="AM813" i="3"/>
  <c r="AL813" i="3"/>
  <c r="AJ813" i="3"/>
  <c r="AG813" i="3"/>
  <c r="W813" i="3"/>
  <c r="F813" i="3"/>
  <c r="AW812" i="3"/>
  <c r="AK812" i="3"/>
  <c r="AN812" i="3"/>
  <c r="AM812" i="3"/>
  <c r="AL812" i="3"/>
  <c r="AJ812" i="3"/>
  <c r="AG812" i="3"/>
  <c r="W812" i="3"/>
  <c r="F812" i="3"/>
  <c r="AW811" i="3"/>
  <c r="AK811" i="3"/>
  <c r="AN811" i="3"/>
  <c r="AM811" i="3"/>
  <c r="AL811" i="3"/>
  <c r="AJ811" i="3"/>
  <c r="AG811" i="3"/>
  <c r="W811" i="3"/>
  <c r="F811" i="3"/>
  <c r="AW810" i="3"/>
  <c r="AK810" i="3"/>
  <c r="AN810" i="3"/>
  <c r="AM810" i="3"/>
  <c r="AL810" i="3"/>
  <c r="AJ810" i="3"/>
  <c r="AG810" i="3"/>
  <c r="W810" i="3"/>
  <c r="F810" i="3"/>
  <c r="AW809" i="3"/>
  <c r="AK809" i="3"/>
  <c r="AN809" i="3"/>
  <c r="AM809" i="3"/>
  <c r="AL809" i="3"/>
  <c r="W809" i="3"/>
  <c r="AJ809" i="3"/>
  <c r="AG809" i="3"/>
  <c r="F809" i="3"/>
  <c r="AW808" i="3"/>
  <c r="AK808" i="3"/>
  <c r="AN808" i="3"/>
  <c r="AM808" i="3"/>
  <c r="AL808" i="3"/>
  <c r="W808" i="3"/>
  <c r="AJ808" i="3"/>
  <c r="AG808" i="3"/>
  <c r="F808" i="3"/>
  <c r="AW807" i="3"/>
  <c r="AK807" i="3"/>
  <c r="AN807" i="3"/>
  <c r="AM807" i="3"/>
  <c r="AL807" i="3"/>
  <c r="AJ807" i="3"/>
  <c r="AG807" i="3"/>
  <c r="W807" i="3"/>
  <c r="F807" i="3"/>
  <c r="AW806" i="3"/>
  <c r="AK806" i="3"/>
  <c r="AN806" i="3"/>
  <c r="AM806" i="3"/>
  <c r="AL806" i="3"/>
  <c r="AJ806" i="3"/>
  <c r="AG806" i="3"/>
  <c r="W806" i="3"/>
  <c r="F806" i="3"/>
  <c r="AW805" i="3"/>
  <c r="AK805" i="3"/>
  <c r="AN805" i="3"/>
  <c r="AM805" i="3"/>
  <c r="AL805" i="3"/>
  <c r="AJ805" i="3"/>
  <c r="AG805" i="3"/>
  <c r="W805" i="3"/>
  <c r="F805" i="3"/>
  <c r="AW804" i="3"/>
  <c r="AK804" i="3"/>
  <c r="AN804" i="3"/>
  <c r="AM804" i="3"/>
  <c r="AL804" i="3"/>
  <c r="AJ804" i="3"/>
  <c r="AG804" i="3"/>
  <c r="W804" i="3"/>
  <c r="F804" i="3"/>
  <c r="AW803" i="3"/>
  <c r="AK803" i="3"/>
  <c r="AN803" i="3"/>
  <c r="AM803" i="3"/>
  <c r="AL803" i="3"/>
  <c r="AJ803" i="3"/>
  <c r="AG803" i="3"/>
  <c r="W803" i="3"/>
  <c r="F803" i="3"/>
  <c r="AW802" i="3"/>
  <c r="AK802" i="3"/>
  <c r="AN802" i="3"/>
  <c r="AM802" i="3"/>
  <c r="AL802" i="3"/>
  <c r="AJ802" i="3"/>
  <c r="AG802" i="3"/>
  <c r="W802" i="3"/>
  <c r="F802" i="3"/>
  <c r="AW801" i="3"/>
  <c r="AK801" i="3"/>
  <c r="AN801" i="3"/>
  <c r="AM801" i="3"/>
  <c r="AL801" i="3"/>
  <c r="AJ801" i="3"/>
  <c r="AG801" i="3"/>
  <c r="W801" i="3"/>
  <c r="F801" i="3"/>
  <c r="AW800" i="3"/>
  <c r="AK800" i="3"/>
  <c r="AN800" i="3"/>
  <c r="AM800" i="3"/>
  <c r="AL800" i="3"/>
  <c r="AJ800" i="3"/>
  <c r="AG800" i="3"/>
  <c r="W800" i="3"/>
  <c r="F800" i="3"/>
  <c r="AW799" i="3"/>
  <c r="AK799" i="3"/>
  <c r="AN799" i="3"/>
  <c r="AM799" i="3"/>
  <c r="AL799" i="3"/>
  <c r="AJ799" i="3"/>
  <c r="AG799" i="3"/>
  <c r="W799" i="3"/>
  <c r="F799" i="3"/>
  <c r="AW798" i="3"/>
  <c r="AK798" i="3"/>
  <c r="AN798" i="3"/>
  <c r="AM798" i="3"/>
  <c r="AL798" i="3"/>
  <c r="AJ798" i="3"/>
  <c r="AG798" i="3"/>
  <c r="W798" i="3"/>
  <c r="F798" i="3"/>
  <c r="AW797" i="3"/>
  <c r="AK797" i="3"/>
  <c r="AN797" i="3"/>
  <c r="AM797" i="3"/>
  <c r="AL797" i="3"/>
  <c r="AJ797" i="3"/>
  <c r="AG797" i="3"/>
  <c r="W797" i="3"/>
  <c r="F797" i="3"/>
  <c r="AW796" i="3"/>
  <c r="AK796" i="3"/>
  <c r="AN796" i="3"/>
  <c r="AM796" i="3"/>
  <c r="AL796" i="3"/>
  <c r="AJ796" i="3"/>
  <c r="AG796" i="3"/>
  <c r="W796" i="3"/>
  <c r="F796" i="3"/>
  <c r="AW795" i="3"/>
  <c r="AK795" i="3"/>
  <c r="AN795" i="3"/>
  <c r="AM795" i="3"/>
  <c r="AL795" i="3"/>
  <c r="AJ795" i="3"/>
  <c r="AG795" i="3"/>
  <c r="W795" i="3"/>
  <c r="F795" i="3"/>
  <c r="AW794" i="3"/>
  <c r="AK794" i="3"/>
  <c r="AN794" i="3"/>
  <c r="AM794" i="3"/>
  <c r="AL794" i="3"/>
  <c r="W794" i="3"/>
  <c r="AJ794" i="3"/>
  <c r="AG794" i="3"/>
  <c r="F794" i="3"/>
  <c r="AW793" i="3"/>
  <c r="AK793" i="3"/>
  <c r="AN793" i="3"/>
  <c r="AM793" i="3"/>
  <c r="AL793" i="3"/>
  <c r="AJ793" i="3"/>
  <c r="AG793" i="3"/>
  <c r="W793" i="3"/>
  <c r="F793" i="3"/>
  <c r="AW792" i="3"/>
  <c r="AK792" i="3"/>
  <c r="AN792" i="3"/>
  <c r="AM792" i="3"/>
  <c r="AL792" i="3"/>
  <c r="AJ792" i="3"/>
  <c r="AG792" i="3"/>
  <c r="W792" i="3"/>
  <c r="F792" i="3"/>
  <c r="AW791" i="3"/>
  <c r="AK791" i="3"/>
  <c r="AN791" i="3"/>
  <c r="AM791" i="3"/>
  <c r="AL791" i="3"/>
  <c r="AJ791" i="3"/>
  <c r="AG791" i="3"/>
  <c r="W791" i="3"/>
  <c r="F791" i="3"/>
  <c r="AW790" i="3"/>
  <c r="AK790" i="3"/>
  <c r="AN790" i="3"/>
  <c r="AM790" i="3"/>
  <c r="AL790" i="3"/>
  <c r="AJ790" i="3"/>
  <c r="AG790" i="3"/>
  <c r="W790" i="3"/>
  <c r="F790" i="3"/>
  <c r="AW789" i="3"/>
  <c r="AK789" i="3"/>
  <c r="AN789" i="3"/>
  <c r="AM789" i="3"/>
  <c r="AL789" i="3"/>
  <c r="AJ789" i="3"/>
  <c r="AG789" i="3"/>
  <c r="W789" i="3"/>
  <c r="F789" i="3"/>
  <c r="AW788" i="3"/>
  <c r="AK788" i="3"/>
  <c r="AN788" i="3"/>
  <c r="AM788" i="3"/>
  <c r="AL788" i="3"/>
  <c r="AJ788" i="3"/>
  <c r="AG788" i="3"/>
  <c r="W788" i="3"/>
  <c r="F788" i="3"/>
  <c r="AW787" i="3"/>
  <c r="AK787" i="3"/>
  <c r="AN787" i="3"/>
  <c r="AM787" i="3"/>
  <c r="AL787" i="3"/>
  <c r="AJ787" i="3"/>
  <c r="AG787" i="3"/>
  <c r="W787" i="3"/>
  <c r="F787" i="3"/>
  <c r="AW786" i="3"/>
  <c r="AK786" i="3"/>
  <c r="AN786" i="3"/>
  <c r="AM786" i="3"/>
  <c r="AL786" i="3"/>
  <c r="AJ786" i="3"/>
  <c r="AG786" i="3"/>
  <c r="W786" i="3"/>
  <c r="F786" i="3"/>
  <c r="AW785" i="3"/>
  <c r="AK785" i="3"/>
  <c r="AN785" i="3"/>
  <c r="AM785" i="3"/>
  <c r="AL785" i="3"/>
  <c r="AJ785" i="3"/>
  <c r="AG785" i="3"/>
  <c r="W785" i="3"/>
  <c r="F785" i="3"/>
  <c r="AW784" i="3"/>
  <c r="AK784" i="3"/>
  <c r="AN784" i="3"/>
  <c r="AM784" i="3"/>
  <c r="AL784" i="3"/>
  <c r="AJ784" i="3"/>
  <c r="AG784" i="3"/>
  <c r="W784" i="3"/>
  <c r="F784" i="3"/>
  <c r="AW783" i="3"/>
  <c r="AK783" i="3"/>
  <c r="AN783" i="3"/>
  <c r="AM783" i="3"/>
  <c r="AL783" i="3"/>
  <c r="AJ783" i="3"/>
  <c r="AG783" i="3"/>
  <c r="W783" i="3"/>
  <c r="F783" i="3"/>
  <c r="AW782" i="3"/>
  <c r="AK782" i="3"/>
  <c r="AN782" i="3"/>
  <c r="AM782" i="3"/>
  <c r="AL782" i="3"/>
  <c r="AJ782" i="3"/>
  <c r="AG782" i="3"/>
  <c r="W782" i="3"/>
  <c r="F782" i="3"/>
  <c r="AW781" i="3"/>
  <c r="AK781" i="3"/>
  <c r="AN781" i="3"/>
  <c r="AM781" i="3"/>
  <c r="AL781" i="3"/>
  <c r="AJ781" i="3"/>
  <c r="AG781" i="3"/>
  <c r="W781" i="3"/>
  <c r="F781" i="3"/>
  <c r="AW780" i="3"/>
  <c r="AK780" i="3"/>
  <c r="AN780" i="3"/>
  <c r="AM780" i="3"/>
  <c r="AL780" i="3"/>
  <c r="AJ780" i="3"/>
  <c r="AG780" i="3"/>
  <c r="W780" i="3"/>
  <c r="F780" i="3"/>
  <c r="AW779" i="3"/>
  <c r="AK779" i="3"/>
  <c r="AN779" i="3"/>
  <c r="AM779" i="3"/>
  <c r="AL779" i="3"/>
  <c r="AJ779" i="3"/>
  <c r="AG779" i="3"/>
  <c r="W779" i="3"/>
  <c r="F779" i="3"/>
  <c r="AW778" i="3"/>
  <c r="AK778" i="3"/>
  <c r="AN778" i="3"/>
  <c r="AM778" i="3"/>
  <c r="AL778" i="3"/>
  <c r="AJ778" i="3"/>
  <c r="AG778" i="3"/>
  <c r="W778" i="3"/>
  <c r="F778" i="3"/>
  <c r="AW777" i="3"/>
  <c r="AK777" i="3"/>
  <c r="AN777" i="3"/>
  <c r="AM777" i="3"/>
  <c r="AL777" i="3"/>
  <c r="AJ777" i="3"/>
  <c r="AG777" i="3"/>
  <c r="W777" i="3"/>
  <c r="F777" i="3"/>
  <c r="AW776" i="3"/>
  <c r="AK776" i="3"/>
  <c r="AN776" i="3"/>
  <c r="AM776" i="3"/>
  <c r="AL776" i="3"/>
  <c r="AJ776" i="3"/>
  <c r="AG776" i="3"/>
  <c r="W776" i="3"/>
  <c r="F776" i="3"/>
  <c r="AW775" i="3"/>
  <c r="AK775" i="3"/>
  <c r="AN775" i="3"/>
  <c r="AM775" i="3"/>
  <c r="AL775" i="3"/>
  <c r="AJ775" i="3"/>
  <c r="AG775" i="3"/>
  <c r="W775" i="3"/>
  <c r="F775" i="3"/>
  <c r="AW774" i="3"/>
  <c r="AK774" i="3"/>
  <c r="AN774" i="3"/>
  <c r="AM774" i="3"/>
  <c r="AL774" i="3"/>
  <c r="AJ774" i="3"/>
  <c r="AG774" i="3"/>
  <c r="W774" i="3"/>
  <c r="F774" i="3"/>
  <c r="AW773" i="3"/>
  <c r="AK773" i="3"/>
  <c r="AN773" i="3"/>
  <c r="AM773" i="3"/>
  <c r="AL773" i="3"/>
  <c r="AJ773" i="3"/>
  <c r="AG773" i="3"/>
  <c r="W773" i="3"/>
  <c r="F773" i="3"/>
  <c r="AW772" i="3"/>
  <c r="AK772" i="3"/>
  <c r="AN772" i="3"/>
  <c r="AM772" i="3"/>
  <c r="AL772" i="3"/>
  <c r="AJ772" i="3"/>
  <c r="AG772" i="3"/>
  <c r="W772" i="3"/>
  <c r="F772" i="3"/>
  <c r="AW771" i="3"/>
  <c r="AK771" i="3"/>
  <c r="AN771" i="3"/>
  <c r="AM771" i="3"/>
  <c r="AL771" i="3"/>
  <c r="AJ771" i="3"/>
  <c r="AG771" i="3"/>
  <c r="W771" i="3"/>
  <c r="F771" i="3"/>
  <c r="AW770" i="3"/>
  <c r="AK770" i="3"/>
  <c r="AN770" i="3"/>
  <c r="AM770" i="3"/>
  <c r="AL770" i="3"/>
  <c r="AJ770" i="3"/>
  <c r="AG770" i="3"/>
  <c r="W770" i="3"/>
  <c r="F770" i="3"/>
  <c r="AW769" i="3"/>
  <c r="AK769" i="3"/>
  <c r="AN769" i="3"/>
  <c r="AM769" i="3"/>
  <c r="AL769" i="3"/>
  <c r="AJ769" i="3"/>
  <c r="AG769" i="3"/>
  <c r="W769" i="3"/>
  <c r="F769" i="3"/>
  <c r="AW768" i="3"/>
  <c r="AK768" i="3"/>
  <c r="AN768" i="3"/>
  <c r="AM768" i="3"/>
  <c r="AL768" i="3"/>
  <c r="AJ768" i="3"/>
  <c r="AG768" i="3"/>
  <c r="W768" i="3"/>
  <c r="F768" i="3"/>
  <c r="AW767" i="3"/>
  <c r="AK767" i="3"/>
  <c r="AN767" i="3"/>
  <c r="AM767" i="3"/>
  <c r="AL767" i="3"/>
  <c r="AJ767" i="3"/>
  <c r="AG767" i="3"/>
  <c r="W767" i="3"/>
  <c r="F767" i="3"/>
  <c r="AW766" i="3"/>
  <c r="AK766" i="3"/>
  <c r="AN766" i="3"/>
  <c r="AM766" i="3"/>
  <c r="AL766" i="3"/>
  <c r="AJ766" i="3"/>
  <c r="AG766" i="3"/>
  <c r="W766" i="3"/>
  <c r="F766" i="3"/>
  <c r="AW765" i="3"/>
  <c r="AK765" i="3"/>
  <c r="AN765" i="3"/>
  <c r="AM765" i="3"/>
  <c r="AL765" i="3"/>
  <c r="AJ765" i="3"/>
  <c r="AG765" i="3"/>
  <c r="W765" i="3"/>
  <c r="F765" i="3"/>
  <c r="AW764" i="3"/>
  <c r="AK764" i="3"/>
  <c r="AN764" i="3"/>
  <c r="AM764" i="3"/>
  <c r="AL764" i="3"/>
  <c r="AJ764" i="3"/>
  <c r="AG764" i="3"/>
  <c r="W764" i="3"/>
  <c r="F764" i="3"/>
  <c r="AW763" i="3"/>
  <c r="AK763" i="3"/>
  <c r="AN763" i="3"/>
  <c r="AM763" i="3"/>
  <c r="AL763" i="3"/>
  <c r="AJ763" i="3"/>
  <c r="AG763" i="3"/>
  <c r="W763" i="3"/>
  <c r="F763" i="3"/>
  <c r="AW762" i="3"/>
  <c r="AK762" i="3"/>
  <c r="AN762" i="3"/>
  <c r="AM762" i="3"/>
  <c r="AL762" i="3"/>
  <c r="AJ762" i="3"/>
  <c r="AG762" i="3"/>
  <c r="W762" i="3"/>
  <c r="F762" i="3"/>
  <c r="AW761" i="3"/>
  <c r="AK761" i="3"/>
  <c r="AN761" i="3"/>
  <c r="AM761" i="3"/>
  <c r="AL761" i="3"/>
  <c r="AJ761" i="3"/>
  <c r="AG761" i="3"/>
  <c r="W761" i="3"/>
  <c r="F761" i="3"/>
  <c r="AW760" i="3"/>
  <c r="AK760" i="3"/>
  <c r="AN760" i="3"/>
  <c r="AM760" i="3"/>
  <c r="AL760" i="3"/>
  <c r="AJ760" i="3"/>
  <c r="AG760" i="3"/>
  <c r="W760" i="3"/>
  <c r="F760" i="3"/>
  <c r="AW759" i="3"/>
  <c r="AK759" i="3"/>
  <c r="AN759" i="3"/>
  <c r="AM759" i="3"/>
  <c r="AL759" i="3"/>
  <c r="AJ759" i="3"/>
  <c r="AG759" i="3"/>
  <c r="W759" i="3"/>
  <c r="F759" i="3"/>
  <c r="AW758" i="3"/>
  <c r="AK758" i="3"/>
  <c r="AN758" i="3"/>
  <c r="AM758" i="3"/>
  <c r="AL758" i="3"/>
  <c r="AJ758" i="3"/>
  <c r="AG758" i="3"/>
  <c r="W758" i="3"/>
  <c r="F758" i="3"/>
  <c r="AW757" i="3"/>
  <c r="AK757" i="3"/>
  <c r="AN757" i="3"/>
  <c r="AM757" i="3"/>
  <c r="AL757" i="3"/>
  <c r="AJ757" i="3"/>
  <c r="AG757" i="3"/>
  <c r="W757" i="3"/>
  <c r="F757" i="3"/>
  <c r="AW756" i="3"/>
  <c r="AK756" i="3"/>
  <c r="AN756" i="3"/>
  <c r="AM756" i="3"/>
  <c r="AL756" i="3"/>
  <c r="AJ756" i="3"/>
  <c r="AG756" i="3"/>
  <c r="W756" i="3"/>
  <c r="F756" i="3"/>
  <c r="AW755" i="3"/>
  <c r="AK755" i="3"/>
  <c r="AN755" i="3"/>
  <c r="AM755" i="3"/>
  <c r="AL755" i="3"/>
  <c r="AJ755" i="3"/>
  <c r="AG755" i="3"/>
  <c r="W755" i="3"/>
  <c r="F755" i="3"/>
  <c r="AW754" i="3"/>
  <c r="AK754" i="3"/>
  <c r="AN754" i="3"/>
  <c r="AM754" i="3"/>
  <c r="AL754" i="3"/>
  <c r="AJ754" i="3"/>
  <c r="AG754" i="3"/>
  <c r="W754" i="3"/>
  <c r="F754" i="3"/>
  <c r="AW753" i="3"/>
  <c r="AK753" i="3"/>
  <c r="AN753" i="3"/>
  <c r="AM753" i="3"/>
  <c r="AL753" i="3"/>
  <c r="AJ753" i="3"/>
  <c r="AG753" i="3"/>
  <c r="W753" i="3"/>
  <c r="F753" i="3"/>
  <c r="AW752" i="3"/>
  <c r="AK752" i="3"/>
  <c r="AN752" i="3"/>
  <c r="AM752" i="3"/>
  <c r="AL752" i="3"/>
  <c r="AJ752" i="3"/>
  <c r="AG752" i="3"/>
  <c r="W752" i="3"/>
  <c r="F752" i="3"/>
  <c r="AW751" i="3"/>
  <c r="AK751" i="3"/>
  <c r="AN751" i="3"/>
  <c r="AM751" i="3"/>
  <c r="AL751" i="3"/>
  <c r="AJ751" i="3"/>
  <c r="AG751" i="3"/>
  <c r="W751" i="3"/>
  <c r="F751" i="3"/>
  <c r="AW750" i="3"/>
  <c r="AK750" i="3"/>
  <c r="AN750" i="3"/>
  <c r="AM750" i="3"/>
  <c r="AL750" i="3"/>
  <c r="AJ750" i="3"/>
  <c r="AG750" i="3"/>
  <c r="W750" i="3"/>
  <c r="F750" i="3"/>
  <c r="AW749" i="3"/>
  <c r="AK749" i="3"/>
  <c r="AN749" i="3"/>
  <c r="AM749" i="3"/>
  <c r="AL749" i="3"/>
  <c r="AJ749" i="3"/>
  <c r="AG749" i="3"/>
  <c r="W749" i="3"/>
  <c r="F749" i="3"/>
  <c r="AW748" i="3"/>
  <c r="AK748" i="3"/>
  <c r="AN748" i="3"/>
  <c r="AM748" i="3"/>
  <c r="AL748" i="3"/>
  <c r="AJ748" i="3"/>
  <c r="AG748" i="3"/>
  <c r="W748" i="3"/>
  <c r="F748" i="3"/>
  <c r="AW747" i="3"/>
  <c r="AK747" i="3"/>
  <c r="AN747" i="3"/>
  <c r="AM747" i="3"/>
  <c r="AL747" i="3"/>
  <c r="AJ747" i="3"/>
  <c r="AG747" i="3"/>
  <c r="W747" i="3"/>
  <c r="F747" i="3"/>
  <c r="AW746" i="3"/>
  <c r="AK746" i="3"/>
  <c r="AN746" i="3"/>
  <c r="AM746" i="3"/>
  <c r="AL746" i="3"/>
  <c r="AJ746" i="3"/>
  <c r="AG746" i="3"/>
  <c r="W746" i="3"/>
  <c r="F746" i="3"/>
  <c r="AW745" i="3"/>
  <c r="AK745" i="3"/>
  <c r="AN745" i="3"/>
  <c r="AM745" i="3"/>
  <c r="AL745" i="3"/>
  <c r="AJ745" i="3"/>
  <c r="AG745" i="3"/>
  <c r="W745" i="3"/>
  <c r="F745" i="3"/>
  <c r="AW744" i="3"/>
  <c r="AK744" i="3"/>
  <c r="AN744" i="3"/>
  <c r="AM744" i="3"/>
  <c r="AL744" i="3"/>
  <c r="AJ744" i="3"/>
  <c r="AG744" i="3"/>
  <c r="W744" i="3"/>
  <c r="F744" i="3"/>
  <c r="AW743" i="3"/>
  <c r="AK743" i="3"/>
  <c r="AN743" i="3"/>
  <c r="AM743" i="3"/>
  <c r="AL743" i="3"/>
  <c r="AJ743" i="3"/>
  <c r="AG743" i="3"/>
  <c r="W743" i="3"/>
  <c r="F743" i="3"/>
  <c r="AW742" i="3"/>
  <c r="AK742" i="3"/>
  <c r="AN742" i="3"/>
  <c r="AM742" i="3"/>
  <c r="AL742" i="3"/>
  <c r="AJ742" i="3"/>
  <c r="AG742" i="3"/>
  <c r="W742" i="3"/>
  <c r="F742" i="3"/>
  <c r="AW741" i="3"/>
  <c r="AK741" i="3"/>
  <c r="AN741" i="3"/>
  <c r="AM741" i="3"/>
  <c r="AL741" i="3"/>
  <c r="AJ741" i="3"/>
  <c r="AG741" i="3"/>
  <c r="W741" i="3"/>
  <c r="F741" i="3"/>
  <c r="AW740" i="3"/>
  <c r="AK740" i="3"/>
  <c r="AN740" i="3"/>
  <c r="AM740" i="3"/>
  <c r="AL740" i="3"/>
  <c r="W740" i="3"/>
  <c r="AJ740" i="3"/>
  <c r="AG740" i="3"/>
  <c r="F740" i="3"/>
  <c r="AW739" i="3"/>
  <c r="AK739" i="3"/>
  <c r="AN739" i="3"/>
  <c r="AM739" i="3"/>
  <c r="AL739" i="3"/>
  <c r="AJ739" i="3"/>
  <c r="AG739" i="3"/>
  <c r="W739" i="3"/>
  <c r="F739" i="3"/>
  <c r="AW738" i="3"/>
  <c r="AK738" i="3"/>
  <c r="AN738" i="3"/>
  <c r="AM738" i="3"/>
  <c r="AL738" i="3"/>
  <c r="AJ738" i="3"/>
  <c r="AG738" i="3"/>
  <c r="W738" i="3"/>
  <c r="F738" i="3"/>
  <c r="AW737" i="3"/>
  <c r="AK737" i="3"/>
  <c r="AN737" i="3"/>
  <c r="AM737" i="3"/>
  <c r="AL737" i="3"/>
  <c r="AJ737" i="3"/>
  <c r="AG737" i="3"/>
  <c r="W737" i="3"/>
  <c r="F737" i="3"/>
  <c r="AW736" i="3"/>
  <c r="AK736" i="3"/>
  <c r="AN736" i="3"/>
  <c r="AM736" i="3"/>
  <c r="AL736" i="3"/>
  <c r="W736" i="3"/>
  <c r="AJ736" i="3"/>
  <c r="AG736" i="3"/>
  <c r="F736" i="3"/>
  <c r="AW735" i="3"/>
  <c r="AK735" i="3"/>
  <c r="AN735" i="3"/>
  <c r="AM735" i="3"/>
  <c r="AL735" i="3"/>
  <c r="AJ735" i="3"/>
  <c r="AG735" i="3"/>
  <c r="W735" i="3"/>
  <c r="F735" i="3"/>
  <c r="AW734" i="3"/>
  <c r="AK734" i="3"/>
  <c r="AN734" i="3"/>
  <c r="AM734" i="3"/>
  <c r="AL734" i="3"/>
  <c r="AJ734" i="3"/>
  <c r="AG734" i="3"/>
  <c r="W734" i="3"/>
  <c r="F734" i="3"/>
  <c r="AW733" i="3"/>
  <c r="AK733" i="3"/>
  <c r="AN733" i="3"/>
  <c r="AM733" i="3"/>
  <c r="AL733" i="3"/>
  <c r="W733" i="3"/>
  <c r="AJ733" i="3"/>
  <c r="AG733" i="3"/>
  <c r="F733" i="3"/>
  <c r="AW732" i="3"/>
  <c r="AK732" i="3"/>
  <c r="AN732" i="3"/>
  <c r="AM732" i="3"/>
  <c r="AL732" i="3"/>
  <c r="AJ732" i="3"/>
  <c r="AG732" i="3"/>
  <c r="W732" i="3"/>
  <c r="F732" i="3"/>
  <c r="AW731" i="3"/>
  <c r="AK731" i="3"/>
  <c r="AN731" i="3"/>
  <c r="AM731" i="3"/>
  <c r="AL731" i="3"/>
  <c r="AJ731" i="3"/>
  <c r="AG731" i="3"/>
  <c r="W731" i="3"/>
  <c r="F731" i="3"/>
  <c r="AW730" i="3"/>
  <c r="AK730" i="3"/>
  <c r="AN730" i="3"/>
  <c r="AM730" i="3"/>
  <c r="AL730" i="3"/>
  <c r="AJ730" i="3"/>
  <c r="AG730" i="3"/>
  <c r="W730" i="3"/>
  <c r="F730" i="3"/>
  <c r="AW729" i="3"/>
  <c r="AK729" i="3"/>
  <c r="AN729" i="3"/>
  <c r="AM729" i="3"/>
  <c r="AL729" i="3"/>
  <c r="AJ729" i="3"/>
  <c r="AG729" i="3"/>
  <c r="W729" i="3"/>
  <c r="F729" i="3"/>
  <c r="AW728" i="3"/>
  <c r="AK728" i="3"/>
  <c r="AN728" i="3"/>
  <c r="AM728" i="3"/>
  <c r="AL728" i="3"/>
  <c r="AJ728" i="3"/>
  <c r="AG728" i="3"/>
  <c r="W728" i="3"/>
  <c r="F728" i="3"/>
  <c r="AW727" i="3"/>
  <c r="AK727" i="3"/>
  <c r="AN727" i="3"/>
  <c r="AM727" i="3"/>
  <c r="AL727" i="3"/>
  <c r="AJ727" i="3"/>
  <c r="AG727" i="3"/>
  <c r="W727" i="3"/>
  <c r="F727" i="3"/>
  <c r="AW726" i="3"/>
  <c r="AK726" i="3"/>
  <c r="AN726" i="3"/>
  <c r="AM726" i="3"/>
  <c r="AL726" i="3"/>
  <c r="AJ726" i="3"/>
  <c r="AG726" i="3"/>
  <c r="W726" i="3"/>
  <c r="F726" i="3"/>
  <c r="AW725" i="3"/>
  <c r="AK725" i="3"/>
  <c r="AN725" i="3"/>
  <c r="AM725" i="3"/>
  <c r="AL725" i="3"/>
  <c r="AJ725" i="3"/>
  <c r="AG725" i="3"/>
  <c r="W725" i="3"/>
  <c r="F725" i="3"/>
  <c r="AW724" i="3"/>
  <c r="AK724" i="3"/>
  <c r="AN724" i="3"/>
  <c r="AM724" i="3"/>
  <c r="AL724" i="3"/>
  <c r="AJ724" i="3"/>
  <c r="AG724" i="3"/>
  <c r="W724" i="3"/>
  <c r="F724" i="3"/>
  <c r="AW723" i="3"/>
  <c r="AK723" i="3"/>
  <c r="AN723" i="3"/>
  <c r="AM723" i="3"/>
  <c r="AL723" i="3"/>
  <c r="AJ723" i="3"/>
  <c r="AG723" i="3"/>
  <c r="W723" i="3"/>
  <c r="F723" i="3"/>
  <c r="AW722" i="3"/>
  <c r="AK722" i="3"/>
  <c r="AN722" i="3"/>
  <c r="AM722" i="3"/>
  <c r="AL722" i="3"/>
  <c r="W722" i="3"/>
  <c r="AJ722" i="3"/>
  <c r="AG722" i="3"/>
  <c r="F722" i="3"/>
  <c r="AW721" i="3"/>
  <c r="AK721" i="3"/>
  <c r="AN721" i="3"/>
  <c r="AM721" i="3"/>
  <c r="AL721" i="3"/>
  <c r="W721" i="3"/>
  <c r="AJ721" i="3"/>
  <c r="AG721" i="3"/>
  <c r="F721" i="3"/>
  <c r="AW720" i="3"/>
  <c r="AK720" i="3"/>
  <c r="AN720" i="3"/>
  <c r="AM720" i="3"/>
  <c r="AL720" i="3"/>
  <c r="W720" i="3"/>
  <c r="AJ720" i="3"/>
  <c r="AG720" i="3"/>
  <c r="F720" i="3"/>
  <c r="AW719" i="3"/>
  <c r="AK719" i="3"/>
  <c r="AN719" i="3"/>
  <c r="AM719" i="3"/>
  <c r="AL719" i="3"/>
  <c r="W719" i="3"/>
  <c r="AJ719" i="3"/>
  <c r="AG719" i="3"/>
  <c r="F719" i="3"/>
  <c r="AW718" i="3"/>
  <c r="AK718" i="3"/>
  <c r="AN718" i="3"/>
  <c r="AM718" i="3"/>
  <c r="AL718" i="3"/>
  <c r="AJ718" i="3"/>
  <c r="AG718" i="3"/>
  <c r="W718" i="3"/>
  <c r="F718" i="3"/>
  <c r="AW717" i="3"/>
  <c r="AK717" i="3"/>
  <c r="AN717" i="3"/>
  <c r="AM717" i="3"/>
  <c r="AL717" i="3"/>
  <c r="AJ717" i="3"/>
  <c r="AG717" i="3"/>
  <c r="W717" i="3"/>
  <c r="F717" i="3"/>
  <c r="AW716" i="3"/>
  <c r="AK716" i="3"/>
  <c r="AN716" i="3"/>
  <c r="AM716" i="3"/>
  <c r="AL716" i="3"/>
  <c r="AJ716" i="3"/>
  <c r="AG716" i="3"/>
  <c r="W716" i="3"/>
  <c r="F716" i="3"/>
  <c r="AW715" i="3"/>
  <c r="AK715" i="3"/>
  <c r="AN715" i="3"/>
  <c r="AM715" i="3"/>
  <c r="AL715" i="3"/>
  <c r="AJ715" i="3"/>
  <c r="AG715" i="3"/>
  <c r="W715" i="3"/>
  <c r="F715" i="3"/>
  <c r="AW714" i="3"/>
  <c r="AK714" i="3"/>
  <c r="AN714" i="3"/>
  <c r="AM714" i="3"/>
  <c r="AL714" i="3"/>
  <c r="AJ714" i="3"/>
  <c r="AG714" i="3"/>
  <c r="W714" i="3"/>
  <c r="F714" i="3"/>
  <c r="AW713" i="3"/>
  <c r="AK713" i="3"/>
  <c r="AN713" i="3"/>
  <c r="AM713" i="3"/>
  <c r="AL713" i="3"/>
  <c r="AJ713" i="3"/>
  <c r="AG713" i="3"/>
  <c r="W713" i="3"/>
  <c r="F713" i="3"/>
  <c r="AW712" i="3"/>
  <c r="AK712" i="3"/>
  <c r="AN712" i="3"/>
  <c r="AM712" i="3"/>
  <c r="AL712" i="3"/>
  <c r="AJ712" i="3"/>
  <c r="AG712" i="3"/>
  <c r="W712" i="3"/>
  <c r="F712" i="3"/>
  <c r="AW711" i="3"/>
  <c r="AK711" i="3"/>
  <c r="AN711" i="3"/>
  <c r="AM711" i="3"/>
  <c r="AL711" i="3"/>
  <c r="AJ711" i="3"/>
  <c r="AG711" i="3"/>
  <c r="W711" i="3"/>
  <c r="F711" i="3"/>
  <c r="AW710" i="3"/>
  <c r="AK710" i="3"/>
  <c r="AN710" i="3"/>
  <c r="AM710" i="3"/>
  <c r="AL710" i="3"/>
  <c r="AJ710" i="3"/>
  <c r="AG710" i="3"/>
  <c r="W710" i="3"/>
  <c r="F710" i="3"/>
  <c r="AW709" i="3"/>
  <c r="AK709" i="3"/>
  <c r="AN709" i="3"/>
  <c r="AM709" i="3"/>
  <c r="AL709" i="3"/>
  <c r="AJ709" i="3"/>
  <c r="AG709" i="3"/>
  <c r="W709" i="3"/>
  <c r="F709" i="3"/>
  <c r="AW708" i="3"/>
  <c r="AK708" i="3"/>
  <c r="AN708" i="3"/>
  <c r="AM708" i="3"/>
  <c r="AL708" i="3"/>
  <c r="AJ708" i="3"/>
  <c r="AG708" i="3"/>
  <c r="W708" i="3"/>
  <c r="F708" i="3"/>
  <c r="AW707" i="3"/>
  <c r="AK707" i="3"/>
  <c r="AN707" i="3"/>
  <c r="AM707" i="3"/>
  <c r="AL707" i="3"/>
  <c r="AJ707" i="3"/>
  <c r="AG707" i="3"/>
  <c r="W707" i="3"/>
  <c r="F707" i="3"/>
  <c r="AW706" i="3"/>
  <c r="AK706" i="3"/>
  <c r="AN706" i="3"/>
  <c r="AM706" i="3"/>
  <c r="AL706" i="3"/>
  <c r="AJ706" i="3"/>
  <c r="AG706" i="3"/>
  <c r="W706" i="3"/>
  <c r="F706" i="3"/>
  <c r="AW705" i="3"/>
  <c r="AK705" i="3"/>
  <c r="AN705" i="3"/>
  <c r="AM705" i="3"/>
  <c r="AL705" i="3"/>
  <c r="W705" i="3"/>
  <c r="AJ705" i="3"/>
  <c r="AG705" i="3"/>
  <c r="F705" i="3"/>
  <c r="AW704" i="3"/>
  <c r="AK704" i="3"/>
  <c r="AN704" i="3"/>
  <c r="AM704" i="3"/>
  <c r="AL704" i="3"/>
  <c r="AJ704" i="3"/>
  <c r="AG704" i="3"/>
  <c r="W704" i="3"/>
  <c r="F704" i="3"/>
  <c r="AW703" i="3"/>
  <c r="AK703" i="3"/>
  <c r="AN703" i="3"/>
  <c r="AM703" i="3"/>
  <c r="AL703" i="3"/>
  <c r="W703" i="3"/>
  <c r="AJ703" i="3"/>
  <c r="AG703" i="3"/>
  <c r="F703" i="3"/>
  <c r="AW702" i="3"/>
  <c r="AK702" i="3"/>
  <c r="AN702" i="3"/>
  <c r="AM702" i="3"/>
  <c r="AL702" i="3"/>
  <c r="AJ702" i="3"/>
  <c r="AG702" i="3"/>
  <c r="W702" i="3"/>
  <c r="F702" i="3"/>
  <c r="AW701" i="3"/>
  <c r="AK701" i="3"/>
  <c r="AN701" i="3"/>
  <c r="AM701" i="3"/>
  <c r="AL701" i="3"/>
  <c r="AJ701" i="3"/>
  <c r="AG701" i="3"/>
  <c r="W701" i="3"/>
  <c r="F701" i="3"/>
  <c r="AW700" i="3"/>
  <c r="AK700" i="3"/>
  <c r="AN700" i="3"/>
  <c r="AM700" i="3"/>
  <c r="AL700" i="3"/>
  <c r="AJ700" i="3"/>
  <c r="AG700" i="3"/>
  <c r="W700" i="3"/>
  <c r="F700" i="3"/>
  <c r="AW699" i="3"/>
  <c r="AK699" i="3"/>
  <c r="AN699" i="3"/>
  <c r="AM699" i="3"/>
  <c r="AL699" i="3"/>
  <c r="AJ699" i="3"/>
  <c r="AG699" i="3"/>
  <c r="W699" i="3"/>
  <c r="F699" i="3"/>
  <c r="AW698" i="3"/>
  <c r="AK698" i="3"/>
  <c r="AN698" i="3"/>
  <c r="AM698" i="3"/>
  <c r="AL698" i="3"/>
  <c r="AJ698" i="3"/>
  <c r="AG698" i="3"/>
  <c r="W698" i="3"/>
  <c r="F698" i="3"/>
  <c r="AW697" i="3"/>
  <c r="AK697" i="3"/>
  <c r="AN697" i="3"/>
  <c r="AM697" i="3"/>
  <c r="AL697" i="3"/>
  <c r="AJ697" i="3"/>
  <c r="AG697" i="3"/>
  <c r="W697" i="3"/>
  <c r="F697" i="3"/>
  <c r="AW696" i="3"/>
  <c r="AK696" i="3"/>
  <c r="AN696" i="3"/>
  <c r="AM696" i="3"/>
  <c r="AL696" i="3"/>
  <c r="AJ696" i="3"/>
  <c r="AG696" i="3"/>
  <c r="W696" i="3"/>
  <c r="F696" i="3"/>
  <c r="AW695" i="3"/>
  <c r="AK695" i="3"/>
  <c r="AN695" i="3"/>
  <c r="AM695" i="3"/>
  <c r="AL695" i="3"/>
  <c r="AJ695" i="3"/>
  <c r="AG695" i="3"/>
  <c r="W695" i="3"/>
  <c r="F695" i="3"/>
  <c r="AW694" i="3"/>
  <c r="AK694" i="3"/>
  <c r="AN694" i="3"/>
  <c r="AM694" i="3"/>
  <c r="AL694" i="3"/>
  <c r="AJ694" i="3"/>
  <c r="AG694" i="3"/>
  <c r="W694" i="3"/>
  <c r="F694" i="3"/>
  <c r="AW693" i="3"/>
  <c r="AK693" i="3"/>
  <c r="AN693" i="3"/>
  <c r="AM693" i="3"/>
  <c r="AL693" i="3"/>
  <c r="AJ693" i="3"/>
  <c r="AG693" i="3"/>
  <c r="W693" i="3"/>
  <c r="F693" i="3"/>
  <c r="AW692" i="3"/>
  <c r="AK692" i="3"/>
  <c r="AN692" i="3"/>
  <c r="AM692" i="3"/>
  <c r="AL692" i="3"/>
  <c r="AJ692" i="3"/>
  <c r="AG692" i="3"/>
  <c r="W692" i="3"/>
  <c r="F692" i="3"/>
  <c r="AW691" i="3"/>
  <c r="AK691" i="3"/>
  <c r="AN691" i="3"/>
  <c r="AM691" i="3"/>
  <c r="AL691" i="3"/>
  <c r="W691" i="3"/>
  <c r="AJ691" i="3"/>
  <c r="AG691" i="3"/>
  <c r="F691" i="3"/>
  <c r="AW690" i="3"/>
  <c r="AK690" i="3"/>
  <c r="AN690" i="3"/>
  <c r="AM690" i="3"/>
  <c r="AL690" i="3"/>
  <c r="AJ690" i="3"/>
  <c r="AG690" i="3"/>
  <c r="W690" i="3"/>
  <c r="F690" i="3"/>
  <c r="AW689" i="3"/>
  <c r="AK689" i="3"/>
  <c r="AN689" i="3"/>
  <c r="AM689" i="3"/>
  <c r="AL689" i="3"/>
  <c r="AJ689" i="3"/>
  <c r="AG689" i="3"/>
  <c r="W689" i="3"/>
  <c r="F689" i="3"/>
  <c r="AW688" i="3"/>
  <c r="AK688" i="3"/>
  <c r="AN688" i="3"/>
  <c r="AM688" i="3"/>
  <c r="AL688" i="3"/>
  <c r="AJ688" i="3"/>
  <c r="AG688" i="3"/>
  <c r="W688" i="3"/>
  <c r="F688" i="3"/>
  <c r="AW687" i="3"/>
  <c r="AK687" i="3"/>
  <c r="AN687" i="3"/>
  <c r="AM687" i="3"/>
  <c r="AL687" i="3"/>
  <c r="AJ687" i="3"/>
  <c r="AG687" i="3"/>
  <c r="W687" i="3"/>
  <c r="F687" i="3"/>
  <c r="AW686" i="3"/>
  <c r="AK686" i="3"/>
  <c r="AN686" i="3"/>
  <c r="AM686" i="3"/>
  <c r="AL686" i="3"/>
  <c r="AJ686" i="3"/>
  <c r="AG686" i="3"/>
  <c r="W686" i="3"/>
  <c r="F686" i="3"/>
  <c r="AW685" i="3"/>
  <c r="AK685" i="3"/>
  <c r="AN685" i="3"/>
  <c r="AM685" i="3"/>
  <c r="AL685" i="3"/>
  <c r="AJ685" i="3"/>
  <c r="AG685" i="3"/>
  <c r="W685" i="3"/>
  <c r="F685" i="3"/>
  <c r="AW684" i="3"/>
  <c r="AK684" i="3"/>
  <c r="AN684" i="3"/>
  <c r="AM684" i="3"/>
  <c r="AL684" i="3"/>
  <c r="AJ684" i="3"/>
  <c r="AG684" i="3"/>
  <c r="W684" i="3"/>
  <c r="F684" i="3"/>
  <c r="AW683" i="3"/>
  <c r="AK683" i="3"/>
  <c r="AN683" i="3"/>
  <c r="AM683" i="3"/>
  <c r="AL683" i="3"/>
  <c r="W683" i="3"/>
  <c r="AJ683" i="3"/>
  <c r="AG683" i="3"/>
  <c r="F683" i="3"/>
  <c r="AW682" i="3"/>
  <c r="AK682" i="3"/>
  <c r="AN682" i="3"/>
  <c r="AM682" i="3"/>
  <c r="AL682" i="3"/>
  <c r="W682" i="3"/>
  <c r="AJ682" i="3"/>
  <c r="AG682" i="3"/>
  <c r="F682" i="3"/>
  <c r="AW681" i="3"/>
  <c r="AK681" i="3"/>
  <c r="AN681" i="3"/>
  <c r="AM681" i="3"/>
  <c r="AL681" i="3"/>
  <c r="W681" i="3"/>
  <c r="AJ681" i="3"/>
  <c r="AG681" i="3"/>
  <c r="F681" i="3"/>
  <c r="AW680" i="3"/>
  <c r="AK680" i="3"/>
  <c r="AN680" i="3"/>
  <c r="AM680" i="3"/>
  <c r="AL680" i="3"/>
  <c r="AJ680" i="3"/>
  <c r="AG680" i="3"/>
  <c r="W680" i="3"/>
  <c r="F680" i="3"/>
  <c r="AW679" i="3"/>
  <c r="AK679" i="3"/>
  <c r="AN679" i="3"/>
  <c r="AM679" i="3"/>
  <c r="AL679" i="3"/>
  <c r="AJ679" i="3"/>
  <c r="AG679" i="3"/>
  <c r="W679" i="3"/>
  <c r="F679" i="3"/>
  <c r="AW678" i="3"/>
  <c r="AK678" i="3"/>
  <c r="AN678" i="3"/>
  <c r="AM678" i="3"/>
  <c r="AL678" i="3"/>
  <c r="AJ678" i="3"/>
  <c r="AG678" i="3"/>
  <c r="W678" i="3"/>
  <c r="F678" i="3"/>
  <c r="AW677" i="3"/>
  <c r="AK677" i="3"/>
  <c r="AN677" i="3"/>
  <c r="AM677" i="3"/>
  <c r="AL677" i="3"/>
  <c r="AJ677" i="3"/>
  <c r="AG677" i="3"/>
  <c r="W677" i="3"/>
  <c r="F677" i="3"/>
  <c r="AW676" i="3"/>
  <c r="AK676" i="3"/>
  <c r="AN676" i="3"/>
  <c r="AM676" i="3"/>
  <c r="AL676" i="3"/>
  <c r="AJ676" i="3"/>
  <c r="AG676" i="3"/>
  <c r="W676" i="3"/>
  <c r="F676" i="3"/>
  <c r="AW675" i="3"/>
  <c r="AK675" i="3"/>
  <c r="AN675" i="3"/>
  <c r="AM675" i="3"/>
  <c r="AL675" i="3"/>
  <c r="W675" i="3"/>
  <c r="AJ675" i="3"/>
  <c r="AG675" i="3"/>
  <c r="F675" i="3"/>
  <c r="AW674" i="3"/>
  <c r="AK674" i="3"/>
  <c r="AN674" i="3"/>
  <c r="AM674" i="3"/>
  <c r="AL674" i="3"/>
  <c r="W674" i="3"/>
  <c r="AJ674" i="3"/>
  <c r="AG674" i="3"/>
  <c r="F674" i="3"/>
  <c r="AW673" i="3"/>
  <c r="AK673" i="3"/>
  <c r="AN673" i="3"/>
  <c r="AM673" i="3"/>
  <c r="AL673" i="3"/>
  <c r="AJ673" i="3"/>
  <c r="AG673" i="3"/>
  <c r="W673" i="3"/>
  <c r="F673" i="3"/>
  <c r="AW672" i="3"/>
  <c r="AK672" i="3"/>
  <c r="AN672" i="3"/>
  <c r="AM672" i="3"/>
  <c r="AL672" i="3"/>
  <c r="AJ672" i="3"/>
  <c r="AG672" i="3"/>
  <c r="W672" i="3"/>
  <c r="F672" i="3"/>
  <c r="AW671" i="3"/>
  <c r="AK671" i="3"/>
  <c r="AN671" i="3"/>
  <c r="AM671" i="3"/>
  <c r="AL671" i="3"/>
  <c r="W671" i="3"/>
  <c r="AJ671" i="3"/>
  <c r="AG671" i="3"/>
  <c r="F671" i="3"/>
  <c r="AW670" i="3"/>
  <c r="AK670" i="3"/>
  <c r="AN670" i="3"/>
  <c r="AM670" i="3"/>
  <c r="AL670" i="3"/>
  <c r="W670" i="3"/>
  <c r="AJ670" i="3"/>
  <c r="AG670" i="3"/>
  <c r="F670" i="3"/>
  <c r="AW669" i="3"/>
  <c r="AK669" i="3"/>
  <c r="AN669" i="3"/>
  <c r="AM669" i="3"/>
  <c r="AL669" i="3"/>
  <c r="AJ669" i="3"/>
  <c r="AG669" i="3"/>
  <c r="W669" i="3"/>
  <c r="F669" i="3"/>
  <c r="AW668" i="3"/>
  <c r="AK668" i="3"/>
  <c r="AN668" i="3"/>
  <c r="AM668" i="3"/>
  <c r="AL668" i="3"/>
  <c r="AJ668" i="3"/>
  <c r="AG668" i="3"/>
  <c r="W668" i="3"/>
  <c r="F668" i="3"/>
  <c r="AW667" i="3"/>
  <c r="AK667" i="3"/>
  <c r="AN667" i="3"/>
  <c r="AM667" i="3"/>
  <c r="AL667" i="3"/>
  <c r="AJ667" i="3"/>
  <c r="AG667" i="3"/>
  <c r="W667" i="3"/>
  <c r="F667" i="3"/>
  <c r="AW666" i="3"/>
  <c r="AK666" i="3"/>
  <c r="AN666" i="3"/>
  <c r="AM666" i="3"/>
  <c r="AL666" i="3"/>
  <c r="AJ666" i="3"/>
  <c r="AG666" i="3"/>
  <c r="W666" i="3"/>
  <c r="F666" i="3"/>
  <c r="AW665" i="3"/>
  <c r="AK665" i="3"/>
  <c r="AN665" i="3"/>
  <c r="AM665" i="3"/>
  <c r="AL665" i="3"/>
  <c r="AJ665" i="3"/>
  <c r="AG665" i="3"/>
  <c r="W665" i="3"/>
  <c r="F665" i="3"/>
  <c r="AW664" i="3"/>
  <c r="AK664" i="3"/>
  <c r="AN664" i="3"/>
  <c r="AM664" i="3"/>
  <c r="AL664" i="3"/>
  <c r="AJ664" i="3"/>
  <c r="AG664" i="3"/>
  <c r="W664" i="3"/>
  <c r="F664" i="3"/>
  <c r="AW663" i="3"/>
  <c r="AK663" i="3"/>
  <c r="AN663" i="3"/>
  <c r="AM663" i="3"/>
  <c r="AL663" i="3"/>
  <c r="AJ663" i="3"/>
  <c r="AG663" i="3"/>
  <c r="W663" i="3"/>
  <c r="F663" i="3"/>
  <c r="AW662" i="3"/>
  <c r="AK662" i="3"/>
  <c r="AN662" i="3"/>
  <c r="AM662" i="3"/>
  <c r="AL662" i="3"/>
  <c r="AJ662" i="3"/>
  <c r="AG662" i="3"/>
  <c r="W662" i="3"/>
  <c r="F662" i="3"/>
  <c r="AW661" i="3"/>
  <c r="AK661" i="3"/>
  <c r="AN661" i="3"/>
  <c r="AM661" i="3"/>
  <c r="AL661" i="3"/>
  <c r="AJ661" i="3"/>
  <c r="AG661" i="3"/>
  <c r="W661" i="3"/>
  <c r="F661" i="3"/>
  <c r="AW660" i="3"/>
  <c r="AK660" i="3"/>
  <c r="AN660" i="3"/>
  <c r="AM660" i="3"/>
  <c r="AL660" i="3"/>
  <c r="AJ660" i="3"/>
  <c r="AG660" i="3"/>
  <c r="W660" i="3"/>
  <c r="F660" i="3"/>
  <c r="AW659" i="3"/>
  <c r="AK659" i="3"/>
  <c r="AN659" i="3"/>
  <c r="AM659" i="3"/>
  <c r="AL659" i="3"/>
  <c r="AJ659" i="3"/>
  <c r="AG659" i="3"/>
  <c r="W659" i="3"/>
  <c r="F659" i="3"/>
  <c r="AW658" i="3"/>
  <c r="AK658" i="3"/>
  <c r="AN658" i="3"/>
  <c r="AM658" i="3"/>
  <c r="AL658" i="3"/>
  <c r="W658" i="3"/>
  <c r="AJ658" i="3"/>
  <c r="AG658" i="3"/>
  <c r="F658" i="3"/>
  <c r="AW657" i="3"/>
  <c r="AK657" i="3"/>
  <c r="AN657" i="3"/>
  <c r="AM657" i="3"/>
  <c r="AL657" i="3"/>
  <c r="W657" i="3"/>
  <c r="AJ657" i="3"/>
  <c r="AG657" i="3"/>
  <c r="F657" i="3"/>
  <c r="AW656" i="3"/>
  <c r="AK656" i="3"/>
  <c r="AN656" i="3"/>
  <c r="AM656" i="3"/>
  <c r="AL656" i="3"/>
  <c r="AJ656" i="3"/>
  <c r="AG656" i="3"/>
  <c r="W656" i="3"/>
  <c r="F656" i="3"/>
  <c r="AW655" i="3"/>
  <c r="AK655" i="3"/>
  <c r="AN655" i="3"/>
  <c r="AM655" i="3"/>
  <c r="AL655" i="3"/>
  <c r="AJ655" i="3"/>
  <c r="AG655" i="3"/>
  <c r="W655" i="3"/>
  <c r="F655" i="3"/>
  <c r="AW654" i="3"/>
  <c r="AK654" i="3"/>
  <c r="AN654" i="3"/>
  <c r="AM654" i="3"/>
  <c r="AL654" i="3"/>
  <c r="AJ654" i="3"/>
  <c r="AG654" i="3"/>
  <c r="W654" i="3"/>
  <c r="F654" i="3"/>
  <c r="AW653" i="3"/>
  <c r="AK653" i="3"/>
  <c r="AN653" i="3"/>
  <c r="AM653" i="3"/>
  <c r="AL653" i="3"/>
  <c r="AJ653" i="3"/>
  <c r="AG653" i="3"/>
  <c r="W653" i="3"/>
  <c r="F653" i="3"/>
  <c r="AW652" i="3"/>
  <c r="AK652" i="3"/>
  <c r="AN652" i="3"/>
  <c r="AM652" i="3"/>
  <c r="AL652" i="3"/>
  <c r="AJ652" i="3"/>
  <c r="AG652" i="3"/>
  <c r="W652" i="3"/>
  <c r="F652" i="3"/>
  <c r="AW651" i="3"/>
  <c r="AK651" i="3"/>
  <c r="AN651" i="3"/>
  <c r="AM651" i="3"/>
  <c r="AL651" i="3"/>
  <c r="AJ651" i="3"/>
  <c r="AG651" i="3"/>
  <c r="W651" i="3"/>
  <c r="F651" i="3"/>
  <c r="AW650" i="3"/>
  <c r="AK650" i="3"/>
  <c r="AN650" i="3"/>
  <c r="AM650" i="3"/>
  <c r="AL650" i="3"/>
  <c r="AJ650" i="3"/>
  <c r="AG650" i="3"/>
  <c r="W650" i="3"/>
  <c r="F650" i="3"/>
  <c r="AW649" i="3"/>
  <c r="AK649" i="3"/>
  <c r="AN649" i="3"/>
  <c r="AM649" i="3"/>
  <c r="AL649" i="3"/>
  <c r="AJ649" i="3"/>
  <c r="AG649" i="3"/>
  <c r="W649" i="3"/>
  <c r="F649" i="3"/>
  <c r="AW648" i="3"/>
  <c r="AK648" i="3"/>
  <c r="AN648" i="3"/>
  <c r="AM648" i="3"/>
  <c r="AL648" i="3"/>
  <c r="AJ648" i="3"/>
  <c r="AG648" i="3"/>
  <c r="W648" i="3"/>
  <c r="F648" i="3"/>
  <c r="AW647" i="3"/>
  <c r="AK647" i="3"/>
  <c r="AN647" i="3"/>
  <c r="AM647" i="3"/>
  <c r="AL647" i="3"/>
  <c r="AJ647" i="3"/>
  <c r="AG647" i="3"/>
  <c r="W647" i="3"/>
  <c r="F647" i="3"/>
  <c r="AW646" i="3"/>
  <c r="AK646" i="3"/>
  <c r="AN646" i="3"/>
  <c r="AM646" i="3"/>
  <c r="AL646" i="3"/>
  <c r="AJ646" i="3"/>
  <c r="AG646" i="3"/>
  <c r="W646" i="3"/>
  <c r="F646" i="3"/>
  <c r="AW645" i="3"/>
  <c r="AK645" i="3"/>
  <c r="AN645" i="3"/>
  <c r="AM645" i="3"/>
  <c r="AL645" i="3"/>
  <c r="AJ645" i="3"/>
  <c r="AG645" i="3"/>
  <c r="W645" i="3"/>
  <c r="F645" i="3"/>
  <c r="AW644" i="3"/>
  <c r="AK644" i="3"/>
  <c r="AN644" i="3"/>
  <c r="AM644" i="3"/>
  <c r="AL644" i="3"/>
  <c r="W644" i="3"/>
  <c r="AJ644" i="3"/>
  <c r="AG644" i="3"/>
  <c r="F644" i="3"/>
  <c r="AW643" i="3"/>
  <c r="AK643" i="3"/>
  <c r="AN643" i="3"/>
  <c r="AM643" i="3"/>
  <c r="AL643" i="3"/>
  <c r="W643" i="3"/>
  <c r="AJ643" i="3"/>
  <c r="AG643" i="3"/>
  <c r="F643" i="3"/>
  <c r="AW642" i="3"/>
  <c r="AK642" i="3"/>
  <c r="AN642" i="3"/>
  <c r="AM642" i="3"/>
  <c r="AL642" i="3"/>
  <c r="W642" i="3"/>
  <c r="AJ642" i="3"/>
  <c r="AG642" i="3"/>
  <c r="F642" i="3"/>
  <c r="AW641" i="3"/>
  <c r="AK641" i="3"/>
  <c r="AN641" i="3"/>
  <c r="AM641" i="3"/>
  <c r="AL641" i="3"/>
  <c r="W641" i="3"/>
  <c r="AJ641" i="3"/>
  <c r="AG641" i="3"/>
  <c r="F641" i="3"/>
  <c r="AW640" i="3"/>
  <c r="AK640" i="3"/>
  <c r="AN640" i="3"/>
  <c r="AM640" i="3"/>
  <c r="AL640" i="3"/>
  <c r="AJ640" i="3"/>
  <c r="AG640" i="3"/>
  <c r="W640" i="3"/>
  <c r="F640" i="3"/>
  <c r="AW639" i="3"/>
  <c r="AK639" i="3"/>
  <c r="AN639" i="3"/>
  <c r="AM639" i="3"/>
  <c r="AL639" i="3"/>
  <c r="AJ639" i="3"/>
  <c r="AG639" i="3"/>
  <c r="W639" i="3"/>
  <c r="F639" i="3"/>
  <c r="AW638" i="3"/>
  <c r="AK638" i="3"/>
  <c r="AN638" i="3"/>
  <c r="AM638" i="3"/>
  <c r="AL638" i="3"/>
  <c r="AJ638" i="3"/>
  <c r="AG638" i="3"/>
  <c r="W638" i="3"/>
  <c r="F638" i="3"/>
  <c r="AW637" i="3"/>
  <c r="AK637" i="3"/>
  <c r="AN637" i="3"/>
  <c r="AM637" i="3"/>
  <c r="AL637" i="3"/>
  <c r="W637" i="3"/>
  <c r="AJ637" i="3"/>
  <c r="AG637" i="3"/>
  <c r="F637" i="3"/>
  <c r="AW636" i="3"/>
  <c r="AK636" i="3"/>
  <c r="AN636" i="3"/>
  <c r="AM636" i="3"/>
  <c r="AL636" i="3"/>
  <c r="W636" i="3"/>
  <c r="AJ636" i="3"/>
  <c r="AG636" i="3"/>
  <c r="F636" i="3"/>
  <c r="AW635" i="3"/>
  <c r="AK635" i="3"/>
  <c r="AN635" i="3"/>
  <c r="AM635" i="3"/>
  <c r="AL635" i="3"/>
  <c r="W635" i="3"/>
  <c r="AJ635" i="3"/>
  <c r="AG635" i="3"/>
  <c r="F635" i="3"/>
  <c r="AW634" i="3"/>
  <c r="AK634" i="3"/>
  <c r="AN634" i="3"/>
  <c r="AM634" i="3"/>
  <c r="AL634" i="3"/>
  <c r="AJ634" i="3"/>
  <c r="AG634" i="3"/>
  <c r="W634" i="3"/>
  <c r="F634" i="3"/>
  <c r="AW633" i="3"/>
  <c r="AK633" i="3"/>
  <c r="AN633" i="3"/>
  <c r="AM633" i="3"/>
  <c r="AL633" i="3"/>
  <c r="AJ633" i="3"/>
  <c r="AG633" i="3"/>
  <c r="W633" i="3"/>
  <c r="F633" i="3"/>
  <c r="AW632" i="3"/>
  <c r="AK632" i="3"/>
  <c r="AN632" i="3"/>
  <c r="AM632" i="3"/>
  <c r="AL632" i="3"/>
  <c r="AJ632" i="3"/>
  <c r="AG632" i="3"/>
  <c r="W632" i="3"/>
  <c r="F632" i="3"/>
  <c r="AW631" i="3"/>
  <c r="AK631" i="3"/>
  <c r="AN631" i="3"/>
  <c r="AM631" i="3"/>
  <c r="AL631" i="3"/>
  <c r="AJ631" i="3"/>
  <c r="AG631" i="3"/>
  <c r="W631" i="3"/>
  <c r="F631" i="3"/>
  <c r="AW630" i="3"/>
  <c r="AK630" i="3"/>
  <c r="AN630" i="3"/>
  <c r="AM630" i="3"/>
  <c r="AL630" i="3"/>
  <c r="AJ630" i="3"/>
  <c r="AG630" i="3"/>
  <c r="W630" i="3"/>
  <c r="F630" i="3"/>
  <c r="AW629" i="3"/>
  <c r="AK629" i="3"/>
  <c r="AN629" i="3"/>
  <c r="AM629" i="3"/>
  <c r="AL629" i="3"/>
  <c r="AJ629" i="3"/>
  <c r="AG629" i="3"/>
  <c r="W629" i="3"/>
  <c r="F629" i="3"/>
  <c r="AW628" i="3"/>
  <c r="AK628" i="3"/>
  <c r="AN628" i="3"/>
  <c r="AM628" i="3"/>
  <c r="AL628" i="3"/>
  <c r="AJ628" i="3"/>
  <c r="AG628" i="3"/>
  <c r="W628" i="3"/>
  <c r="F628" i="3"/>
  <c r="AW627" i="3"/>
  <c r="AK627" i="3"/>
  <c r="AN627" i="3"/>
  <c r="AM627" i="3"/>
  <c r="AL627" i="3"/>
  <c r="AJ627" i="3"/>
  <c r="AG627" i="3"/>
  <c r="W627" i="3"/>
  <c r="F627" i="3"/>
  <c r="AW626" i="3"/>
  <c r="AK626" i="3"/>
  <c r="AN626" i="3"/>
  <c r="AM626" i="3"/>
  <c r="AL626" i="3"/>
  <c r="AJ626" i="3"/>
  <c r="AG626" i="3"/>
  <c r="W626" i="3"/>
  <c r="F626" i="3"/>
  <c r="AW625" i="3"/>
  <c r="AK625" i="3"/>
  <c r="AN625" i="3"/>
  <c r="AM625" i="3"/>
  <c r="AL625" i="3"/>
  <c r="W625" i="3"/>
  <c r="AJ625" i="3"/>
  <c r="AG625" i="3"/>
  <c r="F625" i="3"/>
  <c r="AW624" i="3"/>
  <c r="AK624" i="3"/>
  <c r="AN624" i="3"/>
  <c r="AM624" i="3"/>
  <c r="AL624" i="3"/>
  <c r="W624" i="3"/>
  <c r="AJ624" i="3"/>
  <c r="AG624" i="3"/>
  <c r="F624" i="3"/>
  <c r="AW623" i="3"/>
  <c r="AK623" i="3"/>
  <c r="AN623" i="3"/>
  <c r="AM623" i="3"/>
  <c r="AL623" i="3"/>
  <c r="AJ623" i="3"/>
  <c r="AG623" i="3"/>
  <c r="W623" i="3"/>
  <c r="F623" i="3"/>
  <c r="AW622" i="3"/>
  <c r="AK622" i="3"/>
  <c r="AN622" i="3"/>
  <c r="AM622" i="3"/>
  <c r="AL622" i="3"/>
  <c r="AJ622" i="3"/>
  <c r="AG622" i="3"/>
  <c r="W622" i="3"/>
  <c r="F622" i="3"/>
  <c r="AW621" i="3"/>
  <c r="AK621" i="3"/>
  <c r="AN621" i="3"/>
  <c r="AM621" i="3"/>
  <c r="AL621" i="3"/>
  <c r="AJ621" i="3"/>
  <c r="AG621" i="3"/>
  <c r="W621" i="3"/>
  <c r="F621" i="3"/>
  <c r="AW620" i="3"/>
  <c r="AK620" i="3"/>
  <c r="AN620" i="3"/>
  <c r="AM620" i="3"/>
  <c r="AL620" i="3"/>
  <c r="AJ620" i="3"/>
  <c r="AG620" i="3"/>
  <c r="W620" i="3"/>
  <c r="F620" i="3"/>
  <c r="AW619" i="3"/>
  <c r="AK619" i="3"/>
  <c r="AN619" i="3"/>
  <c r="AM619" i="3"/>
  <c r="AL619" i="3"/>
  <c r="AJ619" i="3"/>
  <c r="AG619" i="3"/>
  <c r="W619" i="3"/>
  <c r="F619" i="3"/>
  <c r="AW618" i="3"/>
  <c r="AK618" i="3"/>
  <c r="AN618" i="3"/>
  <c r="AM618" i="3"/>
  <c r="AL618" i="3"/>
  <c r="AJ618" i="3"/>
  <c r="AG618" i="3"/>
  <c r="W618" i="3"/>
  <c r="F618" i="3"/>
  <c r="AW617" i="3"/>
  <c r="AK617" i="3"/>
  <c r="AN617" i="3"/>
  <c r="AM617" i="3"/>
  <c r="AL617" i="3"/>
  <c r="AJ617" i="3"/>
  <c r="AG617" i="3"/>
  <c r="W617" i="3"/>
  <c r="F617" i="3"/>
  <c r="AW616" i="3"/>
  <c r="AK616" i="3"/>
  <c r="AN616" i="3"/>
  <c r="AM616" i="3"/>
  <c r="AL616" i="3"/>
  <c r="AJ616" i="3"/>
  <c r="AG616" i="3"/>
  <c r="W616" i="3"/>
  <c r="F616" i="3"/>
  <c r="AW615" i="3"/>
  <c r="AK615" i="3"/>
  <c r="AN615" i="3"/>
  <c r="AM615" i="3"/>
  <c r="AL615" i="3"/>
  <c r="AJ615" i="3"/>
  <c r="AG615" i="3"/>
  <c r="W615" i="3"/>
  <c r="F615" i="3"/>
  <c r="AW614" i="3"/>
  <c r="AK614" i="3"/>
  <c r="AN614" i="3"/>
  <c r="AM614" i="3"/>
  <c r="AL614" i="3"/>
  <c r="AJ614" i="3"/>
  <c r="AG614" i="3"/>
  <c r="W614" i="3"/>
  <c r="F614" i="3"/>
  <c r="AW613" i="3"/>
  <c r="AK613" i="3"/>
  <c r="AN613" i="3"/>
  <c r="AM613" i="3"/>
  <c r="AL613" i="3"/>
  <c r="AJ613" i="3"/>
  <c r="AG613" i="3"/>
  <c r="W613" i="3"/>
  <c r="F613" i="3"/>
  <c r="AW612" i="3"/>
  <c r="AK612" i="3"/>
  <c r="AN612" i="3"/>
  <c r="AM612" i="3"/>
  <c r="AL612" i="3"/>
  <c r="AJ612" i="3"/>
  <c r="AG612" i="3"/>
  <c r="W612" i="3"/>
  <c r="F612" i="3"/>
  <c r="AW611" i="3"/>
  <c r="AK611" i="3"/>
  <c r="AN611" i="3"/>
  <c r="AM611" i="3"/>
  <c r="AL611" i="3"/>
  <c r="AJ611" i="3"/>
  <c r="AG611" i="3"/>
  <c r="W611" i="3"/>
  <c r="F611" i="3"/>
  <c r="AW610" i="3"/>
  <c r="AK610" i="3"/>
  <c r="AN610" i="3"/>
  <c r="AM610" i="3"/>
  <c r="AL610" i="3"/>
  <c r="AJ610" i="3"/>
  <c r="AG610" i="3"/>
  <c r="W610" i="3"/>
  <c r="F610" i="3"/>
  <c r="AW609" i="3"/>
  <c r="AK609" i="3"/>
  <c r="AN609" i="3"/>
  <c r="AM609" i="3"/>
  <c r="AL609" i="3"/>
  <c r="AJ609" i="3"/>
  <c r="AG609" i="3"/>
  <c r="W609" i="3"/>
  <c r="F609" i="3"/>
  <c r="AW608" i="3"/>
  <c r="AK608" i="3"/>
  <c r="AN608" i="3"/>
  <c r="AM608" i="3"/>
  <c r="AL608" i="3"/>
  <c r="AJ608" i="3"/>
  <c r="AG608" i="3"/>
  <c r="W608" i="3"/>
  <c r="F608" i="3"/>
  <c r="AW607" i="3"/>
  <c r="AK607" i="3"/>
  <c r="AN607" i="3"/>
  <c r="AM607" i="3"/>
  <c r="AL607" i="3"/>
  <c r="AJ607" i="3"/>
  <c r="AG607" i="3"/>
  <c r="W607" i="3"/>
  <c r="F607" i="3"/>
  <c r="AW606" i="3"/>
  <c r="AK606" i="3"/>
  <c r="AN606" i="3"/>
  <c r="AM606" i="3"/>
  <c r="AL606" i="3"/>
  <c r="AJ606" i="3"/>
  <c r="AG606" i="3"/>
  <c r="W606" i="3"/>
  <c r="F606" i="3"/>
  <c r="AW605" i="3"/>
  <c r="AK605" i="3"/>
  <c r="AN605" i="3"/>
  <c r="AM605" i="3"/>
  <c r="AL605" i="3"/>
  <c r="AJ605" i="3"/>
  <c r="AG605" i="3"/>
  <c r="W605" i="3"/>
  <c r="F605" i="3"/>
  <c r="AW604" i="3"/>
  <c r="AK604" i="3"/>
  <c r="AN604" i="3"/>
  <c r="AM604" i="3"/>
  <c r="AL604" i="3"/>
  <c r="AJ604" i="3"/>
  <c r="AG604" i="3"/>
  <c r="W604" i="3"/>
  <c r="F604" i="3"/>
  <c r="AW603" i="3"/>
  <c r="AK603" i="3"/>
  <c r="AN603" i="3"/>
  <c r="AM603" i="3"/>
  <c r="AL603" i="3"/>
  <c r="AJ603" i="3"/>
  <c r="AG603" i="3"/>
  <c r="W603" i="3"/>
  <c r="F603" i="3"/>
  <c r="AW602" i="3"/>
  <c r="AK602" i="3"/>
  <c r="AN602" i="3"/>
  <c r="AM602" i="3"/>
  <c r="AL602" i="3"/>
  <c r="W602" i="3"/>
  <c r="AJ602" i="3"/>
  <c r="AG602" i="3"/>
  <c r="F602" i="3"/>
  <c r="AW601" i="3"/>
  <c r="AK601" i="3"/>
  <c r="AN601" i="3"/>
  <c r="AM601" i="3"/>
  <c r="AL601" i="3"/>
  <c r="W601" i="3"/>
  <c r="AJ601" i="3"/>
  <c r="AG601" i="3"/>
  <c r="F601" i="3"/>
  <c r="AW600" i="3"/>
  <c r="AK600" i="3"/>
  <c r="AN600" i="3"/>
  <c r="AM600" i="3"/>
  <c r="AL600" i="3"/>
  <c r="AJ600" i="3"/>
  <c r="AG600" i="3"/>
  <c r="W600" i="3"/>
  <c r="F600" i="3"/>
  <c r="AW599" i="3"/>
  <c r="AK599" i="3"/>
  <c r="AN599" i="3"/>
  <c r="AM599" i="3"/>
  <c r="AL599" i="3"/>
  <c r="AJ599" i="3"/>
  <c r="AG599" i="3"/>
  <c r="W599" i="3"/>
  <c r="F599" i="3"/>
  <c r="AW598" i="3"/>
  <c r="AK598" i="3"/>
  <c r="AN598" i="3"/>
  <c r="AM598" i="3"/>
  <c r="AL598" i="3"/>
  <c r="AJ598" i="3"/>
  <c r="AG598" i="3"/>
  <c r="W598" i="3"/>
  <c r="F598" i="3"/>
  <c r="AW597" i="3"/>
  <c r="AK597" i="3"/>
  <c r="AN597" i="3"/>
  <c r="AM597" i="3"/>
  <c r="AL597" i="3"/>
  <c r="AJ597" i="3"/>
  <c r="AG597" i="3"/>
  <c r="W597" i="3"/>
  <c r="F597" i="3"/>
  <c r="AW596" i="3"/>
  <c r="AK596" i="3"/>
  <c r="AN596" i="3"/>
  <c r="AM596" i="3"/>
  <c r="AL596" i="3"/>
  <c r="AJ596" i="3"/>
  <c r="AG596" i="3"/>
  <c r="W596" i="3"/>
  <c r="F596" i="3"/>
  <c r="AW595" i="3"/>
  <c r="AK595" i="3"/>
  <c r="AN595" i="3"/>
  <c r="AM595" i="3"/>
  <c r="AL595" i="3"/>
  <c r="AJ595" i="3"/>
  <c r="AG595" i="3"/>
  <c r="W595" i="3"/>
  <c r="F595" i="3"/>
  <c r="AW594" i="3"/>
  <c r="AK594" i="3"/>
  <c r="AN594" i="3"/>
  <c r="AM594" i="3"/>
  <c r="AL594" i="3"/>
  <c r="AJ594" i="3"/>
  <c r="AG594" i="3"/>
  <c r="W594" i="3"/>
  <c r="F594" i="3"/>
  <c r="AW593" i="3"/>
  <c r="AK593" i="3"/>
  <c r="AN593" i="3"/>
  <c r="AM593" i="3"/>
  <c r="AL593" i="3"/>
  <c r="AJ593" i="3"/>
  <c r="AG593" i="3"/>
  <c r="W593" i="3"/>
  <c r="F593" i="3"/>
  <c r="AW592" i="3"/>
  <c r="AK592" i="3"/>
  <c r="AN592" i="3"/>
  <c r="AM592" i="3"/>
  <c r="AL592" i="3"/>
  <c r="W592" i="3"/>
  <c r="AJ592" i="3"/>
  <c r="AG592" i="3"/>
  <c r="F592" i="3"/>
  <c r="AW591" i="3"/>
  <c r="AK591" i="3"/>
  <c r="AN591" i="3"/>
  <c r="AM591" i="3"/>
  <c r="AL591" i="3"/>
  <c r="AJ591" i="3"/>
  <c r="AG591" i="3"/>
  <c r="W591" i="3"/>
  <c r="F591" i="3"/>
  <c r="AW590" i="3"/>
  <c r="AK590" i="3"/>
  <c r="AN590" i="3"/>
  <c r="AM590" i="3"/>
  <c r="AL590" i="3"/>
  <c r="AJ590" i="3"/>
  <c r="AG590" i="3"/>
  <c r="W590" i="3"/>
  <c r="F590" i="3"/>
  <c r="AW589" i="3"/>
  <c r="AK589" i="3"/>
  <c r="AN589" i="3"/>
  <c r="AM589" i="3"/>
  <c r="AL589" i="3"/>
  <c r="AJ589" i="3"/>
  <c r="AG589" i="3"/>
  <c r="W589" i="3"/>
  <c r="F589" i="3"/>
  <c r="AW588" i="3"/>
  <c r="AK588" i="3"/>
  <c r="AN588" i="3"/>
  <c r="AM588" i="3"/>
  <c r="AL588" i="3"/>
  <c r="AJ588" i="3"/>
  <c r="AG588" i="3"/>
  <c r="W588" i="3"/>
  <c r="F588" i="3"/>
  <c r="AW587" i="3"/>
  <c r="AK587" i="3"/>
  <c r="AN587" i="3"/>
  <c r="AM587" i="3"/>
  <c r="AL587" i="3"/>
  <c r="AJ587" i="3"/>
  <c r="AG587" i="3"/>
  <c r="W587" i="3"/>
  <c r="F587" i="3"/>
  <c r="AW586" i="3"/>
  <c r="AK586" i="3"/>
  <c r="AN586" i="3"/>
  <c r="AM586" i="3"/>
  <c r="AL586" i="3"/>
  <c r="AJ586" i="3"/>
  <c r="AG586" i="3"/>
  <c r="W586" i="3"/>
  <c r="F586" i="3"/>
  <c r="AW585" i="3"/>
  <c r="AK585" i="3"/>
  <c r="AN585" i="3"/>
  <c r="AM585" i="3"/>
  <c r="AL585" i="3"/>
  <c r="AJ585" i="3"/>
  <c r="AG585" i="3"/>
  <c r="W585" i="3"/>
  <c r="F585" i="3"/>
  <c r="AW584" i="3"/>
  <c r="AK584" i="3"/>
  <c r="AN584" i="3"/>
  <c r="AM584" i="3"/>
  <c r="AL584" i="3"/>
  <c r="AJ584" i="3"/>
  <c r="AG584" i="3"/>
  <c r="W584" i="3"/>
  <c r="F584" i="3"/>
  <c r="AW583" i="3"/>
  <c r="AK583" i="3"/>
  <c r="AN583" i="3"/>
  <c r="AM583" i="3"/>
  <c r="AL583" i="3"/>
  <c r="AJ583" i="3"/>
  <c r="AG583" i="3"/>
  <c r="W583" i="3"/>
  <c r="F583" i="3"/>
  <c r="AW582" i="3"/>
  <c r="AK582" i="3"/>
  <c r="AN582" i="3"/>
  <c r="AM582" i="3"/>
  <c r="AL582" i="3"/>
  <c r="W582" i="3"/>
  <c r="AJ582" i="3"/>
  <c r="AG582" i="3"/>
  <c r="F582" i="3"/>
  <c r="AW581" i="3"/>
  <c r="AK581" i="3"/>
  <c r="AN581" i="3"/>
  <c r="AM581" i="3"/>
  <c r="AL581" i="3"/>
  <c r="W581" i="3"/>
  <c r="AJ581" i="3"/>
  <c r="AG581" i="3"/>
  <c r="F581" i="3"/>
  <c r="AW580" i="3"/>
  <c r="AK580" i="3"/>
  <c r="AN580" i="3"/>
  <c r="AM580" i="3"/>
  <c r="AL580" i="3"/>
  <c r="AJ580" i="3"/>
  <c r="AG580" i="3"/>
  <c r="W580" i="3"/>
  <c r="F580" i="3"/>
  <c r="AW579" i="3"/>
  <c r="AK579" i="3"/>
  <c r="AN579" i="3"/>
  <c r="AM579" i="3"/>
  <c r="AL579" i="3"/>
  <c r="AJ579" i="3"/>
  <c r="AG579" i="3"/>
  <c r="W579" i="3"/>
  <c r="F579" i="3"/>
  <c r="AW578" i="3"/>
  <c r="AK578" i="3"/>
  <c r="AN578" i="3"/>
  <c r="AM578" i="3"/>
  <c r="AL578" i="3"/>
  <c r="AJ578" i="3"/>
  <c r="AG578" i="3"/>
  <c r="W578" i="3"/>
  <c r="F578" i="3"/>
  <c r="AW577" i="3"/>
  <c r="AK577" i="3"/>
  <c r="AN577" i="3"/>
  <c r="AM577" i="3"/>
  <c r="AL577" i="3"/>
  <c r="AJ577" i="3"/>
  <c r="AG577" i="3"/>
  <c r="W577" i="3"/>
  <c r="F577" i="3"/>
  <c r="AW576" i="3"/>
  <c r="AK576" i="3"/>
  <c r="AN576" i="3"/>
  <c r="AM576" i="3"/>
  <c r="AL576" i="3"/>
  <c r="AJ576" i="3"/>
  <c r="AG576" i="3"/>
  <c r="W576" i="3"/>
  <c r="F576" i="3"/>
  <c r="AW575" i="3"/>
  <c r="AK575" i="3"/>
  <c r="AN575" i="3"/>
  <c r="AM575" i="3"/>
  <c r="AL575" i="3"/>
  <c r="AJ575" i="3"/>
  <c r="AG575" i="3"/>
  <c r="W575" i="3"/>
  <c r="F575" i="3"/>
  <c r="AW574" i="3"/>
  <c r="AK574" i="3"/>
  <c r="AN574" i="3"/>
  <c r="AM574" i="3"/>
  <c r="AL574" i="3"/>
  <c r="AJ574" i="3"/>
  <c r="AG574" i="3"/>
  <c r="W574" i="3"/>
  <c r="F574" i="3"/>
  <c r="AW573" i="3"/>
  <c r="AK573" i="3"/>
  <c r="AN573" i="3"/>
  <c r="AM573" i="3"/>
  <c r="AL573" i="3"/>
  <c r="AJ573" i="3"/>
  <c r="AG573" i="3"/>
  <c r="W573" i="3"/>
  <c r="F573" i="3"/>
  <c r="AW572" i="3"/>
  <c r="AK572" i="3"/>
  <c r="AN572" i="3"/>
  <c r="AM572" i="3"/>
  <c r="AL572" i="3"/>
  <c r="AJ572" i="3"/>
  <c r="AG572" i="3"/>
  <c r="W572" i="3"/>
  <c r="F572" i="3"/>
  <c r="AW571" i="3"/>
  <c r="AK571" i="3"/>
  <c r="AN571" i="3"/>
  <c r="AM571" i="3"/>
  <c r="AL571" i="3"/>
  <c r="AJ571" i="3"/>
  <c r="AG571" i="3"/>
  <c r="W571" i="3"/>
  <c r="F571" i="3"/>
  <c r="AW570" i="3"/>
  <c r="AK570" i="3"/>
  <c r="AN570" i="3"/>
  <c r="AM570" i="3"/>
  <c r="AL570" i="3"/>
  <c r="AJ570" i="3"/>
  <c r="AG570" i="3"/>
  <c r="W570" i="3"/>
  <c r="F570" i="3"/>
  <c r="AW569" i="3"/>
  <c r="AK569" i="3"/>
  <c r="AN569" i="3"/>
  <c r="AM569" i="3"/>
  <c r="AL569" i="3"/>
  <c r="AJ569" i="3"/>
  <c r="AG569" i="3"/>
  <c r="W569" i="3"/>
  <c r="F569" i="3"/>
  <c r="AW568" i="3"/>
  <c r="AK568" i="3"/>
  <c r="AN568" i="3"/>
  <c r="AM568" i="3"/>
  <c r="AL568" i="3"/>
  <c r="AJ568" i="3"/>
  <c r="AG568" i="3"/>
  <c r="W568" i="3"/>
  <c r="F568" i="3"/>
  <c r="AW567" i="3"/>
  <c r="AK567" i="3"/>
  <c r="AN567" i="3"/>
  <c r="AM567" i="3"/>
  <c r="AL567" i="3"/>
  <c r="AJ567" i="3"/>
  <c r="AG567" i="3"/>
  <c r="W567" i="3"/>
  <c r="F567" i="3"/>
  <c r="AW566" i="3"/>
  <c r="AK566" i="3"/>
  <c r="AN566" i="3"/>
  <c r="AM566" i="3"/>
  <c r="AL566" i="3"/>
  <c r="AJ566" i="3"/>
  <c r="AG566" i="3"/>
  <c r="W566" i="3"/>
  <c r="F566" i="3"/>
  <c r="AW565" i="3"/>
  <c r="AK565" i="3"/>
  <c r="AN565" i="3"/>
  <c r="AM565" i="3"/>
  <c r="AL565" i="3"/>
  <c r="AJ565" i="3"/>
  <c r="AG565" i="3"/>
  <c r="W565" i="3"/>
  <c r="F565" i="3"/>
  <c r="AW564" i="3"/>
  <c r="AK564" i="3"/>
  <c r="AN564" i="3"/>
  <c r="AM564" i="3"/>
  <c r="AL564" i="3"/>
  <c r="AJ564" i="3"/>
  <c r="AG564" i="3"/>
  <c r="W564" i="3"/>
  <c r="F564" i="3"/>
  <c r="AW563" i="3"/>
  <c r="AK563" i="3"/>
  <c r="AN563" i="3"/>
  <c r="AM563" i="3"/>
  <c r="AL563" i="3"/>
  <c r="AJ563" i="3"/>
  <c r="AG563" i="3"/>
  <c r="W563" i="3"/>
  <c r="F563" i="3"/>
  <c r="AW562" i="3"/>
  <c r="AK562" i="3"/>
  <c r="AN562" i="3"/>
  <c r="AM562" i="3"/>
  <c r="AL562" i="3"/>
  <c r="AJ562" i="3"/>
  <c r="AG562" i="3"/>
  <c r="W562" i="3"/>
  <c r="F562" i="3"/>
  <c r="AW561" i="3"/>
  <c r="AK561" i="3"/>
  <c r="AN561" i="3"/>
  <c r="AM561" i="3"/>
  <c r="AL561" i="3"/>
  <c r="AJ561" i="3"/>
  <c r="AG561" i="3"/>
  <c r="W561" i="3"/>
  <c r="F561" i="3"/>
  <c r="AW560" i="3"/>
  <c r="AK560" i="3"/>
  <c r="AN560" i="3"/>
  <c r="AM560" i="3"/>
  <c r="AL560" i="3"/>
  <c r="AJ560" i="3"/>
  <c r="AG560" i="3"/>
  <c r="W560" i="3"/>
  <c r="F560" i="3"/>
  <c r="AW559" i="3"/>
  <c r="AK559" i="3"/>
  <c r="AN559" i="3"/>
  <c r="AM559" i="3"/>
  <c r="AL559" i="3"/>
  <c r="AJ559" i="3"/>
  <c r="AG559" i="3"/>
  <c r="W559" i="3"/>
  <c r="F559" i="3"/>
  <c r="AW558" i="3"/>
  <c r="AK558" i="3"/>
  <c r="AN558" i="3"/>
  <c r="AM558" i="3"/>
  <c r="AL558" i="3"/>
  <c r="AJ558" i="3"/>
  <c r="AG558" i="3"/>
  <c r="W558" i="3"/>
  <c r="F558" i="3"/>
  <c r="AW557" i="3"/>
  <c r="AK557" i="3"/>
  <c r="AN557" i="3"/>
  <c r="AM557" i="3"/>
  <c r="AL557" i="3"/>
  <c r="AJ557" i="3"/>
  <c r="AG557" i="3"/>
  <c r="W557" i="3"/>
  <c r="F557" i="3"/>
  <c r="AW556" i="3"/>
  <c r="AK556" i="3"/>
  <c r="AN556" i="3"/>
  <c r="AM556" i="3"/>
  <c r="AL556" i="3"/>
  <c r="AJ556" i="3"/>
  <c r="AG556" i="3"/>
  <c r="W556" i="3"/>
  <c r="F556" i="3"/>
  <c r="AW555" i="3"/>
  <c r="AK555" i="3"/>
  <c r="AN555" i="3"/>
  <c r="AM555" i="3"/>
  <c r="AL555" i="3"/>
  <c r="AJ555" i="3"/>
  <c r="AG555" i="3"/>
  <c r="W555" i="3"/>
  <c r="F555" i="3"/>
  <c r="AW554" i="3"/>
  <c r="AK554" i="3"/>
  <c r="AN554" i="3"/>
  <c r="AM554" i="3"/>
  <c r="AL554" i="3"/>
  <c r="AJ554" i="3"/>
  <c r="AG554" i="3"/>
  <c r="W554" i="3"/>
  <c r="F554" i="3"/>
  <c r="AW553" i="3"/>
  <c r="AK553" i="3"/>
  <c r="AN553" i="3"/>
  <c r="AM553" i="3"/>
  <c r="AL553" i="3"/>
  <c r="AJ553" i="3"/>
  <c r="AG553" i="3"/>
  <c r="W553" i="3"/>
  <c r="F553" i="3"/>
  <c r="AW552" i="3"/>
  <c r="AK552" i="3"/>
  <c r="AN552" i="3"/>
  <c r="AM552" i="3"/>
  <c r="AL552" i="3"/>
  <c r="AJ552" i="3"/>
  <c r="AG552" i="3"/>
  <c r="W552" i="3"/>
  <c r="F552" i="3"/>
  <c r="AW551" i="3"/>
  <c r="AK551" i="3"/>
  <c r="AN551" i="3"/>
  <c r="AM551" i="3"/>
  <c r="AL551" i="3"/>
  <c r="AJ551" i="3"/>
  <c r="AG551" i="3"/>
  <c r="W551" i="3"/>
  <c r="F551" i="3"/>
  <c r="AW550" i="3"/>
  <c r="AK550" i="3"/>
  <c r="AN550" i="3"/>
  <c r="AM550" i="3"/>
  <c r="AL550" i="3"/>
  <c r="AJ550" i="3"/>
  <c r="AG550" i="3"/>
  <c r="W550" i="3"/>
  <c r="F550" i="3"/>
  <c r="AW549" i="3"/>
  <c r="AK549" i="3"/>
  <c r="AN549" i="3"/>
  <c r="AM549" i="3"/>
  <c r="AL549" i="3"/>
  <c r="AJ549" i="3"/>
  <c r="AG549" i="3"/>
  <c r="W549" i="3"/>
  <c r="F549" i="3"/>
  <c r="AW548" i="3"/>
  <c r="AK548" i="3"/>
  <c r="AN548" i="3"/>
  <c r="AM548" i="3"/>
  <c r="AL548" i="3"/>
  <c r="W548" i="3"/>
  <c r="AJ548" i="3"/>
  <c r="AG548" i="3"/>
  <c r="F548" i="3"/>
  <c r="AW547" i="3"/>
  <c r="AK547" i="3"/>
  <c r="AN547" i="3"/>
  <c r="AM547" i="3"/>
  <c r="AL547" i="3"/>
  <c r="AJ547" i="3"/>
  <c r="AG547" i="3"/>
  <c r="W547" i="3"/>
  <c r="F547" i="3"/>
  <c r="AW546" i="3"/>
  <c r="AK546" i="3"/>
  <c r="AN546" i="3"/>
  <c r="AM546" i="3"/>
  <c r="AL546" i="3"/>
  <c r="AJ546" i="3"/>
  <c r="AG546" i="3"/>
  <c r="W546" i="3"/>
  <c r="F546" i="3"/>
  <c r="AW545" i="3"/>
  <c r="AK545" i="3"/>
  <c r="AN545" i="3"/>
  <c r="AM545" i="3"/>
  <c r="AL545" i="3"/>
  <c r="AJ545" i="3"/>
  <c r="AG545" i="3"/>
  <c r="W545" i="3"/>
  <c r="F545" i="3"/>
  <c r="AW544" i="3"/>
  <c r="AK544" i="3"/>
  <c r="AN544" i="3"/>
  <c r="AM544" i="3"/>
  <c r="AL544" i="3"/>
  <c r="AJ544" i="3"/>
  <c r="AG544" i="3"/>
  <c r="W544" i="3"/>
  <c r="F544" i="3"/>
  <c r="AW543" i="3"/>
  <c r="AK543" i="3"/>
  <c r="AN543" i="3"/>
  <c r="AM543" i="3"/>
  <c r="AL543" i="3"/>
  <c r="AJ543" i="3"/>
  <c r="AG543" i="3"/>
  <c r="W543" i="3"/>
  <c r="F543" i="3"/>
  <c r="AW542" i="3"/>
  <c r="AK542" i="3"/>
  <c r="AN542" i="3"/>
  <c r="AM542" i="3"/>
  <c r="AL542" i="3"/>
  <c r="AJ542" i="3"/>
  <c r="AG542" i="3"/>
  <c r="W542" i="3"/>
  <c r="F542" i="3"/>
  <c r="AW541" i="3"/>
  <c r="AK541" i="3"/>
  <c r="AN541" i="3"/>
  <c r="AM541" i="3"/>
  <c r="AL541" i="3"/>
  <c r="AJ541" i="3"/>
  <c r="AG541" i="3"/>
  <c r="W541" i="3"/>
  <c r="F541" i="3"/>
  <c r="AW540" i="3"/>
  <c r="AK540" i="3"/>
  <c r="AN540" i="3"/>
  <c r="AM540" i="3"/>
  <c r="AL540" i="3"/>
  <c r="AJ540" i="3"/>
  <c r="AG540" i="3"/>
  <c r="W540" i="3"/>
  <c r="F540" i="3"/>
  <c r="AW539" i="3"/>
  <c r="AK539" i="3"/>
  <c r="AN539" i="3"/>
  <c r="AM539" i="3"/>
  <c r="AL539" i="3"/>
  <c r="AJ539" i="3"/>
  <c r="AG539" i="3"/>
  <c r="W539" i="3"/>
  <c r="F539" i="3"/>
  <c r="AW538" i="3"/>
  <c r="AK538" i="3"/>
  <c r="AN538" i="3"/>
  <c r="AM538" i="3"/>
  <c r="AL538" i="3"/>
  <c r="AJ538" i="3"/>
  <c r="AG538" i="3"/>
  <c r="W538" i="3"/>
  <c r="F538" i="3"/>
  <c r="AW537" i="3"/>
  <c r="AK537" i="3"/>
  <c r="AN537" i="3"/>
  <c r="AM537" i="3"/>
  <c r="AL537" i="3"/>
  <c r="AJ537" i="3"/>
  <c r="AG537" i="3"/>
  <c r="W537" i="3"/>
  <c r="F537" i="3"/>
  <c r="AW536" i="3"/>
  <c r="AK536" i="3"/>
  <c r="AN536" i="3"/>
  <c r="AM536" i="3"/>
  <c r="AL536" i="3"/>
  <c r="AJ536" i="3"/>
  <c r="AG536" i="3"/>
  <c r="W536" i="3"/>
  <c r="F536" i="3"/>
  <c r="AW535" i="3"/>
  <c r="AK535" i="3"/>
  <c r="AN535" i="3"/>
  <c r="AM535" i="3"/>
  <c r="AL535" i="3"/>
  <c r="AJ535" i="3"/>
  <c r="AG535" i="3"/>
  <c r="W535" i="3"/>
  <c r="F535" i="3"/>
  <c r="AW534" i="3"/>
  <c r="AK534" i="3"/>
  <c r="AN534" i="3"/>
  <c r="AM534" i="3"/>
  <c r="AL534" i="3"/>
  <c r="AJ534" i="3"/>
  <c r="AG534" i="3"/>
  <c r="W534" i="3"/>
  <c r="F534" i="3"/>
  <c r="AW533" i="3"/>
  <c r="AK533" i="3"/>
  <c r="AN533" i="3"/>
  <c r="AM533" i="3"/>
  <c r="AL533" i="3"/>
  <c r="AJ533" i="3"/>
  <c r="AG533" i="3"/>
  <c r="W533" i="3"/>
  <c r="F533" i="3"/>
  <c r="AW532" i="3"/>
  <c r="AK532" i="3"/>
  <c r="AN532" i="3"/>
  <c r="AM532" i="3"/>
  <c r="AL532" i="3"/>
  <c r="AJ532" i="3"/>
  <c r="AG532" i="3"/>
  <c r="W532" i="3"/>
  <c r="F532" i="3"/>
  <c r="AW531" i="3"/>
  <c r="AK531" i="3"/>
  <c r="AN531" i="3"/>
  <c r="AM531" i="3"/>
  <c r="AL531" i="3"/>
  <c r="AJ531" i="3"/>
  <c r="AG531" i="3"/>
  <c r="W531" i="3"/>
  <c r="F531" i="3"/>
  <c r="AW530" i="3"/>
  <c r="AK530" i="3"/>
  <c r="AN530" i="3"/>
  <c r="AM530" i="3"/>
  <c r="AL530" i="3"/>
  <c r="AJ530" i="3"/>
  <c r="AG530" i="3"/>
  <c r="W530" i="3"/>
  <c r="F530" i="3"/>
  <c r="AW529" i="3"/>
  <c r="AK529" i="3"/>
  <c r="AN529" i="3"/>
  <c r="AM529" i="3"/>
  <c r="AL529" i="3"/>
  <c r="AJ529" i="3"/>
  <c r="AG529" i="3"/>
  <c r="W529" i="3"/>
  <c r="F529" i="3"/>
  <c r="AW528" i="3"/>
  <c r="AK528" i="3"/>
  <c r="AN528" i="3"/>
  <c r="AM528" i="3"/>
  <c r="AL528" i="3"/>
  <c r="AJ528" i="3"/>
  <c r="AG528" i="3"/>
  <c r="W528" i="3"/>
  <c r="F528" i="3"/>
  <c r="AW527" i="3"/>
  <c r="AK527" i="3"/>
  <c r="AN527" i="3"/>
  <c r="AM527" i="3"/>
  <c r="AL527" i="3"/>
  <c r="AJ527" i="3"/>
  <c r="AG527" i="3"/>
  <c r="W527" i="3"/>
  <c r="F527" i="3"/>
  <c r="AW526" i="3"/>
  <c r="AK526" i="3"/>
  <c r="AN526" i="3"/>
  <c r="AM526" i="3"/>
  <c r="AL526" i="3"/>
  <c r="AJ526" i="3"/>
  <c r="AG526" i="3"/>
  <c r="W526" i="3"/>
  <c r="F526" i="3"/>
  <c r="AW525" i="3"/>
  <c r="AK525" i="3"/>
  <c r="AN525" i="3"/>
  <c r="AM525" i="3"/>
  <c r="AL525" i="3"/>
  <c r="AJ525" i="3"/>
  <c r="AG525" i="3"/>
  <c r="W525" i="3"/>
  <c r="F525" i="3"/>
  <c r="AW524" i="3"/>
  <c r="AK524" i="3"/>
  <c r="AN524" i="3"/>
  <c r="AM524" i="3"/>
  <c r="AL524" i="3"/>
  <c r="AJ524" i="3"/>
  <c r="AG524" i="3"/>
  <c r="W524" i="3"/>
  <c r="F524" i="3"/>
  <c r="AW523" i="3"/>
  <c r="AK523" i="3"/>
  <c r="AN523" i="3"/>
  <c r="AM523" i="3"/>
  <c r="AL523" i="3"/>
  <c r="AJ523" i="3"/>
  <c r="AG523" i="3"/>
  <c r="W523" i="3"/>
  <c r="F523" i="3"/>
  <c r="AW522" i="3"/>
  <c r="AK522" i="3"/>
  <c r="AN522" i="3"/>
  <c r="AM522" i="3"/>
  <c r="AL522" i="3"/>
  <c r="AJ522" i="3"/>
  <c r="AG522" i="3"/>
  <c r="W522" i="3"/>
  <c r="F522" i="3"/>
  <c r="AW521" i="3"/>
  <c r="AK521" i="3"/>
  <c r="AN521" i="3"/>
  <c r="AM521" i="3"/>
  <c r="AL521" i="3"/>
  <c r="AJ521" i="3"/>
  <c r="AG521" i="3"/>
  <c r="W521" i="3"/>
  <c r="F521" i="3"/>
  <c r="AW520" i="3"/>
  <c r="AK520" i="3"/>
  <c r="AN520" i="3"/>
  <c r="AM520" i="3"/>
  <c r="AL520" i="3"/>
  <c r="AJ520" i="3"/>
  <c r="AG520" i="3"/>
  <c r="W520" i="3"/>
  <c r="F520" i="3"/>
  <c r="AW519" i="3"/>
  <c r="AK519" i="3"/>
  <c r="AN519" i="3"/>
  <c r="AM519" i="3"/>
  <c r="AL519" i="3"/>
  <c r="W519" i="3"/>
  <c r="AJ519" i="3"/>
  <c r="AG519" i="3"/>
  <c r="F519" i="3"/>
  <c r="AW518" i="3"/>
  <c r="AK518" i="3"/>
  <c r="AN518" i="3"/>
  <c r="AM518" i="3"/>
  <c r="AL518" i="3"/>
  <c r="AJ518" i="3"/>
  <c r="AG518" i="3"/>
  <c r="W518" i="3"/>
  <c r="F518" i="3"/>
  <c r="AW517" i="3"/>
  <c r="AK517" i="3"/>
  <c r="AN517" i="3"/>
  <c r="AM517" i="3"/>
  <c r="AL517" i="3"/>
  <c r="AJ517" i="3"/>
  <c r="AG517" i="3"/>
  <c r="W517" i="3"/>
  <c r="F517" i="3"/>
  <c r="AW516" i="3"/>
  <c r="AK516" i="3"/>
  <c r="AN516" i="3"/>
  <c r="AM516" i="3"/>
  <c r="AL516" i="3"/>
  <c r="AJ516" i="3"/>
  <c r="AG516" i="3"/>
  <c r="W516" i="3"/>
  <c r="F516" i="3"/>
  <c r="AW515" i="3"/>
  <c r="AK515" i="3"/>
  <c r="AN515" i="3"/>
  <c r="AM515" i="3"/>
  <c r="AL515" i="3"/>
  <c r="AJ515" i="3"/>
  <c r="AG515" i="3"/>
  <c r="W515" i="3"/>
  <c r="F515" i="3"/>
  <c r="AW514" i="3"/>
  <c r="AK514" i="3"/>
  <c r="AN514" i="3"/>
  <c r="AM514" i="3"/>
  <c r="AL514" i="3"/>
  <c r="AJ514" i="3"/>
  <c r="AG514" i="3"/>
  <c r="W514" i="3"/>
  <c r="F514" i="3"/>
  <c r="AW513" i="3"/>
  <c r="AK513" i="3"/>
  <c r="AN513" i="3"/>
  <c r="AM513" i="3"/>
  <c r="AL513" i="3"/>
  <c r="AJ513" i="3"/>
  <c r="AG513" i="3"/>
  <c r="W513" i="3"/>
  <c r="F513" i="3"/>
  <c r="AW512" i="3"/>
  <c r="AK512" i="3"/>
  <c r="AN512" i="3"/>
  <c r="AM512" i="3"/>
  <c r="AL512" i="3"/>
  <c r="AJ512" i="3"/>
  <c r="AG512" i="3"/>
  <c r="W512" i="3"/>
  <c r="F512" i="3"/>
  <c r="AW511" i="3"/>
  <c r="AK511" i="3"/>
  <c r="AN511" i="3"/>
  <c r="AM511" i="3"/>
  <c r="AL511" i="3"/>
  <c r="AJ511" i="3"/>
  <c r="AG511" i="3"/>
  <c r="W511" i="3"/>
  <c r="F511" i="3"/>
  <c r="AW510" i="3"/>
  <c r="AK510" i="3"/>
  <c r="AN510" i="3"/>
  <c r="AM510" i="3"/>
  <c r="AL510" i="3"/>
  <c r="AJ510" i="3"/>
  <c r="AG510" i="3"/>
  <c r="W510" i="3"/>
  <c r="F510" i="3"/>
  <c r="AW509" i="3"/>
  <c r="AK509" i="3"/>
  <c r="AN509" i="3"/>
  <c r="AM509" i="3"/>
  <c r="AL509" i="3"/>
  <c r="AJ509" i="3"/>
  <c r="AG509" i="3"/>
  <c r="W509" i="3"/>
  <c r="F509" i="3"/>
  <c r="AW508" i="3"/>
  <c r="AK508" i="3"/>
  <c r="AN508" i="3"/>
  <c r="AM508" i="3"/>
  <c r="AL508" i="3"/>
  <c r="AJ508" i="3"/>
  <c r="AG508" i="3"/>
  <c r="W508" i="3"/>
  <c r="F508" i="3"/>
  <c r="AW507" i="3"/>
  <c r="AK507" i="3"/>
  <c r="AN507" i="3"/>
  <c r="AM507" i="3"/>
  <c r="AL507" i="3"/>
  <c r="AJ507" i="3"/>
  <c r="AG507" i="3"/>
  <c r="W507" i="3"/>
  <c r="F507" i="3"/>
  <c r="AW506" i="3"/>
  <c r="AK506" i="3"/>
  <c r="AN506" i="3"/>
  <c r="AM506" i="3"/>
  <c r="AL506" i="3"/>
  <c r="AJ506" i="3"/>
  <c r="AG506" i="3"/>
  <c r="W506" i="3"/>
  <c r="F506" i="3"/>
  <c r="AW505" i="3"/>
  <c r="AK505" i="3"/>
  <c r="AN505" i="3"/>
  <c r="AM505" i="3"/>
  <c r="AL505" i="3"/>
  <c r="AJ505" i="3"/>
  <c r="AG505" i="3"/>
  <c r="W505" i="3"/>
  <c r="F505" i="3"/>
  <c r="AW504" i="3"/>
  <c r="AK504" i="3"/>
  <c r="AN504" i="3"/>
  <c r="AM504" i="3"/>
  <c r="AL504" i="3"/>
  <c r="AJ504" i="3"/>
  <c r="AG504" i="3"/>
  <c r="W504" i="3"/>
  <c r="F504" i="3"/>
  <c r="AW503" i="3"/>
  <c r="AK503" i="3"/>
  <c r="AN503" i="3"/>
  <c r="AM503" i="3"/>
  <c r="AL503" i="3"/>
  <c r="AJ503" i="3"/>
  <c r="AG503" i="3"/>
  <c r="W503" i="3"/>
  <c r="F503" i="3"/>
  <c r="AW502" i="3"/>
  <c r="AK502" i="3"/>
  <c r="AN502" i="3"/>
  <c r="AM502" i="3"/>
  <c r="AL502" i="3"/>
  <c r="AJ502" i="3"/>
  <c r="AG502" i="3"/>
  <c r="W502" i="3"/>
  <c r="F502" i="3"/>
  <c r="AW501" i="3"/>
  <c r="AK501" i="3"/>
  <c r="AN501" i="3"/>
  <c r="AM501" i="3"/>
  <c r="AL501" i="3"/>
  <c r="AJ501" i="3"/>
  <c r="AG501" i="3"/>
  <c r="W501" i="3"/>
  <c r="F501" i="3"/>
  <c r="AW500" i="3"/>
  <c r="AK500" i="3"/>
  <c r="AN500" i="3"/>
  <c r="AM500" i="3"/>
  <c r="AL500" i="3"/>
  <c r="AJ500" i="3"/>
  <c r="AG500" i="3"/>
  <c r="W500" i="3"/>
  <c r="F500" i="3"/>
  <c r="AW499" i="3"/>
  <c r="AK499" i="3"/>
  <c r="AN499" i="3"/>
  <c r="AM499" i="3"/>
  <c r="AL499" i="3"/>
  <c r="AJ499" i="3"/>
  <c r="AG499" i="3"/>
  <c r="W499" i="3"/>
  <c r="F499" i="3"/>
  <c r="AW498" i="3"/>
  <c r="AK498" i="3"/>
  <c r="AN498" i="3"/>
  <c r="AM498" i="3"/>
  <c r="AL498" i="3"/>
  <c r="AJ498" i="3"/>
  <c r="AG498" i="3"/>
  <c r="W498" i="3"/>
  <c r="F498" i="3"/>
  <c r="AW497" i="3"/>
  <c r="AK497" i="3"/>
  <c r="AN497" i="3"/>
  <c r="AM497" i="3"/>
  <c r="AL497" i="3"/>
  <c r="AJ497" i="3"/>
  <c r="AG497" i="3"/>
  <c r="W497" i="3"/>
  <c r="F497" i="3"/>
  <c r="AW496" i="3"/>
  <c r="AK496" i="3"/>
  <c r="AN496" i="3"/>
  <c r="AM496" i="3"/>
  <c r="AL496" i="3"/>
  <c r="AJ496" i="3"/>
  <c r="AG496" i="3"/>
  <c r="W496" i="3"/>
  <c r="F496" i="3"/>
  <c r="AW495" i="3"/>
  <c r="AK495" i="3"/>
  <c r="AN495" i="3"/>
  <c r="AM495" i="3"/>
  <c r="AL495" i="3"/>
  <c r="AJ495" i="3"/>
  <c r="AG495" i="3"/>
  <c r="W495" i="3"/>
  <c r="F495" i="3"/>
  <c r="AW494" i="3"/>
  <c r="AK494" i="3"/>
  <c r="AN494" i="3"/>
  <c r="AM494" i="3"/>
  <c r="AL494" i="3"/>
  <c r="AJ494" i="3"/>
  <c r="AG494" i="3"/>
  <c r="W494" i="3"/>
  <c r="F494" i="3"/>
  <c r="AW493" i="3"/>
  <c r="AK493" i="3"/>
  <c r="AN493" i="3"/>
  <c r="AM493" i="3"/>
  <c r="AL493" i="3"/>
  <c r="W493" i="3"/>
  <c r="AJ493" i="3"/>
  <c r="AG493" i="3"/>
  <c r="F493" i="3"/>
  <c r="AW492" i="3"/>
  <c r="AK492" i="3"/>
  <c r="AN492" i="3"/>
  <c r="AM492" i="3"/>
  <c r="AL492" i="3"/>
  <c r="AJ492" i="3"/>
  <c r="AG492" i="3"/>
  <c r="W492" i="3"/>
  <c r="F492" i="3"/>
  <c r="AW491" i="3"/>
  <c r="AK491" i="3"/>
  <c r="AN491" i="3"/>
  <c r="AM491" i="3"/>
  <c r="AL491" i="3"/>
  <c r="AJ491" i="3"/>
  <c r="AG491" i="3"/>
  <c r="W491" i="3"/>
  <c r="F491" i="3"/>
  <c r="AW490" i="3"/>
  <c r="AK490" i="3"/>
  <c r="AN490" i="3"/>
  <c r="AM490" i="3"/>
  <c r="AL490" i="3"/>
  <c r="AJ490" i="3"/>
  <c r="AG490" i="3"/>
  <c r="W490" i="3"/>
  <c r="F490" i="3"/>
  <c r="AW489" i="3"/>
  <c r="AK489" i="3"/>
  <c r="AN489" i="3"/>
  <c r="AM489" i="3"/>
  <c r="AL489" i="3"/>
  <c r="AJ489" i="3"/>
  <c r="AG489" i="3"/>
  <c r="W489" i="3"/>
  <c r="F489" i="3"/>
  <c r="AW488" i="3"/>
  <c r="AK488" i="3"/>
  <c r="AN488" i="3"/>
  <c r="AM488" i="3"/>
  <c r="AL488" i="3"/>
  <c r="AJ488" i="3"/>
  <c r="AG488" i="3"/>
  <c r="W488" i="3"/>
  <c r="F488" i="3"/>
  <c r="AW487" i="3"/>
  <c r="AK487" i="3"/>
  <c r="AN487" i="3"/>
  <c r="AM487" i="3"/>
  <c r="AL487" i="3"/>
  <c r="AJ487" i="3"/>
  <c r="AG487" i="3"/>
  <c r="W487" i="3"/>
  <c r="F487" i="3"/>
  <c r="AW486" i="3"/>
  <c r="AK486" i="3"/>
  <c r="AN486" i="3"/>
  <c r="AM486" i="3"/>
  <c r="AL486" i="3"/>
  <c r="AJ486" i="3"/>
  <c r="AG486" i="3"/>
  <c r="W486" i="3"/>
  <c r="F486" i="3"/>
  <c r="AW485" i="3"/>
  <c r="AK485" i="3"/>
  <c r="AN485" i="3"/>
  <c r="AM485" i="3"/>
  <c r="AL485" i="3"/>
  <c r="W485" i="3"/>
  <c r="AJ485" i="3"/>
  <c r="AG485" i="3"/>
  <c r="F485" i="3"/>
  <c r="AW484" i="3"/>
  <c r="AK484" i="3"/>
  <c r="AN484" i="3"/>
  <c r="AM484" i="3"/>
  <c r="AL484" i="3"/>
  <c r="AJ484" i="3"/>
  <c r="AG484" i="3"/>
  <c r="W484" i="3"/>
  <c r="F484" i="3"/>
  <c r="AW483" i="3"/>
  <c r="AK483" i="3"/>
  <c r="AN483" i="3"/>
  <c r="AM483" i="3"/>
  <c r="AL483" i="3"/>
  <c r="AJ483" i="3"/>
  <c r="AG483" i="3"/>
  <c r="W483" i="3"/>
  <c r="F483" i="3"/>
  <c r="AW482" i="3"/>
  <c r="AK482" i="3"/>
  <c r="AN482" i="3"/>
  <c r="AM482" i="3"/>
  <c r="AL482" i="3"/>
  <c r="AJ482" i="3"/>
  <c r="AG482" i="3"/>
  <c r="W482" i="3"/>
  <c r="F482" i="3"/>
  <c r="AW481" i="3"/>
  <c r="AK481" i="3"/>
  <c r="AN481" i="3"/>
  <c r="AM481" i="3"/>
  <c r="AL481" i="3"/>
  <c r="AJ481" i="3"/>
  <c r="AG481" i="3"/>
  <c r="W481" i="3"/>
  <c r="F481" i="3"/>
  <c r="AW480" i="3"/>
  <c r="AK480" i="3"/>
  <c r="AN480" i="3"/>
  <c r="AM480" i="3"/>
  <c r="AL480" i="3"/>
  <c r="AJ480" i="3"/>
  <c r="AG480" i="3"/>
  <c r="W480" i="3"/>
  <c r="F480" i="3"/>
  <c r="AW479" i="3"/>
  <c r="AK479" i="3"/>
  <c r="AN479" i="3"/>
  <c r="AM479" i="3"/>
  <c r="AL479" i="3"/>
  <c r="AJ479" i="3"/>
  <c r="AG479" i="3"/>
  <c r="W479" i="3"/>
  <c r="F479" i="3"/>
  <c r="AW478" i="3"/>
  <c r="AK478" i="3"/>
  <c r="AN478" i="3"/>
  <c r="AM478" i="3"/>
  <c r="AL478" i="3"/>
  <c r="AJ478" i="3"/>
  <c r="AG478" i="3"/>
  <c r="W478" i="3"/>
  <c r="F478" i="3"/>
  <c r="AW477" i="3"/>
  <c r="AK477" i="3"/>
  <c r="AN477" i="3"/>
  <c r="AM477" i="3"/>
  <c r="AL477" i="3"/>
  <c r="AJ477" i="3"/>
  <c r="AG477" i="3"/>
  <c r="W477" i="3"/>
  <c r="F477" i="3"/>
  <c r="AW476" i="3"/>
  <c r="AK476" i="3"/>
  <c r="AN476" i="3"/>
  <c r="AM476" i="3"/>
  <c r="AL476" i="3"/>
  <c r="AJ476" i="3"/>
  <c r="AG476" i="3"/>
  <c r="W476" i="3"/>
  <c r="F476" i="3"/>
  <c r="AW475" i="3"/>
  <c r="AK475" i="3"/>
  <c r="AN475" i="3"/>
  <c r="AM475" i="3"/>
  <c r="AL475" i="3"/>
  <c r="AJ475" i="3"/>
  <c r="AG475" i="3"/>
  <c r="W475" i="3"/>
  <c r="F475" i="3"/>
  <c r="AW474" i="3"/>
  <c r="AK474" i="3"/>
  <c r="AN474" i="3"/>
  <c r="AM474" i="3"/>
  <c r="AL474" i="3"/>
  <c r="AJ474" i="3"/>
  <c r="AG474" i="3"/>
  <c r="W474" i="3"/>
  <c r="F474" i="3"/>
  <c r="AW473" i="3"/>
  <c r="AK473" i="3"/>
  <c r="AN473" i="3"/>
  <c r="AM473" i="3"/>
  <c r="AL473" i="3"/>
  <c r="AJ473" i="3"/>
  <c r="AG473" i="3"/>
  <c r="W473" i="3"/>
  <c r="F473" i="3"/>
  <c r="AW472" i="3"/>
  <c r="AK472" i="3"/>
  <c r="AN472" i="3"/>
  <c r="AM472" i="3"/>
  <c r="AL472" i="3"/>
  <c r="AJ472" i="3"/>
  <c r="AG472" i="3"/>
  <c r="W472" i="3"/>
  <c r="F472" i="3"/>
  <c r="AW471" i="3"/>
  <c r="AK471" i="3"/>
  <c r="AN471" i="3"/>
  <c r="AM471" i="3"/>
  <c r="AL471" i="3"/>
  <c r="AJ471" i="3"/>
  <c r="AG471" i="3"/>
  <c r="W471" i="3"/>
  <c r="F471" i="3"/>
  <c r="AW470" i="3"/>
  <c r="AK470" i="3"/>
  <c r="AN470" i="3"/>
  <c r="AM470" i="3"/>
  <c r="AL470" i="3"/>
  <c r="AJ470" i="3"/>
  <c r="AG470" i="3"/>
  <c r="W470" i="3"/>
  <c r="F470" i="3"/>
  <c r="AW469" i="3"/>
  <c r="AK469" i="3"/>
  <c r="AN469" i="3"/>
  <c r="AM469" i="3"/>
  <c r="AL469" i="3"/>
  <c r="AJ469" i="3"/>
  <c r="AG469" i="3"/>
  <c r="W469" i="3"/>
  <c r="F469" i="3"/>
  <c r="AW468" i="3"/>
  <c r="AK468" i="3"/>
  <c r="AN468" i="3"/>
  <c r="AM468" i="3"/>
  <c r="AL468" i="3"/>
  <c r="W468" i="3"/>
  <c r="AJ468" i="3"/>
  <c r="AG468" i="3"/>
  <c r="F468" i="3"/>
  <c r="AW467" i="3"/>
  <c r="AK467" i="3"/>
  <c r="AN467" i="3"/>
  <c r="AM467" i="3"/>
  <c r="AL467" i="3"/>
  <c r="W467" i="3"/>
  <c r="AJ467" i="3"/>
  <c r="AG467" i="3"/>
  <c r="F467" i="3"/>
  <c r="AW466" i="3"/>
  <c r="AK466" i="3"/>
  <c r="AN466" i="3"/>
  <c r="AM466" i="3"/>
  <c r="AL466" i="3"/>
  <c r="W466" i="3"/>
  <c r="AJ466" i="3"/>
  <c r="AG466" i="3"/>
  <c r="F466" i="3"/>
  <c r="AW465" i="3"/>
  <c r="AK465" i="3"/>
  <c r="AN465" i="3"/>
  <c r="AM465" i="3"/>
  <c r="AL465" i="3"/>
  <c r="AJ465" i="3"/>
  <c r="AG465" i="3"/>
  <c r="W465" i="3"/>
  <c r="F465" i="3"/>
  <c r="AW464" i="3"/>
  <c r="AK464" i="3"/>
  <c r="AN464" i="3"/>
  <c r="AM464" i="3"/>
  <c r="AL464" i="3"/>
  <c r="AJ464" i="3"/>
  <c r="AG464" i="3"/>
  <c r="W464" i="3"/>
  <c r="F464" i="3"/>
  <c r="AW463" i="3"/>
  <c r="AK463" i="3"/>
  <c r="AN463" i="3"/>
  <c r="AM463" i="3"/>
  <c r="AL463" i="3"/>
  <c r="W463" i="3"/>
  <c r="AJ463" i="3"/>
  <c r="AG463" i="3"/>
  <c r="F463" i="3"/>
  <c r="AW462" i="3"/>
  <c r="AK462" i="3"/>
  <c r="AN462" i="3"/>
  <c r="AM462" i="3"/>
  <c r="AL462" i="3"/>
  <c r="AJ462" i="3"/>
  <c r="AG462" i="3"/>
  <c r="W462" i="3"/>
  <c r="F462" i="3"/>
  <c r="AW461" i="3"/>
  <c r="AK461" i="3"/>
  <c r="AN461" i="3"/>
  <c r="AM461" i="3"/>
  <c r="AL461" i="3"/>
  <c r="AJ461" i="3"/>
  <c r="AG461" i="3"/>
  <c r="W461" i="3"/>
  <c r="F461" i="3"/>
  <c r="AW460" i="3"/>
  <c r="AK460" i="3"/>
  <c r="AN460" i="3"/>
  <c r="AM460" i="3"/>
  <c r="AL460" i="3"/>
  <c r="AJ460" i="3"/>
  <c r="AG460" i="3"/>
  <c r="W460" i="3"/>
  <c r="F460" i="3"/>
  <c r="AW459" i="3"/>
  <c r="AK459" i="3"/>
  <c r="AN459" i="3"/>
  <c r="AM459" i="3"/>
  <c r="AL459" i="3"/>
  <c r="AJ459" i="3"/>
  <c r="AG459" i="3"/>
  <c r="W459" i="3"/>
  <c r="F459" i="3"/>
  <c r="AW458" i="3"/>
  <c r="AK458" i="3"/>
  <c r="AN458" i="3"/>
  <c r="AM458" i="3"/>
  <c r="AL458" i="3"/>
  <c r="W458" i="3"/>
  <c r="AJ458" i="3"/>
  <c r="AG458" i="3"/>
  <c r="F458" i="3"/>
  <c r="AW457" i="3"/>
  <c r="AK457" i="3"/>
  <c r="AN457" i="3"/>
  <c r="AM457" i="3"/>
  <c r="AL457" i="3"/>
  <c r="AJ457" i="3"/>
  <c r="AG457" i="3"/>
  <c r="W457" i="3"/>
  <c r="F457" i="3"/>
  <c r="AW456" i="3"/>
  <c r="AK456" i="3"/>
  <c r="AN456" i="3"/>
  <c r="AM456" i="3"/>
  <c r="AL456" i="3"/>
  <c r="AJ456" i="3"/>
  <c r="AG456" i="3"/>
  <c r="W456" i="3"/>
  <c r="F456" i="3"/>
  <c r="AW455" i="3"/>
  <c r="AK455" i="3"/>
  <c r="AN455" i="3"/>
  <c r="AM455" i="3"/>
  <c r="AL455" i="3"/>
  <c r="AJ455" i="3"/>
  <c r="AG455" i="3"/>
  <c r="W455" i="3"/>
  <c r="F455" i="3"/>
  <c r="AW454" i="3"/>
  <c r="AK454" i="3"/>
  <c r="AN454" i="3"/>
  <c r="AM454" i="3"/>
  <c r="AL454" i="3"/>
  <c r="AJ454" i="3"/>
  <c r="AG454" i="3"/>
  <c r="W454" i="3"/>
  <c r="F454" i="3"/>
  <c r="AW453" i="3"/>
  <c r="AK453" i="3"/>
  <c r="AN453" i="3"/>
  <c r="AM453" i="3"/>
  <c r="AL453" i="3"/>
  <c r="AJ453" i="3"/>
  <c r="AG453" i="3"/>
  <c r="W453" i="3"/>
  <c r="F453" i="3"/>
  <c r="AW452" i="3"/>
  <c r="AK452" i="3"/>
  <c r="AN452" i="3"/>
  <c r="AM452" i="3"/>
  <c r="AL452" i="3"/>
  <c r="AJ452" i="3"/>
  <c r="AG452" i="3"/>
  <c r="W452" i="3"/>
  <c r="F452" i="3"/>
  <c r="AW451" i="3"/>
  <c r="AK451" i="3"/>
  <c r="AN451" i="3"/>
  <c r="AM451" i="3"/>
  <c r="AL451" i="3"/>
  <c r="AJ451" i="3"/>
  <c r="AG451" i="3"/>
  <c r="W451" i="3"/>
  <c r="F451" i="3"/>
  <c r="AW450" i="3"/>
  <c r="AK450" i="3"/>
  <c r="AN450" i="3"/>
  <c r="AM450" i="3"/>
  <c r="AL450" i="3"/>
  <c r="AJ450" i="3"/>
  <c r="AG450" i="3"/>
  <c r="W450" i="3"/>
  <c r="F450" i="3"/>
  <c r="AW449" i="3"/>
  <c r="AK449" i="3"/>
  <c r="AN449" i="3"/>
  <c r="AM449" i="3"/>
  <c r="AL449" i="3"/>
  <c r="AJ449" i="3"/>
  <c r="AG449" i="3"/>
  <c r="W449" i="3"/>
  <c r="F449" i="3"/>
  <c r="AW448" i="3"/>
  <c r="AK448" i="3"/>
  <c r="AN448" i="3"/>
  <c r="AM448" i="3"/>
  <c r="AL448" i="3"/>
  <c r="AJ448" i="3"/>
  <c r="AG448" i="3"/>
  <c r="W448" i="3"/>
  <c r="F448" i="3"/>
  <c r="AW447" i="3"/>
  <c r="AK447" i="3"/>
  <c r="AN447" i="3"/>
  <c r="AM447" i="3"/>
  <c r="AL447" i="3"/>
  <c r="AJ447" i="3"/>
  <c r="AG447" i="3"/>
  <c r="W447" i="3"/>
  <c r="F447" i="3"/>
  <c r="AW446" i="3"/>
  <c r="AK446" i="3"/>
  <c r="AN446" i="3"/>
  <c r="AM446" i="3"/>
  <c r="AL446" i="3"/>
  <c r="AJ446" i="3"/>
  <c r="AG446" i="3"/>
  <c r="W446" i="3"/>
  <c r="F446" i="3"/>
  <c r="AW445" i="3"/>
  <c r="AK445" i="3"/>
  <c r="AN445" i="3"/>
  <c r="AM445" i="3"/>
  <c r="AL445" i="3"/>
  <c r="AJ445" i="3"/>
  <c r="AG445" i="3"/>
  <c r="W445" i="3"/>
  <c r="F445" i="3"/>
  <c r="AW444" i="3"/>
  <c r="AK444" i="3"/>
  <c r="AN444" i="3"/>
  <c r="AM444" i="3"/>
  <c r="AL444" i="3"/>
  <c r="AJ444" i="3"/>
  <c r="AG444" i="3"/>
  <c r="W444" i="3"/>
  <c r="F444" i="3"/>
  <c r="AW443" i="3"/>
  <c r="AK443" i="3"/>
  <c r="AN443" i="3"/>
  <c r="AM443" i="3"/>
  <c r="AL443" i="3"/>
  <c r="AJ443" i="3"/>
  <c r="AG443" i="3"/>
  <c r="W443" i="3"/>
  <c r="F443" i="3"/>
  <c r="AW442" i="3"/>
  <c r="AK442" i="3"/>
  <c r="AN442" i="3"/>
  <c r="AM442" i="3"/>
  <c r="AL442" i="3"/>
  <c r="AJ442" i="3"/>
  <c r="AG442" i="3"/>
  <c r="W442" i="3"/>
  <c r="F442" i="3"/>
  <c r="AW441" i="3"/>
  <c r="AK441" i="3"/>
  <c r="AN441" i="3"/>
  <c r="AM441" i="3"/>
  <c r="AL441" i="3"/>
  <c r="AJ441" i="3"/>
  <c r="AG441" i="3"/>
  <c r="W441" i="3"/>
  <c r="F441" i="3"/>
  <c r="AW440" i="3"/>
  <c r="AK440" i="3"/>
  <c r="AN440" i="3"/>
  <c r="AM440" i="3"/>
  <c r="AL440" i="3"/>
  <c r="AJ440" i="3"/>
  <c r="AG440" i="3"/>
  <c r="W440" i="3"/>
  <c r="F440" i="3"/>
  <c r="AW439" i="3"/>
  <c r="AK439" i="3"/>
  <c r="AN439" i="3"/>
  <c r="AM439" i="3"/>
  <c r="AL439" i="3"/>
  <c r="AJ439" i="3"/>
  <c r="AG439" i="3"/>
  <c r="W439" i="3"/>
  <c r="F439" i="3"/>
  <c r="AW438" i="3"/>
  <c r="AK438" i="3"/>
  <c r="AN438" i="3"/>
  <c r="AM438" i="3"/>
  <c r="AL438" i="3"/>
  <c r="AJ438" i="3"/>
  <c r="AG438" i="3"/>
  <c r="W438" i="3"/>
  <c r="F438" i="3"/>
  <c r="AW437" i="3"/>
  <c r="AK437" i="3"/>
  <c r="AN437" i="3"/>
  <c r="AM437" i="3"/>
  <c r="AL437" i="3"/>
  <c r="AJ437" i="3"/>
  <c r="AG437" i="3"/>
  <c r="W437" i="3"/>
  <c r="F437" i="3"/>
  <c r="AW436" i="3"/>
  <c r="AK436" i="3"/>
  <c r="AN436" i="3"/>
  <c r="AM436" i="3"/>
  <c r="AL436" i="3"/>
  <c r="AJ436" i="3"/>
  <c r="AG436" i="3"/>
  <c r="W436" i="3"/>
  <c r="F436" i="3"/>
  <c r="AW435" i="3"/>
  <c r="AK435" i="3"/>
  <c r="AN435" i="3"/>
  <c r="AM435" i="3"/>
  <c r="AL435" i="3"/>
  <c r="AJ435" i="3"/>
  <c r="AG435" i="3"/>
  <c r="W435" i="3"/>
  <c r="F435" i="3"/>
  <c r="AW434" i="3"/>
  <c r="AK434" i="3"/>
  <c r="AN434" i="3"/>
  <c r="AM434" i="3"/>
  <c r="AL434" i="3"/>
  <c r="AJ434" i="3"/>
  <c r="AG434" i="3"/>
  <c r="W434" i="3"/>
  <c r="F434" i="3"/>
  <c r="AW433" i="3"/>
  <c r="AK433" i="3"/>
  <c r="AN433" i="3"/>
  <c r="AM433" i="3"/>
  <c r="AL433" i="3"/>
  <c r="AJ433" i="3"/>
  <c r="AG433" i="3"/>
  <c r="W433" i="3"/>
  <c r="F433" i="3"/>
  <c r="AW432" i="3"/>
  <c r="AK432" i="3"/>
  <c r="AN432" i="3"/>
  <c r="AM432" i="3"/>
  <c r="AL432" i="3"/>
  <c r="AJ432" i="3"/>
  <c r="AG432" i="3"/>
  <c r="W432" i="3"/>
  <c r="F432" i="3"/>
  <c r="AW431" i="3"/>
  <c r="AK431" i="3"/>
  <c r="AN431" i="3"/>
  <c r="AM431" i="3"/>
  <c r="AL431" i="3"/>
  <c r="AJ431" i="3"/>
  <c r="AG431" i="3"/>
  <c r="W431" i="3"/>
  <c r="F431" i="3"/>
  <c r="AW430" i="3"/>
  <c r="AK430" i="3"/>
  <c r="AN430" i="3"/>
  <c r="AM430" i="3"/>
  <c r="AL430" i="3"/>
  <c r="AJ430" i="3"/>
  <c r="AG430" i="3"/>
  <c r="W430" i="3"/>
  <c r="F430" i="3"/>
  <c r="AW429" i="3"/>
  <c r="AK429" i="3"/>
  <c r="AN429" i="3"/>
  <c r="AM429" i="3"/>
  <c r="AL429" i="3"/>
  <c r="AJ429" i="3"/>
  <c r="AG429" i="3"/>
  <c r="W429" i="3"/>
  <c r="F429" i="3"/>
  <c r="AW428" i="3"/>
  <c r="AK428" i="3"/>
  <c r="AN428" i="3"/>
  <c r="AM428" i="3"/>
  <c r="AL428" i="3"/>
  <c r="AJ428" i="3"/>
  <c r="AG428" i="3"/>
  <c r="W428" i="3"/>
  <c r="F428" i="3"/>
  <c r="AW427" i="3"/>
  <c r="AK427" i="3"/>
  <c r="AN427" i="3"/>
  <c r="AM427" i="3"/>
  <c r="AL427" i="3"/>
  <c r="W427" i="3"/>
  <c r="AJ427" i="3"/>
  <c r="AG427" i="3"/>
  <c r="F427" i="3"/>
  <c r="AW426" i="3"/>
  <c r="AK426" i="3"/>
  <c r="AN426" i="3"/>
  <c r="AM426" i="3"/>
  <c r="AL426" i="3"/>
  <c r="AJ426" i="3"/>
  <c r="AG426" i="3"/>
  <c r="W426" i="3"/>
  <c r="F426" i="3"/>
  <c r="AW425" i="3"/>
  <c r="AK425" i="3"/>
  <c r="AN425" i="3"/>
  <c r="AM425" i="3"/>
  <c r="AL425" i="3"/>
  <c r="AJ425" i="3"/>
  <c r="AG425" i="3"/>
  <c r="W425" i="3"/>
  <c r="F425" i="3"/>
  <c r="AW424" i="3"/>
  <c r="AK424" i="3"/>
  <c r="AN424" i="3"/>
  <c r="AM424" i="3"/>
  <c r="AL424" i="3"/>
  <c r="AJ424" i="3"/>
  <c r="AG424" i="3"/>
  <c r="W424" i="3"/>
  <c r="F424" i="3"/>
  <c r="AW423" i="3"/>
  <c r="AK423" i="3"/>
  <c r="AN423" i="3"/>
  <c r="AM423" i="3"/>
  <c r="AL423" i="3"/>
  <c r="AJ423" i="3"/>
  <c r="AG423" i="3"/>
  <c r="W423" i="3"/>
  <c r="F423" i="3"/>
  <c r="AW422" i="3"/>
  <c r="AK422" i="3"/>
  <c r="AN422" i="3"/>
  <c r="AM422" i="3"/>
  <c r="AL422" i="3"/>
  <c r="AJ422" i="3"/>
  <c r="AG422" i="3"/>
  <c r="W422" i="3"/>
  <c r="F422" i="3"/>
  <c r="AW421" i="3"/>
  <c r="AK421" i="3"/>
  <c r="AN421" i="3"/>
  <c r="AM421" i="3"/>
  <c r="AL421" i="3"/>
  <c r="AJ421" i="3"/>
  <c r="AG421" i="3"/>
  <c r="W421" i="3"/>
  <c r="F421" i="3"/>
  <c r="AW420" i="3"/>
  <c r="AK420" i="3"/>
  <c r="AN420" i="3"/>
  <c r="AM420" i="3"/>
  <c r="AL420" i="3"/>
  <c r="W420" i="3"/>
  <c r="AJ420" i="3"/>
  <c r="AG420" i="3"/>
  <c r="F420" i="3"/>
  <c r="AW419" i="3"/>
  <c r="AK419" i="3"/>
  <c r="AN419" i="3"/>
  <c r="AM419" i="3"/>
  <c r="AL419" i="3"/>
  <c r="AJ419" i="3"/>
  <c r="AG419" i="3"/>
  <c r="W419" i="3"/>
  <c r="F419" i="3"/>
  <c r="AW418" i="3"/>
  <c r="AK418" i="3"/>
  <c r="AN418" i="3"/>
  <c r="AM418" i="3"/>
  <c r="AL418" i="3"/>
  <c r="AJ418" i="3"/>
  <c r="AG418" i="3"/>
  <c r="W418" i="3"/>
  <c r="F418" i="3"/>
  <c r="AW417" i="3"/>
  <c r="AK417" i="3"/>
  <c r="AN417" i="3"/>
  <c r="AM417" i="3"/>
  <c r="AL417" i="3"/>
  <c r="AJ417" i="3"/>
  <c r="AG417" i="3"/>
  <c r="W417" i="3"/>
  <c r="F417" i="3"/>
  <c r="AW416" i="3"/>
  <c r="AK416" i="3"/>
  <c r="AN416" i="3"/>
  <c r="AM416" i="3"/>
  <c r="AL416" i="3"/>
  <c r="AJ416" i="3"/>
  <c r="AG416" i="3"/>
  <c r="W416" i="3"/>
  <c r="F416" i="3"/>
  <c r="AW415" i="3"/>
  <c r="AK415" i="3"/>
  <c r="AN415" i="3"/>
  <c r="AM415" i="3"/>
  <c r="AL415" i="3"/>
  <c r="AJ415" i="3"/>
  <c r="AG415" i="3"/>
  <c r="W415" i="3"/>
  <c r="F415" i="3"/>
  <c r="AW414" i="3"/>
  <c r="AK414" i="3"/>
  <c r="AN414" i="3"/>
  <c r="AM414" i="3"/>
  <c r="AL414" i="3"/>
  <c r="W414" i="3"/>
  <c r="AJ414" i="3"/>
  <c r="AG414" i="3"/>
  <c r="F414" i="3"/>
  <c r="AW413" i="3"/>
  <c r="AK413" i="3"/>
  <c r="AN413" i="3"/>
  <c r="AM413" i="3"/>
  <c r="AL413" i="3"/>
  <c r="AJ413" i="3"/>
  <c r="AG413" i="3"/>
  <c r="W413" i="3"/>
  <c r="F413" i="3"/>
  <c r="AW412" i="3"/>
  <c r="AK412" i="3"/>
  <c r="AN412" i="3"/>
  <c r="AM412" i="3"/>
  <c r="AL412" i="3"/>
  <c r="AJ412" i="3"/>
  <c r="AG412" i="3"/>
  <c r="W412" i="3"/>
  <c r="F412" i="3"/>
  <c r="AW411" i="3"/>
  <c r="AK411" i="3"/>
  <c r="AN411" i="3"/>
  <c r="AM411" i="3"/>
  <c r="AL411" i="3"/>
  <c r="AJ411" i="3"/>
  <c r="AG411" i="3"/>
  <c r="W411" i="3"/>
  <c r="F411" i="3"/>
  <c r="AW410" i="3"/>
  <c r="AK410" i="3"/>
  <c r="AN410" i="3"/>
  <c r="AM410" i="3"/>
  <c r="AL410" i="3"/>
  <c r="AJ410" i="3"/>
  <c r="AG410" i="3"/>
  <c r="W410" i="3"/>
  <c r="F410" i="3"/>
  <c r="AW409" i="3"/>
  <c r="AK409" i="3"/>
  <c r="AN409" i="3"/>
  <c r="AM409" i="3"/>
  <c r="AL409" i="3"/>
  <c r="AJ409" i="3"/>
  <c r="AG409" i="3"/>
  <c r="W409" i="3"/>
  <c r="F409" i="3"/>
  <c r="AW408" i="3"/>
  <c r="AK408" i="3"/>
  <c r="AN408" i="3"/>
  <c r="AM408" i="3"/>
  <c r="AL408" i="3"/>
  <c r="AJ408" i="3"/>
  <c r="AG408" i="3"/>
  <c r="W408" i="3"/>
  <c r="F408" i="3"/>
  <c r="AW407" i="3"/>
  <c r="AK407" i="3"/>
  <c r="AN407" i="3"/>
  <c r="AM407" i="3"/>
  <c r="AL407" i="3"/>
  <c r="AJ407" i="3"/>
  <c r="AG407" i="3"/>
  <c r="W407" i="3"/>
  <c r="F407" i="3"/>
  <c r="AW406" i="3"/>
  <c r="AK406" i="3"/>
  <c r="AN406" i="3"/>
  <c r="AM406" i="3"/>
  <c r="AL406" i="3"/>
  <c r="AJ406" i="3"/>
  <c r="AG406" i="3"/>
  <c r="W406" i="3"/>
  <c r="F406" i="3"/>
  <c r="AW405" i="3"/>
  <c r="AK405" i="3"/>
  <c r="AN405" i="3"/>
  <c r="AM405" i="3"/>
  <c r="AL405" i="3"/>
  <c r="AJ405" i="3"/>
  <c r="AG405" i="3"/>
  <c r="W405" i="3"/>
  <c r="F405" i="3"/>
  <c r="AW404" i="3"/>
  <c r="AK404" i="3"/>
  <c r="AN404" i="3"/>
  <c r="AM404" i="3"/>
  <c r="AL404" i="3"/>
  <c r="AJ404" i="3"/>
  <c r="AG404" i="3"/>
  <c r="W404" i="3"/>
  <c r="F404" i="3"/>
  <c r="AW403" i="3"/>
  <c r="AK403" i="3"/>
  <c r="AN403" i="3"/>
  <c r="AM403" i="3"/>
  <c r="AL403" i="3"/>
  <c r="AJ403" i="3"/>
  <c r="AG403" i="3"/>
  <c r="W403" i="3"/>
  <c r="F403" i="3"/>
  <c r="AW402" i="3"/>
  <c r="AK402" i="3"/>
  <c r="AN402" i="3"/>
  <c r="AM402" i="3"/>
  <c r="AL402" i="3"/>
  <c r="AJ402" i="3"/>
  <c r="AG402" i="3"/>
  <c r="W402" i="3"/>
  <c r="F402" i="3"/>
  <c r="AW401" i="3"/>
  <c r="AK401" i="3"/>
  <c r="AN401" i="3"/>
  <c r="AM401" i="3"/>
  <c r="AL401" i="3"/>
  <c r="AJ401" i="3"/>
  <c r="AG401" i="3"/>
  <c r="W401" i="3"/>
  <c r="F401" i="3"/>
  <c r="AW400" i="3"/>
  <c r="AK400" i="3"/>
  <c r="AN400" i="3"/>
  <c r="AM400" i="3"/>
  <c r="AL400" i="3"/>
  <c r="AJ400" i="3"/>
  <c r="AG400" i="3"/>
  <c r="W400" i="3"/>
  <c r="F400" i="3"/>
  <c r="AW399" i="3"/>
  <c r="AK399" i="3"/>
  <c r="AN399" i="3"/>
  <c r="AM399" i="3"/>
  <c r="AL399" i="3"/>
  <c r="AJ399" i="3"/>
  <c r="AG399" i="3"/>
  <c r="W399" i="3"/>
  <c r="F399" i="3"/>
  <c r="AW398" i="3"/>
  <c r="AK398" i="3"/>
  <c r="AN398" i="3"/>
  <c r="AM398" i="3"/>
  <c r="AL398" i="3"/>
  <c r="AJ398" i="3"/>
  <c r="AG398" i="3"/>
  <c r="W398" i="3"/>
  <c r="F398" i="3"/>
  <c r="AW397" i="3"/>
  <c r="AK397" i="3"/>
  <c r="AN397" i="3"/>
  <c r="AM397" i="3"/>
  <c r="AL397" i="3"/>
  <c r="AJ397" i="3"/>
  <c r="AG397" i="3"/>
  <c r="W397" i="3"/>
  <c r="F397" i="3"/>
  <c r="AW396" i="3"/>
  <c r="AK396" i="3"/>
  <c r="AN396" i="3"/>
  <c r="AM396" i="3"/>
  <c r="AL396" i="3"/>
  <c r="AJ396" i="3"/>
  <c r="AG396" i="3"/>
  <c r="W396" i="3"/>
  <c r="F396" i="3"/>
  <c r="AW395" i="3"/>
  <c r="AK395" i="3"/>
  <c r="AN395" i="3"/>
  <c r="AM395" i="3"/>
  <c r="AL395" i="3"/>
  <c r="AJ395" i="3"/>
  <c r="AG395" i="3"/>
  <c r="W395" i="3"/>
  <c r="F395" i="3"/>
  <c r="AW394" i="3"/>
  <c r="AK394" i="3"/>
  <c r="AN394" i="3"/>
  <c r="AM394" i="3"/>
  <c r="AL394" i="3"/>
  <c r="AJ394" i="3"/>
  <c r="AG394" i="3"/>
  <c r="W394" i="3"/>
  <c r="F394" i="3"/>
  <c r="AW393" i="3"/>
  <c r="AK393" i="3"/>
  <c r="AN393" i="3"/>
  <c r="AM393" i="3"/>
  <c r="AL393" i="3"/>
  <c r="AJ393" i="3"/>
  <c r="AG393" i="3"/>
  <c r="W393" i="3"/>
  <c r="F393" i="3"/>
  <c r="AW392" i="3"/>
  <c r="AK392" i="3"/>
  <c r="AN392" i="3"/>
  <c r="AM392" i="3"/>
  <c r="AL392" i="3"/>
  <c r="AJ392" i="3"/>
  <c r="AG392" i="3"/>
  <c r="W392" i="3"/>
  <c r="F392" i="3"/>
  <c r="AW391" i="3"/>
  <c r="AK391" i="3"/>
  <c r="AN391" i="3"/>
  <c r="AM391" i="3"/>
  <c r="AL391" i="3"/>
  <c r="AJ391" i="3"/>
  <c r="AG391" i="3"/>
  <c r="W391" i="3"/>
  <c r="F391" i="3"/>
  <c r="AW390" i="3"/>
  <c r="AK390" i="3"/>
  <c r="AN390" i="3"/>
  <c r="AM390" i="3"/>
  <c r="AL390" i="3"/>
  <c r="AJ390" i="3"/>
  <c r="AG390" i="3"/>
  <c r="W390" i="3"/>
  <c r="F390" i="3"/>
  <c r="AW389" i="3"/>
  <c r="AK389" i="3"/>
  <c r="AN389" i="3"/>
  <c r="AM389" i="3"/>
  <c r="AL389" i="3"/>
  <c r="AJ389" i="3"/>
  <c r="AG389" i="3"/>
  <c r="W389" i="3"/>
  <c r="F389" i="3"/>
  <c r="AW388" i="3"/>
  <c r="AK388" i="3"/>
  <c r="AN388" i="3"/>
  <c r="AM388" i="3"/>
  <c r="AL388" i="3"/>
  <c r="AJ388" i="3"/>
  <c r="AG388" i="3"/>
  <c r="W388" i="3"/>
  <c r="F388" i="3"/>
  <c r="AW387" i="3"/>
  <c r="AK387" i="3"/>
  <c r="AN387" i="3"/>
  <c r="AM387" i="3"/>
  <c r="AL387" i="3"/>
  <c r="AJ387" i="3"/>
  <c r="AG387" i="3"/>
  <c r="W387" i="3"/>
  <c r="F387" i="3"/>
  <c r="AW386" i="3"/>
  <c r="AK386" i="3"/>
  <c r="AN386" i="3"/>
  <c r="AM386" i="3"/>
  <c r="AL386" i="3"/>
  <c r="W386" i="3"/>
  <c r="AJ386" i="3"/>
  <c r="AG386" i="3"/>
  <c r="F386" i="3"/>
  <c r="AW385" i="3"/>
  <c r="AK385" i="3"/>
  <c r="AN385" i="3"/>
  <c r="AM385" i="3"/>
  <c r="AL385" i="3"/>
  <c r="AJ385" i="3"/>
  <c r="AG385" i="3"/>
  <c r="W385" i="3"/>
  <c r="F385" i="3"/>
  <c r="AW384" i="3"/>
  <c r="AK384" i="3"/>
  <c r="AN384" i="3"/>
  <c r="AM384" i="3"/>
  <c r="AL384" i="3"/>
  <c r="AJ384" i="3"/>
  <c r="AG384" i="3"/>
  <c r="W384" i="3"/>
  <c r="F384" i="3"/>
  <c r="AW383" i="3"/>
  <c r="AK383" i="3"/>
  <c r="AN383" i="3"/>
  <c r="AM383" i="3"/>
  <c r="AL383" i="3"/>
  <c r="AJ383" i="3"/>
  <c r="AG383" i="3"/>
  <c r="W383" i="3"/>
  <c r="F383" i="3"/>
  <c r="AW382" i="3"/>
  <c r="AK382" i="3"/>
  <c r="AN382" i="3"/>
  <c r="AM382" i="3"/>
  <c r="AL382" i="3"/>
  <c r="AJ382" i="3"/>
  <c r="AG382" i="3"/>
  <c r="W382" i="3"/>
  <c r="F382" i="3"/>
  <c r="AW381" i="3"/>
  <c r="AK381" i="3"/>
  <c r="AN381" i="3"/>
  <c r="AM381" i="3"/>
  <c r="AL381" i="3"/>
  <c r="AJ381" i="3"/>
  <c r="AG381" i="3"/>
  <c r="W381" i="3"/>
  <c r="F381" i="3"/>
  <c r="AW380" i="3"/>
  <c r="AK380" i="3"/>
  <c r="AN380" i="3"/>
  <c r="AM380" i="3"/>
  <c r="AL380" i="3"/>
  <c r="AJ380" i="3"/>
  <c r="AG380" i="3"/>
  <c r="W380" i="3"/>
  <c r="F380" i="3"/>
  <c r="AW379" i="3"/>
  <c r="AK379" i="3"/>
  <c r="AN379" i="3"/>
  <c r="AM379" i="3"/>
  <c r="AL379" i="3"/>
  <c r="AJ379" i="3"/>
  <c r="AG379" i="3"/>
  <c r="W379" i="3"/>
  <c r="F379" i="3"/>
  <c r="AW378" i="3"/>
  <c r="AK378" i="3"/>
  <c r="AN378" i="3"/>
  <c r="AM378" i="3"/>
  <c r="AL378" i="3"/>
  <c r="AJ378" i="3"/>
  <c r="AG378" i="3"/>
  <c r="W378" i="3"/>
  <c r="F378" i="3"/>
  <c r="AW377" i="3"/>
  <c r="AK377" i="3"/>
  <c r="AN377" i="3"/>
  <c r="AM377" i="3"/>
  <c r="AL377" i="3"/>
  <c r="AJ377" i="3"/>
  <c r="AG377" i="3"/>
  <c r="W377" i="3"/>
  <c r="F377" i="3"/>
  <c r="AW376" i="3"/>
  <c r="AK376" i="3"/>
  <c r="AN376" i="3"/>
  <c r="AM376" i="3"/>
  <c r="AL376" i="3"/>
  <c r="AJ376" i="3"/>
  <c r="AG376" i="3"/>
  <c r="W376" i="3"/>
  <c r="F376" i="3"/>
  <c r="AW375" i="3"/>
  <c r="AK375" i="3"/>
  <c r="AN375" i="3"/>
  <c r="AM375" i="3"/>
  <c r="AL375" i="3"/>
  <c r="AJ375" i="3"/>
  <c r="AG375" i="3"/>
  <c r="W375" i="3"/>
  <c r="F375" i="3"/>
  <c r="AW374" i="3"/>
  <c r="AK374" i="3"/>
  <c r="AN374" i="3"/>
  <c r="AM374" i="3"/>
  <c r="AL374" i="3"/>
  <c r="AJ374" i="3"/>
  <c r="AG374" i="3"/>
  <c r="W374" i="3"/>
  <c r="F374" i="3"/>
  <c r="AW373" i="3"/>
  <c r="AK373" i="3"/>
  <c r="AN373" i="3"/>
  <c r="AM373" i="3"/>
  <c r="AL373" i="3"/>
  <c r="AJ373" i="3"/>
  <c r="AG373" i="3"/>
  <c r="W373" i="3"/>
  <c r="F373" i="3"/>
  <c r="AW372" i="3"/>
  <c r="AK372" i="3"/>
  <c r="AN372" i="3"/>
  <c r="AM372" i="3"/>
  <c r="AL372" i="3"/>
  <c r="AJ372" i="3"/>
  <c r="AG372" i="3"/>
  <c r="W372" i="3"/>
  <c r="F372" i="3"/>
  <c r="AW371" i="3"/>
  <c r="AK371" i="3"/>
  <c r="AN371" i="3"/>
  <c r="AM371" i="3"/>
  <c r="AL371" i="3"/>
  <c r="AJ371" i="3"/>
  <c r="AG371" i="3"/>
  <c r="W371" i="3"/>
  <c r="F371" i="3"/>
  <c r="AW370" i="3"/>
  <c r="AK370" i="3"/>
  <c r="AN370" i="3"/>
  <c r="AM370" i="3"/>
  <c r="AL370" i="3"/>
  <c r="AJ370" i="3"/>
  <c r="AG370" i="3"/>
  <c r="W370" i="3"/>
  <c r="F370" i="3"/>
  <c r="AW369" i="3"/>
  <c r="AK369" i="3"/>
  <c r="AN369" i="3"/>
  <c r="AM369" i="3"/>
  <c r="AL369" i="3"/>
  <c r="AJ369" i="3"/>
  <c r="AG369" i="3"/>
  <c r="W369" i="3"/>
  <c r="F369" i="3"/>
  <c r="AW368" i="3"/>
  <c r="AK368" i="3"/>
  <c r="AN368" i="3"/>
  <c r="AM368" i="3"/>
  <c r="AL368" i="3"/>
  <c r="AJ368" i="3"/>
  <c r="AG368" i="3"/>
  <c r="W368" i="3"/>
  <c r="F368" i="3"/>
  <c r="AW367" i="3"/>
  <c r="AK367" i="3"/>
  <c r="AN367" i="3"/>
  <c r="AM367" i="3"/>
  <c r="AL367" i="3"/>
  <c r="AJ367" i="3"/>
  <c r="AG367" i="3"/>
  <c r="W367" i="3"/>
  <c r="F367" i="3"/>
  <c r="AW366" i="3"/>
  <c r="AK366" i="3"/>
  <c r="AN366" i="3"/>
  <c r="AM366" i="3"/>
  <c r="AL366" i="3"/>
  <c r="AJ366" i="3"/>
  <c r="AG366" i="3"/>
  <c r="W366" i="3"/>
  <c r="F366" i="3"/>
  <c r="AW365" i="3"/>
  <c r="AK365" i="3"/>
  <c r="AN365" i="3"/>
  <c r="AM365" i="3"/>
  <c r="AL365" i="3"/>
  <c r="AJ365" i="3"/>
  <c r="AG365" i="3"/>
  <c r="W365" i="3"/>
  <c r="F365" i="3"/>
  <c r="AW364" i="3"/>
  <c r="AK364" i="3"/>
  <c r="AN364" i="3"/>
  <c r="AM364" i="3"/>
  <c r="AL364" i="3"/>
  <c r="AJ364" i="3"/>
  <c r="AG364" i="3"/>
  <c r="W364" i="3"/>
  <c r="F364" i="3"/>
  <c r="AW363" i="3"/>
  <c r="AK363" i="3"/>
  <c r="AN363" i="3"/>
  <c r="AM363" i="3"/>
  <c r="AL363" i="3"/>
  <c r="AJ363" i="3"/>
  <c r="AG363" i="3"/>
  <c r="W363" i="3"/>
  <c r="F363" i="3"/>
  <c r="AW362" i="3"/>
  <c r="AK362" i="3"/>
  <c r="AN362" i="3"/>
  <c r="AM362" i="3"/>
  <c r="AL362" i="3"/>
  <c r="W362" i="3"/>
  <c r="AJ362" i="3"/>
  <c r="AG362" i="3"/>
  <c r="F362" i="3"/>
  <c r="AW361" i="3"/>
  <c r="AK361" i="3"/>
  <c r="AN361" i="3"/>
  <c r="AM361" i="3"/>
  <c r="AL361" i="3"/>
  <c r="AJ361" i="3"/>
  <c r="AG361" i="3"/>
  <c r="W361" i="3"/>
  <c r="F361" i="3"/>
  <c r="AW360" i="3"/>
  <c r="AK360" i="3"/>
  <c r="AN360" i="3"/>
  <c r="AM360" i="3"/>
  <c r="AL360" i="3"/>
  <c r="AJ360" i="3"/>
  <c r="AG360" i="3"/>
  <c r="W360" i="3"/>
  <c r="F360" i="3"/>
  <c r="AW359" i="3"/>
  <c r="AK359" i="3"/>
  <c r="AN359" i="3"/>
  <c r="AM359" i="3"/>
  <c r="AL359" i="3"/>
  <c r="AJ359" i="3"/>
  <c r="AG359" i="3"/>
  <c r="W359" i="3"/>
  <c r="F359" i="3"/>
  <c r="AW358" i="3"/>
  <c r="AK358" i="3"/>
  <c r="AN358" i="3"/>
  <c r="AM358" i="3"/>
  <c r="AL358" i="3"/>
  <c r="AJ358" i="3"/>
  <c r="AG358" i="3"/>
  <c r="W358" i="3"/>
  <c r="F358" i="3"/>
  <c r="AW357" i="3"/>
  <c r="AK357" i="3"/>
  <c r="AN357" i="3"/>
  <c r="AM357" i="3"/>
  <c r="AL357" i="3"/>
  <c r="AJ357" i="3"/>
  <c r="AG357" i="3"/>
  <c r="W357" i="3"/>
  <c r="F357" i="3"/>
  <c r="AW356" i="3"/>
  <c r="AK356" i="3"/>
  <c r="AN356" i="3"/>
  <c r="AM356" i="3"/>
  <c r="AL356" i="3"/>
  <c r="AJ356" i="3"/>
  <c r="AG356" i="3"/>
  <c r="W356" i="3"/>
  <c r="F356" i="3"/>
  <c r="AW355" i="3"/>
  <c r="AK355" i="3"/>
  <c r="AN355" i="3"/>
  <c r="AM355" i="3"/>
  <c r="AL355" i="3"/>
  <c r="AJ355" i="3"/>
  <c r="AG355" i="3"/>
  <c r="W355" i="3"/>
  <c r="F355" i="3"/>
  <c r="AW354" i="3"/>
  <c r="AK354" i="3"/>
  <c r="AN354" i="3"/>
  <c r="AM354" i="3"/>
  <c r="AL354" i="3"/>
  <c r="AJ354" i="3"/>
  <c r="AG354" i="3"/>
  <c r="W354" i="3"/>
  <c r="F354" i="3"/>
  <c r="AW353" i="3"/>
  <c r="AK353" i="3"/>
  <c r="AN353" i="3"/>
  <c r="AM353" i="3"/>
  <c r="AL353" i="3"/>
  <c r="AJ353" i="3"/>
  <c r="AG353" i="3"/>
  <c r="W353" i="3"/>
  <c r="F353" i="3"/>
  <c r="AW352" i="3"/>
  <c r="AK352" i="3"/>
  <c r="AN352" i="3"/>
  <c r="AM352" i="3"/>
  <c r="AL352" i="3"/>
  <c r="AJ352" i="3"/>
  <c r="AG352" i="3"/>
  <c r="W352" i="3"/>
  <c r="F352" i="3"/>
  <c r="AW351" i="3"/>
  <c r="AK351" i="3"/>
  <c r="AN351" i="3"/>
  <c r="AM351" i="3"/>
  <c r="AL351" i="3"/>
  <c r="AJ351" i="3"/>
  <c r="AG351" i="3"/>
  <c r="W351" i="3"/>
  <c r="F351" i="3"/>
  <c r="AW350" i="3"/>
  <c r="AK350" i="3"/>
  <c r="AN350" i="3"/>
  <c r="AM350" i="3"/>
  <c r="AL350" i="3"/>
  <c r="AJ350" i="3"/>
  <c r="AG350" i="3"/>
  <c r="W350" i="3"/>
  <c r="F350" i="3"/>
  <c r="AW349" i="3"/>
  <c r="AK349" i="3"/>
  <c r="AN349" i="3"/>
  <c r="AM349" i="3"/>
  <c r="AL349" i="3"/>
  <c r="AJ349" i="3"/>
  <c r="AG349" i="3"/>
  <c r="W349" i="3"/>
  <c r="F349" i="3"/>
  <c r="AW348" i="3"/>
  <c r="AK348" i="3"/>
  <c r="AN348" i="3"/>
  <c r="AM348" i="3"/>
  <c r="AL348" i="3"/>
  <c r="AJ348" i="3"/>
  <c r="AG348" i="3"/>
  <c r="W348" i="3"/>
  <c r="F348" i="3"/>
  <c r="AW347" i="3"/>
  <c r="AK347" i="3"/>
  <c r="AN347" i="3"/>
  <c r="AM347" i="3"/>
  <c r="AL347" i="3"/>
  <c r="AJ347" i="3"/>
  <c r="AG347" i="3"/>
  <c r="W347" i="3"/>
  <c r="F347" i="3"/>
  <c r="AW346" i="3"/>
  <c r="AK346" i="3"/>
  <c r="AN346" i="3"/>
  <c r="AM346" i="3"/>
  <c r="AL346" i="3"/>
  <c r="AJ346" i="3"/>
  <c r="AG346" i="3"/>
  <c r="W346" i="3"/>
  <c r="F346" i="3"/>
  <c r="AW345" i="3"/>
  <c r="AK345" i="3"/>
  <c r="AN345" i="3"/>
  <c r="AM345" i="3"/>
  <c r="AL345" i="3"/>
  <c r="AJ345" i="3"/>
  <c r="AG345" i="3"/>
  <c r="W345" i="3"/>
  <c r="F345" i="3"/>
  <c r="AW344" i="3"/>
  <c r="AK344" i="3"/>
  <c r="AN344" i="3"/>
  <c r="AM344" i="3"/>
  <c r="AL344" i="3"/>
  <c r="AJ344" i="3"/>
  <c r="AG344" i="3"/>
  <c r="W344" i="3"/>
  <c r="F344" i="3"/>
  <c r="AW343" i="3"/>
  <c r="AK343" i="3"/>
  <c r="AN343" i="3"/>
  <c r="AM343" i="3"/>
  <c r="AL343" i="3"/>
  <c r="AJ343" i="3"/>
  <c r="AG343" i="3"/>
  <c r="W343" i="3"/>
  <c r="F343" i="3"/>
  <c r="AW342" i="3"/>
  <c r="AK342" i="3"/>
  <c r="AN342" i="3"/>
  <c r="AM342" i="3"/>
  <c r="AL342" i="3"/>
  <c r="AJ342" i="3"/>
  <c r="AG342" i="3"/>
  <c r="W342" i="3"/>
  <c r="F342" i="3"/>
  <c r="AW341" i="3"/>
  <c r="AK341" i="3"/>
  <c r="AN341" i="3"/>
  <c r="AM341" i="3"/>
  <c r="AL341" i="3"/>
  <c r="AJ341" i="3"/>
  <c r="AG341" i="3"/>
  <c r="W341" i="3"/>
  <c r="F341" i="3"/>
  <c r="AW340" i="3"/>
  <c r="AK340" i="3"/>
  <c r="AN340" i="3"/>
  <c r="AM340" i="3"/>
  <c r="AL340" i="3"/>
  <c r="AJ340" i="3"/>
  <c r="AG340" i="3"/>
  <c r="W340" i="3"/>
  <c r="F340" i="3"/>
  <c r="AW339" i="3"/>
  <c r="AK339" i="3"/>
  <c r="AN339" i="3"/>
  <c r="AM339" i="3"/>
  <c r="AL339" i="3"/>
  <c r="AJ339" i="3"/>
  <c r="AG339" i="3"/>
  <c r="W339" i="3"/>
  <c r="F339" i="3"/>
  <c r="AW338" i="3"/>
  <c r="AK338" i="3"/>
  <c r="AN338" i="3"/>
  <c r="AM338" i="3"/>
  <c r="AL338" i="3"/>
  <c r="AJ338" i="3"/>
  <c r="AG338" i="3"/>
  <c r="W338" i="3"/>
  <c r="F338" i="3"/>
  <c r="AW337" i="3"/>
  <c r="AK337" i="3"/>
  <c r="AN337" i="3"/>
  <c r="AM337" i="3"/>
  <c r="AL337" i="3"/>
  <c r="AJ337" i="3"/>
  <c r="AG337" i="3"/>
  <c r="W337" i="3"/>
  <c r="F337" i="3"/>
  <c r="AW336" i="3"/>
  <c r="AK336" i="3"/>
  <c r="AN336" i="3"/>
  <c r="AM336" i="3"/>
  <c r="AL336" i="3"/>
  <c r="AJ336" i="3"/>
  <c r="AG336" i="3"/>
  <c r="W336" i="3"/>
  <c r="F336" i="3"/>
  <c r="AW335" i="3"/>
  <c r="AK335" i="3"/>
  <c r="AN335" i="3"/>
  <c r="AM335" i="3"/>
  <c r="AL335" i="3"/>
  <c r="AJ335" i="3"/>
  <c r="AG335" i="3"/>
  <c r="W335" i="3"/>
  <c r="F335" i="3"/>
  <c r="AW334" i="3"/>
  <c r="AK334" i="3"/>
  <c r="AN334" i="3"/>
  <c r="AM334" i="3"/>
  <c r="AL334" i="3"/>
  <c r="AJ334" i="3"/>
  <c r="AG334" i="3"/>
  <c r="W334" i="3"/>
  <c r="F334" i="3"/>
  <c r="AW333" i="3"/>
  <c r="AK333" i="3"/>
  <c r="AN333" i="3"/>
  <c r="AM333" i="3"/>
  <c r="AL333" i="3"/>
  <c r="AJ333" i="3"/>
  <c r="AG333" i="3"/>
  <c r="W333" i="3"/>
  <c r="F333" i="3"/>
  <c r="AW332" i="3"/>
  <c r="AK332" i="3"/>
  <c r="AN332" i="3"/>
  <c r="AM332" i="3"/>
  <c r="AL332" i="3"/>
  <c r="AJ332" i="3"/>
  <c r="AG332" i="3"/>
  <c r="W332" i="3"/>
  <c r="F332" i="3"/>
  <c r="AW331" i="3"/>
  <c r="AK331" i="3"/>
  <c r="AN331" i="3"/>
  <c r="AM331" i="3"/>
  <c r="AL331" i="3"/>
  <c r="AJ331" i="3"/>
  <c r="AG331" i="3"/>
  <c r="W331" i="3"/>
  <c r="F331" i="3"/>
  <c r="AW330" i="3"/>
  <c r="AK330" i="3"/>
  <c r="AN330" i="3"/>
  <c r="AM330" i="3"/>
  <c r="AL330" i="3"/>
  <c r="AJ330" i="3"/>
  <c r="AG330" i="3"/>
  <c r="W330" i="3"/>
  <c r="F330" i="3"/>
  <c r="AW329" i="3"/>
  <c r="AK329" i="3"/>
  <c r="AN329" i="3"/>
  <c r="AM329" i="3"/>
  <c r="AL329" i="3"/>
  <c r="AJ329" i="3"/>
  <c r="AG329" i="3"/>
  <c r="W329" i="3"/>
  <c r="F329" i="3"/>
  <c r="AW328" i="3"/>
  <c r="AK328" i="3"/>
  <c r="AN328" i="3"/>
  <c r="AM328" i="3"/>
  <c r="AL328" i="3"/>
  <c r="AJ328" i="3"/>
  <c r="AG328" i="3"/>
  <c r="W328" i="3"/>
  <c r="F328" i="3"/>
  <c r="AW327" i="3"/>
  <c r="AK327" i="3"/>
  <c r="AN327" i="3"/>
  <c r="AM327" i="3"/>
  <c r="AL327" i="3"/>
  <c r="AJ327" i="3"/>
  <c r="AG327" i="3"/>
  <c r="W327" i="3"/>
  <c r="F327" i="3"/>
  <c r="AW326" i="3"/>
  <c r="AK326" i="3"/>
  <c r="AN326" i="3"/>
  <c r="AM326" i="3"/>
  <c r="AL326" i="3"/>
  <c r="AJ326" i="3"/>
  <c r="AG326" i="3"/>
  <c r="W326" i="3"/>
  <c r="F326" i="3"/>
  <c r="AW325" i="3"/>
  <c r="AK325" i="3"/>
  <c r="AN325" i="3"/>
  <c r="AM325" i="3"/>
  <c r="AL325" i="3"/>
  <c r="AJ325" i="3"/>
  <c r="AG325" i="3"/>
  <c r="W325" i="3"/>
  <c r="F325" i="3"/>
  <c r="AW324" i="3"/>
  <c r="AK324" i="3"/>
  <c r="AN324" i="3"/>
  <c r="AM324" i="3"/>
  <c r="AL324" i="3"/>
  <c r="AJ324" i="3"/>
  <c r="AG324" i="3"/>
  <c r="W324" i="3"/>
  <c r="F324" i="3"/>
  <c r="AW323" i="3"/>
  <c r="AK323" i="3"/>
  <c r="AN323" i="3"/>
  <c r="AM323" i="3"/>
  <c r="AL323" i="3"/>
  <c r="AJ323" i="3"/>
  <c r="AG323" i="3"/>
  <c r="W323" i="3"/>
  <c r="F323" i="3"/>
  <c r="AW322" i="3"/>
  <c r="AK322" i="3"/>
  <c r="AN322" i="3"/>
  <c r="AM322" i="3"/>
  <c r="AL322" i="3"/>
  <c r="AJ322" i="3"/>
  <c r="AG322" i="3"/>
  <c r="W322" i="3"/>
  <c r="F322" i="3"/>
  <c r="AW321" i="3"/>
  <c r="AK321" i="3"/>
  <c r="AN321" i="3"/>
  <c r="AM321" i="3"/>
  <c r="AL321" i="3"/>
  <c r="AJ321" i="3"/>
  <c r="AG321" i="3"/>
  <c r="W321" i="3"/>
  <c r="F321" i="3"/>
  <c r="AW320" i="3"/>
  <c r="AK320" i="3"/>
  <c r="AN320" i="3"/>
  <c r="AM320" i="3"/>
  <c r="AL320" i="3"/>
  <c r="AJ320" i="3"/>
  <c r="AG320" i="3"/>
  <c r="W320" i="3"/>
  <c r="F320" i="3"/>
  <c r="AW319" i="3"/>
  <c r="AK319" i="3"/>
  <c r="AN319" i="3"/>
  <c r="AM319" i="3"/>
  <c r="AL319" i="3"/>
  <c r="AJ319" i="3"/>
  <c r="AG319" i="3"/>
  <c r="W319" i="3"/>
  <c r="F319" i="3"/>
  <c r="AW318" i="3"/>
  <c r="AK318" i="3"/>
  <c r="AN318" i="3"/>
  <c r="AM318" i="3"/>
  <c r="AL318" i="3"/>
  <c r="W318" i="3"/>
  <c r="AJ318" i="3"/>
  <c r="AG318" i="3"/>
  <c r="F318" i="3"/>
  <c r="AW317" i="3"/>
  <c r="AK317" i="3"/>
  <c r="AN317" i="3"/>
  <c r="AM317" i="3"/>
  <c r="AL317" i="3"/>
  <c r="W317" i="3"/>
  <c r="AJ317" i="3"/>
  <c r="AG317" i="3"/>
  <c r="F317" i="3"/>
  <c r="AW316" i="3"/>
  <c r="AK316" i="3"/>
  <c r="AN316" i="3"/>
  <c r="AM316" i="3"/>
  <c r="AL316" i="3"/>
  <c r="AJ316" i="3"/>
  <c r="AG316" i="3"/>
  <c r="W316" i="3"/>
  <c r="F316" i="3"/>
  <c r="AW315" i="3"/>
  <c r="AK315" i="3"/>
  <c r="AN315" i="3"/>
  <c r="AM315" i="3"/>
  <c r="AL315" i="3"/>
  <c r="W315" i="3"/>
  <c r="AJ315" i="3"/>
  <c r="AG315" i="3"/>
  <c r="F315" i="3"/>
  <c r="AW314" i="3"/>
  <c r="AK314" i="3"/>
  <c r="AN314" i="3"/>
  <c r="AM314" i="3"/>
  <c r="AL314" i="3"/>
  <c r="AJ314" i="3"/>
  <c r="AG314" i="3"/>
  <c r="W314" i="3"/>
  <c r="F314" i="3"/>
  <c r="AW313" i="3"/>
  <c r="AK313" i="3"/>
  <c r="AN313" i="3"/>
  <c r="AM313" i="3"/>
  <c r="AL313" i="3"/>
  <c r="AJ313" i="3"/>
  <c r="AG313" i="3"/>
  <c r="W313" i="3"/>
  <c r="F313" i="3"/>
  <c r="AW312" i="3"/>
  <c r="AK312" i="3"/>
  <c r="AN312" i="3"/>
  <c r="AM312" i="3"/>
  <c r="AL312" i="3"/>
  <c r="AJ312" i="3"/>
  <c r="AG312" i="3"/>
  <c r="W312" i="3"/>
  <c r="F312" i="3"/>
  <c r="AW311" i="3"/>
  <c r="AK311" i="3"/>
  <c r="AN311" i="3"/>
  <c r="AM311" i="3"/>
  <c r="AL311" i="3"/>
  <c r="AJ311" i="3"/>
  <c r="AG311" i="3"/>
  <c r="W311" i="3"/>
  <c r="F311" i="3"/>
  <c r="AW310" i="3"/>
  <c r="AK310" i="3"/>
  <c r="AN310" i="3"/>
  <c r="AM310" i="3"/>
  <c r="AL310" i="3"/>
  <c r="AJ310" i="3"/>
  <c r="AG310" i="3"/>
  <c r="W310" i="3"/>
  <c r="F310" i="3"/>
  <c r="AW309" i="3"/>
  <c r="AK309" i="3"/>
  <c r="AN309" i="3"/>
  <c r="AM309" i="3"/>
  <c r="AL309" i="3"/>
  <c r="AJ309" i="3"/>
  <c r="AG309" i="3"/>
  <c r="W309" i="3"/>
  <c r="F309" i="3"/>
  <c r="AW308" i="3"/>
  <c r="AK308" i="3"/>
  <c r="AN308" i="3"/>
  <c r="AM308" i="3"/>
  <c r="AL308" i="3"/>
  <c r="AJ308" i="3"/>
  <c r="AG308" i="3"/>
  <c r="W308" i="3"/>
  <c r="F308" i="3"/>
  <c r="AW307" i="3"/>
  <c r="AK307" i="3"/>
  <c r="AN307" i="3"/>
  <c r="AM307" i="3"/>
  <c r="AL307" i="3"/>
  <c r="AJ307" i="3"/>
  <c r="AG307" i="3"/>
  <c r="W307" i="3"/>
  <c r="F307" i="3"/>
  <c r="AW306" i="3"/>
  <c r="AK306" i="3"/>
  <c r="AN306" i="3"/>
  <c r="AM306" i="3"/>
  <c r="AL306" i="3"/>
  <c r="AJ306" i="3"/>
  <c r="AG306" i="3"/>
  <c r="W306" i="3"/>
  <c r="F306" i="3"/>
  <c r="AW305" i="3"/>
  <c r="AK305" i="3"/>
  <c r="AN305" i="3"/>
  <c r="AM305" i="3"/>
  <c r="AL305" i="3"/>
  <c r="AJ305" i="3"/>
  <c r="AG305" i="3"/>
  <c r="W305" i="3"/>
  <c r="F305" i="3"/>
  <c r="AW304" i="3"/>
  <c r="AK304" i="3"/>
  <c r="AN304" i="3"/>
  <c r="AM304" i="3"/>
  <c r="AL304" i="3"/>
  <c r="AJ304" i="3"/>
  <c r="AG304" i="3"/>
  <c r="W304" i="3"/>
  <c r="F304" i="3"/>
  <c r="AW303" i="3"/>
  <c r="AK303" i="3"/>
  <c r="AN303" i="3"/>
  <c r="AM303" i="3"/>
  <c r="AL303" i="3"/>
  <c r="AJ303" i="3"/>
  <c r="AG303" i="3"/>
  <c r="W303" i="3"/>
  <c r="F303" i="3"/>
  <c r="AW302" i="3"/>
  <c r="AK302" i="3"/>
  <c r="AN302" i="3"/>
  <c r="AM302" i="3"/>
  <c r="AL302" i="3"/>
  <c r="AJ302" i="3"/>
  <c r="AG302" i="3"/>
  <c r="W302" i="3"/>
  <c r="F302" i="3"/>
  <c r="AW301" i="3"/>
  <c r="AK301" i="3"/>
  <c r="AN301" i="3"/>
  <c r="AM301" i="3"/>
  <c r="AL301" i="3"/>
  <c r="AJ301" i="3"/>
  <c r="AG301" i="3"/>
  <c r="W301" i="3"/>
  <c r="F301" i="3"/>
  <c r="AW300" i="3"/>
  <c r="AK300" i="3"/>
  <c r="AN300" i="3"/>
  <c r="AM300" i="3"/>
  <c r="AL300" i="3"/>
  <c r="AJ300" i="3"/>
  <c r="AG300" i="3"/>
  <c r="W300" i="3"/>
  <c r="F300" i="3"/>
  <c r="AW299" i="3"/>
  <c r="AK299" i="3"/>
  <c r="AN299" i="3"/>
  <c r="AM299" i="3"/>
  <c r="AL299" i="3"/>
  <c r="AJ299" i="3"/>
  <c r="AG299" i="3"/>
  <c r="W299" i="3"/>
  <c r="F299" i="3"/>
  <c r="AW298" i="3"/>
  <c r="AK298" i="3"/>
  <c r="AN298" i="3"/>
  <c r="AM298" i="3"/>
  <c r="AL298" i="3"/>
  <c r="AJ298" i="3"/>
  <c r="AG298" i="3"/>
  <c r="W298" i="3"/>
  <c r="F298" i="3"/>
  <c r="AW297" i="3"/>
  <c r="AK297" i="3"/>
  <c r="AN297" i="3"/>
  <c r="AM297" i="3"/>
  <c r="AL297" i="3"/>
  <c r="W297" i="3"/>
  <c r="AJ297" i="3"/>
  <c r="AG297" i="3"/>
  <c r="F297" i="3"/>
  <c r="AW296" i="3"/>
  <c r="AK296" i="3"/>
  <c r="AN296" i="3"/>
  <c r="AM296" i="3"/>
  <c r="AL296" i="3"/>
  <c r="AJ296" i="3"/>
  <c r="AG296" i="3"/>
  <c r="W296" i="3"/>
  <c r="F296" i="3"/>
  <c r="AW295" i="3"/>
  <c r="AK295" i="3"/>
  <c r="AN295" i="3"/>
  <c r="AM295" i="3"/>
  <c r="AL295" i="3"/>
  <c r="AJ295" i="3"/>
  <c r="AG295" i="3"/>
  <c r="W295" i="3"/>
  <c r="F295" i="3"/>
  <c r="AW294" i="3"/>
  <c r="AK294" i="3"/>
  <c r="AN294" i="3"/>
  <c r="AM294" i="3"/>
  <c r="AL294" i="3"/>
  <c r="AJ294" i="3"/>
  <c r="AG294" i="3"/>
  <c r="W294" i="3"/>
  <c r="F294" i="3"/>
  <c r="AW293" i="3"/>
  <c r="AK293" i="3"/>
  <c r="AN293" i="3"/>
  <c r="AM293" i="3"/>
  <c r="AL293" i="3"/>
  <c r="AJ293" i="3"/>
  <c r="AG293" i="3"/>
  <c r="W293" i="3"/>
  <c r="F293" i="3"/>
  <c r="AW292" i="3"/>
  <c r="AK292" i="3"/>
  <c r="AN292" i="3"/>
  <c r="AM292" i="3"/>
  <c r="AL292" i="3"/>
  <c r="AJ292" i="3"/>
  <c r="AG292" i="3"/>
  <c r="W292" i="3"/>
  <c r="F292" i="3"/>
  <c r="AW291" i="3"/>
  <c r="AK291" i="3"/>
  <c r="AN291" i="3"/>
  <c r="AM291" i="3"/>
  <c r="AL291" i="3"/>
  <c r="AJ291" i="3"/>
  <c r="AG291" i="3"/>
  <c r="W291" i="3"/>
  <c r="F291" i="3"/>
  <c r="AW290" i="3"/>
  <c r="AK290" i="3"/>
  <c r="AN290" i="3"/>
  <c r="AM290" i="3"/>
  <c r="AL290" i="3"/>
  <c r="AJ290" i="3"/>
  <c r="AG290" i="3"/>
  <c r="W290" i="3"/>
  <c r="F290" i="3"/>
  <c r="AW289" i="3"/>
  <c r="AK289" i="3"/>
  <c r="AN289" i="3"/>
  <c r="AM289" i="3"/>
  <c r="AL289" i="3"/>
  <c r="AJ289" i="3"/>
  <c r="AG289" i="3"/>
  <c r="W289" i="3"/>
  <c r="F289" i="3"/>
  <c r="AW288" i="3"/>
  <c r="AK288" i="3"/>
  <c r="AN288" i="3"/>
  <c r="AM288" i="3"/>
  <c r="AL288" i="3"/>
  <c r="AJ288" i="3"/>
  <c r="AG288" i="3"/>
  <c r="W288" i="3"/>
  <c r="F288" i="3"/>
  <c r="AW287" i="3"/>
  <c r="AK287" i="3"/>
  <c r="AN287" i="3"/>
  <c r="AM287" i="3"/>
  <c r="AL287" i="3"/>
  <c r="AJ287" i="3"/>
  <c r="AG287" i="3"/>
  <c r="W287" i="3"/>
  <c r="F287" i="3"/>
  <c r="AW286" i="3"/>
  <c r="AK286" i="3"/>
  <c r="AN286" i="3"/>
  <c r="AM286" i="3"/>
  <c r="AL286" i="3"/>
  <c r="AJ286" i="3"/>
  <c r="AG286" i="3"/>
  <c r="W286" i="3"/>
  <c r="F286" i="3"/>
  <c r="AW285" i="3"/>
  <c r="AK285" i="3"/>
  <c r="AN285" i="3"/>
  <c r="AM285" i="3"/>
  <c r="AL285" i="3"/>
  <c r="AJ285" i="3"/>
  <c r="AG285" i="3"/>
  <c r="W285" i="3"/>
  <c r="F285" i="3"/>
  <c r="AW284" i="3"/>
  <c r="AK284" i="3"/>
  <c r="AN284" i="3"/>
  <c r="AM284" i="3"/>
  <c r="AL284" i="3"/>
  <c r="AJ284" i="3"/>
  <c r="AG284" i="3"/>
  <c r="W284" i="3"/>
  <c r="F284" i="3"/>
  <c r="AW283" i="3"/>
  <c r="AK283" i="3"/>
  <c r="AN283" i="3"/>
  <c r="AM283" i="3"/>
  <c r="AL283" i="3"/>
  <c r="AJ283" i="3"/>
  <c r="AG283" i="3"/>
  <c r="W283" i="3"/>
  <c r="F283" i="3"/>
  <c r="AW282" i="3"/>
  <c r="AK282" i="3"/>
  <c r="AN282" i="3"/>
  <c r="AM282" i="3"/>
  <c r="AL282" i="3"/>
  <c r="AJ282" i="3"/>
  <c r="AG282" i="3"/>
  <c r="W282" i="3"/>
  <c r="F282" i="3"/>
  <c r="AW281" i="3"/>
  <c r="AK281" i="3"/>
  <c r="AN281" i="3"/>
  <c r="AM281" i="3"/>
  <c r="AL281" i="3"/>
  <c r="AJ281" i="3"/>
  <c r="AG281" i="3"/>
  <c r="W281" i="3"/>
  <c r="F281" i="3"/>
  <c r="AW280" i="3"/>
  <c r="AK280" i="3"/>
  <c r="AN280" i="3"/>
  <c r="AM280" i="3"/>
  <c r="AL280" i="3"/>
  <c r="AJ280" i="3"/>
  <c r="AG280" i="3"/>
  <c r="W280" i="3"/>
  <c r="F280" i="3"/>
  <c r="AW279" i="3"/>
  <c r="AK279" i="3"/>
  <c r="AN279" i="3"/>
  <c r="AM279" i="3"/>
  <c r="AL279" i="3"/>
  <c r="AJ279" i="3"/>
  <c r="AG279" i="3"/>
  <c r="W279" i="3"/>
  <c r="F279" i="3"/>
  <c r="AW278" i="3"/>
  <c r="AK278" i="3"/>
  <c r="AN278" i="3"/>
  <c r="AM278" i="3"/>
  <c r="AL278" i="3"/>
  <c r="AJ278" i="3"/>
  <c r="AG278" i="3"/>
  <c r="W278" i="3"/>
  <c r="F278" i="3"/>
  <c r="AW277" i="3"/>
  <c r="AK277" i="3"/>
  <c r="AN277" i="3"/>
  <c r="AM277" i="3"/>
  <c r="AL277" i="3"/>
  <c r="AJ277" i="3"/>
  <c r="AG277" i="3"/>
  <c r="W277" i="3"/>
  <c r="F277" i="3"/>
  <c r="AW276" i="3"/>
  <c r="AK276" i="3"/>
  <c r="AN276" i="3"/>
  <c r="AM276" i="3"/>
  <c r="AL276" i="3"/>
  <c r="AJ276" i="3"/>
  <c r="AG276" i="3"/>
  <c r="W276" i="3"/>
  <c r="F276" i="3"/>
  <c r="AW275" i="3"/>
  <c r="AK275" i="3"/>
  <c r="AN275" i="3"/>
  <c r="AM275" i="3"/>
  <c r="AL275" i="3"/>
  <c r="AJ275" i="3"/>
  <c r="AG275" i="3"/>
  <c r="W275" i="3"/>
  <c r="F275" i="3"/>
  <c r="AW274" i="3"/>
  <c r="AK274" i="3"/>
  <c r="AN274" i="3"/>
  <c r="AM274" i="3"/>
  <c r="AL274" i="3"/>
  <c r="AJ274" i="3"/>
  <c r="AG274" i="3"/>
  <c r="W274" i="3"/>
  <c r="F274" i="3"/>
  <c r="AW273" i="3"/>
  <c r="AK273" i="3"/>
  <c r="AN273" i="3"/>
  <c r="AM273" i="3"/>
  <c r="AL273" i="3"/>
  <c r="AJ273" i="3"/>
  <c r="AG273" i="3"/>
  <c r="W273" i="3"/>
  <c r="F273" i="3"/>
  <c r="AW272" i="3"/>
  <c r="AK272" i="3"/>
  <c r="AN272" i="3"/>
  <c r="AM272" i="3"/>
  <c r="AL272" i="3"/>
  <c r="AJ272" i="3"/>
  <c r="AG272" i="3"/>
  <c r="W272" i="3"/>
  <c r="F272" i="3"/>
  <c r="AW271" i="3"/>
  <c r="AK271" i="3"/>
  <c r="AN271" i="3"/>
  <c r="AM271" i="3"/>
  <c r="AL271" i="3"/>
  <c r="AJ271" i="3"/>
  <c r="AG271" i="3"/>
  <c r="W271" i="3"/>
  <c r="F271" i="3"/>
  <c r="AW270" i="3"/>
  <c r="AK270" i="3"/>
  <c r="AN270" i="3"/>
  <c r="AM270" i="3"/>
  <c r="AL270" i="3"/>
  <c r="AJ270" i="3"/>
  <c r="AG270" i="3"/>
  <c r="W270" i="3"/>
  <c r="F270" i="3"/>
  <c r="AW269" i="3"/>
  <c r="AK269" i="3"/>
  <c r="AN269" i="3"/>
  <c r="AM269" i="3"/>
  <c r="AL269" i="3"/>
  <c r="AJ269" i="3"/>
  <c r="AG269" i="3"/>
  <c r="W269" i="3"/>
  <c r="F269" i="3"/>
  <c r="AW268" i="3"/>
  <c r="AK268" i="3"/>
  <c r="AN268" i="3"/>
  <c r="AM268" i="3"/>
  <c r="AL268" i="3"/>
  <c r="AJ268" i="3"/>
  <c r="AG268" i="3"/>
  <c r="W268" i="3"/>
  <c r="F268" i="3"/>
  <c r="AW267" i="3"/>
  <c r="AK267" i="3"/>
  <c r="AN267" i="3"/>
  <c r="AM267" i="3"/>
  <c r="AL267" i="3"/>
  <c r="AJ267" i="3"/>
  <c r="AG267" i="3"/>
  <c r="W267" i="3"/>
  <c r="F267" i="3"/>
  <c r="AW266" i="3"/>
  <c r="AK266" i="3"/>
  <c r="AN266" i="3"/>
  <c r="AM266" i="3"/>
  <c r="AL266" i="3"/>
  <c r="AJ266" i="3"/>
  <c r="AG266" i="3"/>
  <c r="W266" i="3"/>
  <c r="F266" i="3"/>
  <c r="AW265" i="3"/>
  <c r="AK265" i="3"/>
  <c r="AN265" i="3"/>
  <c r="AM265" i="3"/>
  <c r="AL265" i="3"/>
  <c r="AJ265" i="3"/>
  <c r="AG265" i="3"/>
  <c r="W265" i="3"/>
  <c r="F265" i="3"/>
  <c r="AW264" i="3"/>
  <c r="AK264" i="3"/>
  <c r="AN264" i="3"/>
  <c r="AM264" i="3"/>
  <c r="AL264" i="3"/>
  <c r="AJ264" i="3"/>
  <c r="AG264" i="3"/>
  <c r="W264" i="3"/>
  <c r="F264" i="3"/>
  <c r="AW263" i="3"/>
  <c r="AK263" i="3"/>
  <c r="AN263" i="3"/>
  <c r="AM263" i="3"/>
  <c r="AL263" i="3"/>
  <c r="AJ263" i="3"/>
  <c r="AG263" i="3"/>
  <c r="W263" i="3"/>
  <c r="F263" i="3"/>
  <c r="AW262" i="3"/>
  <c r="AK262" i="3"/>
  <c r="AN262" i="3"/>
  <c r="AM262" i="3"/>
  <c r="AL262" i="3"/>
  <c r="AJ262" i="3"/>
  <c r="AG262" i="3"/>
  <c r="W262" i="3"/>
  <c r="F262" i="3"/>
  <c r="AW261" i="3"/>
  <c r="AK261" i="3"/>
  <c r="AN261" i="3"/>
  <c r="AM261" i="3"/>
  <c r="AL261" i="3"/>
  <c r="AJ261" i="3"/>
  <c r="AG261" i="3"/>
  <c r="W261" i="3"/>
  <c r="F261" i="3"/>
  <c r="AW260" i="3"/>
  <c r="AK260" i="3"/>
  <c r="AN260" i="3"/>
  <c r="AM260" i="3"/>
  <c r="AL260" i="3"/>
  <c r="AJ260" i="3"/>
  <c r="AG260" i="3"/>
  <c r="W260" i="3"/>
  <c r="F260" i="3"/>
  <c r="AW259" i="3"/>
  <c r="AK259" i="3"/>
  <c r="AN259" i="3"/>
  <c r="AM259" i="3"/>
  <c r="AL259" i="3"/>
  <c r="AJ259" i="3"/>
  <c r="AG259" i="3"/>
  <c r="W259" i="3"/>
  <c r="F259" i="3"/>
  <c r="AW258" i="3"/>
  <c r="AK258" i="3"/>
  <c r="AN258" i="3"/>
  <c r="AM258" i="3"/>
  <c r="AL258" i="3"/>
  <c r="AJ258" i="3"/>
  <c r="AG258" i="3"/>
  <c r="W258" i="3"/>
  <c r="F258" i="3"/>
  <c r="AW257" i="3"/>
  <c r="AK257" i="3"/>
  <c r="AN257" i="3"/>
  <c r="AM257" i="3"/>
  <c r="AL257" i="3"/>
  <c r="AJ257" i="3"/>
  <c r="AG257" i="3"/>
  <c r="W257" i="3"/>
  <c r="F257" i="3"/>
  <c r="AW256" i="3"/>
  <c r="AK256" i="3"/>
  <c r="AN256" i="3"/>
  <c r="AM256" i="3"/>
  <c r="AL256" i="3"/>
  <c r="AJ256" i="3"/>
  <c r="AG256" i="3"/>
  <c r="W256" i="3"/>
  <c r="F256" i="3"/>
  <c r="AW255" i="3"/>
  <c r="AK255" i="3"/>
  <c r="AN255" i="3"/>
  <c r="AM255" i="3"/>
  <c r="AL255" i="3"/>
  <c r="AJ255" i="3"/>
  <c r="AG255" i="3"/>
  <c r="W255" i="3"/>
  <c r="F255" i="3"/>
  <c r="AW254" i="3"/>
  <c r="AK254" i="3"/>
  <c r="AN254" i="3"/>
  <c r="AM254" i="3"/>
  <c r="AL254" i="3"/>
  <c r="AJ254" i="3"/>
  <c r="AG254" i="3"/>
  <c r="W254" i="3"/>
  <c r="F254" i="3"/>
  <c r="AW253" i="3"/>
  <c r="AK253" i="3"/>
  <c r="AN253" i="3"/>
  <c r="AM253" i="3"/>
  <c r="AL253" i="3"/>
  <c r="AJ253" i="3"/>
  <c r="AG253" i="3"/>
  <c r="W253" i="3"/>
  <c r="F253" i="3"/>
  <c r="AW252" i="3"/>
  <c r="AK252" i="3"/>
  <c r="AN252" i="3"/>
  <c r="AM252" i="3"/>
  <c r="AL252" i="3"/>
  <c r="AJ252" i="3"/>
  <c r="AG252" i="3"/>
  <c r="W252" i="3"/>
  <c r="F252" i="3"/>
  <c r="AW251" i="3"/>
  <c r="AK251" i="3"/>
  <c r="AN251" i="3"/>
  <c r="AM251" i="3"/>
  <c r="AL251" i="3"/>
  <c r="AJ251" i="3"/>
  <c r="AG251" i="3"/>
  <c r="W251" i="3"/>
  <c r="F251" i="3"/>
  <c r="AW250" i="3"/>
  <c r="AK250" i="3"/>
  <c r="AN250" i="3"/>
  <c r="AM250" i="3"/>
  <c r="AL250" i="3"/>
  <c r="AJ250" i="3"/>
  <c r="AG250" i="3"/>
  <c r="W250" i="3"/>
  <c r="F250" i="3"/>
  <c r="AW249" i="3"/>
  <c r="AK249" i="3"/>
  <c r="AN249" i="3"/>
  <c r="AM249" i="3"/>
  <c r="AL249" i="3"/>
  <c r="AJ249" i="3"/>
  <c r="AG249" i="3"/>
  <c r="W249" i="3"/>
  <c r="F249" i="3"/>
  <c r="AW248" i="3"/>
  <c r="AK248" i="3"/>
  <c r="AN248" i="3"/>
  <c r="AM248" i="3"/>
  <c r="AL248" i="3"/>
  <c r="AJ248" i="3"/>
  <c r="AG248" i="3"/>
  <c r="W248" i="3"/>
  <c r="F248" i="3"/>
  <c r="AW247" i="3"/>
  <c r="AK247" i="3"/>
  <c r="AN247" i="3"/>
  <c r="AM247" i="3"/>
  <c r="AL247" i="3"/>
  <c r="AJ247" i="3"/>
  <c r="AG247" i="3"/>
  <c r="W247" i="3"/>
  <c r="F247" i="3"/>
  <c r="AW246" i="3"/>
  <c r="AK246" i="3"/>
  <c r="AN246" i="3"/>
  <c r="AM246" i="3"/>
  <c r="AL246" i="3"/>
  <c r="AJ246" i="3"/>
  <c r="AG246" i="3"/>
  <c r="W246" i="3"/>
  <c r="F246" i="3"/>
  <c r="AW245" i="3"/>
  <c r="AK245" i="3"/>
  <c r="AN245" i="3"/>
  <c r="AM245" i="3"/>
  <c r="AL245" i="3"/>
  <c r="AJ245" i="3"/>
  <c r="AG245" i="3"/>
  <c r="W245" i="3"/>
  <c r="F245" i="3"/>
  <c r="AW244" i="3"/>
  <c r="AK244" i="3"/>
  <c r="AN244" i="3"/>
  <c r="AM244" i="3"/>
  <c r="AL244" i="3"/>
  <c r="AJ244" i="3"/>
  <c r="AG244" i="3"/>
  <c r="W244" i="3"/>
  <c r="F244" i="3"/>
  <c r="AW243" i="3"/>
  <c r="AK243" i="3"/>
  <c r="AN243" i="3"/>
  <c r="AM243" i="3"/>
  <c r="AL243" i="3"/>
  <c r="AJ243" i="3"/>
  <c r="AG243" i="3"/>
  <c r="W243" i="3"/>
  <c r="F243" i="3"/>
  <c r="AW242" i="3"/>
  <c r="AK242" i="3"/>
  <c r="AN242" i="3"/>
  <c r="AM242" i="3"/>
  <c r="AL242" i="3"/>
  <c r="AJ242" i="3"/>
  <c r="AG242" i="3"/>
  <c r="W242" i="3"/>
  <c r="F242" i="3"/>
  <c r="AW241" i="3"/>
  <c r="AK241" i="3"/>
  <c r="AN241" i="3"/>
  <c r="AM241" i="3"/>
  <c r="AL241" i="3"/>
  <c r="AJ241" i="3"/>
  <c r="AG241" i="3"/>
  <c r="W241" i="3"/>
  <c r="F241" i="3"/>
  <c r="AW240" i="3"/>
  <c r="AK240" i="3"/>
  <c r="AN240" i="3"/>
  <c r="AM240" i="3"/>
  <c r="AL240" i="3"/>
  <c r="AJ240" i="3"/>
  <c r="AG240" i="3"/>
  <c r="W240" i="3"/>
  <c r="F240" i="3"/>
  <c r="AW239" i="3"/>
  <c r="AK239" i="3"/>
  <c r="AN239" i="3"/>
  <c r="AM239" i="3"/>
  <c r="AL239" i="3"/>
  <c r="AJ239" i="3"/>
  <c r="AG239" i="3"/>
  <c r="W239" i="3"/>
  <c r="F239" i="3"/>
  <c r="AW238" i="3"/>
  <c r="AK238" i="3"/>
  <c r="AN238" i="3"/>
  <c r="AM238" i="3"/>
  <c r="AL238" i="3"/>
  <c r="AJ238" i="3"/>
  <c r="AG238" i="3"/>
  <c r="W238" i="3"/>
  <c r="F238" i="3"/>
  <c r="AW237" i="3"/>
  <c r="AK237" i="3"/>
  <c r="AN237" i="3"/>
  <c r="AM237" i="3"/>
  <c r="AL237" i="3"/>
  <c r="AJ237" i="3"/>
  <c r="AG237" i="3"/>
  <c r="W237" i="3"/>
  <c r="F237" i="3"/>
  <c r="AW236" i="3"/>
  <c r="AK236" i="3"/>
  <c r="AN236" i="3"/>
  <c r="AM236" i="3"/>
  <c r="AL236" i="3"/>
  <c r="AJ236" i="3"/>
  <c r="AG236" i="3"/>
  <c r="W236" i="3"/>
  <c r="F236" i="3"/>
  <c r="AW235" i="3"/>
  <c r="AK235" i="3"/>
  <c r="AN235" i="3"/>
  <c r="AM235" i="3"/>
  <c r="AL235" i="3"/>
  <c r="W235" i="3"/>
  <c r="AJ235" i="3"/>
  <c r="AG235" i="3"/>
  <c r="F235" i="3"/>
  <c r="AW234" i="3"/>
  <c r="AK234" i="3"/>
  <c r="AN234" i="3"/>
  <c r="AM234" i="3"/>
  <c r="AL234" i="3"/>
  <c r="W234" i="3"/>
  <c r="AJ234" i="3"/>
  <c r="AG234" i="3"/>
  <c r="F234" i="3"/>
  <c r="AW233" i="3"/>
  <c r="AK233" i="3"/>
  <c r="AN233" i="3"/>
  <c r="AM233" i="3"/>
  <c r="AL233" i="3"/>
  <c r="AJ233" i="3"/>
  <c r="AG233" i="3"/>
  <c r="W233" i="3"/>
  <c r="F233" i="3"/>
  <c r="AW232" i="3"/>
  <c r="AK232" i="3"/>
  <c r="AN232" i="3"/>
  <c r="AM232" i="3"/>
  <c r="AL232" i="3"/>
  <c r="AJ232" i="3"/>
  <c r="AG232" i="3"/>
  <c r="W232" i="3"/>
  <c r="F232" i="3"/>
  <c r="AW231" i="3"/>
  <c r="AK231" i="3"/>
  <c r="AN231" i="3"/>
  <c r="AM231" i="3"/>
  <c r="AL231" i="3"/>
  <c r="AJ231" i="3"/>
  <c r="AG231" i="3"/>
  <c r="W231" i="3"/>
  <c r="F231" i="3"/>
  <c r="AW230" i="3"/>
  <c r="AK230" i="3"/>
  <c r="AN230" i="3"/>
  <c r="AM230" i="3"/>
  <c r="AL230" i="3"/>
  <c r="AJ230" i="3"/>
  <c r="AG230" i="3"/>
  <c r="W230" i="3"/>
  <c r="F230" i="3"/>
  <c r="AW229" i="3"/>
  <c r="AK229" i="3"/>
  <c r="AN229" i="3"/>
  <c r="AM229" i="3"/>
  <c r="AL229" i="3"/>
  <c r="AJ229" i="3"/>
  <c r="AG229" i="3"/>
  <c r="W229" i="3"/>
  <c r="F229" i="3"/>
  <c r="AW228" i="3"/>
  <c r="AK228" i="3"/>
  <c r="AN228" i="3"/>
  <c r="AM228" i="3"/>
  <c r="AL228" i="3"/>
  <c r="AJ228" i="3"/>
  <c r="AG228" i="3"/>
  <c r="W228" i="3"/>
  <c r="F228" i="3"/>
  <c r="AW227" i="3"/>
  <c r="AK227" i="3"/>
  <c r="AN227" i="3"/>
  <c r="AM227" i="3"/>
  <c r="AL227" i="3"/>
  <c r="AJ227" i="3"/>
  <c r="AG227" i="3"/>
  <c r="W227" i="3"/>
  <c r="F227" i="3"/>
  <c r="AW226" i="3"/>
  <c r="AK226" i="3"/>
  <c r="AN226" i="3"/>
  <c r="AM226" i="3"/>
  <c r="AL226" i="3"/>
  <c r="AJ226" i="3"/>
  <c r="AG226" i="3"/>
  <c r="W226" i="3"/>
  <c r="F226" i="3"/>
  <c r="AW225" i="3"/>
  <c r="AK225" i="3"/>
  <c r="AN225" i="3"/>
  <c r="AM225" i="3"/>
  <c r="AL225" i="3"/>
  <c r="AJ225" i="3"/>
  <c r="AG225" i="3"/>
  <c r="W225" i="3"/>
  <c r="F225" i="3"/>
  <c r="AW224" i="3"/>
  <c r="AK224" i="3"/>
  <c r="AN224" i="3"/>
  <c r="AM224" i="3"/>
  <c r="AL224" i="3"/>
  <c r="AJ224" i="3"/>
  <c r="AG224" i="3"/>
  <c r="W224" i="3"/>
  <c r="F224" i="3"/>
  <c r="AW223" i="3"/>
  <c r="AK223" i="3"/>
  <c r="AN223" i="3"/>
  <c r="AM223" i="3"/>
  <c r="AL223" i="3"/>
  <c r="AJ223" i="3"/>
  <c r="AG223" i="3"/>
  <c r="W223" i="3"/>
  <c r="F223" i="3"/>
  <c r="AW222" i="3"/>
  <c r="AK222" i="3"/>
  <c r="AN222" i="3"/>
  <c r="AM222" i="3"/>
  <c r="AL222" i="3"/>
  <c r="AJ222" i="3"/>
  <c r="AG222" i="3"/>
  <c r="W222" i="3"/>
  <c r="F222" i="3"/>
  <c r="AW221" i="3"/>
  <c r="AK221" i="3"/>
  <c r="AN221" i="3"/>
  <c r="AM221" i="3"/>
  <c r="AL221" i="3"/>
  <c r="AJ221" i="3"/>
  <c r="AG221" i="3"/>
  <c r="W221" i="3"/>
  <c r="F221" i="3"/>
  <c r="AW220" i="3"/>
  <c r="AK220" i="3"/>
  <c r="AN220" i="3"/>
  <c r="AM220" i="3"/>
  <c r="AL220" i="3"/>
  <c r="AJ220" i="3"/>
  <c r="AG220" i="3"/>
  <c r="W220" i="3"/>
  <c r="F220" i="3"/>
  <c r="AW219" i="3"/>
  <c r="AK219" i="3"/>
  <c r="AN219" i="3"/>
  <c r="AM219" i="3"/>
  <c r="AL219" i="3"/>
  <c r="AJ219" i="3"/>
  <c r="AG219" i="3"/>
  <c r="W219" i="3"/>
  <c r="F219" i="3"/>
  <c r="AW218" i="3"/>
  <c r="AK218" i="3"/>
  <c r="AN218" i="3"/>
  <c r="AM218" i="3"/>
  <c r="AL218" i="3"/>
  <c r="AJ218" i="3"/>
  <c r="AG218" i="3"/>
  <c r="W218" i="3"/>
  <c r="F218" i="3"/>
  <c r="AW217" i="3"/>
  <c r="AK217" i="3"/>
  <c r="AN217" i="3"/>
  <c r="AM217" i="3"/>
  <c r="AL217" i="3"/>
  <c r="W217" i="3"/>
  <c r="AJ217" i="3"/>
  <c r="AG217" i="3"/>
  <c r="F217" i="3"/>
  <c r="AW216" i="3"/>
  <c r="AK216" i="3"/>
  <c r="AN216" i="3"/>
  <c r="AM216" i="3"/>
  <c r="AL216" i="3"/>
  <c r="W216" i="3"/>
  <c r="AJ216" i="3"/>
  <c r="AG216" i="3"/>
  <c r="F216" i="3"/>
  <c r="AW215" i="3"/>
  <c r="AK215" i="3"/>
  <c r="AN215" i="3"/>
  <c r="AM215" i="3"/>
  <c r="AL215" i="3"/>
  <c r="AJ215" i="3"/>
  <c r="AG215" i="3"/>
  <c r="W215" i="3"/>
  <c r="F215" i="3"/>
  <c r="AW214" i="3"/>
  <c r="AK214" i="3"/>
  <c r="AN214" i="3"/>
  <c r="AM214" i="3"/>
  <c r="AL214" i="3"/>
  <c r="AJ214" i="3"/>
  <c r="AG214" i="3"/>
  <c r="W214" i="3"/>
  <c r="F214" i="3"/>
  <c r="AW213" i="3"/>
  <c r="AK213" i="3"/>
  <c r="AN213" i="3"/>
  <c r="AM213" i="3"/>
  <c r="AL213" i="3"/>
  <c r="AJ213" i="3"/>
  <c r="AG213" i="3"/>
  <c r="W213" i="3"/>
  <c r="F213" i="3"/>
  <c r="AW212" i="3"/>
  <c r="AK212" i="3"/>
  <c r="AN212" i="3"/>
  <c r="AM212" i="3"/>
  <c r="AL212" i="3"/>
  <c r="AJ212" i="3"/>
  <c r="AG212" i="3"/>
  <c r="W212" i="3"/>
  <c r="F212" i="3"/>
  <c r="AW211" i="3"/>
  <c r="AK211" i="3"/>
  <c r="AN211" i="3"/>
  <c r="AM211" i="3"/>
  <c r="AL211" i="3"/>
  <c r="AJ211" i="3"/>
  <c r="AG211" i="3"/>
  <c r="W211" i="3"/>
  <c r="F211" i="3"/>
  <c r="AW210" i="3"/>
  <c r="AK210" i="3"/>
  <c r="AN210" i="3"/>
  <c r="AM210" i="3"/>
  <c r="AL210" i="3"/>
  <c r="AJ210" i="3"/>
  <c r="AG210" i="3"/>
  <c r="W210" i="3"/>
  <c r="F210" i="3"/>
  <c r="AW209" i="3"/>
  <c r="AK209" i="3"/>
  <c r="AN209" i="3"/>
  <c r="AM209" i="3"/>
  <c r="AL209" i="3"/>
  <c r="AJ209" i="3"/>
  <c r="AG209" i="3"/>
  <c r="W209" i="3"/>
  <c r="F209" i="3"/>
  <c r="AW208" i="3"/>
  <c r="AK208" i="3"/>
  <c r="AN208" i="3"/>
  <c r="AM208" i="3"/>
  <c r="AL208" i="3"/>
  <c r="AJ208" i="3"/>
  <c r="AG208" i="3"/>
  <c r="W208" i="3"/>
  <c r="F208" i="3"/>
  <c r="AW207" i="3"/>
  <c r="AK207" i="3"/>
  <c r="AN207" i="3"/>
  <c r="AM207" i="3"/>
  <c r="AL207" i="3"/>
  <c r="AJ207" i="3"/>
  <c r="AG207" i="3"/>
  <c r="W207" i="3"/>
  <c r="F207" i="3"/>
  <c r="AW206" i="3"/>
  <c r="AK206" i="3"/>
  <c r="AN206" i="3"/>
  <c r="AM206" i="3"/>
  <c r="AL206" i="3"/>
  <c r="AJ206" i="3"/>
  <c r="AG206" i="3"/>
  <c r="W206" i="3"/>
  <c r="F206" i="3"/>
  <c r="AW205" i="3"/>
  <c r="AK205" i="3"/>
  <c r="AN205" i="3"/>
  <c r="AM205" i="3"/>
  <c r="AL205" i="3"/>
  <c r="AJ205" i="3"/>
  <c r="AG205" i="3"/>
  <c r="W205" i="3"/>
  <c r="F205" i="3"/>
  <c r="AW204" i="3"/>
  <c r="AK204" i="3"/>
  <c r="AN204" i="3"/>
  <c r="AM204" i="3"/>
  <c r="AL204" i="3"/>
  <c r="AJ204" i="3"/>
  <c r="AG204" i="3"/>
  <c r="W204" i="3"/>
  <c r="F204" i="3"/>
  <c r="AW203" i="3"/>
  <c r="AK203" i="3"/>
  <c r="AN203" i="3"/>
  <c r="AM203" i="3"/>
  <c r="AL203" i="3"/>
  <c r="AJ203" i="3"/>
  <c r="AG203" i="3"/>
  <c r="W203" i="3"/>
  <c r="F203" i="3"/>
  <c r="AW202" i="3"/>
  <c r="AK202" i="3"/>
  <c r="AN202" i="3"/>
  <c r="AM202" i="3"/>
  <c r="AL202" i="3"/>
  <c r="AJ202" i="3"/>
  <c r="AG202" i="3"/>
  <c r="W202" i="3"/>
  <c r="F202" i="3"/>
  <c r="AW201" i="3"/>
  <c r="AK201" i="3"/>
  <c r="AN201" i="3"/>
  <c r="AM201" i="3"/>
  <c r="AL201" i="3"/>
  <c r="AJ201" i="3"/>
  <c r="AG201" i="3"/>
  <c r="W201" i="3"/>
  <c r="F201" i="3"/>
  <c r="AW200" i="3"/>
  <c r="AK200" i="3"/>
  <c r="AN200" i="3"/>
  <c r="AM200" i="3"/>
  <c r="AL200" i="3"/>
  <c r="AJ200" i="3"/>
  <c r="AG200" i="3"/>
  <c r="W200" i="3"/>
  <c r="F200" i="3"/>
  <c r="AW199" i="3"/>
  <c r="AK199" i="3"/>
  <c r="AN199" i="3"/>
  <c r="AM199" i="3"/>
  <c r="AL199" i="3"/>
  <c r="AJ199" i="3"/>
  <c r="AG199" i="3"/>
  <c r="W199" i="3"/>
  <c r="F199" i="3"/>
  <c r="AW198" i="3"/>
  <c r="AK198" i="3"/>
  <c r="AN198" i="3"/>
  <c r="AM198" i="3"/>
  <c r="AL198" i="3"/>
  <c r="AJ198" i="3"/>
  <c r="AG198" i="3"/>
  <c r="W198" i="3"/>
  <c r="F198" i="3"/>
  <c r="AW197" i="3"/>
  <c r="AK197" i="3"/>
  <c r="AN197" i="3"/>
  <c r="AM197" i="3"/>
  <c r="AL197" i="3"/>
  <c r="AJ197" i="3"/>
  <c r="AG197" i="3"/>
  <c r="W197" i="3"/>
  <c r="F197" i="3"/>
  <c r="AW196" i="3"/>
  <c r="AK196" i="3"/>
  <c r="AN196" i="3"/>
  <c r="AM196" i="3"/>
  <c r="AL196" i="3"/>
  <c r="W196" i="3"/>
  <c r="AJ196" i="3"/>
  <c r="AG196" i="3"/>
  <c r="F196" i="3"/>
  <c r="AW195" i="3"/>
  <c r="AK195" i="3"/>
  <c r="AN195" i="3"/>
  <c r="AM195" i="3"/>
  <c r="AL195" i="3"/>
  <c r="W195" i="3"/>
  <c r="AJ195" i="3"/>
  <c r="AG195" i="3"/>
  <c r="F195" i="3"/>
  <c r="AW194" i="3"/>
  <c r="AK194" i="3"/>
  <c r="AN194" i="3"/>
  <c r="AM194" i="3"/>
  <c r="AL194" i="3"/>
  <c r="W194" i="3"/>
  <c r="AJ194" i="3"/>
  <c r="AG194" i="3"/>
  <c r="F194" i="3"/>
  <c r="AW193" i="3"/>
  <c r="AK193" i="3"/>
  <c r="AN193" i="3"/>
  <c r="AM193" i="3"/>
  <c r="AL193" i="3"/>
  <c r="W193" i="3"/>
  <c r="AJ193" i="3"/>
  <c r="AG193" i="3"/>
  <c r="F193" i="3"/>
  <c r="AW192" i="3"/>
  <c r="AK192" i="3"/>
  <c r="AN192" i="3"/>
  <c r="AM192" i="3"/>
  <c r="AL192" i="3"/>
  <c r="AJ192" i="3"/>
  <c r="AG192" i="3"/>
  <c r="W192" i="3"/>
  <c r="F192" i="3"/>
  <c r="AW191" i="3"/>
  <c r="AK191" i="3"/>
  <c r="AN191" i="3"/>
  <c r="AM191" i="3"/>
  <c r="AL191" i="3"/>
  <c r="AJ191" i="3"/>
  <c r="AG191" i="3"/>
  <c r="W191" i="3"/>
  <c r="F191" i="3"/>
  <c r="AW190" i="3"/>
  <c r="AK190" i="3"/>
  <c r="AN190" i="3"/>
  <c r="AM190" i="3"/>
  <c r="AL190" i="3"/>
  <c r="AJ190" i="3"/>
  <c r="AG190" i="3"/>
  <c r="W190" i="3"/>
  <c r="F190" i="3"/>
  <c r="AW189" i="3"/>
  <c r="AK189" i="3"/>
  <c r="AN189" i="3"/>
  <c r="AM189" i="3"/>
  <c r="AL189" i="3"/>
  <c r="AJ189" i="3"/>
  <c r="AG189" i="3"/>
  <c r="W189" i="3"/>
  <c r="F189" i="3"/>
  <c r="AW188" i="3"/>
  <c r="AK188" i="3"/>
  <c r="AN188" i="3"/>
  <c r="AM188" i="3"/>
  <c r="AL188" i="3"/>
  <c r="AJ188" i="3"/>
  <c r="AG188" i="3"/>
  <c r="W188" i="3"/>
  <c r="F188" i="3"/>
  <c r="AW187" i="3"/>
  <c r="AK187" i="3"/>
  <c r="AN187" i="3"/>
  <c r="AM187" i="3"/>
  <c r="AL187" i="3"/>
  <c r="AJ187" i="3"/>
  <c r="AG187" i="3"/>
  <c r="W187" i="3"/>
  <c r="F187" i="3"/>
  <c r="AW186" i="3"/>
  <c r="AK186" i="3"/>
  <c r="AN186" i="3"/>
  <c r="AM186" i="3"/>
  <c r="AL186" i="3"/>
  <c r="W186" i="3"/>
  <c r="AJ186" i="3"/>
  <c r="AG186" i="3"/>
  <c r="F186" i="3"/>
  <c r="AW185" i="3"/>
  <c r="AK185" i="3"/>
  <c r="AN185" i="3"/>
  <c r="AM185" i="3"/>
  <c r="AL185" i="3"/>
  <c r="AJ185" i="3"/>
  <c r="AG185" i="3"/>
  <c r="W185" i="3"/>
  <c r="F185" i="3"/>
  <c r="AW184" i="3"/>
  <c r="AK184" i="3"/>
  <c r="AN184" i="3"/>
  <c r="AM184" i="3"/>
  <c r="AL184" i="3"/>
  <c r="AJ184" i="3"/>
  <c r="AG184" i="3"/>
  <c r="W184" i="3"/>
  <c r="F184" i="3"/>
  <c r="AW183" i="3"/>
  <c r="AK183" i="3"/>
  <c r="AN183" i="3"/>
  <c r="AM183" i="3"/>
  <c r="AL183" i="3"/>
  <c r="AJ183" i="3"/>
  <c r="AG183" i="3"/>
  <c r="W183" i="3"/>
  <c r="F183" i="3"/>
  <c r="AW182" i="3"/>
  <c r="AK182" i="3"/>
  <c r="AN182" i="3"/>
  <c r="AM182" i="3"/>
  <c r="AL182" i="3"/>
  <c r="AJ182" i="3"/>
  <c r="AG182" i="3"/>
  <c r="W182" i="3"/>
  <c r="F182" i="3"/>
  <c r="AW181" i="3"/>
  <c r="AK181" i="3"/>
  <c r="AN181" i="3"/>
  <c r="AM181" i="3"/>
  <c r="AL181" i="3"/>
  <c r="AJ181" i="3"/>
  <c r="AG181" i="3"/>
  <c r="W181" i="3"/>
  <c r="F181" i="3"/>
  <c r="AW180" i="3"/>
  <c r="AK180" i="3"/>
  <c r="AN180" i="3"/>
  <c r="AM180" i="3"/>
  <c r="AL180" i="3"/>
  <c r="AJ180" i="3"/>
  <c r="AG180" i="3"/>
  <c r="W180" i="3"/>
  <c r="F180" i="3"/>
  <c r="AW179" i="3"/>
  <c r="AK179" i="3"/>
  <c r="AN179" i="3"/>
  <c r="AM179" i="3"/>
  <c r="AL179" i="3"/>
  <c r="AJ179" i="3"/>
  <c r="AG179" i="3"/>
  <c r="W179" i="3"/>
  <c r="F179" i="3"/>
  <c r="AW178" i="3"/>
  <c r="AK178" i="3"/>
  <c r="AN178" i="3"/>
  <c r="AM178" i="3"/>
  <c r="AL178" i="3"/>
  <c r="AJ178" i="3"/>
  <c r="AG178" i="3"/>
  <c r="W178" i="3"/>
  <c r="F178" i="3"/>
  <c r="AW177" i="3"/>
  <c r="AK177" i="3"/>
  <c r="AN177" i="3"/>
  <c r="AM177" i="3"/>
  <c r="AL177" i="3"/>
  <c r="AJ177" i="3"/>
  <c r="AG177" i="3"/>
  <c r="W177" i="3"/>
  <c r="F177" i="3"/>
  <c r="AW176" i="3"/>
  <c r="AK176" i="3"/>
  <c r="AN176" i="3"/>
  <c r="AM176" i="3"/>
  <c r="AL176" i="3"/>
  <c r="AJ176" i="3"/>
  <c r="AG176" i="3"/>
  <c r="W176" i="3"/>
  <c r="F176" i="3"/>
  <c r="AW175" i="3"/>
  <c r="AK175" i="3"/>
  <c r="AN175" i="3"/>
  <c r="AM175" i="3"/>
  <c r="AL175" i="3"/>
  <c r="AJ175" i="3"/>
  <c r="AG175" i="3"/>
  <c r="W175" i="3"/>
  <c r="F175" i="3"/>
  <c r="AW174" i="3"/>
  <c r="AK174" i="3"/>
  <c r="AN174" i="3"/>
  <c r="AM174" i="3"/>
  <c r="AL174" i="3"/>
  <c r="AJ174" i="3"/>
  <c r="AG174" i="3"/>
  <c r="W174" i="3"/>
  <c r="F174" i="3"/>
  <c r="AW173" i="3"/>
  <c r="AK173" i="3"/>
  <c r="AN173" i="3"/>
  <c r="AM173" i="3"/>
  <c r="AL173" i="3"/>
  <c r="AJ173" i="3"/>
  <c r="AG173" i="3"/>
  <c r="W173" i="3"/>
  <c r="F173" i="3"/>
  <c r="AW172" i="3"/>
  <c r="AK172" i="3"/>
  <c r="AN172" i="3"/>
  <c r="AM172" i="3"/>
  <c r="AL172" i="3"/>
  <c r="AJ172" i="3"/>
  <c r="AG172" i="3"/>
  <c r="W172" i="3"/>
  <c r="F172" i="3"/>
  <c r="AW171" i="3"/>
  <c r="AK171" i="3"/>
  <c r="AN171" i="3"/>
  <c r="AM171" i="3"/>
  <c r="AL171" i="3"/>
  <c r="AJ171" i="3"/>
  <c r="AG171" i="3"/>
  <c r="W171" i="3"/>
  <c r="F171" i="3"/>
  <c r="AW170" i="3"/>
  <c r="AK170" i="3"/>
  <c r="AN170" i="3"/>
  <c r="AM170" i="3"/>
  <c r="AL170" i="3"/>
  <c r="AJ170" i="3"/>
  <c r="AG170" i="3"/>
  <c r="W170" i="3"/>
  <c r="F170" i="3"/>
  <c r="AW169" i="3"/>
  <c r="AK169" i="3"/>
  <c r="AN169" i="3"/>
  <c r="AM169" i="3"/>
  <c r="AL169" i="3"/>
  <c r="AJ169" i="3"/>
  <c r="AG169" i="3"/>
  <c r="W169" i="3"/>
  <c r="F169" i="3"/>
  <c r="AW168" i="3"/>
  <c r="AK168" i="3"/>
  <c r="AN168" i="3"/>
  <c r="AM168" i="3"/>
  <c r="AL168" i="3"/>
  <c r="AJ168" i="3"/>
  <c r="AG168" i="3"/>
  <c r="W168" i="3"/>
  <c r="F168" i="3"/>
  <c r="AW167" i="3"/>
  <c r="AK167" i="3"/>
  <c r="AN167" i="3"/>
  <c r="AM167" i="3"/>
  <c r="AL167" i="3"/>
  <c r="AJ167" i="3"/>
  <c r="AG167" i="3"/>
  <c r="W167" i="3"/>
  <c r="F167" i="3"/>
  <c r="AW166" i="3"/>
  <c r="AK166" i="3"/>
  <c r="AN166" i="3"/>
  <c r="AM166" i="3"/>
  <c r="AL166" i="3"/>
  <c r="AJ166" i="3"/>
  <c r="AG166" i="3"/>
  <c r="W166" i="3"/>
  <c r="F166" i="3"/>
  <c r="AW165" i="3"/>
  <c r="AK165" i="3"/>
  <c r="AN165" i="3"/>
  <c r="AM165" i="3"/>
  <c r="AL165" i="3"/>
  <c r="AJ165" i="3"/>
  <c r="AG165" i="3"/>
  <c r="W165" i="3"/>
  <c r="F165" i="3"/>
  <c r="AW164" i="3"/>
  <c r="AK164" i="3"/>
  <c r="AN164" i="3"/>
  <c r="AM164" i="3"/>
  <c r="AL164" i="3"/>
  <c r="AJ164" i="3"/>
  <c r="AG164" i="3"/>
  <c r="W164" i="3"/>
  <c r="F164" i="3"/>
  <c r="AW163" i="3"/>
  <c r="AK163" i="3"/>
  <c r="AN163" i="3"/>
  <c r="AM163" i="3"/>
  <c r="AL163" i="3"/>
  <c r="W163" i="3"/>
  <c r="AJ163" i="3"/>
  <c r="AG163" i="3"/>
  <c r="F163" i="3"/>
  <c r="AW162" i="3"/>
  <c r="AK162" i="3"/>
  <c r="AN162" i="3"/>
  <c r="AM162" i="3"/>
  <c r="AL162" i="3"/>
  <c r="AJ162" i="3"/>
  <c r="AG162" i="3"/>
  <c r="W162" i="3"/>
  <c r="F162" i="3"/>
  <c r="AW161" i="3"/>
  <c r="AK161" i="3"/>
  <c r="AN161" i="3"/>
  <c r="AM161" i="3"/>
  <c r="AL161" i="3"/>
  <c r="AJ161" i="3"/>
  <c r="AG161" i="3"/>
  <c r="W161" i="3"/>
  <c r="F161" i="3"/>
  <c r="AW160" i="3"/>
  <c r="AK160" i="3"/>
  <c r="AN160" i="3"/>
  <c r="AM160" i="3"/>
  <c r="AL160" i="3"/>
  <c r="AJ160" i="3"/>
  <c r="AG160" i="3"/>
  <c r="W160" i="3"/>
  <c r="F160" i="3"/>
  <c r="AW159" i="3"/>
  <c r="AK159" i="3"/>
  <c r="AN159" i="3"/>
  <c r="AM159" i="3"/>
  <c r="AL159" i="3"/>
  <c r="AJ159" i="3"/>
  <c r="AG159" i="3"/>
  <c r="W159" i="3"/>
  <c r="F159" i="3"/>
  <c r="AW158" i="3"/>
  <c r="AK158" i="3"/>
  <c r="AN158" i="3"/>
  <c r="AM158" i="3"/>
  <c r="AL158" i="3"/>
  <c r="AJ158" i="3"/>
  <c r="AG158" i="3"/>
  <c r="W158" i="3"/>
  <c r="F158" i="3"/>
  <c r="AW157" i="3"/>
  <c r="AK157" i="3"/>
  <c r="AN157" i="3"/>
  <c r="AM157" i="3"/>
  <c r="AL157" i="3"/>
  <c r="AJ157" i="3"/>
  <c r="AG157" i="3"/>
  <c r="W157" i="3"/>
  <c r="F157" i="3"/>
  <c r="AW156" i="3"/>
  <c r="AK156" i="3"/>
  <c r="AN156" i="3"/>
  <c r="AM156" i="3"/>
  <c r="AL156" i="3"/>
  <c r="AJ156" i="3"/>
  <c r="AG156" i="3"/>
  <c r="W156" i="3"/>
  <c r="F156" i="3"/>
  <c r="AW155" i="3"/>
  <c r="AK155" i="3"/>
  <c r="AN155" i="3"/>
  <c r="AM155" i="3"/>
  <c r="AL155" i="3"/>
  <c r="AJ155" i="3"/>
  <c r="AG155" i="3"/>
  <c r="W155" i="3"/>
  <c r="F155" i="3"/>
  <c r="AW154" i="3"/>
  <c r="AK154" i="3"/>
  <c r="AN154" i="3"/>
  <c r="AM154" i="3"/>
  <c r="AL154" i="3"/>
  <c r="AJ154" i="3"/>
  <c r="AG154" i="3"/>
  <c r="W154" i="3"/>
  <c r="F154" i="3"/>
  <c r="AW153" i="3"/>
  <c r="AK153" i="3"/>
  <c r="AN153" i="3"/>
  <c r="AM153" i="3"/>
  <c r="AL153" i="3"/>
  <c r="AJ153" i="3"/>
  <c r="AG153" i="3"/>
  <c r="W153" i="3"/>
  <c r="F153" i="3"/>
  <c r="AW152" i="3"/>
  <c r="AK152" i="3"/>
  <c r="AN152" i="3"/>
  <c r="AM152" i="3"/>
  <c r="AL152" i="3"/>
  <c r="AJ152" i="3"/>
  <c r="AG152" i="3"/>
  <c r="W152" i="3"/>
  <c r="F152" i="3"/>
  <c r="AW151" i="3"/>
  <c r="AK151" i="3"/>
  <c r="AN151" i="3"/>
  <c r="AM151" i="3"/>
  <c r="AL151" i="3"/>
  <c r="AJ151" i="3"/>
  <c r="AG151" i="3"/>
  <c r="W151" i="3"/>
  <c r="F151" i="3"/>
  <c r="AW150" i="3"/>
  <c r="AK150" i="3"/>
  <c r="AN150" i="3"/>
  <c r="AM150" i="3"/>
  <c r="AL150" i="3"/>
  <c r="AJ150" i="3"/>
  <c r="AG150" i="3"/>
  <c r="W150" i="3"/>
  <c r="F150" i="3"/>
  <c r="AW149" i="3"/>
  <c r="AK149" i="3"/>
  <c r="AN149" i="3"/>
  <c r="AM149" i="3"/>
  <c r="AL149" i="3"/>
  <c r="AJ149" i="3"/>
  <c r="AG149" i="3"/>
  <c r="W149" i="3"/>
  <c r="F149" i="3"/>
  <c r="AW148" i="3"/>
  <c r="AK148" i="3"/>
  <c r="AN148" i="3"/>
  <c r="AM148" i="3"/>
  <c r="AL148" i="3"/>
  <c r="AJ148" i="3"/>
  <c r="AG148" i="3"/>
  <c r="W148" i="3"/>
  <c r="F148" i="3"/>
  <c r="AW147" i="3"/>
  <c r="AK147" i="3"/>
  <c r="AN147" i="3"/>
  <c r="AM147" i="3"/>
  <c r="AL147" i="3"/>
  <c r="W147" i="3"/>
  <c r="AJ147" i="3"/>
  <c r="AG147" i="3"/>
  <c r="F147" i="3"/>
  <c r="AW146" i="3"/>
  <c r="AK146" i="3"/>
  <c r="AN146" i="3"/>
  <c r="AM146" i="3"/>
  <c r="AL146" i="3"/>
  <c r="AJ146" i="3"/>
  <c r="AG146" i="3"/>
  <c r="W146" i="3"/>
  <c r="F146" i="3"/>
  <c r="AW145" i="3"/>
  <c r="AK145" i="3"/>
  <c r="AN145" i="3"/>
  <c r="AM145" i="3"/>
  <c r="AL145" i="3"/>
  <c r="AJ145" i="3"/>
  <c r="AG145" i="3"/>
  <c r="W145" i="3"/>
  <c r="F145" i="3"/>
  <c r="AW144" i="3"/>
  <c r="AK144" i="3"/>
  <c r="AN144" i="3"/>
  <c r="AM144" i="3"/>
  <c r="AL144" i="3"/>
  <c r="AJ144" i="3"/>
  <c r="AG144" i="3"/>
  <c r="W144" i="3"/>
  <c r="F144" i="3"/>
  <c r="AW143" i="3"/>
  <c r="AK143" i="3"/>
  <c r="AN143" i="3"/>
  <c r="AM143" i="3"/>
  <c r="AL143" i="3"/>
  <c r="AJ143" i="3"/>
  <c r="AG143" i="3"/>
  <c r="W143" i="3"/>
  <c r="F143" i="3"/>
  <c r="AW142" i="3"/>
  <c r="AK142" i="3"/>
  <c r="AN142" i="3"/>
  <c r="AM142" i="3"/>
  <c r="AL142" i="3"/>
  <c r="AJ142" i="3"/>
  <c r="AG142" i="3"/>
  <c r="W142" i="3"/>
  <c r="F142" i="3"/>
  <c r="AW141" i="3"/>
  <c r="AK141" i="3"/>
  <c r="AN141" i="3"/>
  <c r="AM141" i="3"/>
  <c r="AL141" i="3"/>
  <c r="AJ141" i="3"/>
  <c r="AG141" i="3"/>
  <c r="W141" i="3"/>
  <c r="F141" i="3"/>
  <c r="AW140" i="3"/>
  <c r="AK140" i="3"/>
  <c r="AN140" i="3"/>
  <c r="AM140" i="3"/>
  <c r="AL140" i="3"/>
  <c r="AJ140" i="3"/>
  <c r="AG140" i="3"/>
  <c r="W140" i="3"/>
  <c r="F140" i="3"/>
  <c r="AW139" i="3"/>
  <c r="AK139" i="3"/>
  <c r="AN139" i="3"/>
  <c r="AM139" i="3"/>
  <c r="AL139" i="3"/>
  <c r="W139" i="3"/>
  <c r="AJ139" i="3"/>
  <c r="AG139" i="3"/>
  <c r="F139" i="3"/>
  <c r="AW138" i="3"/>
  <c r="AK138" i="3"/>
  <c r="AN138" i="3"/>
  <c r="AM138" i="3"/>
  <c r="AL138" i="3"/>
  <c r="AJ138" i="3"/>
  <c r="AG138" i="3"/>
  <c r="W138" i="3"/>
  <c r="F138" i="3"/>
  <c r="AW137" i="3"/>
  <c r="AK137" i="3"/>
  <c r="AN137" i="3"/>
  <c r="AM137" i="3"/>
  <c r="AL137" i="3"/>
  <c r="AJ137" i="3"/>
  <c r="AG137" i="3"/>
  <c r="W137" i="3"/>
  <c r="F137" i="3"/>
  <c r="AW136" i="3"/>
  <c r="AK136" i="3"/>
  <c r="AN136" i="3"/>
  <c r="AM136" i="3"/>
  <c r="AL136" i="3"/>
  <c r="AJ136" i="3"/>
  <c r="AG136" i="3"/>
  <c r="W136" i="3"/>
  <c r="F136" i="3"/>
  <c r="AW135" i="3"/>
  <c r="AK135" i="3"/>
  <c r="AN135" i="3"/>
  <c r="AM135" i="3"/>
  <c r="AL135" i="3"/>
  <c r="AJ135" i="3"/>
  <c r="AG135" i="3"/>
  <c r="W135" i="3"/>
  <c r="F135" i="3"/>
  <c r="AW134" i="3"/>
  <c r="AK134" i="3"/>
  <c r="AN134" i="3"/>
  <c r="AM134" i="3"/>
  <c r="AL134" i="3"/>
  <c r="AJ134" i="3"/>
  <c r="AG134" i="3"/>
  <c r="W134" i="3"/>
  <c r="F134" i="3"/>
  <c r="AW133" i="3"/>
  <c r="AK133" i="3"/>
  <c r="AN133" i="3"/>
  <c r="AM133" i="3"/>
  <c r="AL133" i="3"/>
  <c r="W133" i="3"/>
  <c r="AJ133" i="3"/>
  <c r="AG133" i="3"/>
  <c r="F133" i="3"/>
  <c r="AW132" i="3"/>
  <c r="AK132" i="3"/>
  <c r="AN132" i="3"/>
  <c r="AM132" i="3"/>
  <c r="AL132" i="3"/>
  <c r="AJ132" i="3"/>
  <c r="AG132" i="3"/>
  <c r="W132" i="3"/>
  <c r="F132" i="3"/>
  <c r="AW131" i="3"/>
  <c r="AK131" i="3"/>
  <c r="AN131" i="3"/>
  <c r="AM131" i="3"/>
  <c r="AL131" i="3"/>
  <c r="AJ131" i="3"/>
  <c r="AG131" i="3"/>
  <c r="W131" i="3"/>
  <c r="F131" i="3"/>
  <c r="AW130" i="3"/>
  <c r="AK130" i="3"/>
  <c r="AN130" i="3"/>
  <c r="AM130" i="3"/>
  <c r="AL130" i="3"/>
  <c r="AJ130" i="3"/>
  <c r="AG130" i="3"/>
  <c r="W130" i="3"/>
  <c r="F130" i="3"/>
  <c r="AW129" i="3"/>
  <c r="AK129" i="3"/>
  <c r="AN129" i="3"/>
  <c r="AM129" i="3"/>
  <c r="AL129" i="3"/>
  <c r="AJ129" i="3"/>
  <c r="AG129" i="3"/>
  <c r="W129" i="3"/>
  <c r="F129" i="3"/>
  <c r="AW128" i="3"/>
  <c r="AK128" i="3"/>
  <c r="AN128" i="3"/>
  <c r="AM128" i="3"/>
  <c r="AL128" i="3"/>
  <c r="AJ128" i="3"/>
  <c r="AG128" i="3"/>
  <c r="W128" i="3"/>
  <c r="F128" i="3"/>
  <c r="AW127" i="3"/>
  <c r="AK127" i="3"/>
  <c r="AN127" i="3"/>
  <c r="AM127" i="3"/>
  <c r="AL127" i="3"/>
  <c r="AJ127" i="3"/>
  <c r="AG127" i="3"/>
  <c r="W127" i="3"/>
  <c r="F127" i="3"/>
  <c r="AW126" i="3"/>
  <c r="AK126" i="3"/>
  <c r="AN126" i="3"/>
  <c r="AM126" i="3"/>
  <c r="AL126" i="3"/>
  <c r="AJ126" i="3"/>
  <c r="AG126" i="3"/>
  <c r="W126" i="3"/>
  <c r="F126" i="3"/>
  <c r="AW125" i="3"/>
  <c r="AK125" i="3"/>
  <c r="AN125" i="3"/>
  <c r="AM125" i="3"/>
  <c r="AL125" i="3"/>
  <c r="AJ125" i="3"/>
  <c r="AG125" i="3"/>
  <c r="W125" i="3"/>
  <c r="F125" i="3"/>
  <c r="AW124" i="3"/>
  <c r="AK124" i="3"/>
  <c r="AN124" i="3"/>
  <c r="AM124" i="3"/>
  <c r="AL124" i="3"/>
  <c r="AJ124" i="3"/>
  <c r="AG124" i="3"/>
  <c r="W124" i="3"/>
  <c r="F124" i="3"/>
  <c r="AW123" i="3"/>
  <c r="AK123" i="3"/>
  <c r="AN123" i="3"/>
  <c r="AM123" i="3"/>
  <c r="AL123" i="3"/>
  <c r="AJ123" i="3"/>
  <c r="AG123" i="3"/>
  <c r="W123" i="3"/>
  <c r="F123" i="3"/>
  <c r="AW122" i="3"/>
  <c r="AK122" i="3"/>
  <c r="AN122" i="3"/>
  <c r="AM122" i="3"/>
  <c r="AL122" i="3"/>
  <c r="AJ122" i="3"/>
  <c r="AG122" i="3"/>
  <c r="W122" i="3"/>
  <c r="F122" i="3"/>
  <c r="AW121" i="3"/>
  <c r="AK121" i="3"/>
  <c r="AN121" i="3"/>
  <c r="AM121" i="3"/>
  <c r="AL121" i="3"/>
  <c r="W121" i="3"/>
  <c r="AJ121" i="3"/>
  <c r="AG121" i="3"/>
  <c r="F121" i="3"/>
  <c r="AW120" i="3"/>
  <c r="AK120" i="3"/>
  <c r="AN120" i="3"/>
  <c r="AM120" i="3"/>
  <c r="AL120" i="3"/>
  <c r="AJ120" i="3"/>
  <c r="AG120" i="3"/>
  <c r="W120" i="3"/>
  <c r="F120" i="3"/>
  <c r="AW119" i="3"/>
  <c r="AK119" i="3"/>
  <c r="AN119" i="3"/>
  <c r="AM119" i="3"/>
  <c r="AL119" i="3"/>
  <c r="AJ119" i="3"/>
  <c r="AG119" i="3"/>
  <c r="W119" i="3"/>
  <c r="F119" i="3"/>
  <c r="AW118" i="3"/>
  <c r="AK118" i="3"/>
  <c r="AN118" i="3"/>
  <c r="AM118" i="3"/>
  <c r="AL118" i="3"/>
  <c r="AJ118" i="3"/>
  <c r="AG118" i="3"/>
  <c r="W118" i="3"/>
  <c r="F118" i="3"/>
  <c r="AW117" i="3"/>
  <c r="AK117" i="3"/>
  <c r="AN117" i="3"/>
  <c r="AM117" i="3"/>
  <c r="AL117" i="3"/>
  <c r="AJ117" i="3"/>
  <c r="AG117" i="3"/>
  <c r="W117" i="3"/>
  <c r="F117" i="3"/>
  <c r="AW116" i="3"/>
  <c r="AK116" i="3"/>
  <c r="AN116" i="3"/>
  <c r="AM116" i="3"/>
  <c r="AL116" i="3"/>
  <c r="AJ116" i="3"/>
  <c r="AG116" i="3"/>
  <c r="W116" i="3"/>
  <c r="F116" i="3"/>
  <c r="AW115" i="3"/>
  <c r="AK115" i="3"/>
  <c r="AN115" i="3"/>
  <c r="AM115" i="3"/>
  <c r="AL115" i="3"/>
  <c r="AJ115" i="3"/>
  <c r="AG115" i="3"/>
  <c r="W115" i="3"/>
  <c r="F115" i="3"/>
  <c r="AW114" i="3"/>
  <c r="AK114" i="3"/>
  <c r="AN114" i="3"/>
  <c r="AM114" i="3"/>
  <c r="AL114" i="3"/>
  <c r="AJ114" i="3"/>
  <c r="AG114" i="3"/>
  <c r="W114" i="3"/>
  <c r="F114" i="3"/>
  <c r="AW113" i="3"/>
  <c r="AK113" i="3"/>
  <c r="AN113" i="3"/>
  <c r="AM113" i="3"/>
  <c r="AL113" i="3"/>
  <c r="AJ113" i="3"/>
  <c r="AG113" i="3"/>
  <c r="W113" i="3"/>
  <c r="F113" i="3"/>
  <c r="AW112" i="3"/>
  <c r="AK112" i="3"/>
  <c r="AN112" i="3"/>
  <c r="AM112" i="3"/>
  <c r="AL112" i="3"/>
  <c r="AJ112" i="3"/>
  <c r="AG112" i="3"/>
  <c r="W112" i="3"/>
  <c r="F112" i="3"/>
  <c r="AW111" i="3"/>
  <c r="AK111" i="3"/>
  <c r="AN111" i="3"/>
  <c r="AM111" i="3"/>
  <c r="AL111" i="3"/>
  <c r="AJ111" i="3"/>
  <c r="AG111" i="3"/>
  <c r="W111" i="3"/>
  <c r="F111" i="3"/>
  <c r="AW110" i="3"/>
  <c r="AK110" i="3"/>
  <c r="AN110" i="3"/>
  <c r="AM110" i="3"/>
  <c r="AL110" i="3"/>
  <c r="AJ110" i="3"/>
  <c r="AG110" i="3"/>
  <c r="W110" i="3"/>
  <c r="F110" i="3"/>
  <c r="AW109" i="3"/>
  <c r="AK109" i="3"/>
  <c r="AN109" i="3"/>
  <c r="AM109" i="3"/>
  <c r="AL109" i="3"/>
  <c r="AJ109" i="3"/>
  <c r="AG109" i="3"/>
  <c r="W109" i="3"/>
  <c r="F109" i="3"/>
  <c r="AW108" i="3"/>
  <c r="AK108" i="3"/>
  <c r="AN108" i="3"/>
  <c r="AM108" i="3"/>
  <c r="AL108" i="3"/>
  <c r="AJ108" i="3"/>
  <c r="AG108" i="3"/>
  <c r="W108" i="3"/>
  <c r="F108" i="3"/>
  <c r="AW107" i="3"/>
  <c r="AK107" i="3"/>
  <c r="AN107" i="3"/>
  <c r="AM107" i="3"/>
  <c r="AL107" i="3"/>
  <c r="AJ107" i="3"/>
  <c r="AG107" i="3"/>
  <c r="W107" i="3"/>
  <c r="F107" i="3"/>
  <c r="AW106" i="3"/>
  <c r="AK106" i="3"/>
  <c r="AN106" i="3"/>
  <c r="AM106" i="3"/>
  <c r="AL106" i="3"/>
  <c r="W106" i="3"/>
  <c r="AJ106" i="3"/>
  <c r="AG106" i="3"/>
  <c r="F106" i="3"/>
  <c r="AW105" i="3"/>
  <c r="AK105" i="3"/>
  <c r="AN105" i="3"/>
  <c r="AM105" i="3"/>
  <c r="AL105" i="3"/>
  <c r="AJ105" i="3"/>
  <c r="AG105" i="3"/>
  <c r="W105" i="3"/>
  <c r="F105" i="3"/>
  <c r="AW104" i="3"/>
  <c r="AK104" i="3"/>
  <c r="AN104" i="3"/>
  <c r="AM104" i="3"/>
  <c r="AL104" i="3"/>
  <c r="W104" i="3"/>
  <c r="AJ104" i="3"/>
  <c r="AG104" i="3"/>
  <c r="F104" i="3"/>
  <c r="AW103" i="3"/>
  <c r="AK103" i="3"/>
  <c r="AN103" i="3"/>
  <c r="AM103" i="3"/>
  <c r="AL103" i="3"/>
  <c r="W103" i="3"/>
  <c r="AJ103" i="3"/>
  <c r="AG103" i="3"/>
  <c r="F103" i="3"/>
  <c r="AW102" i="3"/>
  <c r="AK102" i="3"/>
  <c r="AN102" i="3"/>
  <c r="AM102" i="3"/>
  <c r="AL102" i="3"/>
  <c r="W102" i="3"/>
  <c r="AJ102" i="3"/>
  <c r="AG102" i="3"/>
  <c r="F102" i="3"/>
  <c r="AW101" i="3"/>
  <c r="AK101" i="3"/>
  <c r="AN101" i="3"/>
  <c r="AM101" i="3"/>
  <c r="AL101" i="3"/>
  <c r="AJ101" i="3"/>
  <c r="AG101" i="3"/>
  <c r="W101" i="3"/>
  <c r="F101" i="3"/>
  <c r="AW100" i="3"/>
  <c r="AK100" i="3"/>
  <c r="AN100" i="3"/>
  <c r="AM100" i="3"/>
  <c r="AL100" i="3"/>
  <c r="AJ100" i="3"/>
  <c r="AG100" i="3"/>
  <c r="W100" i="3"/>
  <c r="F100" i="3"/>
  <c r="AW99" i="3"/>
  <c r="AK99" i="3"/>
  <c r="AN99" i="3"/>
  <c r="AM99" i="3"/>
  <c r="AL99" i="3"/>
  <c r="AJ99" i="3"/>
  <c r="AG99" i="3"/>
  <c r="W99" i="3"/>
  <c r="F99" i="3"/>
  <c r="AW98" i="3"/>
  <c r="AK98" i="3"/>
  <c r="AN98" i="3"/>
  <c r="AM98" i="3"/>
  <c r="AL98" i="3"/>
  <c r="AJ98" i="3"/>
  <c r="AG98" i="3"/>
  <c r="W98" i="3"/>
  <c r="F98" i="3"/>
  <c r="AW97" i="3"/>
  <c r="AK97" i="3"/>
  <c r="AN97" i="3"/>
  <c r="AM97" i="3"/>
  <c r="AL97" i="3"/>
  <c r="AJ97" i="3"/>
  <c r="AG97" i="3"/>
  <c r="W97" i="3"/>
  <c r="F97" i="3"/>
  <c r="AW96" i="3"/>
  <c r="AK96" i="3"/>
  <c r="AN96" i="3"/>
  <c r="AM96" i="3"/>
  <c r="AL96" i="3"/>
  <c r="AJ96" i="3"/>
  <c r="AG96" i="3"/>
  <c r="W96" i="3"/>
  <c r="F96" i="3"/>
  <c r="AW95" i="3"/>
  <c r="AK95" i="3"/>
  <c r="AN95" i="3"/>
  <c r="AM95" i="3"/>
  <c r="AL95" i="3"/>
  <c r="AJ95" i="3"/>
  <c r="AG95" i="3"/>
  <c r="W95" i="3"/>
  <c r="F95" i="3"/>
  <c r="AW94" i="3"/>
  <c r="AK94" i="3"/>
  <c r="AN94" i="3"/>
  <c r="AM94" i="3"/>
  <c r="AL94" i="3"/>
  <c r="AJ94" i="3"/>
  <c r="AG94" i="3"/>
  <c r="W94" i="3"/>
  <c r="F94" i="3"/>
  <c r="AW93" i="3"/>
  <c r="AK93" i="3"/>
  <c r="AN93" i="3"/>
  <c r="AM93" i="3"/>
  <c r="AL93" i="3"/>
  <c r="AJ93" i="3"/>
  <c r="AG93" i="3"/>
  <c r="W93" i="3"/>
  <c r="F93" i="3"/>
  <c r="AW92" i="3"/>
  <c r="AK92" i="3"/>
  <c r="AN92" i="3"/>
  <c r="AM92" i="3"/>
  <c r="AL92" i="3"/>
  <c r="AJ92" i="3"/>
  <c r="AG92" i="3"/>
  <c r="W92" i="3"/>
  <c r="F92" i="3"/>
  <c r="AW91" i="3"/>
  <c r="AK91" i="3"/>
  <c r="AN91" i="3"/>
  <c r="AM91" i="3"/>
  <c r="AL91" i="3"/>
  <c r="AJ91" i="3"/>
  <c r="AG91" i="3"/>
  <c r="W91" i="3"/>
  <c r="F91" i="3"/>
  <c r="AW90" i="3"/>
  <c r="AK90" i="3"/>
  <c r="AN90" i="3"/>
  <c r="AM90" i="3"/>
  <c r="AL90" i="3"/>
  <c r="AJ90" i="3"/>
  <c r="AG90" i="3"/>
  <c r="W90" i="3"/>
  <c r="F90" i="3"/>
  <c r="AW89" i="3"/>
  <c r="AK89" i="3"/>
  <c r="AN89" i="3"/>
  <c r="AM89" i="3"/>
  <c r="AL89" i="3"/>
  <c r="AJ89" i="3"/>
  <c r="AG89" i="3"/>
  <c r="W89" i="3"/>
  <c r="F89" i="3"/>
  <c r="AW88" i="3"/>
  <c r="AK88" i="3"/>
  <c r="AN88" i="3"/>
  <c r="AM88" i="3"/>
  <c r="AL88" i="3"/>
  <c r="AJ88" i="3"/>
  <c r="AG88" i="3"/>
  <c r="W88" i="3"/>
  <c r="F88" i="3"/>
  <c r="AW87" i="3"/>
  <c r="AK87" i="3"/>
  <c r="AN87" i="3"/>
  <c r="AM87" i="3"/>
  <c r="AL87" i="3"/>
  <c r="AJ87" i="3"/>
  <c r="AG87" i="3"/>
  <c r="W87" i="3"/>
  <c r="F87" i="3"/>
  <c r="AW86" i="3"/>
  <c r="AK86" i="3"/>
  <c r="AN86" i="3"/>
  <c r="AM86" i="3"/>
  <c r="AL86" i="3"/>
  <c r="AJ86" i="3"/>
  <c r="AG86" i="3"/>
  <c r="W86" i="3"/>
  <c r="F86" i="3"/>
  <c r="AW85" i="3"/>
  <c r="AK85" i="3"/>
  <c r="AN85" i="3"/>
  <c r="AM85" i="3"/>
  <c r="AL85" i="3"/>
  <c r="AJ85" i="3"/>
  <c r="AG85" i="3"/>
  <c r="W85" i="3"/>
  <c r="F85" i="3"/>
  <c r="AW84" i="3"/>
  <c r="AK84" i="3"/>
  <c r="AN84" i="3"/>
  <c r="AM84" i="3"/>
  <c r="AL84" i="3"/>
  <c r="AJ84" i="3"/>
  <c r="AG84" i="3"/>
  <c r="W84" i="3"/>
  <c r="F84" i="3"/>
  <c r="AW83" i="3"/>
  <c r="AK83" i="3"/>
  <c r="AN83" i="3"/>
  <c r="AM83" i="3"/>
  <c r="AL83" i="3"/>
  <c r="AJ83" i="3"/>
  <c r="AG83" i="3"/>
  <c r="W83" i="3"/>
  <c r="F83" i="3"/>
  <c r="AW82" i="3"/>
  <c r="AK82" i="3"/>
  <c r="AN82" i="3"/>
  <c r="AM82" i="3"/>
  <c r="AL82" i="3"/>
  <c r="AJ82" i="3"/>
  <c r="AG82" i="3"/>
  <c r="W82" i="3"/>
  <c r="F82" i="3"/>
  <c r="AW81" i="3"/>
  <c r="AK81" i="3"/>
  <c r="AN81" i="3"/>
  <c r="AM81" i="3"/>
  <c r="AL81" i="3"/>
  <c r="AJ81" i="3"/>
  <c r="AG81" i="3"/>
  <c r="W81" i="3"/>
  <c r="F81" i="3"/>
  <c r="AW80" i="3"/>
  <c r="AK80" i="3"/>
  <c r="AN80" i="3"/>
  <c r="AM80" i="3"/>
  <c r="AL80" i="3"/>
  <c r="AJ80" i="3"/>
  <c r="AG80" i="3"/>
  <c r="W80" i="3"/>
  <c r="F80" i="3"/>
  <c r="AW79" i="3"/>
  <c r="AK79" i="3"/>
  <c r="AN79" i="3"/>
  <c r="AM79" i="3"/>
  <c r="AL79" i="3"/>
  <c r="AJ79" i="3"/>
  <c r="AG79" i="3"/>
  <c r="W79" i="3"/>
  <c r="F79" i="3"/>
  <c r="AW78" i="3"/>
  <c r="AK78" i="3"/>
  <c r="AN78" i="3"/>
  <c r="AM78" i="3"/>
  <c r="AL78" i="3"/>
  <c r="W78" i="3"/>
  <c r="AJ78" i="3"/>
  <c r="AG78" i="3"/>
  <c r="F78" i="3"/>
  <c r="AW77" i="3"/>
  <c r="AK77" i="3"/>
  <c r="AN77" i="3"/>
  <c r="AM77" i="3"/>
  <c r="AL77" i="3"/>
  <c r="W77" i="3"/>
  <c r="AJ77" i="3"/>
  <c r="AG77" i="3"/>
  <c r="F77" i="3"/>
  <c r="AW76" i="3"/>
  <c r="AK76" i="3"/>
  <c r="AN76" i="3"/>
  <c r="AM76" i="3"/>
  <c r="AL76" i="3"/>
  <c r="AJ76" i="3"/>
  <c r="AG76" i="3"/>
  <c r="W76" i="3"/>
  <c r="F76" i="3"/>
  <c r="AW75" i="3"/>
  <c r="AK75" i="3"/>
  <c r="AN75" i="3"/>
  <c r="AM75" i="3"/>
  <c r="AL75" i="3"/>
  <c r="AJ75" i="3"/>
  <c r="AG75" i="3"/>
  <c r="W75" i="3"/>
  <c r="F75" i="3"/>
  <c r="AW74" i="3"/>
  <c r="AK74" i="3"/>
  <c r="AN74" i="3"/>
  <c r="AM74" i="3"/>
  <c r="AL74" i="3"/>
  <c r="AJ74" i="3"/>
  <c r="AG74" i="3"/>
  <c r="W74" i="3"/>
  <c r="F74" i="3"/>
  <c r="AW73" i="3"/>
  <c r="AK73" i="3"/>
  <c r="AN73" i="3"/>
  <c r="AM73" i="3"/>
  <c r="AL73" i="3"/>
  <c r="AJ73" i="3"/>
  <c r="AG73" i="3"/>
  <c r="W73" i="3"/>
  <c r="F73" i="3"/>
  <c r="AW72" i="3"/>
  <c r="AK72" i="3"/>
  <c r="AN72" i="3"/>
  <c r="AM72" i="3"/>
  <c r="AL72" i="3"/>
  <c r="AJ72" i="3"/>
  <c r="AG72" i="3"/>
  <c r="W72" i="3"/>
  <c r="F72" i="3"/>
  <c r="AW71" i="3"/>
  <c r="AK71" i="3"/>
  <c r="AN71" i="3"/>
  <c r="AM71" i="3"/>
  <c r="AL71" i="3"/>
  <c r="AJ71" i="3"/>
  <c r="AG71" i="3"/>
  <c r="W71" i="3"/>
  <c r="F71" i="3"/>
  <c r="AW70" i="3"/>
  <c r="AK70" i="3"/>
  <c r="AN70" i="3"/>
  <c r="AM70" i="3"/>
  <c r="AL70" i="3"/>
  <c r="AJ70" i="3"/>
  <c r="AG70" i="3"/>
  <c r="W70" i="3"/>
  <c r="F70" i="3"/>
  <c r="AW69" i="3"/>
  <c r="AK69" i="3"/>
  <c r="AN69" i="3"/>
  <c r="AM69" i="3"/>
  <c r="AL69" i="3"/>
  <c r="AJ69" i="3"/>
  <c r="AG69" i="3"/>
  <c r="W69" i="3"/>
  <c r="F69" i="3"/>
  <c r="AW68" i="3"/>
  <c r="AK68" i="3"/>
  <c r="AN68" i="3"/>
  <c r="AM68" i="3"/>
  <c r="AL68" i="3"/>
  <c r="AJ68" i="3"/>
  <c r="AG68" i="3"/>
  <c r="W68" i="3"/>
  <c r="F68" i="3"/>
  <c r="AW67" i="3"/>
  <c r="AK67" i="3"/>
  <c r="AN67" i="3"/>
  <c r="AM67" i="3"/>
  <c r="AL67" i="3"/>
  <c r="AJ67" i="3"/>
  <c r="AG67" i="3"/>
  <c r="W67" i="3"/>
  <c r="F67" i="3"/>
  <c r="AW66" i="3"/>
  <c r="AK66" i="3"/>
  <c r="AN66" i="3"/>
  <c r="AM66" i="3"/>
  <c r="AL66" i="3"/>
  <c r="AJ66" i="3"/>
  <c r="AG66" i="3"/>
  <c r="W66" i="3"/>
  <c r="F66" i="3"/>
  <c r="AW65" i="3"/>
  <c r="AK65" i="3"/>
  <c r="AN65" i="3"/>
  <c r="AM65" i="3"/>
  <c r="AL65" i="3"/>
  <c r="AJ65" i="3"/>
  <c r="AG65" i="3"/>
  <c r="W65" i="3"/>
  <c r="F65" i="3"/>
  <c r="AW64" i="3"/>
  <c r="AK64" i="3"/>
  <c r="AN64" i="3"/>
  <c r="AM64" i="3"/>
  <c r="AL64" i="3"/>
  <c r="AJ64" i="3"/>
  <c r="AG64" i="3"/>
  <c r="W64" i="3"/>
  <c r="F64" i="3"/>
  <c r="AW63" i="3"/>
  <c r="AK63" i="3"/>
  <c r="AN63" i="3"/>
  <c r="AM63" i="3"/>
  <c r="AL63" i="3"/>
  <c r="AJ63" i="3"/>
  <c r="AG63" i="3"/>
  <c r="W63" i="3"/>
  <c r="F63" i="3"/>
  <c r="AW62" i="3"/>
  <c r="AK62" i="3"/>
  <c r="AN62" i="3"/>
  <c r="AM62" i="3"/>
  <c r="AL62" i="3"/>
  <c r="W62" i="3"/>
  <c r="AJ62" i="3"/>
  <c r="AG62" i="3"/>
  <c r="F62" i="3"/>
  <c r="AW61" i="3"/>
  <c r="AK61" i="3"/>
  <c r="AN61" i="3"/>
  <c r="AM61" i="3"/>
  <c r="AL61" i="3"/>
  <c r="AJ61" i="3"/>
  <c r="AG61" i="3"/>
  <c r="W61" i="3"/>
  <c r="F61" i="3"/>
  <c r="AW60" i="3"/>
  <c r="AK60" i="3"/>
  <c r="AN60" i="3"/>
  <c r="AM60" i="3"/>
  <c r="AL60" i="3"/>
  <c r="AJ60" i="3"/>
  <c r="AG60" i="3"/>
  <c r="W60" i="3"/>
  <c r="F60" i="3"/>
  <c r="AW59" i="3"/>
  <c r="AK59" i="3"/>
  <c r="AN59" i="3"/>
  <c r="AM59" i="3"/>
  <c r="AL59" i="3"/>
  <c r="AJ59" i="3"/>
  <c r="AG59" i="3"/>
  <c r="W59" i="3"/>
  <c r="F59" i="3"/>
  <c r="AW58" i="3"/>
  <c r="AK58" i="3"/>
  <c r="AN58" i="3"/>
  <c r="AM58" i="3"/>
  <c r="AL58" i="3"/>
  <c r="AJ58" i="3"/>
  <c r="AG58" i="3"/>
  <c r="W58" i="3"/>
  <c r="F58" i="3"/>
  <c r="AW57" i="3"/>
  <c r="AK57" i="3"/>
  <c r="AN57" i="3"/>
  <c r="AM57" i="3"/>
  <c r="AL57" i="3"/>
  <c r="AJ57" i="3"/>
  <c r="AG57" i="3"/>
  <c r="W57" i="3"/>
  <c r="F57" i="3"/>
  <c r="AW56" i="3"/>
  <c r="AK56" i="3"/>
  <c r="AN56" i="3"/>
  <c r="AM56" i="3"/>
  <c r="AL56" i="3"/>
  <c r="AJ56" i="3"/>
  <c r="AG56" i="3"/>
  <c r="W56" i="3"/>
  <c r="F56" i="3"/>
  <c r="AW55" i="3"/>
  <c r="AK55" i="3"/>
  <c r="AN55" i="3"/>
  <c r="AM55" i="3"/>
  <c r="AL55" i="3"/>
  <c r="AJ55" i="3"/>
  <c r="AG55" i="3"/>
  <c r="W55" i="3"/>
  <c r="F55" i="3"/>
  <c r="AW54" i="3"/>
  <c r="AK54" i="3"/>
  <c r="AN54" i="3"/>
  <c r="AM54" i="3"/>
  <c r="AL54" i="3"/>
  <c r="AJ54" i="3"/>
  <c r="AG54" i="3"/>
  <c r="W54" i="3"/>
  <c r="F54" i="3"/>
  <c r="AW53" i="3"/>
  <c r="AK53" i="3"/>
  <c r="AN53" i="3"/>
  <c r="AM53" i="3"/>
  <c r="AL53" i="3"/>
  <c r="AJ53" i="3"/>
  <c r="AG53" i="3"/>
  <c r="W53" i="3"/>
  <c r="F53" i="3"/>
  <c r="AW52" i="3"/>
  <c r="AK52" i="3"/>
  <c r="AN52" i="3"/>
  <c r="AM52" i="3"/>
  <c r="AL52" i="3"/>
  <c r="AJ52" i="3"/>
  <c r="AG52" i="3"/>
  <c r="W52" i="3"/>
  <c r="F52" i="3"/>
  <c r="AW51" i="3"/>
  <c r="AK51" i="3"/>
  <c r="AN51" i="3"/>
  <c r="AM51" i="3"/>
  <c r="AL51" i="3"/>
  <c r="AJ51" i="3"/>
  <c r="AG51" i="3"/>
  <c r="W51" i="3"/>
  <c r="F51" i="3"/>
  <c r="AW50" i="3"/>
  <c r="AK50" i="3"/>
  <c r="AN50" i="3"/>
  <c r="AM50" i="3"/>
  <c r="AL50" i="3"/>
  <c r="AJ50" i="3"/>
  <c r="AG50" i="3"/>
  <c r="W50" i="3"/>
  <c r="F50" i="3"/>
  <c r="AW49" i="3"/>
  <c r="AK49" i="3"/>
  <c r="AN49" i="3"/>
  <c r="AM49" i="3"/>
  <c r="AL49" i="3"/>
  <c r="AJ49" i="3"/>
  <c r="AG49" i="3"/>
  <c r="W49" i="3"/>
  <c r="F49" i="3"/>
  <c r="AW48" i="3"/>
  <c r="AK48" i="3"/>
  <c r="AN48" i="3"/>
  <c r="AM48" i="3"/>
  <c r="AL48" i="3"/>
  <c r="AJ48" i="3"/>
  <c r="AG48" i="3"/>
  <c r="W48" i="3"/>
  <c r="F48" i="3"/>
  <c r="AW47" i="3"/>
  <c r="AK47" i="3"/>
  <c r="AN47" i="3"/>
  <c r="AM47" i="3"/>
  <c r="AL47" i="3"/>
  <c r="AJ47" i="3"/>
  <c r="AG47" i="3"/>
  <c r="W47" i="3"/>
  <c r="F47" i="3"/>
  <c r="AW46" i="3"/>
  <c r="AK46" i="3"/>
  <c r="AN46" i="3"/>
  <c r="AM46" i="3"/>
  <c r="AL46" i="3"/>
  <c r="AJ46" i="3"/>
  <c r="AG46" i="3"/>
  <c r="W46" i="3"/>
  <c r="F46" i="3"/>
  <c r="AW45" i="3"/>
  <c r="AK45" i="3"/>
  <c r="AN45" i="3"/>
  <c r="AM45" i="3"/>
  <c r="AL45" i="3"/>
  <c r="AJ45" i="3"/>
  <c r="AG45" i="3"/>
  <c r="W45" i="3"/>
  <c r="F45" i="3"/>
  <c r="AW44" i="3"/>
  <c r="AK44" i="3"/>
  <c r="AN44" i="3"/>
  <c r="AM44" i="3"/>
  <c r="AL44" i="3"/>
  <c r="AJ44" i="3"/>
  <c r="AG44" i="3"/>
  <c r="W44" i="3"/>
  <c r="F44" i="3"/>
  <c r="AW43" i="3"/>
  <c r="AK43" i="3"/>
  <c r="AN43" i="3"/>
  <c r="AM43" i="3"/>
  <c r="AL43" i="3"/>
  <c r="AJ43" i="3"/>
  <c r="AG43" i="3"/>
  <c r="W43" i="3"/>
  <c r="F43" i="3"/>
  <c r="AW42" i="3"/>
  <c r="AK42" i="3"/>
  <c r="AN42" i="3"/>
  <c r="AM42" i="3"/>
  <c r="AL42" i="3"/>
  <c r="AJ42" i="3"/>
  <c r="AG42" i="3"/>
  <c r="W42" i="3"/>
  <c r="F42" i="3"/>
  <c r="AW41" i="3"/>
  <c r="AK41" i="3"/>
  <c r="AN41" i="3"/>
  <c r="AM41" i="3"/>
  <c r="AL41" i="3"/>
  <c r="AJ41" i="3"/>
  <c r="AG41" i="3"/>
  <c r="W41" i="3"/>
  <c r="F41" i="3"/>
  <c r="AW40" i="3"/>
  <c r="AK40" i="3"/>
  <c r="AN40" i="3"/>
  <c r="AM40" i="3"/>
  <c r="AL40" i="3"/>
  <c r="AJ40" i="3"/>
  <c r="AG40" i="3"/>
  <c r="W40" i="3"/>
  <c r="F40" i="3"/>
  <c r="AW39" i="3"/>
  <c r="AK39" i="3"/>
  <c r="AN39" i="3"/>
  <c r="AM39" i="3"/>
  <c r="AL39" i="3"/>
  <c r="AJ39" i="3"/>
  <c r="AG39" i="3"/>
  <c r="W39" i="3"/>
  <c r="F39" i="3"/>
  <c r="AW38" i="3"/>
  <c r="AK38" i="3"/>
  <c r="AN38" i="3"/>
  <c r="AM38" i="3"/>
  <c r="AL38" i="3"/>
  <c r="AJ38" i="3"/>
  <c r="AG38" i="3"/>
  <c r="W38" i="3"/>
  <c r="F38" i="3"/>
  <c r="AW37" i="3"/>
  <c r="AK37" i="3"/>
  <c r="AN37" i="3"/>
  <c r="AM37" i="3"/>
  <c r="AL37" i="3"/>
  <c r="AJ37" i="3"/>
  <c r="AG37" i="3"/>
  <c r="W37" i="3"/>
  <c r="F37" i="3"/>
  <c r="AW36" i="3"/>
  <c r="AK36" i="3"/>
  <c r="AN36" i="3"/>
  <c r="AM36" i="3"/>
  <c r="AL36" i="3"/>
  <c r="AJ36" i="3"/>
  <c r="AG36" i="3"/>
  <c r="W36" i="3"/>
  <c r="F36" i="3"/>
  <c r="AW35" i="3"/>
  <c r="AK35" i="3"/>
  <c r="AN35" i="3"/>
  <c r="AM35" i="3"/>
  <c r="AL35" i="3"/>
  <c r="AJ35" i="3"/>
  <c r="AG35" i="3"/>
  <c r="W35" i="3"/>
  <c r="F35" i="3"/>
  <c r="AW34" i="3"/>
  <c r="AK34" i="3"/>
  <c r="AN34" i="3"/>
  <c r="AM34" i="3"/>
  <c r="AL34" i="3"/>
  <c r="AJ34" i="3"/>
  <c r="AG34" i="3"/>
  <c r="W34" i="3"/>
  <c r="F34" i="3"/>
  <c r="AW33" i="3"/>
  <c r="AK33" i="3"/>
  <c r="AN33" i="3"/>
  <c r="AM33" i="3"/>
  <c r="AL33" i="3"/>
  <c r="AJ33" i="3"/>
  <c r="AG33" i="3"/>
  <c r="W33" i="3"/>
  <c r="F33" i="3"/>
  <c r="AW32" i="3"/>
  <c r="AK32" i="3"/>
  <c r="AN32" i="3"/>
  <c r="AM32" i="3"/>
  <c r="AL32" i="3"/>
  <c r="AJ32" i="3"/>
  <c r="AG32" i="3"/>
  <c r="W32" i="3"/>
  <c r="F32" i="3"/>
  <c r="AW31" i="3"/>
  <c r="AK31" i="3"/>
  <c r="AN31" i="3"/>
  <c r="AM31" i="3"/>
  <c r="AL31" i="3"/>
  <c r="AJ31" i="3"/>
  <c r="AG31" i="3"/>
  <c r="W31" i="3"/>
  <c r="F31" i="3"/>
  <c r="AW30" i="3"/>
  <c r="AK30" i="3"/>
  <c r="AN30" i="3"/>
  <c r="AM30" i="3"/>
  <c r="AL30" i="3"/>
  <c r="AJ30" i="3"/>
  <c r="AG30" i="3"/>
  <c r="W30" i="3"/>
  <c r="F30" i="3"/>
  <c r="AW29" i="3"/>
  <c r="AK29" i="3"/>
  <c r="AN29" i="3"/>
  <c r="AM29" i="3"/>
  <c r="AL29" i="3"/>
  <c r="AJ29" i="3"/>
  <c r="AG29" i="3"/>
  <c r="W29" i="3"/>
  <c r="F29" i="3"/>
  <c r="AW28" i="3"/>
  <c r="AK28" i="3"/>
  <c r="AN28" i="3"/>
  <c r="AM28" i="3"/>
  <c r="AL28" i="3"/>
  <c r="AJ28" i="3"/>
  <c r="AG28" i="3"/>
  <c r="W28" i="3"/>
  <c r="F28" i="3"/>
  <c r="AW27" i="3"/>
  <c r="AK27" i="3"/>
  <c r="AN27" i="3"/>
  <c r="AM27" i="3"/>
  <c r="AL27" i="3"/>
  <c r="AJ27" i="3"/>
  <c r="AG27" i="3"/>
  <c r="W27" i="3"/>
  <c r="F27" i="3"/>
  <c r="AW26" i="3"/>
  <c r="AK26" i="3"/>
  <c r="AN26" i="3"/>
  <c r="AM26" i="3"/>
  <c r="AL26" i="3"/>
  <c r="AJ26" i="3"/>
  <c r="AG26" i="3"/>
  <c r="W26" i="3"/>
  <c r="F26" i="3"/>
  <c r="AW25" i="3"/>
  <c r="AK25" i="3"/>
  <c r="AN25" i="3"/>
  <c r="AM25" i="3"/>
  <c r="AL25" i="3"/>
  <c r="AJ25" i="3"/>
  <c r="AG25" i="3"/>
  <c r="W25" i="3"/>
  <c r="F25" i="3"/>
  <c r="AW24" i="3"/>
  <c r="AK24" i="3"/>
  <c r="AN24" i="3"/>
  <c r="AM24" i="3"/>
  <c r="AL24" i="3"/>
  <c r="AJ24" i="3"/>
  <c r="AG24" i="3"/>
  <c r="W24" i="3"/>
  <c r="F24" i="3"/>
  <c r="AW23" i="3"/>
  <c r="AK23" i="3"/>
  <c r="AN23" i="3"/>
  <c r="AM23" i="3"/>
  <c r="AL23" i="3"/>
  <c r="AJ23" i="3"/>
  <c r="AG23" i="3"/>
  <c r="W23" i="3"/>
  <c r="F23" i="3"/>
  <c r="AW22" i="3"/>
  <c r="AK22" i="3"/>
  <c r="AN22" i="3"/>
  <c r="AM22" i="3"/>
  <c r="AL22" i="3"/>
  <c r="AJ22" i="3"/>
  <c r="AG22" i="3"/>
  <c r="W22" i="3"/>
  <c r="F22" i="3"/>
  <c r="AW21" i="3"/>
  <c r="AK21" i="3"/>
  <c r="AN21" i="3"/>
  <c r="AM21" i="3"/>
  <c r="AL21" i="3"/>
  <c r="AJ21" i="3"/>
  <c r="AG21" i="3"/>
  <c r="W21" i="3"/>
  <c r="F21" i="3"/>
  <c r="AW20" i="3"/>
  <c r="AK20" i="3"/>
  <c r="AN20" i="3"/>
  <c r="AM20" i="3"/>
  <c r="AL20" i="3"/>
  <c r="AJ20" i="3"/>
  <c r="AG20" i="3"/>
  <c r="W20" i="3"/>
  <c r="F20" i="3"/>
  <c r="AW19" i="3"/>
  <c r="AK19" i="3"/>
  <c r="AN19" i="3"/>
  <c r="AM19" i="3"/>
  <c r="AL19" i="3"/>
  <c r="W19" i="3"/>
  <c r="AJ19" i="3"/>
  <c r="AG19" i="3"/>
  <c r="F19" i="3"/>
  <c r="AW18" i="3"/>
  <c r="AK18" i="3"/>
  <c r="AN18" i="3"/>
  <c r="AM18" i="3"/>
  <c r="AL18" i="3"/>
  <c r="AJ18" i="3"/>
  <c r="AG18" i="3"/>
  <c r="W18" i="3"/>
  <c r="F18" i="3"/>
  <c r="AW17" i="3"/>
  <c r="AK17" i="3"/>
  <c r="AN17" i="3"/>
  <c r="AM17" i="3"/>
  <c r="AL17" i="3"/>
  <c r="AJ17" i="3"/>
  <c r="AG17" i="3"/>
  <c r="W17" i="3"/>
  <c r="F17" i="3"/>
  <c r="AW16" i="3"/>
  <c r="AK16" i="3"/>
  <c r="AN16" i="3"/>
  <c r="AM16" i="3"/>
  <c r="AL16" i="3"/>
  <c r="AJ16" i="3"/>
  <c r="AG16" i="3"/>
  <c r="W16" i="3"/>
  <c r="F16" i="3"/>
  <c r="AW15" i="3"/>
  <c r="AK15" i="3"/>
  <c r="AN15" i="3"/>
  <c r="AM15" i="3"/>
  <c r="AL15" i="3"/>
  <c r="AJ15" i="3"/>
  <c r="AG15" i="3"/>
  <c r="W15" i="3"/>
  <c r="F15" i="3"/>
  <c r="AW14" i="3"/>
  <c r="AK14" i="3"/>
  <c r="AN14" i="3"/>
  <c r="AM14" i="3"/>
  <c r="AL14" i="3"/>
  <c r="AJ14" i="3"/>
  <c r="AG14" i="3"/>
  <c r="W14" i="3"/>
  <c r="F14" i="3"/>
  <c r="AW13" i="3"/>
  <c r="AK13" i="3"/>
  <c r="AN13" i="3"/>
  <c r="AM13" i="3"/>
  <c r="AL13" i="3"/>
  <c r="AJ13" i="3"/>
  <c r="AG13" i="3"/>
  <c r="W13" i="3"/>
  <c r="F13" i="3"/>
  <c r="AW12" i="3"/>
  <c r="AK12" i="3"/>
  <c r="AN12" i="3"/>
  <c r="AM12" i="3"/>
  <c r="AL12" i="3"/>
  <c r="AJ12" i="3"/>
  <c r="AG12" i="3"/>
  <c r="W12" i="3"/>
  <c r="F12" i="3"/>
  <c r="AW11" i="3"/>
  <c r="AK11" i="3"/>
  <c r="AN11" i="3"/>
  <c r="AM11" i="3"/>
  <c r="AL11" i="3"/>
  <c r="AJ11" i="3"/>
  <c r="AG11" i="3"/>
  <c r="W11" i="3"/>
  <c r="F11" i="3"/>
  <c r="AW10" i="3"/>
  <c r="AK10" i="3"/>
  <c r="AN10" i="3"/>
  <c r="AM10" i="3"/>
  <c r="AL10" i="3"/>
  <c r="W10" i="3"/>
  <c r="AJ10" i="3"/>
  <c r="AG10" i="3"/>
  <c r="F10" i="3"/>
  <c r="AW9" i="3"/>
  <c r="AK9" i="3"/>
  <c r="AN9" i="3"/>
  <c r="AM9" i="3"/>
  <c r="AL9" i="3"/>
  <c r="AJ9" i="3"/>
  <c r="AG9" i="3"/>
  <c r="W9" i="3"/>
  <c r="F9" i="3"/>
  <c r="AW8" i="3"/>
  <c r="AK8" i="3"/>
  <c r="AN8" i="3"/>
  <c r="AM8" i="3"/>
  <c r="AL8" i="3"/>
  <c r="AJ8" i="3"/>
  <c r="AG8" i="3"/>
  <c r="W8" i="3"/>
  <c r="F8" i="3"/>
  <c r="AW7" i="3"/>
  <c r="AK7" i="3"/>
  <c r="AN7" i="3"/>
  <c r="AM7" i="3"/>
  <c r="AL7" i="3"/>
  <c r="AJ7" i="3"/>
  <c r="AG7" i="3"/>
  <c r="W7" i="3"/>
  <c r="F7" i="3"/>
  <c r="AW6" i="3"/>
  <c r="AK6" i="3"/>
  <c r="AN6" i="3"/>
  <c r="AM6" i="3"/>
  <c r="AL6" i="3"/>
  <c r="AJ6" i="3"/>
  <c r="AG6" i="3"/>
  <c r="W6" i="3"/>
  <c r="F6" i="3"/>
  <c r="AW5" i="3"/>
  <c r="AK5" i="3"/>
  <c r="AN5" i="3"/>
  <c r="AM5" i="3"/>
  <c r="AL5" i="3"/>
  <c r="AJ5" i="3"/>
  <c r="AG5" i="3"/>
  <c r="W5" i="3"/>
  <c r="F5" i="3"/>
  <c r="AW4" i="3"/>
  <c r="AK4" i="3"/>
  <c r="AN4" i="3"/>
  <c r="AM4" i="3"/>
  <c r="AL4" i="3"/>
  <c r="AJ4" i="3"/>
  <c r="AG4" i="3"/>
  <c r="W4" i="3"/>
  <c r="F4" i="3"/>
  <c r="AW3" i="3"/>
  <c r="AK3" i="3"/>
  <c r="AN3" i="3"/>
  <c r="AM3" i="3"/>
  <c r="AL3" i="3"/>
  <c r="AJ3" i="3"/>
  <c r="AG3" i="3"/>
  <c r="W3" i="3"/>
  <c r="F3" i="3"/>
  <c r="AW2" i="3"/>
  <c r="AK2" i="3"/>
  <c r="AN2" i="3"/>
  <c r="AM2" i="3"/>
  <c r="AL2" i="3"/>
  <c r="AJ2" i="3"/>
  <c r="AG2" i="3"/>
  <c r="W2" i="3"/>
  <c r="F2" i="3"/>
  <c r="B112" i="2"/>
  <c r="B111" i="2"/>
  <c r="B110" i="2"/>
  <c r="C103" i="2"/>
  <c r="B103" i="2"/>
  <c r="B96" i="2"/>
  <c r="B97" i="2"/>
  <c r="B98" i="2"/>
  <c r="B99" i="2"/>
  <c r="B100" i="2"/>
  <c r="B101" i="2"/>
  <c r="B89" i="2"/>
  <c r="B90" i="2"/>
  <c r="B91" i="2"/>
  <c r="B92" i="2"/>
  <c r="B93" i="2"/>
  <c r="B94" i="2"/>
  <c r="C83" i="2"/>
  <c r="C87" i="2"/>
  <c r="B83" i="2"/>
  <c r="B87" i="2"/>
  <c r="B85" i="2"/>
  <c r="C85" i="2"/>
  <c r="D85" i="2"/>
  <c r="B84" i="2"/>
  <c r="C84" i="2"/>
  <c r="D84" i="2"/>
  <c r="D83" i="2"/>
  <c r="D80" i="2"/>
  <c r="C80" i="2"/>
  <c r="B80" i="2"/>
  <c r="G79" i="2"/>
  <c r="H79" i="2"/>
  <c r="E79" i="2"/>
  <c r="F79" i="2"/>
  <c r="D79" i="2"/>
  <c r="C79" i="2"/>
  <c r="B79" i="2"/>
  <c r="G78" i="2"/>
  <c r="H78" i="2"/>
  <c r="E78" i="2"/>
  <c r="F78" i="2"/>
  <c r="D78" i="2"/>
  <c r="C78" i="2"/>
  <c r="B78" i="2"/>
  <c r="G77" i="2"/>
  <c r="H77" i="2"/>
  <c r="E77" i="2"/>
  <c r="F77" i="2"/>
  <c r="D77" i="2"/>
  <c r="C77" i="2"/>
  <c r="B77" i="2"/>
  <c r="G76" i="2"/>
  <c r="H76" i="2"/>
  <c r="E76" i="2"/>
  <c r="F76" i="2"/>
  <c r="D76" i="2"/>
  <c r="C76" i="2"/>
  <c r="B76" i="2"/>
  <c r="G75" i="2"/>
  <c r="H75" i="2"/>
  <c r="E75" i="2"/>
  <c r="F75" i="2"/>
  <c r="D75" i="2"/>
  <c r="C75" i="2"/>
  <c r="B75" i="2"/>
  <c r="G74" i="2"/>
  <c r="H74" i="2"/>
  <c r="E74" i="2"/>
  <c r="F74" i="2"/>
  <c r="D74" i="2"/>
  <c r="C74" i="2"/>
  <c r="B74" i="2"/>
  <c r="E67" i="2"/>
  <c r="D67" i="2"/>
  <c r="C67" i="2"/>
  <c r="B67" i="2"/>
  <c r="E66" i="2"/>
  <c r="D66" i="2"/>
  <c r="C66" i="2"/>
  <c r="B66" i="2"/>
  <c r="D60" i="2"/>
  <c r="D61" i="2"/>
  <c r="D62" i="2"/>
  <c r="D63" i="2"/>
  <c r="D64" i="2"/>
  <c r="C60" i="2"/>
  <c r="C61" i="2"/>
  <c r="C62" i="2"/>
  <c r="C63" i="2"/>
  <c r="C64" i="2"/>
  <c r="B60" i="2"/>
  <c r="B61" i="2"/>
  <c r="B62" i="2"/>
  <c r="B63" i="2"/>
  <c r="B64" i="2"/>
  <c r="D55" i="2"/>
  <c r="C55" i="2"/>
  <c r="B55" i="2"/>
  <c r="D54" i="2"/>
  <c r="C54" i="2"/>
  <c r="B54" i="2"/>
  <c r="D53" i="2"/>
  <c r="C53" i="2"/>
  <c r="B53" i="2"/>
  <c r="D52" i="2"/>
  <c r="C52" i="2"/>
  <c r="B52" i="2"/>
  <c r="D51" i="2"/>
  <c r="C51" i="2"/>
  <c r="B51" i="2"/>
  <c r="D50" i="2"/>
  <c r="C50" i="2"/>
  <c r="B50" i="2"/>
  <c r="D49" i="2"/>
  <c r="C49" i="2"/>
  <c r="B49" i="2"/>
  <c r="B45" i="2"/>
  <c r="B44" i="2"/>
  <c r="B43" i="2"/>
  <c r="B42" i="2"/>
  <c r="H40" i="2"/>
  <c r="G40" i="2"/>
  <c r="F40" i="2"/>
  <c r="E40" i="2"/>
  <c r="D40" i="2"/>
  <c r="C40" i="2"/>
  <c r="B40" i="2"/>
  <c r="H39" i="2"/>
  <c r="G39" i="2"/>
  <c r="F39" i="2"/>
  <c r="E39" i="2"/>
  <c r="D39" i="2"/>
  <c r="C39" i="2"/>
  <c r="B39" i="2"/>
  <c r="H38" i="2"/>
  <c r="G38" i="2"/>
  <c r="F38" i="2"/>
  <c r="E38" i="2"/>
  <c r="D38" i="2"/>
  <c r="C38" i="2"/>
  <c r="B38" i="2"/>
  <c r="H37" i="2"/>
  <c r="G37" i="2"/>
  <c r="F37" i="2"/>
  <c r="E37" i="2"/>
  <c r="D37" i="2"/>
  <c r="C37" i="2"/>
  <c r="B37" i="2"/>
  <c r="H36" i="2"/>
  <c r="G36" i="2"/>
  <c r="F36" i="2"/>
  <c r="E36" i="2"/>
  <c r="D36" i="2"/>
  <c r="C36" i="2"/>
  <c r="B36" i="2"/>
  <c r="H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F29" i="2"/>
  <c r="E29" i="2"/>
  <c r="D29" i="2"/>
  <c r="B29" i="2"/>
  <c r="F28" i="2"/>
  <c r="E28" i="2"/>
  <c r="D28" i="2"/>
  <c r="B28" i="2"/>
  <c r="F27" i="2"/>
  <c r="E27" i="2"/>
  <c r="D27" i="2"/>
  <c r="B27" i="2"/>
  <c r="F26" i="2"/>
  <c r="E26" i="2"/>
  <c r="D26" i="2"/>
  <c r="B26" i="2"/>
  <c r="F25" i="2"/>
  <c r="E25" i="2"/>
  <c r="D25" i="2"/>
  <c r="B25" i="2"/>
  <c r="F24" i="2"/>
  <c r="E24" i="2"/>
  <c r="D24" i="2"/>
  <c r="B24" i="2"/>
  <c r="F23" i="2"/>
  <c r="E23" i="2"/>
  <c r="D23" i="2"/>
  <c r="B23" i="2"/>
  <c r="B6" i="2"/>
  <c r="B17" i="2"/>
  <c r="B18" i="2"/>
  <c r="B16" i="2"/>
  <c r="B15" i="2"/>
  <c r="B14" i="2"/>
  <c r="B13" i="2"/>
  <c r="B12" i="2"/>
  <c r="B11" i="2"/>
  <c r="B10" i="2"/>
  <c r="B9" i="2"/>
  <c r="B7" i="2"/>
  <c r="B8" i="2"/>
</calcChain>
</file>

<file path=xl/sharedStrings.xml><?xml version="1.0" encoding="utf-8"?>
<sst xmlns="http://schemas.openxmlformats.org/spreadsheetml/2006/main" count="9427" uniqueCount="1094">
  <si>
    <t>Kademe-2 diff-set — okuma kılavuzu</t>
  </si>
  <si>
    <t>Amaç</t>
  </si>
  <si>
    <t>Kademe-2 diff-seti: mevcut kural (V7'nin K6 uygulaması) ile aday K6(a)/K11(d) taslağının ayrıştığı satırların tek tabloda toplanması. Yalnız okuma ve sayım; öneri uygulaması yok.</t>
  </si>
  <si>
    <t>Değiştirilmeyenler</t>
  </si>
  <si>
    <t>GEM kural seti ve FCF_TTM_2025-03_2026-06_v7_nihai.xlsx. Hiçbir FCF veya statü hücresi değiştirilmedi. FCF_SIM ve ORNEKLEM sayfalarındaki P1/P2 sütunları benzetimdir.</t>
  </si>
  <si>
    <t>Enflasyon muhasebesi</t>
  </si>
  <si>
    <t>Hiçbir satırda endeksleme, yeniden düzeltme ya da katsayı uygulaması yapılmadı. Tüm karşılaştırmalar Evo'nun hâlihazırda düzeltilmiş (aynı satın alma gücündeki) serisi üzerinden. Belge rakamları yalnız "Evo'daki değer raporun hangi satır-sütunundan geliyor" sorusu için okundu (BELGE sayfası).</t>
  </si>
  <si>
    <t>Veri</t>
  </si>
  <si>
    <t>Evo hisse_finansal_tablolari_nakit_akis_tablosu_kalemleri, 2024/03–2026/06, üç kalem: kira (finansman satırı), MDV+MODV alımı, YAGM alımı; try_donemsel (kümülatif), try_ceyreklik, try_ttm. 05.10.2026 sorguları. Kira 348, MDV 586, YAGM 141 şirkette dolu. Mekanik köprü Evo try_ttm ile 5.009 satırın 5.004'ünde aynı.</t>
  </si>
  <si>
    <t>Kapsam</t>
  </si>
  <si>
    <t>V7: 508 şirket × 6 dönem × 3 kalem = 9.144 satır. Yeni radarlar (R4–R7) Evo evreninin tamamında hesaplandı; V7 kapsamı dışındakiler RADAR sayfasında "V7 kapsamında = 0" ile duruyor.</t>
  </si>
  <si>
    <t>Köprü</t>
  </si>
  <si>
    <t>Yıllık pencere (…/12): TTM = YTD. Diğerleri: TTM = YTD_cari + FY_önceki − YTD_önceki. Kaynak noktaları bu üç değerdir.</t>
  </si>
  <si>
    <t>İşaret katmanları</t>
  </si>
  <si>
    <t>KAYNAK: üç köprü noktasının her biri ayrı sütunda (&gt; 0). ÇEYREK: pencerenin dört çeyreği; pozitif çeyrek adedi, cari yıla düşen pozitif çeyreklerin toplamı (Q1 hariç — Q1 = YTD), önceki yıla düşenlerin toplamı. TTM: Evo try_ttm işareti (yoksa mekanik).</t>
  </si>
  <si>
    <t>R1–R3</t>
  </si>
  <si>
    <t>Mevcut V7 listeleri: R1 = Kira anapara TTM &gt; 0 (90 satır); R2 = V7'nin kira düştüğü satırlarda FY_önceki − YTD_önceki &gt; 1 mn ve &gt; %5 (50 satır); R3 = V7 K6 sütununda dışlanan MDV/YAGM satırları (52 satır).</t>
  </si>
  <si>
    <t>R4–R5 (yeni A)</t>
  </si>
  <si>
    <t>Kaynak noktalarından en az biri &gt; 0 ve TTM &lt; 0. Kira ve capex ayrı sütun.</t>
  </si>
  <si>
    <t>R6–R7 (yeni B)</t>
  </si>
  <si>
    <t>CAPEX köprü kırığı. Çekirdek: üç nokta dolu, FY_önceki − YTD_önceki &gt; 1 mn ve &gt; %5 |YTD_önceki|; TTM işaretinden ve kaynak işaretinden bağımsız. Geniş: önceki yılda YTD_önceki → FY_önceki arasında ardışık raporlarda kümülatif gerileme (&gt; 1 mn ve &gt; %5; sıfır değerler atlanır).</t>
  </si>
  <si>
    <t>Yardımcı sütunlar</t>
  </si>
  <si>
    <t>Beş kümenin dışında: Evo TTM &gt; 0, kaynak pozitif (herhangi), pencerede pozitif çeyrek, kira köprü çekirdek/geniş (Evo evreni tanımıyla), cari yıl kümülatif gerilemesi. V7 kapsamında pencerede en az bir pozitif çeyreği olan satır: kira 536, MDV 606, YAGM 59 (&gt; 1 mn: 447 / 515 / 40).</t>
  </si>
  <si>
    <t>Aday kural benzetimi</t>
  </si>
  <si>
    <t>K6(a) = kaynak pozitif. K11(d) = üç nokta dolu, kaynaklar ≤ 0, fark &gt; 1 mn ve &gt; %5. Pilot taslağındaki metin aynen uygulandı; eşikler ve "satır kullanılmaz" hükmü sınanıyor, önerilmiyor.</t>
  </si>
  <si>
    <t>Anomali göstergesi</t>
  </si>
  <si>
    <t>Kaynak pozitifse en büyük pozitif kaynak tutarı; değilse pozitif FY_önceki − YTD_önceki farkı; o da yoksa en büyük pozitif çeyrek. Önem sıralaması içindir, hata tutarı değildir.</t>
  </si>
  <si>
    <t>Gerçek durum etiketleri</t>
  </si>
  <si>
    <t>HATA = V7 değeri belgeyle ya da belge teyitli aritmetikle yanlış / desteklenemez. ÖNEMSİZ = anomali gerçek ama FCF'e etkisi ihmal edilebilir ya da V7 değeri sayısal olarak yeterince doğru. TEMİZ = V7 değeri doğru. BELİRSİZ = belgeden ayrıştırılamadı.</t>
  </si>
  <si>
    <t>Sınırlar</t>
  </si>
  <si>
    <t>Örneklem anomali şüphesiyle seçildi; TP/FP/FN/TN oranları evrene genellenemez. Pilot satırlarının 55'i "anomali yok" olarak TEMİZ sayıldı; şirketlerin nakit akış sayfaları okundu ama her satır ayrıca belgeyle eşlenmedi. NTHOL 2026/03 ve VESBE 2025/03 kısmi belgeli. Radar tetiklemesi hata hükmü değildir.</t>
  </si>
  <si>
    <t>Sayfalar</t>
  </si>
  <si>
    <t>OZET (altı çıktı, formüllü) · RADAR (satır evreni) · FCF_SIM (politika benzetimi, FCF satırı düzeyi) · ORNEKLEM (belgeli örneklem) · KACIRILAN · SINIR · BELGE · MEKANIZMA (bölüm toplamı testi).</t>
  </si>
  <si>
    <t>Kademe-2 diff-set — özet (V7 ve GEM değiştirilmedi; radar tetiklemesi hata hükmü değildir)</t>
  </si>
  <si>
    <t>Birim: mn TL, Evo ölçeği (V7 ile aynı). Hiçbir satırda endeksleme/yeniden düzeltme yapılmadı; belge rakamları yalnız Evo değerinin hangi rapor satırından geldiğini doğrulamak için okundu. Sayım formülleri RADAR, ORNEKLEM ve FCF_SIM sayfalarını okur.</t>
  </si>
  <si>
    <t>1. Benzersiz toplam radar evreni (şirket-dönem-kalem)</t>
  </si>
  <si>
    <t>Ölçü</t>
  </si>
  <si>
    <t>Satır</t>
  </si>
  <si>
    <t>Şirket</t>
  </si>
  <si>
    <t>Şirket-dönem</t>
  </si>
  <si>
    <t>V7 kapsamı — 5 kümeden en az biri (benzersiz)</t>
  </si>
  <si>
    <t>Beş kümenin ham toplamı (7 radar sütunu)</t>
  </si>
  <si>
    <t>Birleştirilen mükerrer kayıt</t>
  </si>
  <si>
    <t xml:space="preserve">   kalem: Kira anapara</t>
  </si>
  <si>
    <t xml:space="preserve">   kalem: MDV+MODV alımı</t>
  </si>
  <si>
    <t xml:space="preserve">   kalem: YAGM alımı</t>
  </si>
  <si>
    <t xml:space="preserve">   V7 FCF statüsü: KESİN</t>
  </si>
  <si>
    <t xml:space="preserve">   V7 FCF statüsü: TÜRETİLMİŞ</t>
  </si>
  <si>
    <t xml:space="preserve">   V7 FCF statüsü: KOŞULLU</t>
  </si>
  <si>
    <t xml:space="preserve">   V7 FCF statüsü: NULL</t>
  </si>
  <si>
    <t>V7 kapsamı dışı (Evo evreni) — yeni radarlardan en az biri</t>
  </si>
  <si>
    <t>Beş kümenin DIŞINDA kalan: cari yıl kümülatif gerilemesi (V7 kapsamı)</t>
  </si>
  <si>
    <t>Genişletilmiş evren = 5 küme + cari yıl gerilemesi (V7 kapsamı)</t>
  </si>
  <si>
    <t>Cari yıl kümülatif gerilemesi: pencerenin cari yıla düşen çeyreklerinden (Q1 hariç) en az biri pozitif, toplamı &gt; 1 mn. Kullanıcının saydığı beş kümede yok; PCILT 2025/09 ve NTHOL 2025/12 bu sınıftadır. Ayrı sütunda tutuldu, 5-küme sayısına eklenmedi.</t>
  </si>
  <si>
    <t>2. Her radarın yakaladığı benzersiz satır (V7 kapsamı)</t>
  </si>
  <si>
    <t>Radar</t>
  </si>
  <si>
    <t>V7 FCF statüsü KESİN / TÜRETİLMİŞ</t>
  </si>
  <si>
    <t>Yalnız bu radarın yakaladığı</t>
  </si>
  <si>
    <t>V7 kapsamı dışı (Evo evreni)</t>
  </si>
  <si>
    <t>R1 · 90 pozitif-TTM kira (V7)</t>
  </si>
  <si>
    <t>R2 · 50 kira baz-kırığı çekirdeği (V7)</t>
  </si>
  <si>
    <t>R3 · 52 pozitif CAPEX (V7 K6)</t>
  </si>
  <si>
    <t>R4 · YENİ A-kira: kaynak pozitif + TTM negatif</t>
  </si>
  <si>
    <t>R5 · YENİ A-capex: kaynak pozitif + TTM negatif</t>
  </si>
  <si>
    <t>R6 · YENİ B-capex köprü kırığı çekirdek</t>
  </si>
  <si>
    <t>R7 · YENİ B-capex köprü kırığı geniş</t>
  </si>
  <si>
    <t>R1–R3 mevcut V7 listeleri (V7 değerlerinden). R4–R7 Evo ham satırlarından: A = köprü noktalarından (YTD_cari, FY_önceki, YTD_önceki; yıllık pencerede yalnız YTD) en az biri &gt; 0 ve TTM &lt; 0. B çekirdek = üç nokta dolu, FY_önceki − YTD_önceki &gt; 1 mn ve &gt; %5 |YTD_önceki|, TTM işaretinden bağımsız. B geniş = önceki yılda YTD_önceki → FY_önceki arasında ardışık raporlarda kümülatif gerileme (&gt; 1 mn ve &gt; %5; sıfırlar atlanır).</t>
  </si>
  <si>
    <t>3. Radarlar arası kesişimler (V7 kapsamı; köşegen = radarın kendi sayısı)</t>
  </si>
  <si>
    <t>R1</t>
  </si>
  <si>
    <t>R2</t>
  </si>
  <si>
    <t>R3</t>
  </si>
  <si>
    <t>R4</t>
  </si>
  <si>
    <t>R5</t>
  </si>
  <si>
    <t>R6</t>
  </si>
  <si>
    <t>R7</t>
  </si>
  <si>
    <t>Tetikleyen radar adedi</t>
  </si>
  <si>
    <t xml:space="preserve">   1 radar</t>
  </si>
  <si>
    <t xml:space="preserve">   2 radar</t>
  </si>
  <si>
    <t xml:space="preserve">   3 radar</t>
  </si>
  <si>
    <t xml:space="preserve">   4 radar</t>
  </si>
  <si>
    <t>3b. İşaret katmanları (V7 kapsamı, RADAR sayfasındaki tüm satırlar)</t>
  </si>
  <si>
    <t>Katman</t>
  </si>
  <si>
    <t>Kira anapara</t>
  </si>
  <si>
    <t>MDV+MODV alımı</t>
  </si>
  <si>
    <t>YAGM alımı</t>
  </si>
  <si>
    <t>KAYNAK: YTD_cari &gt; 0</t>
  </si>
  <si>
    <t>KAYNAK: FY_önceki &gt; 0</t>
  </si>
  <si>
    <t>KAYNAK: YTD_önceki &gt; 0</t>
  </si>
  <si>
    <t>KAYNAK: herhangi biri</t>
  </si>
  <si>
    <t>ÇEYREK: pencerede en az bir pozitif çeyrek</t>
  </si>
  <si>
    <t>ÇEYREK: cari yıl kümülatif gerilemesi (&gt; 1 mn)</t>
  </si>
  <si>
    <t>TTM: Evo TTM &gt; 0</t>
  </si>
  <si>
    <t>Çeyrek katmanı RADAR sayfasında yalnız başka bir radarla birlikte ya da cari yıl gerilemesi olarak yer alır; pencerede herhangi bir pozitif çeyreği olan tüm V7 satırlarının sayısı (kira 536, MDV 606, YAGM 59) bu tabloda değil, OKUBENI notundadır.</t>
  </si>
  <si>
    <t>4. Belgelenmiş örneklem (Kademe-1 pilot 108 satır + Kademe-2 17 satır)</t>
  </si>
  <si>
    <t>Gerçek durum</t>
  </si>
  <si>
    <t>Toplam</t>
  </si>
  <si>
    <t>Kademe-1</t>
  </si>
  <si>
    <t>Kademe-2</t>
  </si>
  <si>
    <t>HATA</t>
  </si>
  <si>
    <t>ÖNEMSİZ</t>
  </si>
  <si>
    <t>TEMİZ</t>
  </si>
  <si>
    <t>BELİRSİZ</t>
  </si>
  <si>
    <t>Kural (alarm = kural tetikler; pozitif = HATA; negatif = TEMİZ + ÖNEMSİZ; BELİRSİZ hariç)</t>
  </si>
  <si>
    <t>TP</t>
  </si>
  <si>
    <t>FN</t>
  </si>
  <si>
    <t>FP</t>
  </si>
  <si>
    <t>TN</t>
  </si>
  <si>
    <t>Mevcut K6 (V7 uygulaması: TTM &gt; 0 → satır kullanılmaz)</t>
  </si>
  <si>
    <t>Aday K6(a) veya K11(d) (pilot taslağı, eşikler 1 mn / %5)</t>
  </si>
  <si>
    <t>Mevcut K6'da "TP" yalnız kuralın tetiklediğini gösterir; tetiklediği satırların çoğunda sonuç (satır 0 + KESİN) yine yanlıştır — bkz. bölüm 5 ve KACIRILAN. Örneklem anomali şüphesiyle seçildi, rastgele değildir; oranlar evrene taşınamaz.</t>
  </si>
  <si>
    <t>5. İki aday statü politikasının karşılaştırması (karar verilmedi)</t>
  </si>
  <si>
    <t>P0 = mevcut V7. P1 = kaynak pozitif → satır kullanılmaz + KOŞULLU. P2 = kaynak pozitif → satır kullanılmaz + KESİN + not. İkisinde de K11(d) köprü çelişkisi → KOŞULLU. V7'de zaten KOŞULLU / NULL olan satırların statüsü değişmez.</t>
  </si>
  <si>
    <t>5a. Belgelenmiş örneklem — V7 statüsü KESİN / TÜRETİLMİŞ olan satırlar</t>
  </si>
  <si>
    <t>Sonuç</t>
  </si>
  <si>
    <t>P0 mevcut</t>
  </si>
  <si>
    <t>P1</t>
  </si>
  <si>
    <t>P2</t>
  </si>
  <si>
    <t>P1: kira</t>
  </si>
  <si>
    <t>P1: capex</t>
  </si>
  <si>
    <t>P2: kira</t>
  </si>
  <si>
    <t>P2: capex</t>
  </si>
  <si>
    <t>SESSİZ HATA</t>
  </si>
  <si>
    <t>YAKALANDI</t>
  </si>
  <si>
    <t>YANLIŞ ALARM</t>
  </si>
  <si>
    <t>DOĞRU SESSİZ</t>
  </si>
  <si>
    <t>BELİRSİZ — işaretlendi</t>
  </si>
  <si>
    <t>BELİRSİZ — işaretlenmedi</t>
  </si>
  <si>
    <t>V7 zaten KOŞULLU / NULL (politikadan etkilenmez)</t>
  </si>
  <si>
    <t>5b. V7 evreni (3.048 FCF satırı) — statü geçişleri</t>
  </si>
  <si>
    <t>Fark (P1 − P2)</t>
  </si>
  <si>
    <t>KESİN / TÜRETİLMİŞ → KOŞULLU olan FCF satırı</t>
  </si>
  <si>
    <t xml:space="preserve">   bunlardan KESİN</t>
  </si>
  <si>
    <t xml:space="preserve">   bunlardan TÜRETİLMİŞ</t>
  </si>
  <si>
    <t>Şirket sayısı</t>
  </si>
  <si>
    <t>V7'deki KOŞULLU satır sayısı (172) sonrası</t>
  </si>
  <si>
    <t>Kaynak pozitif olup K11(d) tetiklemeyen KESİN / TÜRETİLMİŞ satırlar: P1'de KOŞULLU, P2'de KESİN + not kalır</t>
  </si>
  <si>
    <t xml:space="preserve">   anomali göstergesi / |FCF|: %1 altı</t>
  </si>
  <si>
    <t xml:space="preserve">   anomali göstergesi / |FCF|: %1–5</t>
  </si>
  <si>
    <t xml:space="preserve">   anomali göstergesi / |FCF|: %5–10</t>
  </si>
  <si>
    <t xml:space="preserve">   anomali göstergesi / |FCF|: %10–25</t>
  </si>
  <si>
    <t xml:space="preserve">   anomali göstergesi / |FCF|: %25 üstü</t>
  </si>
  <si>
    <t xml:space="preserve">   toplam</t>
  </si>
  <si>
    <t>K11(d) geçişleri (iki politikada ortak), KESİN / TÜRETİLMİŞ</t>
  </si>
  <si>
    <t>K6(a) "satır kullanılmaz" hükmünün değer etkisi (iki politikada ortak)</t>
  </si>
  <si>
    <t>FCF satırı</t>
  </si>
  <si>
    <t>KESİN / TÜRETİLMİŞ</t>
  </si>
  <si>
    <t>V7'nin hâlen tutar düştüğü, K6(a) ile 0'a inecek satırlar</t>
  </si>
  <si>
    <t xml:space="preserve">   bileşen satırı / tutar (mn TL): kira</t>
  </si>
  <si>
    <t xml:space="preserve">   bileşen satırı / tutar (mn TL): capex</t>
  </si>
  <si>
    <t>Belgelenmiş A sınıfı satırlarda (kaynak pozitif, TTM negatif) "0" hiçbir vakada doğru değer çıkmadı: ALCAR 2026/06 (≈59,6), VESBE 2025/03 (286,2 doğru), DYOBY 2025/03 (0 daha kötü). Bu, statü sorusundan bağımsız bir değer sorusudur.</t>
  </si>
  <si>
    <t>6. Mevcut K6 / K11'in kaçırdığı kanıtlanmış vakalar</t>
  </si>
  <si>
    <t>Tür</t>
  </si>
  <si>
    <t>K6 hiç tetiklenmedi, K11 notu boş, V7 statüsü KESİN / TÜRETİLMİŞ, değer belgeyle/aritmetikle yanlış</t>
  </si>
  <si>
    <t>K6 tetikledi (satır 0), statü KESİN / TÜRETİLMİŞ kaldı, sonuç yanlış</t>
  </si>
  <si>
    <t>HATA olup V7'de başka nedenle KOŞULLU / NULL (K6 / K11 yine sessiz ya da yanlış sonuçlu)</t>
  </si>
  <si>
    <t>Satır dökümü KACIRILAN sayfasında. Sınır vakaları SINIR, rapor satırları BELGE sayfasında.</t>
  </si>
  <si>
    <t>Kod</t>
  </si>
  <si>
    <t>Kalem</t>
  </si>
  <si>
    <t>Dönem</t>
  </si>
  <si>
    <t>V7 kapsamında (1/0)</t>
  </si>
  <si>
    <t>5 kümeden en az biri (1/0)</t>
  </si>
  <si>
    <t>Tetikleyen radar adedi (5 küme, 7 sütun)</t>
  </si>
  <si>
    <t>Yrd · Evo TTM &gt; 0</t>
  </si>
  <si>
    <t>Yrd · kaynak pozitif (herhangi)</t>
  </si>
  <si>
    <t>Yrd · pencerede pozitif çeyrek</t>
  </si>
  <si>
    <t>Yrd · kira köprü çekirdek (Evo evreni)</t>
  </si>
  <si>
    <t>Yrd · kira köprü geniş (Evo evreni)</t>
  </si>
  <si>
    <t>Yrd · cari yıl kümülatif gerilemesi (&gt;1 mn)</t>
  </si>
  <si>
    <t>YTD_cari</t>
  </si>
  <si>
    <t>FY_önceki</t>
  </si>
  <si>
    <t>YTD_önceki</t>
  </si>
  <si>
    <t>Mekanik TTM (formül)</t>
  </si>
  <si>
    <t>Evo try_ttm</t>
  </si>
  <si>
    <t>Ç1 (pencerenin en eski çeyreği)</t>
  </si>
  <si>
    <t>Ç2</t>
  </si>
  <si>
    <t>Ç3</t>
  </si>
  <si>
    <t>Ç4 (son çeyrek)</t>
  </si>
  <si>
    <t>KAYNAK katmanı: YTD_cari &gt; 0</t>
  </si>
  <si>
    <t>KAYNAK katmanı: FY_önceki &gt; 0</t>
  </si>
  <si>
    <t>KAYNAK katmanı: YTD_önceki &gt; 0</t>
  </si>
  <si>
    <t>Kaynak pozitif en büyük tutar</t>
  </si>
  <si>
    <t>ÇEYREK katmanı: pozitif çeyrek adedi (formül)</t>
  </si>
  <si>
    <t>ÇEYREK katmanı: cari yıl pozitif çeyrek toplamı (Q1 hariç)</t>
  </si>
  <si>
    <t>ÇEYREK katmanı: önceki yıl kısmı pozitif çeyrek toplamı</t>
  </si>
  <si>
    <t>TTM katmanı: işaret (formül)</t>
  </si>
  <si>
    <t>Köprü: FY_önceki − YTD_önceki (formül)</t>
  </si>
  <si>
    <t>Köprü: fark / |YTD_önceki| (formül)</t>
  </si>
  <si>
    <t>Eşik: fark &gt; 1 mn (formül)</t>
  </si>
  <si>
    <t>Eşik: fark &gt; %5 |YTD_önceki| (formül)</t>
  </si>
  <si>
    <t>V7 TTM değer</t>
  </si>
  <si>
    <t>V7 formülde kullanılan</t>
  </si>
  <si>
    <t>V7 bileşen statüsü</t>
  </si>
  <si>
    <t>V7 K6 bu kalemi dışladı (1/0)</t>
  </si>
  <si>
    <t>V7 CFO_TTM</t>
  </si>
  <si>
    <t>V7 FCF</t>
  </si>
  <si>
    <t>V7 FCF statü</t>
  </si>
  <si>
    <t>Anomali göstergesi (mn TL)</t>
  </si>
  <si>
    <t>Anomali / |V7 FCF| (formül)</t>
  </si>
  <si>
    <t>Aday K6(a) tetikler: kaynak pozitif (1/0)</t>
  </si>
  <si>
    <t>Aday K11(d) tetikler: kaynak ≤0, fark &gt;1 mn ve &gt;%5 (1/0)</t>
  </si>
  <si>
    <t>Kaynak-pozitif noktada bölüm toplamı testi</t>
  </si>
  <si>
    <t>Belgeli örneklemde (1/0)</t>
  </si>
  <si>
    <t>ACSEL</t>
  </si>
  <si>
    <t>2025/03</t>
  </si>
  <si>
    <t>KESİN</t>
  </si>
  <si>
    <t>2025/06</t>
  </si>
  <si>
    <t>AFYON</t>
  </si>
  <si>
    <t>NULL</t>
  </si>
  <si>
    <t>2026/03</t>
  </si>
  <si>
    <t>TÜRETİLMİŞ</t>
  </si>
  <si>
    <t>2026/06</t>
  </si>
  <si>
    <t>AGROT</t>
  </si>
  <si>
    <t>KOŞULLU</t>
  </si>
  <si>
    <t>AHGAZ</t>
  </si>
  <si>
    <t>YTD 2025/03 (+4.9): finansman alt toplamı tutmuyor</t>
  </si>
  <si>
    <t>2025/09</t>
  </si>
  <si>
    <t>YTD-1 2025/03 (+4.9): finansman alt toplamı tutmuyor</t>
  </si>
  <si>
    <t>AKHAN</t>
  </si>
  <si>
    <t>YTD 2026/03 (+2,284.5): pozitif değer bölüm toplamına pozitif giriyor | FY-1 2025/12 (+2,152.2): pozitif değer bölüm toplamına pozitif giriyor</t>
  </si>
  <si>
    <t>FY-1 2025/12 (+2,152.2): pozitif değer bölüm toplamına pozitif giriyor</t>
  </si>
  <si>
    <t>AKSA</t>
  </si>
  <si>
    <t>AKSEN</t>
  </si>
  <si>
    <t>AKSUE</t>
  </si>
  <si>
    <t>ALCAR</t>
  </si>
  <si>
    <t>YTD 2025/06 (+1,357.2): kalem = yatırım bölüm toplamı</t>
  </si>
  <si>
    <t>YTD-1 2025/06 (+1,357.2): kalem = yatırım bölüm toplamı</t>
  </si>
  <si>
    <t>ALFAS</t>
  </si>
  <si>
    <t>YTD 2025/03 (+1.2): pozitif değer bölüm toplamına pozitif giriyor</t>
  </si>
  <si>
    <t>YTD-1 2025/03 (+1.2): pozitif değer bölüm toplamına pozitif giriyor</t>
  </si>
  <si>
    <t>ARASE</t>
  </si>
  <si>
    <t>ARENA</t>
  </si>
  <si>
    <t>YTD 2026/03 (+23.4): pozitif değer bölüm toplamına pozitif giriyor</t>
  </si>
  <si>
    <t>YTD-1 2024/03 (+13.5): pozitif değer bölüm toplamına pozitif giriyor</t>
  </si>
  <si>
    <t>YTD-1 2024/09 (+7.1): pozitif değer bölüm toplamına pozitif giriyor</t>
  </si>
  <si>
    <t>ARFYE</t>
  </si>
  <si>
    <t>YTD-1 2024/09 (+5.4): yatırım alt toplamı tutmuyor; kalem = yatırım bölüm toplamı</t>
  </si>
  <si>
    <t>ARSAN</t>
  </si>
  <si>
    <t>ARTMS</t>
  </si>
  <si>
    <t>ASUZU</t>
  </si>
  <si>
    <t>YTD-1 2024/09 (+16.6): pozitif değer bölüm toplamına pozitif giriyor</t>
  </si>
  <si>
    <t>ATATP</t>
  </si>
  <si>
    <t>YTD-1 2024/03 (+15.5): kalem = finansman bölüm toplamı</t>
  </si>
  <si>
    <t>YTD-1 2024/06 (+28.5): kalem = finansman bölüm toplamı</t>
  </si>
  <si>
    <t>ATEKS</t>
  </si>
  <si>
    <t>AVHOL</t>
  </si>
  <si>
    <t>YTD-1 2024/03 (+0.8): kalem = finansman bölüm toplamı</t>
  </si>
  <si>
    <t>AVTUR</t>
  </si>
  <si>
    <t>YTD 2026/03 (+1.9): kalem = yatırım bölüm toplamı</t>
  </si>
  <si>
    <t>YTD 2026/06 (+8.7): pozitif değer bölüm toplamına pozitif giriyor</t>
  </si>
  <si>
    <t>AYCES</t>
  </si>
  <si>
    <t>YTD 2025/03 (+5.2): pozitif değer bölüm toplamına pozitif giriyor</t>
  </si>
  <si>
    <t>YTD 2026/03 (+0.5): pozitif değer bölüm toplamına pozitif giriyor | YTD-1 2025/03 (+5.2): pozitif değer bölüm toplamına pozitif giriyor</t>
  </si>
  <si>
    <t>AYEN</t>
  </si>
  <si>
    <t>BAHKM</t>
  </si>
  <si>
    <t>BAKAB</t>
  </si>
  <si>
    <t>YTD 2025/03 (+4.8): pozitif değer bölüm toplamına pozitif giriyor | YTD-1 2024/03 (+5.9): pozitif değer bölüm toplamına pozitif giriyor</t>
  </si>
  <si>
    <t>YTD 2025/09 (+5.6): pozitif değer bölüm toplamına pozitif giriyor | YTD-1 2024/09 (+12.9): pozitif değer bölüm toplamına pozitif giriyor</t>
  </si>
  <si>
    <t>YTD 2026/03 (+5.7): pozitif değer bölüm toplamına pozitif giriyor | YTD-1 2025/03 (+4.8): pozitif değer bölüm toplamına pozitif giriyor</t>
  </si>
  <si>
    <t>BALSU</t>
  </si>
  <si>
    <t>YTD 2025/03 (+782.5): alım satırı pozitif &amp; satış satırı negatif (satır yer değişimi?) | YTD-1 2024/03 (+107.5): alım satırı pozitif &amp; satış satırı negatif (satır yer değişimi?)</t>
  </si>
  <si>
    <t>BANVT</t>
  </si>
  <si>
    <t>YTD-1 2024/03 (+354.3): pozitif değer bölüm toplamına pozitif giriyor</t>
  </si>
  <si>
    <t>BARMA</t>
  </si>
  <si>
    <t>BESLR</t>
  </si>
  <si>
    <t>BESTE</t>
  </si>
  <si>
    <t>YTD-1 2025/03 (+3.6): pozitif değer bölüm toplamına pozitif giriyor</t>
  </si>
  <si>
    <t>YTD-1 2025/06 (+18.9): pozitif değer bölüm toplamına pozitif giriyor</t>
  </si>
  <si>
    <t>BIENY</t>
  </si>
  <si>
    <t>BIGEN</t>
  </si>
  <si>
    <t>BINBN</t>
  </si>
  <si>
    <t>BIOEN</t>
  </si>
  <si>
    <t>BIZIM</t>
  </si>
  <si>
    <t>BLCYT</t>
  </si>
  <si>
    <t>BLUME</t>
  </si>
  <si>
    <t>YTD-1 2024/03 (+1.3): kalem = yatırım bölüm toplamı</t>
  </si>
  <si>
    <t>YTD-1 2024/06 (+0.8): pozitif değer bölüm toplamına pozitif giriyor</t>
  </si>
  <si>
    <t>BOBET</t>
  </si>
  <si>
    <t>FY-1 2024/12 (+44.4): pozitif değer bölüm toplamına pozitif giriyor</t>
  </si>
  <si>
    <t>FY-1 2024/12 (+44.4): pozitif değer bölüm toplamına pozitif giriyor | YTD-1 2024/06 (+12.9): pozitif değer bölüm toplamına pozitif giriyor</t>
  </si>
  <si>
    <t>FY-1 2024/12 (+44.4): pozitif değer bölüm toplamına pozitif giriyor | YTD-1 2024/09 (+25.1): pozitif değer bölüm toplamına pozitif giriyor</t>
  </si>
  <si>
    <t>BRKO</t>
  </si>
  <si>
    <t>BRKSN</t>
  </si>
  <si>
    <t>BRLSM</t>
  </si>
  <si>
    <t>BRMEN</t>
  </si>
  <si>
    <t>BSOKE</t>
  </si>
  <si>
    <t>BTCIM</t>
  </si>
  <si>
    <t>BURVA</t>
  </si>
  <si>
    <t>BVSAN</t>
  </si>
  <si>
    <t>BYDNR</t>
  </si>
  <si>
    <t>FY-1 2024/12 (+311.8): pozitif değer bölüm toplamına pozitif giriyor</t>
  </si>
  <si>
    <t>2025/12</t>
  </si>
  <si>
    <t>YTD 2025/12 (+86.3): pozitif değer bölüm toplamına pozitif giriyor</t>
  </si>
  <si>
    <t>CANTE</t>
  </si>
  <si>
    <t>YTD-1 2024/03 (+4.9): pozitif değer bölüm toplamına pozitif giriyor</t>
  </si>
  <si>
    <t>YTD 2025/06 (+35.1): pozitif değer bölüm toplamına pozitif giriyor</t>
  </si>
  <si>
    <t>YTD 2025/09 (+3.4): pozitif değer bölüm toplamına pozitif giriyor</t>
  </si>
  <si>
    <t>YTD 2025/12 (+55.4): pozitif değer bölüm toplamına pozitif giriyor</t>
  </si>
  <si>
    <t>FY-1 2025/12 (+55.4): pozitif değer bölüm toplamına pozitif giriyor</t>
  </si>
  <si>
    <t>FY-1 2025/12 (+55.4): pozitif değer bölüm toplamına pozitif giriyor | YTD-1 2025/06 (+35.1): pozitif değer bölüm toplamına pozitif giriyor</t>
  </si>
  <si>
    <t>YTD 2025/06 (+267.3): pozitif değer bölüm toplamına pozitif giriyor</t>
  </si>
  <si>
    <t>YTD 2025/09 (+1,390.9): pozitif değer bölüm toplamına pozitif giriyor</t>
  </si>
  <si>
    <t>YTD 2025/12 (+2,904.9): pozitif değer bölüm toplamına pozitif giriyor</t>
  </si>
  <si>
    <t>YTD 2026/03 (+1,035.4): pozitif değer bölüm toplamına pozitif giriyor | FY-1 2025/12 (+2,904.9): pozitif değer bölüm toplamına pozitif giriyor</t>
  </si>
  <si>
    <t>FY-1 2025/12 (+2,904.9): pozitif değer bölüm toplamına pozitif giriyor | YTD-1 2025/06 (+267.3): pozitif değer bölüm toplamına pozitif giriyor</t>
  </si>
  <si>
    <t>CATES</t>
  </si>
  <si>
    <t>YTD-1 2024/03 (+244.5): pozitif değer bölüm toplamına pozitif giriyor</t>
  </si>
  <si>
    <t>CELHA</t>
  </si>
  <si>
    <t>CEMAS</t>
  </si>
  <si>
    <t>CMBTN</t>
  </si>
  <si>
    <t>COSMO</t>
  </si>
  <si>
    <t>CWENE</t>
  </si>
  <si>
    <t>DENGE</t>
  </si>
  <si>
    <t>YTD 2025/03 (+29.6): pozitif değer bölüm toplamına pozitif giriyor</t>
  </si>
  <si>
    <t>YTD 2026/03 (+53.8): kalem = yatırım bölüm toplamı | YTD-1 2025/03 (+29.6): pozitif değer bölüm toplamına pozitif giriyor</t>
  </si>
  <si>
    <t>DERHL</t>
  </si>
  <si>
    <t>DERIM</t>
  </si>
  <si>
    <t>DESA</t>
  </si>
  <si>
    <t>DGNMO</t>
  </si>
  <si>
    <t>YTD 2026/03 (+34.5): pozitif değer bölüm toplamına pozitif giriyor</t>
  </si>
  <si>
    <t>YTD 2026/06 (+53.7): pozitif değer bölüm toplamına pozitif giriyor</t>
  </si>
  <si>
    <t>YTD 2025/06 (+416.6): alım satırı pozitif &amp; satış satırı negatif (satır yer değişimi?)</t>
  </si>
  <si>
    <t>YTD-1 2025/06 (+416.6): alım satırı pozitif &amp; satış satırı negatif (satır yer değişimi?)</t>
  </si>
  <si>
    <t>DMSAS</t>
  </si>
  <si>
    <t>DOFER</t>
  </si>
  <si>
    <t>DOHOL</t>
  </si>
  <si>
    <t>DURKN</t>
  </si>
  <si>
    <t>DYOBY</t>
  </si>
  <si>
    <t>YTD 2025/03 (+26.3): pozitif değer bölüm toplamına pozitif giriyor</t>
  </si>
  <si>
    <t>YTD-1 2025/03 (+26.3): pozitif değer bölüm toplamına pozitif giriyor</t>
  </si>
  <si>
    <t>ECILC</t>
  </si>
  <si>
    <t>ECOGR</t>
  </si>
  <si>
    <t>EGEEN</t>
  </si>
  <si>
    <t>EGPRO</t>
  </si>
  <si>
    <t>EGSER</t>
  </si>
  <si>
    <t>YTD-1 2024/03 (+94.2): pozitif değer bölüm toplamına pozitif giriyor</t>
  </si>
  <si>
    <t>EKDMR</t>
  </si>
  <si>
    <t>EKIM</t>
  </si>
  <si>
    <t>YTD-1 2025/03 (+1,501.3): yatırım alt toplamı tutmuyor</t>
  </si>
  <si>
    <t>EKOS</t>
  </si>
  <si>
    <t>YTD 2026/03 (+6.0): pozitif değer bölüm toplamına pozitif giriyor</t>
  </si>
  <si>
    <t>ELITE</t>
  </si>
  <si>
    <t>EMPAE</t>
  </si>
  <si>
    <t>YTD 2026/06 (+3.4): pozitif değer bölüm toplamına pozitif giriyor</t>
  </si>
  <si>
    <t>ENDAE</t>
  </si>
  <si>
    <t>ENKAI</t>
  </si>
  <si>
    <t>ENSRI</t>
  </si>
  <si>
    <t>YTD-1 2025/03 (+7.8): pozitif değer bölüm toplamına pozitif giriyor</t>
  </si>
  <si>
    <t>EPLAS</t>
  </si>
  <si>
    <t>EREGL</t>
  </si>
  <si>
    <t>ESCAR</t>
  </si>
  <si>
    <t>EUHOL</t>
  </si>
  <si>
    <t>YTD 2025/12 (+44.8): pozitif değer bölüm toplamına pozitif giriyor</t>
  </si>
  <si>
    <t>FY-1 2025/12 (+44.8): pozitif değer bölüm toplamına pozitif giriyor</t>
  </si>
  <si>
    <t>EUPWR</t>
  </si>
  <si>
    <t>EUREN</t>
  </si>
  <si>
    <t>FORMT</t>
  </si>
  <si>
    <t>YTD 2025/12 (+0.8): pozitif değer bölüm toplamına pozitif giriyor</t>
  </si>
  <si>
    <t>FY-1 2025/12 (+0.8): pozitif değer bölüm toplamına pozitif giriyor</t>
  </si>
  <si>
    <t>FORTE</t>
  </si>
  <si>
    <t>FRMPL</t>
  </si>
  <si>
    <t>GENTS</t>
  </si>
  <si>
    <t>YTD-1 2024/03 (+4.7): pozitif değer bölüm toplamına pozitif giriyor</t>
  </si>
  <si>
    <t>YTD-1 2024/06 (+2.0): pozitif değer bölüm toplamına pozitif giriyor</t>
  </si>
  <si>
    <t>GEREL</t>
  </si>
  <si>
    <t>FY-1 2024/12 (+7.8): pozitif değer bölüm toplamına pozitif giriyor</t>
  </si>
  <si>
    <t>YTD 2025/06 (+17.9): pozitif değer bölüm toplamına pozitif giriyor | FY-1 2024/12 (+7.8): pozitif değer bölüm toplamına pozitif giriyor | YTD-1 2024/06 (+7.3): pozitif değer bölüm toplamına pozitif giriyor</t>
  </si>
  <si>
    <t>YTD 2025/09 (+17.1): pozitif değer bölüm toplamına pozitif giriyor | FY-1 2024/12 (+7.8): pozitif değer bölüm toplamına pozitif giriyor | YTD-1 2024/09 (+8.3): pozitif değer bölüm toplamına pozitif giriyor</t>
  </si>
  <si>
    <t>YTD 2025/12 (+43.0): pozitif değer bölüm toplamına pozitif giriyor</t>
  </si>
  <si>
    <t>FY-1 2025/12 (+43.0): pozitif değer bölüm toplamına pozitif giriyor</t>
  </si>
  <si>
    <t>FY-1 2025/12 (+43.0): pozitif değer bölüm toplamına pozitif giriyor | YTD-1 2025/06 (+17.9): pozitif değer bölüm toplamına pozitif giriyor</t>
  </si>
  <si>
    <t>GIPTA</t>
  </si>
  <si>
    <t>GMTAS</t>
  </si>
  <si>
    <t>GOKNR</t>
  </si>
  <si>
    <t>GRTHO</t>
  </si>
  <si>
    <t>GSDDE</t>
  </si>
  <si>
    <t>GSDHO</t>
  </si>
  <si>
    <t>GSRAY</t>
  </si>
  <si>
    <t>YTD-1 2024/09 (+19.8): pozitif değer bölüm toplamına pozitif giriyor</t>
  </si>
  <si>
    <t>YTD 2025/09 (+592.0): alım satırı pozitif &amp; satış satırı negatif (satır yer değişimi?) | YTD-1 2024/09 (+1,809.1): alım satırı pozitif &amp; satış satırı negatif (satır yer değişimi?)</t>
  </si>
  <si>
    <t>GUNDG</t>
  </si>
  <si>
    <t>HKTM</t>
  </si>
  <si>
    <t>HOROZ</t>
  </si>
  <si>
    <t>HTTBT</t>
  </si>
  <si>
    <t>YTD-1 2024/09 (+2.2): pozitif değer bölüm toplamına pozitif giriyor</t>
  </si>
  <si>
    <t>HUNER</t>
  </si>
  <si>
    <t>IEYHO</t>
  </si>
  <si>
    <t>IMASM</t>
  </si>
  <si>
    <t>IZENR</t>
  </si>
  <si>
    <t>IZFAS</t>
  </si>
  <si>
    <t>IZMDC</t>
  </si>
  <si>
    <t>KARTN</t>
  </si>
  <si>
    <t>YTD 2025/03 (+60.9): pozitif değer bölüm toplamına pozitif giriyor</t>
  </si>
  <si>
    <t>YTD 2025/06 (+94.8): pozitif değer bölüm toplamına pozitif giriyor</t>
  </si>
  <si>
    <t>YTD 2025/09 (+136.1): pozitif değer bölüm toplamına pozitif giriyor</t>
  </si>
  <si>
    <t>YTD 2025/12 (+158.1): pozitif değer bölüm toplamına pozitif giriyor</t>
  </si>
  <si>
    <t>YTD 2026/03 (+51.3): pozitif değer bölüm toplamına pozitif giriyor | FY-1 2025/12 (+158.1): pozitif değer bölüm toplamına pozitif giriyor | YTD-1 2025/03 (+60.9): pozitif değer bölüm toplamına pozitif giriyor</t>
  </si>
  <si>
    <t>YTD 2026/06 (+84.9): pozitif değer bölüm toplamına pozitif giriyor | FY-1 2025/12 (+158.1): pozitif değer bölüm toplamına pozitif giriyor | YTD-1 2025/06 (+94.8): pozitif değer bölüm toplamına pozitif giriyor</t>
  </si>
  <si>
    <t>KATMR</t>
  </si>
  <si>
    <t>KCAER</t>
  </si>
  <si>
    <t>KENT</t>
  </si>
  <si>
    <t>KERVN</t>
  </si>
  <si>
    <t>KMPUR</t>
  </si>
  <si>
    <t>KRPLS</t>
  </si>
  <si>
    <t>KRTEK</t>
  </si>
  <si>
    <t>KTSKR</t>
  </si>
  <si>
    <t>YTD 2026/03 (+25.8): kalem = yatırım bölüm toplamı</t>
  </si>
  <si>
    <t>KUVVA</t>
  </si>
  <si>
    <t>LIDER</t>
  </si>
  <si>
    <t>LKMNH</t>
  </si>
  <si>
    <t>YTD 2026/03 (+0.5): pozitif değer bölüm toplamına pozitif giriyor</t>
  </si>
  <si>
    <t>LRSHO</t>
  </si>
  <si>
    <t>LYDYE</t>
  </si>
  <si>
    <t>MAALT</t>
  </si>
  <si>
    <t>MAKTK</t>
  </si>
  <si>
    <t>MANAS</t>
  </si>
  <si>
    <t>MARBL</t>
  </si>
  <si>
    <t>YTD 2025/06 (+2.9): pozitif değer bölüm toplamına pozitif giriyor</t>
  </si>
  <si>
    <t>YTD 2025/09 (+5.6): pozitif değer bölüm toplamına pozitif giriyor</t>
  </si>
  <si>
    <t>YTD-1 2025/06 (+2.9): pozitif değer bölüm toplamına pozitif giriyor</t>
  </si>
  <si>
    <t>MARTI</t>
  </si>
  <si>
    <t>MEGAP</t>
  </si>
  <si>
    <t>YTD 2025/03 (+2.1): kalem = finansman bölüm toplamı | FY-1 2024/12 (+1.4): pozitif değer bölüm toplamına pozitif giriyor | YTD-1 2024/03 (+1.9): pozitif değer bölüm toplamına pozitif giriyor</t>
  </si>
  <si>
    <t>FY-1 2024/12 (+1.4): pozitif değer bölüm toplamına pozitif giriyor | YTD-1 2024/06 (+1.9): pozitif değer bölüm toplamına pozitif giriyor</t>
  </si>
  <si>
    <t>FY-1 2024/12 (+1.4): pozitif değer bölüm toplamına pozitif giriyor</t>
  </si>
  <si>
    <t>YTD 2026/03 (+4.0): kalem = finansman bölüm toplamı | YTD-1 2025/03 (+2.1): kalem = finansman bölüm toplamı</t>
  </si>
  <si>
    <t>FY-1 2025/12 (+859.1): kalem = yatırım bölüm toplamı</t>
  </si>
  <si>
    <t>MEGMT</t>
  </si>
  <si>
    <t>MERCN</t>
  </si>
  <si>
    <t>YTD 2025/12 (+5.2): pozitif değer bölüm toplamına pozitif giriyor</t>
  </si>
  <si>
    <t>FY-1 2025/12 (+5.2): pozitif değer bölüm toplamına pozitif giriyor</t>
  </si>
  <si>
    <t>YTD 2025/12 (+58.9): pozitif değer bölüm toplamına pozitif giriyor</t>
  </si>
  <si>
    <t>MERKO</t>
  </si>
  <si>
    <t>MIATK</t>
  </si>
  <si>
    <t>MTRKS</t>
  </si>
  <si>
    <t>MZHLD</t>
  </si>
  <si>
    <t>NETCD</t>
  </si>
  <si>
    <t>YTD 2025/09 (+0.3): alım satırı pozitif &amp; satış satırı negatif (satır yer değişimi?) | YTD-1 2024/09 (+0.4): alım satırı pozitif &amp; satış satırı negatif (satır yer değişimi?)</t>
  </si>
  <si>
    <t>NTGAZ</t>
  </si>
  <si>
    <t>NTHOL</t>
  </si>
  <si>
    <t>NUHCM</t>
  </si>
  <si>
    <t>YTD 2025/06 (+14.5): pozitif değer bölüm toplamına pozitif giriyor | FY-1 2024/12 (+223.8): pozitif değer bölüm toplamına pozitif giriyor</t>
  </si>
  <si>
    <t>YTD 2025/09 (+17.8): pozitif değer bölüm toplamına pozitif giriyor | FY-1 2024/12 (+223.8): pozitif değer bölüm toplamına pozitif giriyor</t>
  </si>
  <si>
    <t>YTD-1 2025/06 (+14.5): pozitif değer bölüm toplamına pozitif giriyor</t>
  </si>
  <si>
    <t>ODAS</t>
  </si>
  <si>
    <t>FY-1 2024/12 (+140.0): pozitif değer bölüm toplamına pozitif giriyor | YTD-1 2024/03 (+0.9): pozitif değer bölüm toplamına pozitif giriyor</t>
  </si>
  <si>
    <t>YTD 2025/06 (+106.6): pozitif değer bölüm toplamına pozitif giriyor | FY-1 2024/12 (+140.0): pozitif değer bölüm toplamına pozitif giriyor | YTD-1 2024/06 (+494.5): pozitif değer bölüm toplamına pozitif giriyor</t>
  </si>
  <si>
    <t>YTD 2025/09 (+51.6): pozitif değer bölüm toplamına pozitif giriyor | FY-1 2024/12 (+140.0): pozitif değer bölüm toplamına pozitif giriyor | YTD-1 2024/09 (+559.4): pozitif değer bölüm toplamına pozitif giriyor</t>
  </si>
  <si>
    <t>YTD 2025/12 (+31.2): pozitif değer bölüm toplamına pozitif giriyor</t>
  </si>
  <si>
    <t>FY-1 2025/12 (+31.2): pozitif değer bölüm toplamına pozitif giriyor</t>
  </si>
  <si>
    <t>FY-1 2025/12 (+31.2): pozitif değer bölüm toplamına pozitif giriyor | YTD-1 2025/06 (+106.6): pozitif değer bölüm toplamına pozitif giriyor</t>
  </si>
  <si>
    <t>YTD 2025/06 (+435.3): pozitif değer bölüm toplamına pozitif giriyor</t>
  </si>
  <si>
    <t>YTD 2025/09 (+1,155.5): pozitif değer bölüm toplamına pozitif giriyor</t>
  </si>
  <si>
    <t>YTD 2025/12 (+2,722.0): pozitif değer bölüm toplamına pozitif giriyor</t>
  </si>
  <si>
    <t>YTD 2026/03 (+1,616.8): pozitif değer bölüm toplamına pozitif giriyor | FY-1 2025/12 (+2,722.0): pozitif değer bölüm toplamına pozitif giriyor</t>
  </si>
  <si>
    <t>FY-1 2025/12 (+2,722.0): pozitif değer bölüm toplamına pozitif giriyor | YTD-1 2025/06 (+435.3): pozitif değer bölüm toplamına pozitif giriyor</t>
  </si>
  <si>
    <t>ONCSM</t>
  </si>
  <si>
    <t>YTD 2025/12 (+1.9): pozitif değer bölüm toplamına pozitif giriyor</t>
  </si>
  <si>
    <t>FY-1 2025/12 (+1.9): pozitif değer bölüm toplamına pozitif giriyor</t>
  </si>
  <si>
    <t>ORGE</t>
  </si>
  <si>
    <t>OTTO</t>
  </si>
  <si>
    <t>OYLUM</t>
  </si>
  <si>
    <t>OZRDN</t>
  </si>
  <si>
    <t>OZSUB</t>
  </si>
  <si>
    <t>FY-1 2024/12 (+0.4): pozitif değer bölüm toplamına pozitif giriyor</t>
  </si>
  <si>
    <t>FY-1 2024/12 (+0.4): pozitif değer bölüm toplamına pozitif giriyor | YTD-1 2024/06 (+0.5): pozitif değer bölüm toplamına pozitif giriyor</t>
  </si>
  <si>
    <t>PAMEL</t>
  </si>
  <si>
    <t>PAPIL</t>
  </si>
  <si>
    <t>YTD 2025/03 (+2.5): pozitif değer bölüm toplamına pozitif giriyor</t>
  </si>
  <si>
    <t>YTD-1 2025/03 (+2.5): pozitif değer bölüm toplamına pozitif giriyor</t>
  </si>
  <si>
    <t>PCILT</t>
  </si>
  <si>
    <t>PENGD</t>
  </si>
  <si>
    <t>PETKM</t>
  </si>
  <si>
    <t>PETUN</t>
  </si>
  <si>
    <t>YTD 2026/03 (+10.2): pozitif değer bölüm toplamına pozitif giriyor</t>
  </si>
  <si>
    <t>YTD 2026/06 (+2.6): pozitif değer bölüm toplamına pozitif giriyor</t>
  </si>
  <si>
    <t>PGSUS</t>
  </si>
  <si>
    <t>YTD 2025/03 (+462.7): pozitif değer bölüm toplamına pozitif giriyor | FY-1 2024/12 (+2,568.0): pozitif değer bölüm toplamına pozitif giriyor | YTD-1 2024/03 (+1,524.1): pozitif değer bölüm toplamına pozitif giriyor</t>
  </si>
  <si>
    <t>FY-1 2024/12 (+2,568.0): pozitif değer bölüm toplamına pozitif giriyor | YTD-1 2024/06 (+1,238.1): pozitif değer bölüm toplamına pozitif giriyor</t>
  </si>
  <si>
    <t>FY-1 2024/12 (+2,568.0): pozitif değer bölüm toplamına pozitif giriyor | YTD-1 2024/09 (+2,395.4): pozitif değer bölüm toplamına pozitif giriyor</t>
  </si>
  <si>
    <t>YTD-1 2025/03 (+462.7): pozitif değer bölüm toplamına pozitif giriyor</t>
  </si>
  <si>
    <t>PINSU</t>
  </si>
  <si>
    <t>PKENT</t>
  </si>
  <si>
    <t>PLTUR</t>
  </si>
  <si>
    <t>PNLSN</t>
  </si>
  <si>
    <t>PNSUT</t>
  </si>
  <si>
    <t>YTD 2026/03 (+23.8): pozitif değer bölüm toplamına pozitif giriyor</t>
  </si>
  <si>
    <t>POLHO</t>
  </si>
  <si>
    <t>PRKAB</t>
  </si>
  <si>
    <t>YTD 2025/03 (+8.8): pozitif değer bölüm toplamına pozitif giriyor</t>
  </si>
  <si>
    <t>YTD-1 2025/03 (+8.8): pozitif değer bölüm toplamına pozitif giriyor</t>
  </si>
  <si>
    <t>YTD-1 2024/03 (+62.8): kalem = yatırım bölüm toplamı</t>
  </si>
  <si>
    <t>PRZMA</t>
  </si>
  <si>
    <t>QUAGR</t>
  </si>
  <si>
    <t>RNPOL</t>
  </si>
  <si>
    <t>RTALB</t>
  </si>
  <si>
    <t>RYSAS</t>
  </si>
  <si>
    <t>SAFKR</t>
  </si>
  <si>
    <t>SANEL</t>
  </si>
  <si>
    <t>SARAE</t>
  </si>
  <si>
    <t>SELVA</t>
  </si>
  <si>
    <t>SEYKM</t>
  </si>
  <si>
    <t>SILVR</t>
  </si>
  <si>
    <t>FY-1 2024/12 (+17.5): pozitif değer bölüm toplamına pozitif giriyor</t>
  </si>
  <si>
    <t>YTD 2025/06 (+7.5): pozitif değer bölüm toplamına pozitif giriyor | FY-1 2024/12 (+17.5): pozitif değer bölüm toplamına pozitif giriyor</t>
  </si>
  <si>
    <t>YTD 2025/09 (+3.4): pozitif değer bölüm toplamına pozitif giriyor | FY-1 2024/12 (+17.5): pozitif değer bölüm toplamına pozitif giriyor | YTD-1 2024/09 (+21.2): pozitif değer bölüm toplamına pozitif giriyor</t>
  </si>
  <si>
    <t>YTD-1 2025/06 (+7.5): pozitif değer bölüm toplamına pozitif giriyor</t>
  </si>
  <si>
    <t>SKTAS</t>
  </si>
  <si>
    <t>SMRTG</t>
  </si>
  <si>
    <t>SNICA</t>
  </si>
  <si>
    <t>SNPAM</t>
  </si>
  <si>
    <t>SODSN</t>
  </si>
  <si>
    <t>SOKE</t>
  </si>
  <si>
    <t>SONME</t>
  </si>
  <si>
    <t>SUNTK</t>
  </si>
  <si>
    <t>TATEN</t>
  </si>
  <si>
    <t>TBORG</t>
  </si>
  <si>
    <t>TCKRC</t>
  </si>
  <si>
    <t>TEHOL</t>
  </si>
  <si>
    <t>FY-1 2024/12 (+113.0): pozitif değer bölüm toplamına pozitif giriyor</t>
  </si>
  <si>
    <t>FY-1 2024/12 (+113.0): pozitif değer bölüm toplamına pozitif giriyor | YTD-1 2024/09 (+247.3): pozitif değer bölüm toplamına pozitif giriyor</t>
  </si>
  <si>
    <t>TEKTU</t>
  </si>
  <si>
    <t>TEZOL</t>
  </si>
  <si>
    <t>TGSAS</t>
  </si>
  <si>
    <t>TKFEN</t>
  </si>
  <si>
    <t>TNZTP</t>
  </si>
  <si>
    <t>TOASO</t>
  </si>
  <si>
    <t>TRENJ</t>
  </si>
  <si>
    <t>TRHOL</t>
  </si>
  <si>
    <t>YTD 2025/06 (+3.0): finansman alt toplamı tutmuyor</t>
  </si>
  <si>
    <t>TRILC</t>
  </si>
  <si>
    <t>YTD 2026/03 (+88.8): pozitif değer bölüm toplamına pozitif giriyor</t>
  </si>
  <si>
    <t>TRMET</t>
  </si>
  <si>
    <t>YTD-1 2025/06 (+2,077.1): pozitif değer bölüm toplamına pozitif giriyor</t>
  </si>
  <si>
    <t>TTRAK</t>
  </si>
  <si>
    <t>TUREX</t>
  </si>
  <si>
    <t>FY-1 2024/12 (+20.2): pozitif değer bölüm toplamına pozitif giriyor</t>
  </si>
  <si>
    <t>YTD 2025/12 (+95.2): pozitif değer bölüm toplamına pozitif giriyor</t>
  </si>
  <si>
    <t>FY-1 2025/12 (+95.2): pozitif değer bölüm toplamına pozitif giriyor | YTD-1 2025/03 (+32.6): pozitif değer bölüm toplamına pozitif giriyor</t>
  </si>
  <si>
    <t>FY-1 2025/12 (+95.2): pozitif değer bölüm toplamına pozitif giriyor</t>
  </si>
  <si>
    <t>UCAYM</t>
  </si>
  <si>
    <t>ULUSE</t>
  </si>
  <si>
    <t>UNLU</t>
  </si>
  <si>
    <t>USAK</t>
  </si>
  <si>
    <t>YTD 2025/06 (+39.0): pozitif değer bölüm toplamına pozitif giriyor</t>
  </si>
  <si>
    <t>YTD 2025/09 (+17.4): finansman alt toplamı tutmuyor</t>
  </si>
  <si>
    <t>YTD-1 2025/06 (+39.0): pozitif değer bölüm toplamına pozitif giriyor</t>
  </si>
  <si>
    <t>USHOL</t>
  </si>
  <si>
    <t>VANGD</t>
  </si>
  <si>
    <t>VBTYZ</t>
  </si>
  <si>
    <t>VESBE</t>
  </si>
  <si>
    <t>YTD-1 2024/03 (+106.5): pozitif değer bölüm toplamına pozitif giriyor</t>
  </si>
  <si>
    <t>YTD-1 2024/06 (+72.3): pozitif değer bölüm toplamına pozitif giriyor</t>
  </si>
  <si>
    <t>VKING</t>
  </si>
  <si>
    <t>YTD-1 2024/03 (+2.9): pozitif değer bölüm toplamına pozitif giriyor</t>
  </si>
  <si>
    <t>YAYLA</t>
  </si>
  <si>
    <t>YIGIT</t>
  </si>
  <si>
    <t>YKSLN</t>
  </si>
  <si>
    <t>YUNSA</t>
  </si>
  <si>
    <t>ZOREN</t>
  </si>
  <si>
    <t>YTD 2025/09 (+69.0): pozitif değer bölüm toplamına pozitif giriyor</t>
  </si>
  <si>
    <t>YTD 2025/12 (+14.8): pozitif değer bölüm toplamına pozitif giriyor</t>
  </si>
  <si>
    <t>FY-1 2025/12 (+14.8): pozitif değer bölüm toplamına pozitif giriyor</t>
  </si>
  <si>
    <t>ADEL</t>
  </si>
  <si>
    <t>YTD 2026/06 (+110.6): pozitif değer bölüm toplamına pozitif giriyor</t>
  </si>
  <si>
    <t>YTD 2025/12 (+2,152.2): pozitif değer bölüm toplamına pozitif giriyor</t>
  </si>
  <si>
    <t>ALCTL</t>
  </si>
  <si>
    <t>ARZUM</t>
  </si>
  <si>
    <t>YTD-1 2024/09 (+30.4): pozitif değer bölüm toplamına pozitif giriyor</t>
  </si>
  <si>
    <t>AYGAZ</t>
  </si>
  <si>
    <t>YTD-1 2025/03 (+782.5): alım satırı pozitif &amp; satış satırı negatif (satır yer değişimi?)</t>
  </si>
  <si>
    <t>BAYRK</t>
  </si>
  <si>
    <t>BERA</t>
  </si>
  <si>
    <t>YTD 2025/03 (+3.6): pozitif değer bölüm toplamına pozitif giriyor</t>
  </si>
  <si>
    <t>YTD 2025/06 (+18.9): pozitif değer bölüm toplamına pozitif giriyor</t>
  </si>
  <si>
    <t>BFREN</t>
  </si>
  <si>
    <t>YTD 2026/03 (+4.3): pozitif değer bölüm toplamına pozitif giriyor</t>
  </si>
  <si>
    <t>BRSAN</t>
  </si>
  <si>
    <t>BURCE</t>
  </si>
  <si>
    <t>FY-1 2024/12 (+0.0): pozitif değer bölüm toplamına pozitif giriyor</t>
  </si>
  <si>
    <t>FY-1 2025/12 (+86.3): pozitif değer bölüm toplamına pozitif giriyor</t>
  </si>
  <si>
    <t>CCOLA</t>
  </si>
  <si>
    <t>DEVA</t>
  </si>
  <si>
    <t>DITAS</t>
  </si>
  <si>
    <t>DOKTA</t>
  </si>
  <si>
    <t>DUNYH</t>
  </si>
  <si>
    <t>FY-1 2024/12 (+77.2): pozitif değer bölüm toplamına pozitif giriyor</t>
  </si>
  <si>
    <t>DURDO</t>
  </si>
  <si>
    <t>EDATA</t>
  </si>
  <si>
    <t>EGGUB</t>
  </si>
  <si>
    <t>YTD 2025/03 (+1,501.3): yatırım alt toplamı tutmuyor</t>
  </si>
  <si>
    <t>EKSUN</t>
  </si>
  <si>
    <t>ENERY</t>
  </si>
  <si>
    <t>YTD 2025/03 (+7.8): pozitif değer bölüm toplamına pozitif giriyor | YTD-1 2024/03 (+31.3): pozitif değer bölüm toplamına pozitif giriyor</t>
  </si>
  <si>
    <t>YTD 2025/06 (+40.1): pozitif değer bölüm toplamına pozitif giriyor | YTD-1 2024/06 (+29.3): pozitif değer bölüm toplamına pozitif giriyor</t>
  </si>
  <si>
    <t>YTD 2025/09 (+40.1): pozitif değer bölüm toplamına pozitif giriyor | YTD-1 2024/09 (+29.7): pozitif değer bölüm toplamına pozitif giriyor</t>
  </si>
  <si>
    <t>YTD-1 2025/06 (+40.1): pozitif değer bölüm toplamına pozitif giriyor</t>
  </si>
  <si>
    <t>FLAP</t>
  </si>
  <si>
    <t>YTD 2025/09 (+1.1): yatırım alt toplamı tutmuyor; alım satırı pozitif &amp; satış satırı negatif (satır yer değişimi?)</t>
  </si>
  <si>
    <t>GLYHO</t>
  </si>
  <si>
    <t>GWIND</t>
  </si>
  <si>
    <t>GZNMI</t>
  </si>
  <si>
    <t>HRKET</t>
  </si>
  <si>
    <t>HURGZ</t>
  </si>
  <si>
    <t>KAPLM</t>
  </si>
  <si>
    <t>KARCL</t>
  </si>
  <si>
    <t>KARSN</t>
  </si>
  <si>
    <t>KBORU</t>
  </si>
  <si>
    <t>YTD 2025/09 (+111.6): pozitif değer bölüm toplamına pozitif giriyor</t>
  </si>
  <si>
    <t>KONYA</t>
  </si>
  <si>
    <t>KORDS</t>
  </si>
  <si>
    <t>LOGO</t>
  </si>
  <si>
    <t>LUKSK</t>
  </si>
  <si>
    <t>YTD-1 2024/03 (+0.4): pozitif değer bölüm toplamına pozitif giriyor</t>
  </si>
  <si>
    <t>YTD 2026/03 (+1.2): pozitif değer bölüm toplamına pozitif giriyor</t>
  </si>
  <si>
    <t>LYDHO</t>
  </si>
  <si>
    <t>YTD 2025/12 (+859.1): kalem = yatırım bölüm toplamı</t>
  </si>
  <si>
    <t>YTD 2025/09 (+5.2): pozitif değer bölüm toplamına pozitif giriyor</t>
  </si>
  <si>
    <t>YTD 2025/09 (+61.4): pozitif değer bölüm toplamına pozitif giriyor</t>
  </si>
  <si>
    <t>FY-1 2025/12 (+58.9): pozitif değer bölüm toplamına pozitif giriyor</t>
  </si>
  <si>
    <t>MNDTR</t>
  </si>
  <si>
    <t>FY-1 2024/12 (+39.7): pozitif değer bölüm toplamına pozitif giriyor</t>
  </si>
  <si>
    <t>FY-1 2024/12 (+39.7): pozitif değer bölüm toplamına pozitif giriyor | YTD-1 2024/06 (+16.8): pozitif değer bölüm toplamına pozitif giriyor</t>
  </si>
  <si>
    <t>YTD 2025/09 (+23.3): pozitif değer bölüm toplamına pozitif giriyor | FY-1 2024/12 (+39.7): pozitif değer bölüm toplamına pozitif giriyor</t>
  </si>
  <si>
    <t>YTD 2025/12 (+18.2): pozitif değer bölüm toplamına pozitif giriyor</t>
  </si>
  <si>
    <t>FY-1 2025/12 (+18.2): pozitif değer bölüm toplamına pozitif giriyor</t>
  </si>
  <si>
    <t>MOPAS</t>
  </si>
  <si>
    <t>FY-1 2024/12 (+223.8): pozitif değer bölüm toplamına pozitif giriyor</t>
  </si>
  <si>
    <t>ODINE</t>
  </si>
  <si>
    <t>OYAKC</t>
  </si>
  <si>
    <t>OZATD</t>
  </si>
  <si>
    <t>YTD-1 2024/03 (+3.0): pozitif değer bölüm toplamına pozitif giriyor</t>
  </si>
  <si>
    <t>RUBNS</t>
  </si>
  <si>
    <t>RUZYE</t>
  </si>
  <si>
    <t>SANFM</t>
  </si>
  <si>
    <t>SASA</t>
  </si>
  <si>
    <t>SMART</t>
  </si>
  <si>
    <t>SOHOE</t>
  </si>
  <si>
    <t>TAVHL</t>
  </si>
  <si>
    <t>TMSN</t>
  </si>
  <si>
    <t>TRALT</t>
  </si>
  <si>
    <t>YTD-1 2025/06 (+3.0): finansman alt toplamı tutmuyor</t>
  </si>
  <si>
    <t>YTD 2025/06 (+2,077.1): pozitif değer bölüm toplamına pozitif giriyor</t>
  </si>
  <si>
    <t>TSPOR</t>
  </si>
  <si>
    <t>FY-1 2024/12 (+37.8): pozitif değer bölüm toplamına pozitif giriyor</t>
  </si>
  <si>
    <t>YTD 2025/03 (+32.6): pozitif değer bölüm toplamına pozitif giriyor | FY-1 2024/12 (+20.2): pozitif değer bölüm toplamına pozitif giriyor</t>
  </si>
  <si>
    <t>ULUUN</t>
  </si>
  <si>
    <t>VEYAS</t>
  </si>
  <si>
    <t>VSNMD</t>
  </si>
  <si>
    <t>YEOTK</t>
  </si>
  <si>
    <t>YYLGD</t>
  </si>
  <si>
    <t>ADESE</t>
  </si>
  <si>
    <t>ATLAS</t>
  </si>
  <si>
    <t>YTD-1 2025/03 (+0.1): pozitif değer bölüm toplamına pozitif giriyor</t>
  </si>
  <si>
    <t>AVGYO</t>
  </si>
  <si>
    <t>AVPGY</t>
  </si>
  <si>
    <t>BULGS</t>
  </si>
  <si>
    <t>FY-1 2024/12 (+12.3): pozitif değer bölüm toplamına pozitif giriyor | YTD-1 2024/09 (+14.0): pozitif değer bölüm toplamına pozitif giriyor</t>
  </si>
  <si>
    <t>DAPGM</t>
  </si>
  <si>
    <t>DZGYO</t>
  </si>
  <si>
    <t>EDIP</t>
  </si>
  <si>
    <t>EGEGY</t>
  </si>
  <si>
    <t>EKGYO</t>
  </si>
  <si>
    <t>EYGYO</t>
  </si>
  <si>
    <t>FZLGY</t>
  </si>
  <si>
    <t>GLBMD</t>
  </si>
  <si>
    <t>GLRYH</t>
  </si>
  <si>
    <t>HDFGS</t>
  </si>
  <si>
    <t>HLGYO</t>
  </si>
  <si>
    <t>IDGYO</t>
  </si>
  <si>
    <t>FY-1 2025/12 (+0.4): pozitif değer bölüm toplamına pozitif giriyor</t>
  </si>
  <si>
    <t>INFO</t>
  </si>
  <si>
    <t>FY-1 2024/12 (+107.5): pozitif değer bölüm toplamına pozitif giriyor</t>
  </si>
  <si>
    <t>ISMEN</t>
  </si>
  <si>
    <t>KRGYO</t>
  </si>
  <si>
    <t>KUYAS</t>
  </si>
  <si>
    <t>YTD-1 2024/09 (+0.0): pozitif değer bölüm toplamına pozitif giriyor</t>
  </si>
  <si>
    <t>KZBGY</t>
  </si>
  <si>
    <t>KZGYO</t>
  </si>
  <si>
    <t>YTD-1 2025/06 (+45.3): kalem = yatırım bölüm toplamı</t>
  </si>
  <si>
    <t>MHRGY</t>
  </si>
  <si>
    <t>MRGYO</t>
  </si>
  <si>
    <t>MSGYO</t>
  </si>
  <si>
    <t>OSMEN</t>
  </si>
  <si>
    <t>YTD-1 2024/03 (+25.8): pozitif değer bölüm toplamına pozitif giriyor</t>
  </si>
  <si>
    <t>OYYAT</t>
  </si>
  <si>
    <t>OZGYO</t>
  </si>
  <si>
    <t>PEKGY</t>
  </si>
  <si>
    <t>YTD 2025/06 (+15.7): pozitif değer bölüm toplamına pozitif giriyor</t>
  </si>
  <si>
    <t>RALYH</t>
  </si>
  <si>
    <t>YTD-1 2024/06 (+2,469.9): pozitif değer bölüm toplamına pozitif giriyor</t>
  </si>
  <si>
    <t>RGYAS</t>
  </si>
  <si>
    <t>YTD 2025/09 (+415.0): pozitif değer bölüm toplamına pozitif giriyor | YTD-1 2024/09 (+291.1): pozitif değer bölüm toplamına pozitif giriyor</t>
  </si>
  <si>
    <t>RYGYO</t>
  </si>
  <si>
    <t>SKYMD</t>
  </si>
  <si>
    <t>SNGYO</t>
  </si>
  <si>
    <t>SRVGY</t>
  </si>
  <si>
    <t>TERA</t>
  </si>
  <si>
    <t>YTD-1 2025/03 (+1.0): finansman alt toplamı tutmuyor</t>
  </si>
  <si>
    <t>YTD 2026/03 (+9.0): yatırım alt toplamı tutmuyor</t>
  </si>
  <si>
    <t>YTD 2026/06 (+0.5): yatırım alt toplamı tutmuyor | YTD-1 2025/06 (+83.5): yatırım alt toplamı tutmuyor</t>
  </si>
  <si>
    <t>VRGYO</t>
  </si>
  <si>
    <t>YTD-1 2024/06 (+3.0): kalem = yatırım bölüm toplamı</t>
  </si>
  <si>
    <t>YGGYO</t>
  </si>
  <si>
    <t>YGYO</t>
  </si>
  <si>
    <t>YTD 2025/03 (+144.1): kalem = yatırım bölüm toplamı | YTD-1 2024/03 (+565.3): kalem = yatırım bölüm toplamı</t>
  </si>
  <si>
    <t>ZRGYO</t>
  </si>
  <si>
    <t>YTD 2025/03 (+2.3): pozitif değer bölüm toplamına pozitif giriyor</t>
  </si>
  <si>
    <t>YTD 2025/09 (+1.9): pozitif değer bölüm toplamına pozitif giriyor</t>
  </si>
  <si>
    <t>FY-1 2025/12 (+0.9): pozitif değer bölüm toplamına pozitif giriyor | YTD-1 2025/03 (+2.3): pozitif değer bölüm toplamına pozitif giriyor</t>
  </si>
  <si>
    <t>FY-1 2025/12 (+0.9): pozitif değer bölüm toplamına pozitif giriyor</t>
  </si>
  <si>
    <t>YTD 2025/03 (+0.1): pozitif değer bölüm toplamına pozitif giriyor</t>
  </si>
  <si>
    <t>FY-1 2024/12 (+12.3): pozitif değer bölüm toplamına pozitif giriyor</t>
  </si>
  <si>
    <t>FY-1 2024/12 (+12.3): pozitif değer bölüm toplamına pozitif giriyor | YTD-1 2024/06 (+8.1): pozitif değer bölüm toplamına pozitif giriyor</t>
  </si>
  <si>
    <t>GEDIK</t>
  </si>
  <si>
    <t>GRNYO</t>
  </si>
  <si>
    <t>HEDEF</t>
  </si>
  <si>
    <t>YTD-1 2024/03 (+2.5): yatırım alt toplamı tutmuyor</t>
  </si>
  <si>
    <t>HUBVC</t>
  </si>
  <si>
    <t>YTD 2025/03 (+0.2): finansman alt toplamı tutmuyor</t>
  </si>
  <si>
    <t>YTD-1 2025/03 (+0.2): finansman alt toplamı tutmuyor</t>
  </si>
  <si>
    <t>ICUGS</t>
  </si>
  <si>
    <t>FY-1 2024/12 (+0.1): alım satırı pozitif &amp; satış satırı negatif (satır yer değişimi?)</t>
  </si>
  <si>
    <t>YTD 2025/12 (+0.4): pozitif değer bölüm toplamına pozitif giriyor</t>
  </si>
  <si>
    <t>YTD-1 2024/03 (+2.3): pozitif değer bölüm toplamına pozitif giriyor</t>
  </si>
  <si>
    <t>YTD 2025/06 (+45.3): kalem = yatırım bölüm toplamı</t>
  </si>
  <si>
    <t>MTRYO</t>
  </si>
  <si>
    <t>YTD-1 2025/06 (+15.7): pozitif değer bölüm toplamına pozitif giriyor</t>
  </si>
  <si>
    <t>SEGYO</t>
  </si>
  <si>
    <t>YTD-1 2024/03 (+3.9): pozitif değer bölüm toplamına pozitif giriyor</t>
  </si>
  <si>
    <t>YTD 2026/06 (+0.4): pozitif değer bölüm toplamına pozitif giriyor</t>
  </si>
  <si>
    <t>SVGYO</t>
  </si>
  <si>
    <t>YTD 2025/09 (+0.5): yatırım alt toplamı tutmuyor; alım satırı pozitif &amp; satış satırı negatif (satır yer değişimi?)</t>
  </si>
  <si>
    <t>YTD 2025/03 (+1.0): finansman alt toplamı tutmuyor</t>
  </si>
  <si>
    <t>YTD 2025/06 (+83.5): yatırım alt toplamı tutmuyor</t>
  </si>
  <si>
    <t>TRGYO</t>
  </si>
  <si>
    <t>YTD-1 2025/03 (+144.1): kalem = yatırım bölüm toplamı</t>
  </si>
  <si>
    <t>YTD 2025/12 (+0.9): pozitif değer bölüm toplamına pozitif giriyor</t>
  </si>
  <si>
    <t>Aday K6(a): kaynak pozitif (1/0)</t>
  </si>
  <si>
    <t>K6(a) kalem(ler)i</t>
  </si>
  <si>
    <t>Aday K11(d): köprü çelişkisi (1/0)</t>
  </si>
  <si>
    <t>K11(d) kalem(ler)i</t>
  </si>
  <si>
    <t>K6(a) şu an düşülen tutarı 0'a çeker (1/0)</t>
  </si>
  <si>
    <t>Anomali / |FCF| (formül)</t>
  </si>
  <si>
    <t>Önem dilimi (formül)</t>
  </si>
  <si>
    <t>Politika-1 statü: kaynak pozitif → KOŞULLU (formül)</t>
  </si>
  <si>
    <t>Politika-2 statü: kaynak pozitif → KESİN + not (formül)</t>
  </si>
  <si>
    <t>P1'de statü değişti (formül)</t>
  </si>
  <si>
    <t>P2'de statü değişti (formül)</t>
  </si>
  <si>
    <t>Kira anapara + MDV+MODV alımı</t>
  </si>
  <si>
    <t>Kira anapara + YAGM alımı</t>
  </si>
  <si>
    <t>Aşama</t>
  </si>
  <si>
    <t>V7 kullanılan (mn TL)</t>
  </si>
  <si>
    <t>Mevcut K6 tetikledi: TTM pozitif → satır 0 (1/0)</t>
  </si>
  <si>
    <t>Kanıt düzeyi</t>
  </si>
  <si>
    <t>Mekanizma / kanıt özeti</t>
  </si>
  <si>
    <t>K6(a) sonrası "0" değeri doğru mu</t>
  </si>
  <si>
    <t>P0 mevcut: statü (formül)</t>
  </si>
  <si>
    <t>P1: statü (formül)</t>
  </si>
  <si>
    <t>P2: statü (formül)</t>
  </si>
  <si>
    <t>P0 sonuç (formül)</t>
  </si>
  <si>
    <t>P1 sonuç (formül)</t>
  </si>
  <si>
    <t>P2 sonuç (formül)</t>
  </si>
  <si>
    <t>Kademe-1 (pilot)</t>
  </si>
  <si>
    <t>DOĞRU görünüyor</t>
  </si>
  <si>
    <t>Temiz (tetik yok)</t>
  </si>
  <si>
    <t>DESTEKSİZ</t>
  </si>
  <si>
    <t>M2 köprü kırığı (TTM&gt;0)</t>
  </si>
  <si>
    <t>Temiz (negatif kontrol)</t>
  </si>
  <si>
    <t>Tetik yok; kör nokta adayı (H1'25 noktası sonraki raporlarla çelişiyor)</t>
  </si>
  <si>
    <t>YANLIŞ (alt sınır)</t>
  </si>
  <si>
    <t>M3 köprü kırığı (TTM&lt;0)</t>
  </si>
  <si>
    <t>BELGELİ (PDF 2025/03 + 2026/06, satır-sütun hizası yeniden doğrulandı)</t>
  </si>
  <si>
    <t>Kaynak pozitif belge düzeyinde: pozitif tutar raporda kira satırının üzerinde. İçerik kira değil (satır notu 5-7; kira borcu 6,9–16,3 mn; ihraç edilmiş borçlanma araçları 436–865 mn). Kira ödemesi ayrıştırılamıyor; V7 0 değeri en çok ≈%1 |FCF| sapmalı. Temiz karşı-örnek değil, sayısal olarak önemsiz.</t>
  </si>
  <si>
    <t>ÖNEMSİZ FARK</t>
  </si>
  <si>
    <t>M1 kaynak pozitif: Evo kalemi birden çok satırın neti</t>
  </si>
  <si>
    <t>M3 köprü kırığı (TTM&lt;0) + CFO↔yatırım ayna</t>
  </si>
  <si>
    <t>YANLIŞ STATÜ (belgeli)</t>
  </si>
  <si>
    <t>M4 kaynak pozitif + CFO↔yatırım ayna</t>
  </si>
  <si>
    <t>YANLIŞ (belgeli)</t>
  </si>
  <si>
    <t>MUHTEMELEN YANLIŞ</t>
  </si>
  <si>
    <t>M5 net satır (alım−satım)</t>
  </si>
  <si>
    <t>EKSİK (belgeli)</t>
  </si>
  <si>
    <t>KOPOL</t>
  </si>
  <si>
    <t>M6 gömülü satır (K10 alanı, K6 değil)</t>
  </si>
  <si>
    <t>YANLIŞ (alt sınır, kısmi kanıt)</t>
  </si>
  <si>
    <t>DOĞRU (belgeli)</t>
  </si>
  <si>
    <t>DOĞRU (aritmetik)</t>
  </si>
  <si>
    <t>KIMMR</t>
  </si>
  <si>
    <t>M7 sunum değişikliği 2026/06 (kira CFO→CFF, karşılaştırmalı yeniden sınıflanmış)</t>
  </si>
  <si>
    <t>MUHTEMELEN DOĞRU</t>
  </si>
  <si>
    <t>BELGELİ (2025/06 s.9; 2026/06 s.8; 2025/12 s.11)</t>
  </si>
  <si>
    <t>Evo kalemi 2025/06 noktasında alım satırını değil yatırım bölümü toplamını taşıyor (+1.357,2). Raporda alım satırı negatif: (22,4) [2026/06 raporu, karşılaştırmalı, yeniden düzenlenmiş]. K6 satırı düşürdü → capex 0; alım satırlarıyla köprü ≈120,7.</t>
  </si>
  <si>
    <t>HAYIR (≈120,7)</t>
  </si>
  <si>
    <t>BELGELİ (2026/06 s.8; 2025/12 s.11)</t>
  </si>
  <si>
    <t>YTD_önceki (+1.357,2) ve YTD_cari (−26,2) Evo'da bölüm toplamı; raporda alım satırı (26,3)/(22,4). V7 capex 1.439,0 kullandı; alım satırlarıyla TTM ≈59,6. FCF −683,0 KESİN → ≈ +696. Karşılaştırmalı sütun "Yeniden Düzenlenmiş (*)" — CFO tabanı da değişmiş (ayrı K11 konusu).</t>
  </si>
  <si>
    <t>HAYIR (≈59,6)</t>
  </si>
  <si>
    <t>BELGELİ (2025/12 s.16; 2026/06 s.10)</t>
  </si>
  <si>
    <t>Yıllık rapor FY2025 alımı 987 mn (Evo 1.162,3); 2026/06 raporunun karşılaştırmalı H1'25 alımı 3.925,4. Yıllık tutar aynı yılın yarıyıl tutarının altında. Hangi tabanın doğru olduğu belirsiz; V7 FCF 985,8 KESİN desteklenemiyor.</t>
  </si>
  <si>
    <t>KISMİ BELGE (FY2025 belgeli; Q1'25 karşılaştırmalı Evo)</t>
  </si>
  <si>
    <t>FY−1 (1.162,3) &lt; YTD−1 (2.071,0). V7 capex 593,2 &lt; YTD_cari 1.502,0.</t>
  </si>
  <si>
    <t>FY−1 (1.162,3) &lt; YTD−1 (3.925,4). V7 capex 578,9 &lt; YTD_cari 3.342,0; FCF −1.391,8 KESİN.</t>
  </si>
  <si>
    <t>BELGELİ (2024/12 s.14; 2025/09 s.8)</t>
  </si>
  <si>
    <t>FY2024 (403,6) &lt; 9A'24 karşılaştırmalı (425,0). V7 capex 282,8 &lt; YTD_cari 304,2; fark ≥21,4, |FCF| 15,9. %5 eşiğinin hemen üstü (%5,03).</t>
  </si>
  <si>
    <t>BELGELİ (2024/12 s.7; 2025/06 s.7)</t>
  </si>
  <si>
    <t>FY2024 (12,5) &lt; H1'24 karşılaştırmalı (13,6). Fark 1,05 mn (1 mn eşiğinin hemen üstü), |FCF| 21,95 (%4,8).</t>
  </si>
  <si>
    <t>BELGELİ (2025/12 NA sayfası; 2026/06 s.7)</t>
  </si>
  <si>
    <t>FY2025 (16.568,2) &lt; H1'25 karşılaştırmalı (16.920,5). Fark 352,3 mn; |YTD−1|'in %2,1'i (eşik altı), TTM capex'in %27'si, |FCF|'in %3,3'ü. V7 FCF başka nedenle zaten KOŞULLU.</t>
  </si>
  <si>
    <t>BELGELİ (2025/06 s.8; 2025/09 s.7; 2025/12 s.11; 2026/06 s.8)</t>
  </si>
  <si>
    <t>Net/yeniden sunulan alım satırı: Kümülatif alım Q1→H1 geriliyor (−17,7 → −15,9); çeyrek +1,8. |FCF| 599,8 (%0,3).</t>
  </si>
  <si>
    <t>Net/yeniden sunulan alım satırı: GEM K6 örneği: çeyrek +7,2 (kümülatif −15,9 → −8,7). TTM capex 21,8; CFO 820,6 (%0,9). V7 FCF NULL.</t>
  </si>
  <si>
    <t>Net/yeniden sunulan alım satırı: FY (15,0) &lt; Q1 kümülatifi (17,7); FY raporunda satır etiketi "… Nakit Çıkışları, Net". |FCF| 614,1 (%0,4).</t>
  </si>
  <si>
    <t>Net/yeniden sunulan alım satırı: TTM +1,9 (FY−1 15,0 &lt; YTD−1 17,7; fark 2,7). CFO 859,8 (%0,3). V7 FCF NULL.</t>
  </si>
  <si>
    <t>Net/yeniden sunulan alım satırı: FY−1 (15,0) &lt; YTD−1 (15,9); fark 0,935 mn (1 mn eşiğinin hemen altı; %5,9). V7 FCF NULL.</t>
  </si>
  <si>
    <t>BELGELİ (2024/12 s.8; 2025/06 s.10)</t>
  </si>
  <si>
    <t>H1'25 YAGM alımı "-"; FY2024 (66,9) ile H1'24 karşılaştırmalı (70,1) arasındaki 3,2 mn fark TTM'yi +3,2 yapıyor. K6 satırı düşürdü → 0; doğru değer ≈0. Fark |YTD−1|'in %4,5'i (eşik altı), capex'in %0,08'i.</t>
  </si>
  <si>
    <t>EVET</t>
  </si>
  <si>
    <t>KISMİ BELGE (PDF 2025/03: Q1'25 ve Q1'24; diğer noktalar Evo)</t>
  </si>
  <si>
    <t>Pozitif nokta yalnız YTD_önceki (Q1'24 karşılaştırmalı +76,0 bin TL → Evo +106,5); köprüde çıkarıldığı için pencere dışında kalıyor. Pencere çeyrekleri −34,2/−97,6/−74,9/−79,5; TTM = 286,2 dört çıkış çeyreğinin toplamı.</t>
  </si>
  <si>
    <t>HAYIR (286,2 doğru)</t>
  </si>
  <si>
    <t>BELGELİ, hizalama belirsiz (2025/03 s.7 + PDF; iki metin çıkarımı diğer satırlarda farklı)</t>
  </si>
  <si>
    <t>Kira satırı (17,5)/+253,0 (Q1'24 karşılaştırmalı). Pozitif nokta köprüde çıkarılıyor; ardından gelen çeyrek −421,1 (olağan çeyrekler −55/−68). Q1'24 girişi gerçekse ve Q2'de geri ödendiyse V7 doğru; karşılaştırmalı sütun kaymışsa V7 ≥354 mn fazla düşüyor.</t>
  </si>
  <si>
    <t>BELGELİ (2025/03 NA sayfası)</t>
  </si>
  <si>
    <t>Satır etiketi "Kiralama Sözleşmelerine İlişkin Nakit Girişleri/(Çıkışları)" — net satır. Q1'25 +18,8 mn (Evo +26,3) net giriş pencere içinde; V7 kira 183,5 brüt ödemeyi ≥26,3 eksik gösterir (%1,8 |FCF|). Köprü tabanı tutarlı.</t>
  </si>
  <si>
    <t>HAYIR (0 daha kötü)</t>
  </si>
  <si>
    <t>Mevcut K6 tetikledi (1/0)</t>
  </si>
  <si>
    <t>Kaynak pozitif (1/0)</t>
  </si>
  <si>
    <t>Köprü çelişkisi K11(d) (1/0)</t>
  </si>
  <si>
    <t>V7 K11 notu</t>
  </si>
  <si>
    <t>A · K6 tetiklenmedi, statü KESİN/TÜRETİLMİŞ</t>
  </si>
  <si>
    <t>boş</t>
  </si>
  <si>
    <t>B · K6 tetikledi (satır 0), statü KESİN/TÜRETİLMİŞ, sonuç yanlış</t>
  </si>
  <si>
    <t>C · V7 başka nedenle KOŞULLU</t>
  </si>
  <si>
    <t>C · V7 başka nedenle NULL</t>
  </si>
  <si>
    <t>Sınır vakası</t>
  </si>
  <si>
    <t>Kod · Kalem · Dönem</t>
  </si>
  <si>
    <t>Ham değerler (mn TL, Evo)</t>
  </si>
  <si>
    <t>Mevcut K6 / K11 sonucu</t>
  </si>
  <si>
    <t>Aday K6(a) / K11(d) sonucu (pilot taslağı)</t>
  </si>
  <si>
    <t>Belge</t>
  </si>
  <si>
    <t>Gözlem</t>
  </si>
  <si>
    <t>1a. PCILT tek-çeyrek anomalisi (GEM K6 örneği)</t>
  </si>
  <si>
    <t>PCILT · MDV+MODV alımı · 2025/09</t>
  </si>
  <si>
    <t>YTD −8,710 | FY−1 −44,100 | YTD−1 −30,962 | TTM −21,848 | pencere çeyrekleri −13,137 / −17,698 / +1,791 / +7,196</t>
  </si>
  <si>
    <t>K6 sessiz (TTM &lt; 0). GEM: "tek çeyrek anomalisi KOŞULLU yapmaz". V7 FCF NULL (kira nedeniyle).</t>
  </si>
  <si>
    <t>Sessiz: kaynak ≤ 0; FY−1 − YTD−1 = −13,1.</t>
  </si>
  <si>
    <t>2025/06 s.8: (12.040.491); 2025/09 s.7: (7.087.765); 2025/12 s.11: "… Nakit Çıkışları, Net" (12.713.974). Evo değerleri bu satırların karşılığı.</t>
  </si>
  <si>
    <t>Tek çeyrek değil: 2025 içinde iki ardışık raporda kümülatif alım geriliyor (Evo dizisi −17,7 → −15,9 → −8,7 → −15,0) ve yıllık tutar Q1 kümülatifinin altında; yıllık raporda satır "Net". Etki 7,2 mn: TTM capex'in %33'ü ama CFO'nun (820,6) %0,9'u → FCF açısından önemsiz; GEM'in "KOŞULLU yapmaz" hükmü bu satırda sayısal olarak savunulabilir. Aday kural bu sınıfı (cari yıl kümülatif gerilemesi) hiç görmüyor.</t>
  </si>
  <si>
    <t>1b. Aynı sınıf, önemli tutar</t>
  </si>
  <si>
    <t>NTHOL · MDV+MODV alımı · 2025/12</t>
  </si>
  <si>
    <t>YTD (=FY) −1.162,3 | aynı yılın Q1 / H1 / 9A kümülatifleri −2.071,0 / −3.925,4 / −5.650,8 | Q4 "çeyreği" +4.488,5</t>
  </si>
  <si>
    <t>K6 sessiz (yıllık tutar negatif). V7 capex 1.162,3; FCF 985,8 KESİN.</t>
  </si>
  <si>
    <t>Sessiz: yıllık pencerede yalnız YTD'ye bakılıyor.</t>
  </si>
  <si>
    <t>2025/12 s.16: (986.989) bin TL; 2026/06 s.10 karşılaştırmalı H1'25: (3.925.405) bin TL.</t>
  </si>
  <si>
    <t>Yıllık tutar aynı yılın yarıyıl tutarının altında. "Tek çeyrek KOŞULLU yapmaz" hükmü burada önemli bir çelişkiyi KESİN bırakıyor. PCILT ile aynı mekanizma, farklı önem → tek-çeyrek hükmü önem ölçüsü olmadan iki yöne de yanlış çalışabiliyor.</t>
  </si>
  <si>
    <t>2a. 1 mn eşiğinin hemen altı</t>
  </si>
  <si>
    <t>PCILT · MDV+MODV alımı · 2026/06</t>
  </si>
  <si>
    <t>YTD −7,945 | FY−1 −14,971 | YTD−1 −15,906 | TTM −7,010 | fark 0,935 (%5,9)</t>
  </si>
  <si>
    <t>K6 sessiz. V7 FCF NULL.</t>
  </si>
  <si>
    <t>Sessiz: fark &lt; 1 mn.</t>
  </si>
  <si>
    <t>2025/12 s.11: (12.713.974); 2026/06 s.8: (7.945.721) / (15.906.770).</t>
  </si>
  <si>
    <t>TTM (7,0) kendi YTD'sinin (7,9) altında; fark TTM capex'in %13'ü, CFO'nun %0,1'i. Evrende yalnız 1 mn tabanı yüzünden eşiği geçemeyen KESİN/TÜRETİLMİŞ 9 satırın tamamında fark |FCF|'in %1'inden küçük → 1 mn tabanı örneklemde zarar vermiyor.</t>
  </si>
  <si>
    <t>2b. 1 mn eşiğinin hemen üstü</t>
  </si>
  <si>
    <t>TEKTU · MDV+MODV alımı · 2025/06</t>
  </si>
  <si>
    <t>YTD −18,185 | FY−1 −12,511 | YTD−1 −13,563 | TTM −17,133 | fark 1,052 (%7,8)</t>
  </si>
  <si>
    <t>K6 sessiz. V7 capex 17,134; FCF −21,954 KESİN.</t>
  </si>
  <si>
    <t>K11(d) tetikler.</t>
  </si>
  <si>
    <t>2024/12 s.7: (8.117.195); 2025/06 s.7: (13.765.314) / (10.266.719).</t>
  </si>
  <si>
    <t>Fark |FCF|'in %4,8'i. Eşiğin hemen üstünde yakalanan vaka küçük ama gerçek.</t>
  </si>
  <si>
    <t>3a. %5 eşiğinin hemen altı — büyük tutar</t>
  </si>
  <si>
    <t>SASA · MDV+MODV alımı · 2026/06</t>
  </si>
  <si>
    <t>YTD −1.674,4 | FY−1 −16.568,2 | YTD−1 −16.920,5 | TTM −1.322,1 | fark 352,3 (%2,1)</t>
  </si>
  <si>
    <t>K6 sessiz. V7 capex 1.322,1; FCF −10.641,4 (başka nedenle KOŞULLU).</t>
  </si>
  <si>
    <t>Sessiz: fark &lt; %5 |YTD−1|.</t>
  </si>
  <si>
    <t>2025/12 NA sayfası: (14.069.450) bin TL; 2026/06 s.7: (1.674.379) / (16.920.467) bin TL.</t>
  </si>
  <si>
    <t>Fark TTM capex'in %27'si, |FCF|'in %3,3'ü. Eşik tabanı |YTD_önceki| olduğu için, önceki yılı çok yüksek capex'li şirkette 352 mn'lik çelişki eşik altında kalıyor. Belgesiz benzer: GSDHO MDV 2025/09 — fark 117,7 (%4,4), |FCF|'in %34'ü, TÜRETİLMİŞ.</t>
  </si>
  <si>
    <t>3b. %5 eşiğinin hemen altı — temiz</t>
  </si>
  <si>
    <t>TKFEN · YAGM alımı · 2025/06</t>
  </si>
  <si>
    <t>YTD 0 | FY−1 −66,931 | YTD−1 −70,121 | TTM +3,190 | fark 3,190 (%4,5)</t>
  </si>
  <si>
    <t>K6 tetikledi → satır 0, KESİN. Değer doğru (H1'25 alım "-").</t>
  </si>
  <si>
    <t>K6(b) K11'e yönlendiriyor; K11(d) eşiği geçmiyor → TANIMSIZ.</t>
  </si>
  <si>
    <t>2024/12 s.8: (43.423) bin TL; 2025/06 s.10: "-" / (53.078) bin TL.</t>
  </si>
  <si>
    <t>Mevcut K6'nın doğru sonuç verdiği belgeli vaka. Aday metin TTM &gt; 0 olup eşiği geçmeyen satırı tanımsız bırakıyor (evrende 9 satır). Eşik kaldırılırsa bu satır yanlış alarm olur (fark capex'in %0,08'i).</t>
  </si>
  <si>
    <t>3c. %5 eşiğinin hemen üstü</t>
  </si>
  <si>
    <t>GSDDE · MDV+MODV alımı · 2025/09</t>
  </si>
  <si>
    <t>YTD −304,188 | FY−1 −403,618 | YTD−1 −425,010 | TTM −282,796 | fark 21,392 (%5,03)</t>
  </si>
  <si>
    <t>K6 sessiz. V7 capex 282,798; FCF −15,911 KESİN.</t>
  </si>
  <si>
    <t>2024/12 s.14: (261,854) bin TL; 2025/09 s.8: (247,532) / (345,850) bin TL.</t>
  </si>
  <si>
    <t>Fark |FCF|'i aşıyor (FCF işareti belirsiz). Eşik %5,03 ile kıl payı geçiliyor; %5 yerine %5,1 olsaydı kaçardı. Eşiğin |YTD_önceki| yerine FCF/CFO'ya bağlanması gerektiğine işaret eden çift: SASA (altında, büyük) ↔ GSDDE (üstünde, FCF'e göre çok büyük).</t>
  </si>
  <si>
    <t>4. TTM işareti değişmeden baz kırığı</t>
  </si>
  <si>
    <t>NTHOL · MDV+MODV alımı · 2026/06</t>
  </si>
  <si>
    <t>YTD −3.342,0 | FY−1 −1.162,3 | YTD−1 −3.925,4 | TTM −578,9 | fark 2.763,1 (%70)</t>
  </si>
  <si>
    <t>K6 sessiz, K10 sessiz (4/4), K11 notu boş. V7 capex 578,9; FCF −1.391,8 KESİN.</t>
  </si>
  <si>
    <t>2025/12 s.16: (986.989) bin TL; 2026/06 s.10: (3.341.994) / (3.925.405) bin TL.</t>
  </si>
  <si>
    <t>V7'nin TTM capex'i tek başına cari yarıyıl alımının altıda biri. Kira tarafındaki TBORG 2025/09'un capex eşleniği; evrende R6 çekirdekte 105 satırın 57'si bu türden (TTM negatif).</t>
  </si>
  <si>
    <t>5a. Pozitif kaynak, ekonomik olarak temiz</t>
  </si>
  <si>
    <t>VESBE · Kira anapara · 2025/03</t>
  </si>
  <si>
    <t>YTD −79,482 | FY−1 −100,214 | YTD−1 +106,479 | TTM −286,175 | pencere çeyrekleri −34,188 / −97,593 / −74,912 / −79,482</t>
  </si>
  <si>
    <t>K6 sessiz. V7 kira 286,177; FCF 4.165,6 KESİN.</t>
  </si>
  <si>
    <t>K6(a) tetikler: satır kullanılmaz (0) + P1'de KOŞULLU.</t>
  </si>
  <si>
    <t>PDF 2025/03 (bin TL): kira satırı (56.755) / 76.032.</t>
  </si>
  <si>
    <t>Pozitif tutar yalnız karşılaştırmalı Q1'24 sütununda ve köprüde çıkarıldığı için pencere dışında; TTM dört çıkış çeyreğinin toplamı. Aday K6(a) burada yanlış alarm üretir ve doğru 286,2'lik indirimi siler. Evrende A sınıfı 80 satırın 26'sında pozitif nokta pencere dışında (pencere çeyrekleri ≤ 0); bunların içinde ALCAR 2026/06 gibi kanıtlı hata da var → işaret katmanı tek başına ayırmıyor.</t>
  </si>
  <si>
    <t>5b. KARTN yeniden doğrulama</t>
  </si>
  <si>
    <t>KARTN · Kira anapara · 6 dönem</t>
  </si>
  <si>
    <t>2025: +60,9 / +94,8 / +136,1 / +158,1; 2026: +51,3 / +84,9</t>
  </si>
  <si>
    <t>K6 tetikledi → satır 0, KESİN.</t>
  </si>
  <si>
    <t>K6(a) tetikler.</t>
  </si>
  <si>
    <t>PDF 2025/03: kira satırı 43.518.256 / (826.379); PDF 2026/06: 84.901.784 / 94.757.264 (not 5-7); bilanço kira borcu 16,3 mn (03/25), 12,3 mn (12/25), 6,9 mn (06/26); ihraç edilmiş borçlanma araçları 865 mn → 436 mn.</t>
  </si>
  <si>
    <t>Satır-sütun hizası doğru: pozitif tutar raporda gerçekten kira satırının üzerinde (Evo kayması değil). Ama içerik kira olamaz: kira borcu toplamı 7–16 mn iken satırda dönem başına 43–85 mn giriş var; satır notu ilişkili taraf borçlanmalarıyla aynı. KARTN "gerçek kira girişi" karşı-örneği DEĞİLDİR. V7'nin 0'ı sayısal olarak zararsız (olası kira ödemesi |FCF|'in ≈%1'i altında).</t>
  </si>
  <si>
    <t>5c. Net sunulan kira satırı</t>
  </si>
  <si>
    <t>DYOBY · Kira anapara · 2025/03</t>
  </si>
  <si>
    <t>YTD +26,288 | FY−1 −225,660 | YTD−1 −15,904 | TTM −183,468</t>
  </si>
  <si>
    <t>K6 sessiz. V7 kira 183,466; FCF 1.482,6 KESİN.</t>
  </si>
  <si>
    <t>K6(a) tetikler: satır 0.</t>
  </si>
  <si>
    <t>2025/03 NA sayfası: "Kiralama Sözleşmelerine İlişkin Nakit Girişleri/(Çıkışları)" 18.771.589 / (11.356.796).</t>
  </si>
  <si>
    <t>Şirket satırı net sunuyor; köprü tabanı tutarlı. V7 değeri brüt ödemeyi en az 26,3 (|FCF|'in %1,8'i) eksik gösterir; satırı 0'a çekmek hatayı büyütür.</t>
  </si>
  <si>
    <t>6. Belirsiz kalan</t>
  </si>
  <si>
    <t>BANVT · Kira anapara · 2025/03</t>
  </si>
  <si>
    <t>YTD −24,502 | FY−1 −189,457 | YTD−1 +354,310 | TTM −568,269 | pencere çeyrekleri −421,075 / −54,709 / −67,982 / −24,502</t>
  </si>
  <si>
    <t>K6 sessiz. V7 kira 568,269; FCF 5.420,0 TÜRETİLMİŞ.</t>
  </si>
  <si>
    <t>2025/03 s.7 + PDF: kira satırı (17.495.680) / 252.995.166; diğer finansman satırlarının eşleşmesi iki metin çıkarımında farklı.</t>
  </si>
  <si>
    <t>Q1'24'teki +253 mn gerçek bir giriş olup Q2'24'te geri ödendiyse V7 doğru; karşılaştırmalı sütun kaymışsa V7 en az 354 mn fazla düşüyor. Belgeden ayrıştırılamadı → hüküm verilmedi.</t>
  </si>
  <si>
    <t>Rapor</t>
  </si>
  <si>
    <t>Kaynak</t>
  </si>
  <si>
    <t>Birim</t>
  </si>
  <si>
    <t>Satır etiketi (rapordaki)</t>
  </si>
  <si>
    <t>Cari sütun</t>
  </si>
  <si>
    <t>Karşılaştırmalı sütun</t>
  </si>
  <si>
    <t>Evo'daki karşılığı (mn TL): cari / önceki</t>
  </si>
  <si>
    <t>Evo değeri bu satır mı?</t>
  </si>
  <si>
    <t>Not</t>
  </si>
  <si>
    <t>PDF (özgün rapor), nakit akış tablosu</t>
  </si>
  <si>
    <t>TL</t>
  </si>
  <si>
    <t>Borçlanmadan kaynaklanan nakit girişleri</t>
  </si>
  <si>
    <t>16.971.356</t>
  </si>
  <si>
    <t>143.534.156</t>
  </si>
  <si>
    <t>+23,767 / +201,014</t>
  </si>
  <si>
    <t>PDF, nakit akış tablosu</t>
  </si>
  <si>
    <t>Kira sözleşmelerinden kaynaklanan borç ödemelerine ilişkin nakit çıkışları</t>
  </si>
  <si>
    <t>43.518.256</t>
  </si>
  <si>
    <t>(826.379)</t>
  </si>
  <si>
    <t>+60,945 / −1,157</t>
  </si>
  <si>
    <t>Pozitif tutar rapor satırının kendisinde.</t>
  </si>
  <si>
    <t>Ödenen temettüler</t>
  </si>
  <si>
    <t>(1.138.789)</t>
  </si>
  <si>
    <t>(119.181)</t>
  </si>
  <si>
    <t>−1,595 / −0,167</t>
  </si>
  <si>
    <t>Finansman toplamı 59.350.823 = üç satırın toplamı.</t>
  </si>
  <si>
    <t>PDF, bilanço</t>
  </si>
  <si>
    <t>Kiralama işlemlerinden borçlar (KV / UV)</t>
  </si>
  <si>
    <t>2.163.583 / 14.159.967</t>
  </si>
  <si>
    <t>1.453.826 / 10.226.352</t>
  </si>
  <si>
    <t>—</t>
  </si>
  <si>
    <t>Kira borcu toplamı 16,3 mn; satırdaki 43,5 mn giriş kira olamaz.</t>
  </si>
  <si>
    <t>Borç ödemelerine ilişkin nakit çıkışları (not 5-7)</t>
  </si>
  <si>
    <t>(413.166.376)</t>
  </si>
  <si>
    <t>-</t>
  </si>
  <si>
    <t>−413,166 / —</t>
  </si>
  <si>
    <t>Kira sözleşmelerinden kaynaklanan borç ödemelerine ilişkin nakit çıkışları (not 5-7)</t>
  </si>
  <si>
    <t>84.901.784</t>
  </si>
  <si>
    <t>94.757.264</t>
  </si>
  <si>
    <t>+84,902 / +94,757</t>
  </si>
  <si>
    <t>İki sütun da pozitif; hizalama satır bazında doğrulandı.</t>
  </si>
  <si>
    <t>1.289.823 / 5.577.923</t>
  </si>
  <si>
    <t>1.998.313 / 10.329.634</t>
  </si>
  <si>
    <t>İhraç edilmiş borçlanma araçları KV 121.968.805 / 243.760.439; UV 314.497.652 / 621.416.720.</t>
  </si>
  <si>
    <t>Evo belge parçası 62241, s.8</t>
  </si>
  <si>
    <t>Maddi ve Maddi Olmayan Varlıkların Alımından Kaynaklanan Nakit Çıkışları</t>
  </si>
  <si>
    <t>(12.040.491)</t>
  </si>
  <si>
    <t>(21.225.533)</t>
  </si>
  <si>
    <t>−15,906 / −28,041</t>
  </si>
  <si>
    <t>Evo belge parçası 9548, s.7</t>
  </si>
  <si>
    <t>(7.087.765)</t>
  </si>
  <si>
    <t>(25.195.553)</t>
  </si>
  <si>
    <t>−8,710 / −30,962</t>
  </si>
  <si>
    <t>Rapor sınırlı denetimden geçmemiş.</t>
  </si>
  <si>
    <t>Evo belge parçası 1970306, s.11</t>
  </si>
  <si>
    <t>Maddi ve Maddi Olmayan Varlıkların Alımından Kaynaklanan Nakit Çıkışları, Net</t>
  </si>
  <si>
    <t>(12.713.974)</t>
  </si>
  <si>
    <t>(37.449.200)</t>
  </si>
  <si>
    <t>−14,971 / —</t>
  </si>
  <si>
    <t>Etikette "Net". Satış satırı da "Net": 15.894.385 / 8.330.585.</t>
  </si>
  <si>
    <t>Evo belge parçası 2465770, s.8</t>
  </si>
  <si>
    <t>(7.945.721)</t>
  </si>
  <si>
    <t>(15.906.770)</t>
  </si>
  <si>
    <t>−7,945 / −15,906</t>
  </si>
  <si>
    <t>Evo belge parçası 1954974, s.16</t>
  </si>
  <si>
    <t>bin TL</t>
  </si>
  <si>
    <t>Maddi ve Maddi Olmayan Duran Varlıkların Alımından Kaynaklanan Nakit Çıkışları</t>
  </si>
  <si>
    <t>(986.989)</t>
  </si>
  <si>
    <t>(12.721.036)</t>
  </si>
  <si>
    <t>−1.162,277 / —</t>
  </si>
  <si>
    <t>Alt satırlar: MDV (873.829), MODV (113.160). YAGM alımı (711.717); diğer uzun vadeli varlık alımı (1.430.386).</t>
  </si>
  <si>
    <t>Evo belge parçası 2459538, s.10</t>
  </si>
  <si>
    <t>(3.341.994)</t>
  </si>
  <si>
    <t>(3.925.405)</t>
  </si>
  <si>
    <t>−3.341,994 / −3.925,405</t>
  </si>
  <si>
    <t>Karşılaştırmalı H1'25 tutarı, FY2025 raporundaki yıllık tutarın üzerinde.</t>
  </si>
  <si>
    <t>Evo belge parçası 1956350</t>
  </si>
  <si>
    <t>Maddi ve Maddi Olmayan Duran Varlık Alımından Kaynaklanan Nakit Çıkışları</t>
  </si>
  <si>
    <t>(14.069.450)</t>
  </si>
  <si>
    <t>(39.349.830)</t>
  </si>
  <si>
    <t>−16.568,171 / —</t>
  </si>
  <si>
    <t>Evo belge parçası 2402320, s.7</t>
  </si>
  <si>
    <t>(1.674.379)</t>
  </si>
  <si>
    <t>(16.920.467)</t>
  </si>
  <si>
    <t>−1.674,379 / −16.920,467</t>
  </si>
  <si>
    <t>2024/12</t>
  </si>
  <si>
    <t>Evo belge parçası 176534, s.14</t>
  </si>
  <si>
    <t>(261,854)</t>
  </si>
  <si>
    <t>(799,034)</t>
  </si>
  <si>
    <t>−403,618 / —</t>
  </si>
  <si>
    <t>Evo belge parçası 16175, s.8</t>
  </si>
  <si>
    <t>(247,532)</t>
  </si>
  <si>
    <t>(345,850)</t>
  </si>
  <si>
    <t>−304,188 / −425,010</t>
  </si>
  <si>
    <t>Evo belge parçası 191500, s.7</t>
  </si>
  <si>
    <t>Maddi ve maddi olmayan duran varlık alımından kaynaklanan nakit çıkışları</t>
  </si>
  <si>
    <t>(8.117.195)</t>
  </si>
  <si>
    <t>(104.650.017)</t>
  </si>
  <si>
    <t>−12,511 / —</t>
  </si>
  <si>
    <t>Evo belge parçası 81653, s.7</t>
  </si>
  <si>
    <t>(13.765.314)</t>
  </si>
  <si>
    <t>(10.266.719)</t>
  </si>
  <si>
    <t>−18,185 / −13,563</t>
  </si>
  <si>
    <t>Evo belge parçası 96541, s.9</t>
  </si>
  <si>
    <t>B. Yatırım faaliyetleri toplamı / MDV+MODV alımı</t>
  </si>
  <si>
    <t>(16.948.548) / (16.948.548)</t>
  </si>
  <si>
    <t>(96.597.397) / (98.610.555)</t>
  </si>
  <si>
    <t>Evo 2025/06 noktası +1.357,150</t>
  </si>
  <si>
    <t>HAYIR</t>
  </si>
  <si>
    <t>Evo 2025/06 değeri bu rapordan değil, 2026/06 raporunun karşılaştırmalı sütunundaki YATIRIM TOPLAMINDAN geliyor.</t>
  </si>
  <si>
    <t>Evo belge parçası 1250143, s.11</t>
  </si>
  <si>
    <t>Maddi Duran Varlık Alımı / Maddi Olmayan Duran Varlık Alımı</t>
  </si>
  <si>
    <t>(31.404.100) / (15.900.157)</t>
  </si>
  <si>
    <t>(172.633.310) / (21.508.262)</t>
  </si>
  <si>
    <t>−55,705 / —</t>
  </si>
  <si>
    <t>Evo = iki alım satırının toplamı. Yatırım toplamı 945.364.092; MDV satışı 992.668.349.</t>
  </si>
  <si>
    <t>Evo belge parçası 2386369, s.8</t>
  </si>
  <si>
    <t>Maddi ve maddi olmayan duran varlıkların alımından kaynaklanan nakit çıkışları</t>
  </si>
  <si>
    <t>(26.321.751)</t>
  </si>
  <si>
    <t>(22.390.566)</t>
  </si>
  <si>
    <t>Evo: −26,185 / +1.357,150</t>
  </si>
  <si>
    <t>Evo iki noktada da alım satırını değil "B. Yatırım faaliyetleri" toplamını taşıyor: (26.185.883) / 1.357.150.624. Karşılaştırmalı sütun "Yeniden Düzenlenmiş (*)"; MDV satışı 135.868 / 1.379.541.190.</t>
  </si>
  <si>
    <t>Kiralama Sözleşmelerinden Kaynaklanan Borç Ödemelerine İlişkin Nakit Çıkışları</t>
  </si>
  <si>
    <t>(56.755)</t>
  </si>
  <si>
    <t>76.032</t>
  </si>
  <si>
    <t>−79,482 / +106,479</t>
  </si>
  <si>
    <t>Karşılaştırmalı Q1'24 sütunu pozitif.</t>
  </si>
  <si>
    <t>Evo belge parçası 143739, s.7 + PDF</t>
  </si>
  <si>
    <t>Kira Sözleşmelerinden Kaynaklanan Borç Ödemelerine İlişkin Nakit Çıkışları</t>
  </si>
  <si>
    <t>(17.495.680)</t>
  </si>
  <si>
    <t>252.995.166</t>
  </si>
  <si>
    <t>−24,502 / +354,310</t>
  </si>
  <si>
    <t>EVET (kira satırı)</t>
  </si>
  <si>
    <t>Kira satırı iki metin çıkarımında aynı; diğer finansman satırlarının etiket-rakam eşleşmesi iki çıkarımda farklı → hizalama belirsiz.</t>
  </si>
  <si>
    <t>Evo belge parçası 137982</t>
  </si>
  <si>
    <t>Kiralama Sözleşmelerine İlişkin Nakit Girişleri/(Çıkışları)</t>
  </si>
  <si>
    <t>18.771.589</t>
  </si>
  <si>
    <t>(11.356.796)</t>
  </si>
  <si>
    <t>+26,288 / −15,904</t>
  </si>
  <si>
    <t>Etiket net sunumu açıkça gösteriyor.</t>
  </si>
  <si>
    <t>Evo belge parçası 192780, s.8</t>
  </si>
  <si>
    <t>Yatırım Amaçlı Gayrimenkul Alımından Kaynaklanan Nakit Çıkışları</t>
  </si>
  <si>
    <t>(43.423)</t>
  </si>
  <si>
    <t>(10.005)</t>
  </si>
  <si>
    <t>−66,931 / —</t>
  </si>
  <si>
    <t>Evo belge parçası 9695, s.10</t>
  </si>
  <si>
    <t>(53.078)</t>
  </si>
  <si>
    <t>0 / −70,121</t>
  </si>
  <si>
    <t>Kaynak-pozitif noktalarda bölüm toplamı testi (Evo, bin TL → mn TL). Soru: pozitif değer şirketin kendi bölüm toplamına pozitif mi giriyor, yoksa kalem bölüm toplamının kendisi mi?</t>
  </si>
  <si>
    <t>KİRA satırı &gt; 0 olan şirket-dönemler</t>
  </si>
  <si>
    <t>MDV+MODV veya YAGM alım satırı &gt; 0 olan şirket-dönemler</t>
  </si>
  <si>
    <t>Yıl</t>
  </si>
  <si>
    <t>Ay</t>
  </si>
  <si>
    <t>Finansman toplamı</t>
  </si>
  <si>
    <t>Alt satırlar toplamı</t>
  </si>
  <si>
    <t>Kira satırı</t>
  </si>
  <si>
    <t>Alt toplam = bölüm toplamı (formül)</t>
  </si>
  <si>
    <t>Kira satırı = bölüm toplamı (formül)</t>
  </si>
  <si>
    <t>Yatırım toplamı</t>
  </si>
  <si>
    <t>MDV+MODV alım satırı</t>
  </si>
  <si>
    <t>YAGM alım satırı</t>
  </si>
  <si>
    <t>MDV+MODV satış satırı</t>
  </si>
  <si>
    <t>MDV alım = bölüm toplamı (formül)</t>
  </si>
  <si>
    <t>Alım pozitif &amp; satış negatif (formül)</t>
  </si>
  <si>
    <t>TURGG</t>
  </si>
  <si>
    <t>Özet (kira)</t>
  </si>
  <si>
    <t>Özet (capex)</t>
  </si>
  <si>
    <t>Nokta sayısı</t>
  </si>
  <si>
    <t>Alt toplam bölüm toplamını pozitif değerle tutuyor</t>
  </si>
  <si>
    <t>Alt toplam bölüm toplamını tutuyor</t>
  </si>
  <si>
    <t>Kira satırı = finansman toplamı (tek satır)</t>
  </si>
  <si>
    <t>MDV alım satırı = yatırım toplamı</t>
  </si>
  <si>
    <t>Alım pozitif &amp; satış negatif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</si>
</sst>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0.0%"/>
  </numFmts>
  <fonts count="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/>
    <xf numFmtId="0" fontId="4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Normal="100" workbookViewId="0">
      <selection activeCell="B1" sqref="A1:XFD1048576"/>
    </sheetView>
  </sheetViews>
  <sheetFormatPr defaultColWidth="8.7421875" defaultRowHeight="15" x14ac:dyDescent="0.2"/>
  <cols>
    <col min="1" max="1" width="25.9609375" customWidth="1"/>
    <col min="2" max="2" width="149.9921875" customWidth="1"/>
  </cols>
  <sheetData>
    <row r="1" spans="1:2" x14ac:dyDescent="0.2">
      <c r="A1" s="3" t="s">
        <v>0</v>
      </c>
    </row>
    <row r="3" spans="1:2" ht="30" customHeight="1" x14ac:dyDescent="0.2">
      <c r="A3" s="4" t="s">
        <v>1</v>
      </c>
      <c r="B3" s="5" t="s">
        <v>2</v>
      </c>
    </row>
    <row r="4" spans="1:2" ht="30" customHeight="1" x14ac:dyDescent="0.2">
      <c r="A4" s="4" t="s">
        <v>3</v>
      </c>
      <c r="B4" s="5" t="s">
        <v>4</v>
      </c>
    </row>
    <row r="5" spans="1:2" ht="45" customHeight="1" x14ac:dyDescent="0.2">
      <c r="A5" s="4" t="s">
        <v>5</v>
      </c>
      <c r="B5" s="5" t="s">
        <v>6</v>
      </c>
    </row>
    <row r="6" spans="1:2" ht="45" customHeight="1" x14ac:dyDescent="0.2">
      <c r="A6" s="4" t="s">
        <v>7</v>
      </c>
      <c r="B6" s="5" t="s">
        <v>8</v>
      </c>
    </row>
    <row r="7" spans="1:2" ht="30" customHeight="1" x14ac:dyDescent="0.2">
      <c r="A7" s="4" t="s">
        <v>9</v>
      </c>
      <c r="B7" s="5" t="s">
        <v>10</v>
      </c>
    </row>
    <row r="8" spans="1:2" ht="30" customHeight="1" x14ac:dyDescent="0.2">
      <c r="A8" s="4" t="s">
        <v>11</v>
      </c>
      <c r="B8" s="5" t="s">
        <v>12</v>
      </c>
    </row>
    <row r="9" spans="1:2" ht="30" customHeight="1" x14ac:dyDescent="0.2">
      <c r="A9" s="4" t="s">
        <v>13</v>
      </c>
      <c r="B9" s="5" t="s">
        <v>14</v>
      </c>
    </row>
    <row r="10" spans="1:2" ht="30" customHeight="1" x14ac:dyDescent="0.2">
      <c r="A10" s="4" t="s">
        <v>15</v>
      </c>
      <c r="B10" s="5" t="s">
        <v>16</v>
      </c>
    </row>
    <row r="11" spans="1:2" ht="30" customHeight="1" x14ac:dyDescent="0.2">
      <c r="A11" s="4" t="s">
        <v>17</v>
      </c>
      <c r="B11" s="5" t="s">
        <v>18</v>
      </c>
    </row>
    <row r="12" spans="1:2" ht="30" customHeight="1" x14ac:dyDescent="0.2">
      <c r="A12" s="4" t="s">
        <v>19</v>
      </c>
      <c r="B12" s="5" t="s">
        <v>20</v>
      </c>
    </row>
    <row r="13" spans="1:2" ht="45" customHeight="1" x14ac:dyDescent="0.2">
      <c r="A13" s="4" t="s">
        <v>21</v>
      </c>
      <c r="B13" s="5" t="s">
        <v>22</v>
      </c>
    </row>
    <row r="14" spans="1:2" ht="30" customHeight="1" x14ac:dyDescent="0.2">
      <c r="A14" s="4" t="s">
        <v>23</v>
      </c>
      <c r="B14" s="5" t="s">
        <v>24</v>
      </c>
    </row>
    <row r="15" spans="1:2" ht="30" customHeight="1" x14ac:dyDescent="0.2">
      <c r="A15" s="4" t="s">
        <v>25</v>
      </c>
      <c r="B15" s="5" t="s">
        <v>26</v>
      </c>
    </row>
    <row r="16" spans="1:2" ht="30" customHeight="1" x14ac:dyDescent="0.2">
      <c r="A16" s="4" t="s">
        <v>27</v>
      </c>
      <c r="B16" s="5" t="s">
        <v>28</v>
      </c>
    </row>
    <row r="17" spans="1:2" ht="45" customHeight="1" x14ac:dyDescent="0.2">
      <c r="A17" s="4" t="s">
        <v>29</v>
      </c>
      <c r="B17" s="5" t="s">
        <v>30</v>
      </c>
    </row>
    <row r="18" spans="1:2" ht="30" customHeight="1" x14ac:dyDescent="0.2">
      <c r="A18" s="4" t="s">
        <v>31</v>
      </c>
      <c r="B18" s="5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zoomScaleNormal="100" workbookViewId="0"/>
  </sheetViews>
  <sheetFormatPr defaultColWidth="8.7421875" defaultRowHeight="15" x14ac:dyDescent="0.2"/>
  <cols>
    <col min="1" max="1" width="62.015625" customWidth="1"/>
    <col min="2" max="11" width="16.0078125" customWidth="1"/>
  </cols>
  <sheetData>
    <row r="1" spans="1:9" x14ac:dyDescent="0.2">
      <c r="A1" s="3" t="s">
        <v>33</v>
      </c>
    </row>
    <row r="2" spans="1:9" ht="30" customHeight="1" x14ac:dyDescent="0.2">
      <c r="A2" s="2" t="s">
        <v>34</v>
      </c>
      <c r="B2" s="2"/>
      <c r="C2" s="2"/>
      <c r="D2" s="2"/>
      <c r="E2" s="2"/>
      <c r="F2" s="2"/>
      <c r="G2" s="2"/>
      <c r="H2" s="2"/>
      <c r="I2" s="2"/>
    </row>
    <row r="4" spans="1:9" x14ac:dyDescent="0.2">
      <c r="A4" s="3" t="s">
        <v>35</v>
      </c>
    </row>
    <row r="5" spans="1:9" ht="43.5" customHeight="1" x14ac:dyDescent="0.2">
      <c r="A5" s="6" t="s">
        <v>36</v>
      </c>
      <c r="B5" s="6" t="s">
        <v>37</v>
      </c>
      <c r="C5" s="6" t="s">
        <v>38</v>
      </c>
      <c r="D5" s="6" t="s">
        <v>39</v>
      </c>
    </row>
    <row r="6" spans="1:9" x14ac:dyDescent="0.2">
      <c r="A6" s="4" t="s">
        <v>40</v>
      </c>
      <c r="B6" s="7">
        <f>COUNTIFS(RADAR!$D$2:$D$1192,1,RADAR!$E$2:$E$1192,1)</f>
        <v>537</v>
      </c>
      <c r="C6" s="7">
        <v>204</v>
      </c>
      <c r="D6" s="7">
        <v>488</v>
      </c>
    </row>
    <row r="7" spans="1:9" x14ac:dyDescent="0.2">
      <c r="A7" s="5" t="s">
        <v>41</v>
      </c>
      <c r="B7" s="8">
        <f>SUM(B23:B29)</f>
        <v>684</v>
      </c>
    </row>
    <row r="8" spans="1:9" x14ac:dyDescent="0.2">
      <c r="A8" s="5" t="s">
        <v>42</v>
      </c>
      <c r="B8" s="8">
        <f>B7-B6</f>
        <v>147</v>
      </c>
    </row>
    <row r="9" spans="1:9" x14ac:dyDescent="0.2">
      <c r="A9" s="5" t="s">
        <v>43</v>
      </c>
      <c r="B9" s="8">
        <f>COUNTIFS(RADAR!$D$2:$D$1192,1,RADAR!$E$2:$E$1192,1,RADAR!$B$2:$B$1192,"Kira anapara")</f>
        <v>192</v>
      </c>
    </row>
    <row r="10" spans="1:9" x14ac:dyDescent="0.2">
      <c r="A10" s="5" t="s">
        <v>44</v>
      </c>
      <c r="B10" s="8">
        <f>COUNTIFS(RADAR!$D$2:$D$1192,1,RADAR!$E$2:$E$1192,1,RADAR!$B$2:$B$1192,"MDV+MODV alımı")</f>
        <v>319</v>
      </c>
    </row>
    <row r="11" spans="1:9" x14ac:dyDescent="0.2">
      <c r="A11" s="5" t="s">
        <v>45</v>
      </c>
      <c r="B11" s="8">
        <f>COUNTIFS(RADAR!$D$2:$D$1192,1,RADAR!$E$2:$E$1192,1,RADAR!$B$2:$B$1192,"YAGM alımı")</f>
        <v>26</v>
      </c>
    </row>
    <row r="12" spans="1:9" x14ac:dyDescent="0.2">
      <c r="A12" s="5" t="s">
        <v>46</v>
      </c>
      <c r="B12" s="8">
        <f>COUNTIFS(RADAR!$D$2:$D$1192,1,RADAR!$E$2:$E$1192,1,RADAR!$AU$2:$AU$1192,"KESİN")</f>
        <v>322</v>
      </c>
    </row>
    <row r="13" spans="1:9" x14ac:dyDescent="0.2">
      <c r="A13" s="5" t="s">
        <v>47</v>
      </c>
      <c r="B13" s="8">
        <f>COUNTIFS(RADAR!$D$2:$D$1192,1,RADAR!$E$2:$E$1192,1,RADAR!$AU$2:$AU$1192,"TÜRETİLMİŞ")</f>
        <v>57</v>
      </c>
    </row>
    <row r="14" spans="1:9" x14ac:dyDescent="0.2">
      <c r="A14" s="5" t="s">
        <v>48</v>
      </c>
      <c r="B14" s="8">
        <f>COUNTIFS(RADAR!$D$2:$D$1192,1,RADAR!$E$2:$E$1192,1,RADAR!$AU$2:$AU$1192,"KOŞULLU")</f>
        <v>36</v>
      </c>
    </row>
    <row r="15" spans="1:9" x14ac:dyDescent="0.2">
      <c r="A15" s="5" t="s">
        <v>49</v>
      </c>
      <c r="B15" s="8">
        <f>COUNTIFS(RADAR!$D$2:$D$1192,1,RADAR!$E$2:$E$1192,1,RADAR!$AU$2:$AU$1192,"NULL")</f>
        <v>122</v>
      </c>
    </row>
    <row r="16" spans="1:9" x14ac:dyDescent="0.2">
      <c r="A16" s="5" t="s">
        <v>50</v>
      </c>
      <c r="B16" s="8">
        <f>COUNTIFS(RADAR!$D$2:$D$1192,0,RADAR!$E$2:$E$1192,1)</f>
        <v>94</v>
      </c>
      <c r="C16" s="8">
        <v>41</v>
      </c>
    </row>
    <row r="17" spans="1:9" x14ac:dyDescent="0.2">
      <c r="A17" s="5" t="s">
        <v>51</v>
      </c>
      <c r="B17" s="8">
        <f>COUNTIFS(RADAR!$D$2:$D$1192,1,RADAR!$E$2:$E$1192,0,RADAR!$S$2:$S$1192,1)</f>
        <v>275</v>
      </c>
      <c r="C17" s="8">
        <v>152</v>
      </c>
    </row>
    <row r="18" spans="1:9" x14ac:dyDescent="0.2">
      <c r="A18" s="5" t="s">
        <v>52</v>
      </c>
      <c r="B18" s="8">
        <f>B6+B17</f>
        <v>812</v>
      </c>
    </row>
    <row r="19" spans="1:9" ht="30" customHeight="1" x14ac:dyDescent="0.2">
      <c r="A19" s="2" t="s">
        <v>53</v>
      </c>
      <c r="B19" s="2"/>
      <c r="C19" s="2"/>
      <c r="D19" s="2"/>
      <c r="E19" s="2"/>
      <c r="F19" s="2"/>
      <c r="G19" s="2"/>
      <c r="H19" s="2"/>
      <c r="I19" s="2"/>
    </row>
    <row r="21" spans="1:9" x14ac:dyDescent="0.2">
      <c r="A21" s="3" t="s">
        <v>54</v>
      </c>
    </row>
    <row r="22" spans="1:9" ht="43.5" customHeight="1" x14ac:dyDescent="0.2">
      <c r="A22" s="6" t="s">
        <v>55</v>
      </c>
      <c r="B22" s="6" t="s">
        <v>37</v>
      </c>
      <c r="C22" s="6" t="s">
        <v>38</v>
      </c>
      <c r="D22" s="6" t="s">
        <v>56</v>
      </c>
      <c r="E22" s="6" t="s">
        <v>57</v>
      </c>
      <c r="F22" s="6" t="s">
        <v>58</v>
      </c>
    </row>
    <row r="23" spans="1:9" x14ac:dyDescent="0.2">
      <c r="A23" s="5" t="s">
        <v>59</v>
      </c>
      <c r="B23" s="8">
        <f>COUNTIFS(RADAR!$G$2:$G$1192,1,RADAR!$D$2:$D$1192,1)</f>
        <v>90</v>
      </c>
      <c r="C23" s="8">
        <v>46</v>
      </c>
      <c r="D23" s="8">
        <f>COUNTIFS(RADAR!$G$2:$G$1192,1,RADAR!$D$2:$D$1192,1,RADAR!$AU$2:$AU$1192,"KESİN")+COUNTIFS(RADAR!$G$2:$G$1192,1,RADAR!$D$2:$D$1192,1,RADAR!$AU$2:$AU$1192,"TÜRETİLMİŞ")</f>
        <v>82</v>
      </c>
      <c r="E23" s="8">
        <f>COUNTIFS(RADAR!$G$2:$G$1192,1,RADAR!$D$2:$D$1192,1,RADAR!$F$2:$F$1192,1)</f>
        <v>86</v>
      </c>
      <c r="F23" s="8">
        <f>COUNTIFS(RADAR!$G$2:$G$1192,1,RADAR!$D$2:$D$1192,0)</f>
        <v>0</v>
      </c>
    </row>
    <row r="24" spans="1:9" x14ac:dyDescent="0.2">
      <c r="A24" s="5" t="s">
        <v>60</v>
      </c>
      <c r="B24" s="8">
        <f>COUNTIFS(RADAR!$H$2:$H$1192,1,RADAR!$D$2:$D$1192,1)</f>
        <v>50</v>
      </c>
      <c r="C24" s="8">
        <v>37</v>
      </c>
      <c r="D24" s="8">
        <f>COUNTIFS(RADAR!$H$2:$H$1192,1,RADAR!$D$2:$D$1192,1,RADAR!$AU$2:$AU$1192,"KESİN")+COUNTIFS(RADAR!$H$2:$H$1192,1,RADAR!$D$2:$D$1192,1,RADAR!$AU$2:$AU$1192,"TÜRETİLMİŞ")</f>
        <v>31</v>
      </c>
      <c r="E24" s="8">
        <f>COUNTIFS(RADAR!$H$2:$H$1192,1,RADAR!$D$2:$D$1192,1,RADAR!$F$2:$F$1192,1)</f>
        <v>40</v>
      </c>
      <c r="F24" s="8">
        <f>COUNTIFS(RADAR!$H$2:$H$1192,1,RADAR!$D$2:$D$1192,0)</f>
        <v>0</v>
      </c>
    </row>
    <row r="25" spans="1:9" x14ac:dyDescent="0.2">
      <c r="A25" s="5" t="s">
        <v>61</v>
      </c>
      <c r="B25" s="8">
        <f>COUNTIFS(RADAR!$I$2:$I$1192,1,RADAR!$D$2:$D$1192,1)</f>
        <v>52</v>
      </c>
      <c r="C25" s="8">
        <v>29</v>
      </c>
      <c r="D25" s="8">
        <f>COUNTIFS(RADAR!$I$2:$I$1192,1,RADAR!$D$2:$D$1192,1,RADAR!$AU$2:$AU$1192,"KESİN")+COUNTIFS(RADAR!$I$2:$I$1192,1,RADAR!$D$2:$D$1192,1,RADAR!$AU$2:$AU$1192,"TÜRETİLMİŞ")</f>
        <v>50</v>
      </c>
      <c r="E25" s="8">
        <f>COUNTIFS(RADAR!$I$2:$I$1192,1,RADAR!$D$2:$D$1192,1,RADAR!$F$2:$F$1192,1)</f>
        <v>13</v>
      </c>
      <c r="F25" s="8">
        <f>COUNTIFS(RADAR!$I$2:$I$1192,1,RADAR!$D$2:$D$1192,0)</f>
        <v>0</v>
      </c>
    </row>
    <row r="26" spans="1:9" x14ac:dyDescent="0.2">
      <c r="A26" s="5" t="s">
        <v>62</v>
      </c>
      <c r="B26" s="8">
        <f>COUNTIFS(RADAR!$J$2:$J$1192,1,RADAR!$D$2:$D$1192,1)</f>
        <v>62</v>
      </c>
      <c r="C26" s="8">
        <v>38</v>
      </c>
      <c r="D26" s="8">
        <f>COUNTIFS(RADAR!$J$2:$J$1192,1,RADAR!$D$2:$D$1192,1,RADAR!$AU$2:$AU$1192,"KESİN")+COUNTIFS(RADAR!$J$2:$J$1192,1,RADAR!$D$2:$D$1192,1,RADAR!$AU$2:$AU$1192,"TÜRETİLMİŞ")</f>
        <v>43</v>
      </c>
      <c r="E26" s="8">
        <f>COUNTIFS(RADAR!$J$2:$J$1192,1,RADAR!$D$2:$D$1192,1,RADAR!$F$2:$F$1192,1)</f>
        <v>56</v>
      </c>
      <c r="F26" s="8">
        <f>COUNTIFS(RADAR!$J$2:$J$1192,1,RADAR!$D$2:$D$1192,0)</f>
        <v>4</v>
      </c>
    </row>
    <row r="27" spans="1:9" x14ac:dyDescent="0.2">
      <c r="A27" s="5" t="s">
        <v>63</v>
      </c>
      <c r="B27" s="8">
        <f>COUNTIFS(RADAR!$K$2:$K$1192,1,RADAR!$D$2:$D$1192,1)</f>
        <v>18</v>
      </c>
      <c r="C27" s="8">
        <v>14</v>
      </c>
      <c r="D27" s="8">
        <f>COUNTIFS(RADAR!$K$2:$K$1192,1,RADAR!$D$2:$D$1192,1,RADAR!$AU$2:$AU$1192,"KESİN")+COUNTIFS(RADAR!$K$2:$K$1192,1,RADAR!$D$2:$D$1192,1,RADAR!$AU$2:$AU$1192,"TÜRETİLMİŞ")</f>
        <v>10</v>
      </c>
      <c r="E27" s="8">
        <f>COUNTIFS(RADAR!$K$2:$K$1192,1,RADAR!$D$2:$D$1192,1,RADAR!$F$2:$F$1192,1)</f>
        <v>14</v>
      </c>
      <c r="F27" s="8">
        <f>COUNTIFS(RADAR!$K$2:$K$1192,1,RADAR!$D$2:$D$1192,0)</f>
        <v>15</v>
      </c>
    </row>
    <row r="28" spans="1:9" x14ac:dyDescent="0.2">
      <c r="A28" s="5" t="s">
        <v>64</v>
      </c>
      <c r="B28" s="8">
        <f>COUNTIFS(RADAR!$L$2:$L$1192,1,RADAR!$D$2:$D$1192,1)</f>
        <v>105</v>
      </c>
      <c r="C28" s="8">
        <v>62</v>
      </c>
      <c r="D28" s="8">
        <f>COUNTIFS(RADAR!$L$2:$L$1192,1,RADAR!$D$2:$D$1192,1,RADAR!$AU$2:$AU$1192,"KESİN")+COUNTIFS(RADAR!$L$2:$L$1192,1,RADAR!$D$2:$D$1192,1,RADAR!$AU$2:$AU$1192,"TÜRETİLMİŞ")</f>
        <v>69</v>
      </c>
      <c r="E28" s="8">
        <f>COUNTIFS(RADAR!$L$2:$L$1192,1,RADAR!$D$2:$D$1192,1,RADAR!$F$2:$F$1192,1)</f>
        <v>6</v>
      </c>
      <c r="F28" s="8">
        <f>COUNTIFS(RADAR!$L$2:$L$1192,1,RADAR!$D$2:$D$1192,0)</f>
        <v>31</v>
      </c>
    </row>
    <row r="29" spans="1:9" x14ac:dyDescent="0.2">
      <c r="A29" s="5" t="s">
        <v>65</v>
      </c>
      <c r="B29" s="8">
        <f>COUNTIFS(RADAR!$M$2:$M$1192,1,RADAR!$D$2:$D$1192,1)</f>
        <v>307</v>
      </c>
      <c r="C29" s="8">
        <v>134</v>
      </c>
      <c r="D29" s="8">
        <f>COUNTIFS(RADAR!$M$2:$M$1192,1,RADAR!$D$2:$D$1192,1,RADAR!$AU$2:$AU$1192,"KESİN")+COUNTIFS(RADAR!$M$2:$M$1192,1,RADAR!$D$2:$D$1192,1,RADAR!$AU$2:$AU$1192,"TÜRETİLMİŞ")</f>
        <v>200</v>
      </c>
      <c r="E29" s="8">
        <f>COUNTIFS(RADAR!$M$2:$M$1192,1,RADAR!$D$2:$D$1192,1,RADAR!$F$2:$F$1192,1)</f>
        <v>207</v>
      </c>
      <c r="F29" s="8">
        <f>COUNTIFS(RADAR!$M$2:$M$1192,1,RADAR!$D$2:$D$1192,0)</f>
        <v>72</v>
      </c>
    </row>
    <row r="30" spans="1:9" ht="30" customHeight="1" x14ac:dyDescent="0.2">
      <c r="A30" s="2" t="s">
        <v>66</v>
      </c>
      <c r="B30" s="2"/>
      <c r="C30" s="2"/>
      <c r="D30" s="2"/>
      <c r="E30" s="2"/>
      <c r="F30" s="2"/>
      <c r="G30" s="2"/>
      <c r="H30" s="2"/>
      <c r="I30" s="2"/>
    </row>
    <row r="32" spans="1:9" x14ac:dyDescent="0.2">
      <c r="A32" s="3" t="s">
        <v>67</v>
      </c>
    </row>
    <row r="33" spans="1:8" ht="43.5" customHeight="1" x14ac:dyDescent="0.2">
      <c r="A33" s="6"/>
      <c r="B33" s="6" t="s">
        <v>68</v>
      </c>
      <c r="C33" s="6" t="s">
        <v>69</v>
      </c>
      <c r="D33" s="6" t="s">
        <v>70</v>
      </c>
      <c r="E33" s="6" t="s">
        <v>71</v>
      </c>
      <c r="F33" s="6" t="s">
        <v>72</v>
      </c>
      <c r="G33" s="6" t="s">
        <v>73</v>
      </c>
      <c r="H33" s="6" t="s">
        <v>74</v>
      </c>
    </row>
    <row r="34" spans="1:8" x14ac:dyDescent="0.2">
      <c r="A34" s="5" t="s">
        <v>59</v>
      </c>
      <c r="B34" s="8">
        <f>SUMPRODUCT((RADAR!$G$2:$G$1192=1)*(RADAR!$G$2:$G$1192=1)*(RADAR!$D$2:$D$1192=1))</f>
        <v>90</v>
      </c>
      <c r="C34" s="8">
        <f>SUMPRODUCT((RADAR!$G$2:$G$1192=1)*(RADAR!$H$2:$H$1192=1)*(RADAR!$D$2:$D$1192=1))</f>
        <v>4</v>
      </c>
      <c r="D34" s="8">
        <f>SUMPRODUCT((RADAR!$G$2:$G$1192=1)*(RADAR!$I$2:$I$1192=1)*(RADAR!$D$2:$D$1192=1))</f>
        <v>0</v>
      </c>
      <c r="E34" s="8">
        <f>SUMPRODUCT((RADAR!$G$2:$G$1192=1)*(RADAR!$J$2:$J$1192=1)*(RADAR!$D$2:$D$1192=1))</f>
        <v>0</v>
      </c>
      <c r="F34" s="8">
        <f>SUMPRODUCT((RADAR!$G$2:$G$1192=1)*(RADAR!$K$2:$K$1192=1)*(RADAR!$D$2:$D$1192=1))</f>
        <v>0</v>
      </c>
      <c r="G34" s="8">
        <f>SUMPRODUCT((RADAR!$G$2:$G$1192=1)*(RADAR!$L$2:$L$1192=1)*(RADAR!$D$2:$D$1192=1))</f>
        <v>0</v>
      </c>
      <c r="H34" s="8">
        <f>SUMPRODUCT((RADAR!$G$2:$G$1192=1)*(RADAR!$M$2:$M$1192=1)*(RADAR!$D$2:$D$1192=1))</f>
        <v>0</v>
      </c>
    </row>
    <row r="35" spans="1:8" x14ac:dyDescent="0.2">
      <c r="A35" s="5" t="s">
        <v>60</v>
      </c>
      <c r="B35" s="8">
        <f>SUMPRODUCT((RADAR!$H$2:$H$1192=1)*(RADAR!$G$2:$G$1192=1)*(RADAR!$D$2:$D$1192=1))</f>
        <v>4</v>
      </c>
      <c r="C35" s="8">
        <f>SUMPRODUCT((RADAR!$H$2:$H$1192=1)*(RADAR!$H$2:$H$1192=1)*(RADAR!$D$2:$D$1192=1))</f>
        <v>50</v>
      </c>
      <c r="D35" s="8">
        <f>SUMPRODUCT((RADAR!$H$2:$H$1192=1)*(RADAR!$I$2:$I$1192=1)*(RADAR!$D$2:$D$1192=1))</f>
        <v>0</v>
      </c>
      <c r="E35" s="8">
        <f>SUMPRODUCT((RADAR!$H$2:$H$1192=1)*(RADAR!$J$2:$J$1192=1)*(RADAR!$D$2:$D$1192=1))</f>
        <v>6</v>
      </c>
      <c r="F35" s="8">
        <f>SUMPRODUCT((RADAR!$H$2:$H$1192=1)*(RADAR!$K$2:$K$1192=1)*(RADAR!$D$2:$D$1192=1))</f>
        <v>0</v>
      </c>
      <c r="G35" s="8">
        <f>SUMPRODUCT((RADAR!$H$2:$H$1192=1)*(RADAR!$L$2:$L$1192=1)*(RADAR!$D$2:$D$1192=1))</f>
        <v>0</v>
      </c>
      <c r="H35" s="8">
        <f>SUMPRODUCT((RADAR!$H$2:$H$1192=1)*(RADAR!$M$2:$M$1192=1)*(RADAR!$D$2:$D$1192=1))</f>
        <v>0</v>
      </c>
    </row>
    <row r="36" spans="1:8" x14ac:dyDescent="0.2">
      <c r="A36" s="5" t="s">
        <v>61</v>
      </c>
      <c r="B36" s="8">
        <f>SUMPRODUCT((RADAR!$I$2:$I$1192=1)*(RADAR!$G$2:$G$1192=1)*(RADAR!$D$2:$D$1192=1))</f>
        <v>0</v>
      </c>
      <c r="C36" s="8">
        <f>SUMPRODUCT((RADAR!$I$2:$I$1192=1)*(RADAR!$H$2:$H$1192=1)*(RADAR!$D$2:$D$1192=1))</f>
        <v>0</v>
      </c>
      <c r="D36" s="8">
        <f>SUMPRODUCT((RADAR!$I$2:$I$1192=1)*(RADAR!$I$2:$I$1192=1)*(RADAR!$D$2:$D$1192=1))</f>
        <v>52</v>
      </c>
      <c r="E36" s="8">
        <f>SUMPRODUCT((RADAR!$I$2:$I$1192=1)*(RADAR!$J$2:$J$1192=1)*(RADAR!$D$2:$D$1192=1))</f>
        <v>0</v>
      </c>
      <c r="F36" s="8">
        <f>SUMPRODUCT((RADAR!$I$2:$I$1192=1)*(RADAR!$K$2:$K$1192=1)*(RADAR!$D$2:$D$1192=1))</f>
        <v>0</v>
      </c>
      <c r="G36" s="8">
        <f>SUMPRODUCT((RADAR!$I$2:$I$1192=1)*(RADAR!$L$2:$L$1192=1)*(RADAR!$D$2:$D$1192=1))</f>
        <v>36</v>
      </c>
      <c r="H36" s="8">
        <f>SUMPRODUCT((RADAR!$I$2:$I$1192=1)*(RADAR!$M$2:$M$1192=1)*(RADAR!$D$2:$D$1192=1))</f>
        <v>34</v>
      </c>
    </row>
    <row r="37" spans="1:8" x14ac:dyDescent="0.2">
      <c r="A37" s="5" t="s">
        <v>62</v>
      </c>
      <c r="B37" s="8">
        <f>SUMPRODUCT((RADAR!$J$2:$J$1192=1)*(RADAR!$G$2:$G$1192=1)*(RADAR!$D$2:$D$1192=1))</f>
        <v>0</v>
      </c>
      <c r="C37" s="8">
        <f>SUMPRODUCT((RADAR!$J$2:$J$1192=1)*(RADAR!$H$2:$H$1192=1)*(RADAR!$D$2:$D$1192=1))</f>
        <v>6</v>
      </c>
      <c r="D37" s="8">
        <f>SUMPRODUCT((RADAR!$J$2:$J$1192=1)*(RADAR!$I$2:$I$1192=1)*(RADAR!$D$2:$D$1192=1))</f>
        <v>0</v>
      </c>
      <c r="E37" s="8">
        <f>SUMPRODUCT((RADAR!$J$2:$J$1192=1)*(RADAR!$J$2:$J$1192=1)*(RADAR!$D$2:$D$1192=1))</f>
        <v>62</v>
      </c>
      <c r="F37" s="8">
        <f>SUMPRODUCT((RADAR!$J$2:$J$1192=1)*(RADAR!$K$2:$K$1192=1)*(RADAR!$D$2:$D$1192=1))</f>
        <v>0</v>
      </c>
      <c r="G37" s="8">
        <f>SUMPRODUCT((RADAR!$J$2:$J$1192=1)*(RADAR!$L$2:$L$1192=1)*(RADAR!$D$2:$D$1192=1))</f>
        <v>0</v>
      </c>
      <c r="H37" s="8">
        <f>SUMPRODUCT((RADAR!$J$2:$J$1192=1)*(RADAR!$M$2:$M$1192=1)*(RADAR!$D$2:$D$1192=1))</f>
        <v>0</v>
      </c>
    </row>
    <row r="38" spans="1:8" x14ac:dyDescent="0.2">
      <c r="A38" s="5" t="s">
        <v>63</v>
      </c>
      <c r="B38" s="8">
        <f>SUMPRODUCT((RADAR!$K$2:$K$1192=1)*(RADAR!$G$2:$G$1192=1)*(RADAR!$D$2:$D$1192=1))</f>
        <v>0</v>
      </c>
      <c r="C38" s="8">
        <f>SUMPRODUCT((RADAR!$K$2:$K$1192=1)*(RADAR!$H$2:$H$1192=1)*(RADAR!$D$2:$D$1192=1))</f>
        <v>0</v>
      </c>
      <c r="D38" s="8">
        <f>SUMPRODUCT((RADAR!$K$2:$K$1192=1)*(RADAR!$I$2:$I$1192=1)*(RADAR!$D$2:$D$1192=1))</f>
        <v>0</v>
      </c>
      <c r="E38" s="8">
        <f>SUMPRODUCT((RADAR!$K$2:$K$1192=1)*(RADAR!$J$2:$J$1192=1)*(RADAR!$D$2:$D$1192=1))</f>
        <v>0</v>
      </c>
      <c r="F38" s="8">
        <f>SUMPRODUCT((RADAR!$K$2:$K$1192=1)*(RADAR!$K$2:$K$1192=1)*(RADAR!$D$2:$D$1192=1))</f>
        <v>18</v>
      </c>
      <c r="G38" s="8">
        <f>SUMPRODUCT((RADAR!$K$2:$K$1192=1)*(RADAR!$L$2:$L$1192=1)*(RADAR!$D$2:$D$1192=1))</f>
        <v>1</v>
      </c>
      <c r="H38" s="8">
        <f>SUMPRODUCT((RADAR!$K$2:$K$1192=1)*(RADAR!$M$2:$M$1192=1)*(RADAR!$D$2:$D$1192=1))</f>
        <v>4</v>
      </c>
    </row>
    <row r="39" spans="1:8" x14ac:dyDescent="0.2">
      <c r="A39" s="5" t="s">
        <v>64</v>
      </c>
      <c r="B39" s="8">
        <f>SUMPRODUCT((RADAR!$L$2:$L$1192=1)*(RADAR!$G$2:$G$1192=1)*(RADAR!$D$2:$D$1192=1))</f>
        <v>0</v>
      </c>
      <c r="C39" s="8">
        <f>SUMPRODUCT((RADAR!$L$2:$L$1192=1)*(RADAR!$H$2:$H$1192=1)*(RADAR!$D$2:$D$1192=1))</f>
        <v>0</v>
      </c>
      <c r="D39" s="8">
        <f>SUMPRODUCT((RADAR!$L$2:$L$1192=1)*(RADAR!$I$2:$I$1192=1)*(RADAR!$D$2:$D$1192=1))</f>
        <v>36</v>
      </c>
      <c r="E39" s="8">
        <f>SUMPRODUCT((RADAR!$L$2:$L$1192=1)*(RADAR!$J$2:$J$1192=1)*(RADAR!$D$2:$D$1192=1))</f>
        <v>0</v>
      </c>
      <c r="F39" s="8">
        <f>SUMPRODUCT((RADAR!$L$2:$L$1192=1)*(RADAR!$K$2:$K$1192=1)*(RADAR!$D$2:$D$1192=1))</f>
        <v>1</v>
      </c>
      <c r="G39" s="8">
        <f>SUMPRODUCT((RADAR!$L$2:$L$1192=1)*(RADAR!$L$2:$L$1192=1)*(RADAR!$D$2:$D$1192=1))</f>
        <v>105</v>
      </c>
      <c r="H39" s="8">
        <f>SUMPRODUCT((RADAR!$L$2:$L$1192=1)*(RADAR!$M$2:$M$1192=1)*(RADAR!$D$2:$D$1192=1))</f>
        <v>94</v>
      </c>
    </row>
    <row r="40" spans="1:8" x14ac:dyDescent="0.2">
      <c r="A40" s="5" t="s">
        <v>65</v>
      </c>
      <c r="B40" s="8">
        <f>SUMPRODUCT((RADAR!$M$2:$M$1192=1)*(RADAR!$G$2:$G$1192=1)*(RADAR!$D$2:$D$1192=1))</f>
        <v>0</v>
      </c>
      <c r="C40" s="8">
        <f>SUMPRODUCT((RADAR!$M$2:$M$1192=1)*(RADAR!$H$2:$H$1192=1)*(RADAR!$D$2:$D$1192=1))</f>
        <v>0</v>
      </c>
      <c r="D40" s="8">
        <f>SUMPRODUCT((RADAR!$M$2:$M$1192=1)*(RADAR!$I$2:$I$1192=1)*(RADAR!$D$2:$D$1192=1))</f>
        <v>34</v>
      </c>
      <c r="E40" s="8">
        <f>SUMPRODUCT((RADAR!$M$2:$M$1192=1)*(RADAR!$J$2:$J$1192=1)*(RADAR!$D$2:$D$1192=1))</f>
        <v>0</v>
      </c>
      <c r="F40" s="8">
        <f>SUMPRODUCT((RADAR!$M$2:$M$1192=1)*(RADAR!$K$2:$K$1192=1)*(RADAR!$D$2:$D$1192=1))</f>
        <v>4</v>
      </c>
      <c r="G40" s="8">
        <f>SUMPRODUCT((RADAR!$M$2:$M$1192=1)*(RADAR!$L$2:$L$1192=1)*(RADAR!$D$2:$D$1192=1))</f>
        <v>94</v>
      </c>
      <c r="H40" s="8">
        <f>SUMPRODUCT((RADAR!$M$2:$M$1192=1)*(RADAR!$M$2:$M$1192=1)*(RADAR!$D$2:$D$1192=1))</f>
        <v>307</v>
      </c>
    </row>
    <row r="41" spans="1:8" ht="43.5" customHeight="1" x14ac:dyDescent="0.2">
      <c r="A41" s="6" t="s">
        <v>75</v>
      </c>
      <c r="B41" s="6" t="s">
        <v>37</v>
      </c>
    </row>
    <row r="42" spans="1:8" x14ac:dyDescent="0.2">
      <c r="A42" s="5" t="s">
        <v>76</v>
      </c>
      <c r="B42" s="8">
        <f>COUNTIFS(RADAR!$D$2:$D$1192,1,RADAR!$E$2:$E$1192,1,RADAR!$F$2:$F$1192,1)</f>
        <v>422</v>
      </c>
    </row>
    <row r="43" spans="1:8" x14ac:dyDescent="0.2">
      <c r="A43" s="5" t="s">
        <v>77</v>
      </c>
      <c r="B43" s="8">
        <f>COUNTIFS(RADAR!$D$2:$D$1192,1,RADAR!$E$2:$E$1192,1,RADAR!$F$2:$F$1192,2)</f>
        <v>83</v>
      </c>
    </row>
    <row r="44" spans="1:8" x14ac:dyDescent="0.2">
      <c r="A44" s="5" t="s">
        <v>78</v>
      </c>
      <c r="B44" s="8">
        <f>COUNTIFS(RADAR!$D$2:$D$1192,1,RADAR!$E$2:$E$1192,1,RADAR!$F$2:$F$1192,3)</f>
        <v>32</v>
      </c>
    </row>
    <row r="45" spans="1:8" x14ac:dyDescent="0.2">
      <c r="A45" s="5" t="s">
        <v>79</v>
      </c>
      <c r="B45" s="8">
        <f>COUNTIFS(RADAR!$D$2:$D$1192,1,RADAR!$E$2:$E$1192,1,RADAR!$F$2:$F$1192,4)</f>
        <v>0</v>
      </c>
    </row>
    <row r="47" spans="1:8" x14ac:dyDescent="0.2">
      <c r="A47" s="3" t="s">
        <v>80</v>
      </c>
    </row>
    <row r="48" spans="1:8" ht="43.5" customHeight="1" x14ac:dyDescent="0.2">
      <c r="A48" s="6" t="s">
        <v>81</v>
      </c>
      <c r="B48" s="6" t="s">
        <v>82</v>
      </c>
      <c r="C48" s="6" t="s">
        <v>83</v>
      </c>
      <c r="D48" s="6" t="s">
        <v>84</v>
      </c>
    </row>
    <row r="49" spans="1:9" x14ac:dyDescent="0.2">
      <c r="A49" s="5" t="s">
        <v>85</v>
      </c>
      <c r="B49" s="8">
        <f>COUNTIFS(RADAR!$AC$2:$AC$1192,1,RADAR!$D$2:$D$1192,1,RADAR!$B$2:$B$1192,"Kira anapara")</f>
        <v>63</v>
      </c>
      <c r="C49" s="8">
        <f>COUNTIFS(RADAR!$AC$2:$AC$1192,1,RADAR!$D$2:$D$1192,1,RADAR!$B$2:$B$1192,"MDV+MODV alımı")</f>
        <v>25</v>
      </c>
      <c r="D49" s="8">
        <f>COUNTIFS(RADAR!$AC$2:$AC$1192,1,RADAR!$D$2:$D$1192,1,RADAR!$B$2:$B$1192,"YAGM alımı")</f>
        <v>7</v>
      </c>
    </row>
    <row r="50" spans="1:9" x14ac:dyDescent="0.2">
      <c r="A50" s="5" t="s">
        <v>86</v>
      </c>
      <c r="B50" s="8">
        <f>COUNTIFS(RADAR!$AD$2:$AD$1192,1,RADAR!$D$2:$D$1192,1,RADAR!$B$2:$B$1192,"Kira anapara")</f>
        <v>61</v>
      </c>
      <c r="C50" s="8">
        <f>COUNTIFS(RADAR!$AD$2:$AD$1192,1,RADAR!$D$2:$D$1192,1,RADAR!$B$2:$B$1192,"MDV+MODV alımı")</f>
        <v>11</v>
      </c>
      <c r="D50" s="8">
        <f>COUNTIFS(RADAR!$AD$2:$AD$1192,1,RADAR!$D$2:$D$1192,1,RADAR!$B$2:$B$1192,"YAGM alımı")</f>
        <v>7</v>
      </c>
    </row>
    <row r="51" spans="1:9" x14ac:dyDescent="0.2">
      <c r="A51" s="5" t="s">
        <v>87</v>
      </c>
      <c r="B51" s="8">
        <f>COUNTIFS(RADAR!$AE$2:$AE$1192,1,RADAR!$D$2:$D$1192,1,RADAR!$B$2:$B$1192,"Kira anapara")</f>
        <v>54</v>
      </c>
      <c r="C51" s="8">
        <f>COUNTIFS(RADAR!$AE$2:$AE$1192,1,RADAR!$D$2:$D$1192,1,RADAR!$B$2:$B$1192,"MDV+MODV alımı")</f>
        <v>21</v>
      </c>
      <c r="D51" s="8">
        <f>COUNTIFS(RADAR!$AE$2:$AE$1192,1,RADAR!$D$2:$D$1192,1,RADAR!$B$2:$B$1192,"YAGM alımı")</f>
        <v>6</v>
      </c>
    </row>
    <row r="52" spans="1:9" x14ac:dyDescent="0.2">
      <c r="A52" s="5" t="s">
        <v>88</v>
      </c>
      <c r="B52" s="8">
        <f>COUNTIFS(RADAR!$O$2:$O$1192,1,RADAR!$D$2:$D$1192,1,RADAR!$B$2:$B$1192,"Kira anapara")</f>
        <v>141</v>
      </c>
      <c r="C52" s="8">
        <f>COUNTIFS(RADAR!$O$2:$O$1192,1,RADAR!$D$2:$D$1192,1,RADAR!$B$2:$B$1192,"MDV+MODV alımı")</f>
        <v>44</v>
      </c>
      <c r="D52" s="8">
        <f>COUNTIFS(RADAR!$O$2:$O$1192,1,RADAR!$D$2:$D$1192,1,RADAR!$B$2:$B$1192,"YAGM alımı")</f>
        <v>17</v>
      </c>
    </row>
    <row r="53" spans="1:9" x14ac:dyDescent="0.2">
      <c r="A53" s="5" t="s">
        <v>89</v>
      </c>
      <c r="B53" s="8">
        <f>COUNTIFS(RADAR!$P$2:$P$1192,1,RADAR!$D$2:$D$1192,1,RADAR!$B$2:$B$1192,"Kira anapara")</f>
        <v>421</v>
      </c>
      <c r="C53" s="8">
        <f>COUNTIFS(RADAR!$P$2:$P$1192,1,RADAR!$D$2:$D$1192,1,RADAR!$B$2:$B$1192,"MDV+MODV alımı")</f>
        <v>473</v>
      </c>
      <c r="D53" s="8">
        <f>COUNTIFS(RADAR!$P$2:$P$1192,1,RADAR!$D$2:$D$1192,1,RADAR!$B$2:$B$1192,"YAGM alımı")</f>
        <v>36</v>
      </c>
    </row>
    <row r="54" spans="1:9" x14ac:dyDescent="0.2">
      <c r="A54" s="5" t="s">
        <v>90</v>
      </c>
      <c r="B54" s="8">
        <f>COUNTIFS(RADAR!$S$2:$S$1192,1,RADAR!$D$2:$D$1192,1,RADAR!$B$2:$B$1192,"Kira anapara")</f>
        <v>137</v>
      </c>
      <c r="C54" s="8">
        <f>COUNTIFS(RADAR!$S$2:$S$1192,1,RADAR!$D$2:$D$1192,1,RADAR!$B$2:$B$1192,"MDV+MODV alımı")</f>
        <v>192</v>
      </c>
      <c r="D54" s="8">
        <f>COUNTIFS(RADAR!$S$2:$S$1192,1,RADAR!$D$2:$D$1192,1,RADAR!$B$2:$B$1192,"YAGM alımı")</f>
        <v>15</v>
      </c>
    </row>
    <row r="55" spans="1:9" x14ac:dyDescent="0.2">
      <c r="A55" s="5" t="s">
        <v>91</v>
      </c>
      <c r="B55" s="8">
        <f>COUNTIFS(RADAR!$N$2:$N$1192,1,RADAR!$D$2:$D$1192,1,RADAR!$B$2:$B$1192,"Kira anapara")</f>
        <v>85</v>
      </c>
      <c r="C55" s="8">
        <f>COUNTIFS(RADAR!$N$2:$N$1192,1,RADAR!$D$2:$D$1192,1,RADAR!$B$2:$B$1192,"MDV+MODV alımı")</f>
        <v>63</v>
      </c>
      <c r="D55" s="8">
        <f>COUNTIFS(RADAR!$N$2:$N$1192,1,RADAR!$D$2:$D$1192,1,RADAR!$B$2:$B$1192,"YAGM alımı")</f>
        <v>7</v>
      </c>
    </row>
    <row r="56" spans="1:9" ht="30" customHeight="1" x14ac:dyDescent="0.2">
      <c r="A56" s="2" t="s">
        <v>92</v>
      </c>
      <c r="B56" s="2"/>
      <c r="C56" s="2"/>
      <c r="D56" s="2"/>
      <c r="E56" s="2"/>
      <c r="F56" s="2"/>
      <c r="G56" s="2"/>
      <c r="H56" s="2"/>
      <c r="I56" s="2"/>
    </row>
    <row r="58" spans="1:9" x14ac:dyDescent="0.2">
      <c r="A58" s="3" t="s">
        <v>93</v>
      </c>
    </row>
    <row r="59" spans="1:9" ht="43.5" customHeight="1" x14ac:dyDescent="0.2">
      <c r="A59" s="6" t="s">
        <v>94</v>
      </c>
      <c r="B59" s="6" t="s">
        <v>95</v>
      </c>
      <c r="C59" s="6" t="s">
        <v>96</v>
      </c>
      <c r="D59" s="6" t="s">
        <v>97</v>
      </c>
    </row>
    <row r="60" spans="1:9" x14ac:dyDescent="0.2">
      <c r="A60" s="5" t="s">
        <v>98</v>
      </c>
      <c r="B60" s="8">
        <f>COUNTIFS(ORNEKLEM!$K$2:$K$126,"HATA")</f>
        <v>41</v>
      </c>
      <c r="C60" s="8">
        <f>COUNTIFS(ORNEKLEM!$K$2:$K$126,"HATA",ORNEKLEM!$A$2:$A$126,"Kademe-1 (pilot)")</f>
        <v>33</v>
      </c>
      <c r="D60" s="8">
        <f>COUNTIFS(ORNEKLEM!$K$2:$K$126,"HATA",ORNEKLEM!$A$2:$A$126,"Kademe-2")</f>
        <v>8</v>
      </c>
    </row>
    <row r="61" spans="1:9" x14ac:dyDescent="0.2">
      <c r="A61" s="5" t="s">
        <v>99</v>
      </c>
      <c r="B61" s="8">
        <f>COUNTIFS(ORNEKLEM!$K$2:$K$126,"ÖNEMSİZ")</f>
        <v>20</v>
      </c>
      <c r="C61" s="8">
        <f>COUNTIFS(ORNEKLEM!$K$2:$K$126,"ÖNEMSİZ",ORNEKLEM!$A$2:$A$126,"Kademe-1 (pilot)")</f>
        <v>14</v>
      </c>
      <c r="D61" s="8">
        <f>COUNTIFS(ORNEKLEM!$K$2:$K$126,"ÖNEMSİZ",ORNEKLEM!$A$2:$A$126,"Kademe-2")</f>
        <v>6</v>
      </c>
    </row>
    <row r="62" spans="1:9" x14ac:dyDescent="0.2">
      <c r="A62" s="5" t="s">
        <v>100</v>
      </c>
      <c r="B62" s="8">
        <f>COUNTIFS(ORNEKLEM!$K$2:$K$126,"TEMİZ")</f>
        <v>63</v>
      </c>
      <c r="C62" s="8">
        <f>COUNTIFS(ORNEKLEM!$K$2:$K$126,"TEMİZ",ORNEKLEM!$A$2:$A$126,"Kademe-1 (pilot)")</f>
        <v>61</v>
      </c>
      <c r="D62" s="8">
        <f>COUNTIFS(ORNEKLEM!$K$2:$K$126,"TEMİZ",ORNEKLEM!$A$2:$A$126,"Kademe-2")</f>
        <v>2</v>
      </c>
    </row>
    <row r="63" spans="1:9" x14ac:dyDescent="0.2">
      <c r="A63" s="5" t="s">
        <v>101</v>
      </c>
      <c r="B63" s="8">
        <f>COUNTIFS(ORNEKLEM!$K$2:$K$126,"BELİRSİZ")</f>
        <v>1</v>
      </c>
      <c r="C63" s="8">
        <f>COUNTIFS(ORNEKLEM!$K$2:$K$126,"BELİRSİZ",ORNEKLEM!$A$2:$A$126,"Kademe-1 (pilot)")</f>
        <v>0</v>
      </c>
      <c r="D63" s="8">
        <f>COUNTIFS(ORNEKLEM!$K$2:$K$126,"BELİRSİZ",ORNEKLEM!$A$2:$A$126,"Kademe-2")</f>
        <v>1</v>
      </c>
    </row>
    <row r="64" spans="1:9" x14ac:dyDescent="0.2">
      <c r="A64" s="4" t="s">
        <v>95</v>
      </c>
      <c r="B64" s="7">
        <f>SUM(B60:B63)</f>
        <v>125</v>
      </c>
      <c r="C64" s="7">
        <f>SUM(C60:C63)</f>
        <v>108</v>
      </c>
      <c r="D64" s="7">
        <f>SUM(D60:D63)</f>
        <v>17</v>
      </c>
    </row>
    <row r="65" spans="1:9" ht="43.5" customHeight="1" x14ac:dyDescent="0.2">
      <c r="A65" s="6" t="s">
        <v>102</v>
      </c>
      <c r="B65" s="6" t="s">
        <v>103</v>
      </c>
      <c r="C65" s="6" t="s">
        <v>104</v>
      </c>
      <c r="D65" s="6" t="s">
        <v>105</v>
      </c>
      <c r="E65" s="6" t="s">
        <v>106</v>
      </c>
    </row>
    <row r="66" spans="1:9" x14ac:dyDescent="0.2">
      <c r="A66" s="5" t="s">
        <v>107</v>
      </c>
      <c r="B66" s="8">
        <f>COUNTIFS(ORNEKLEM!$K$2:$K$126,"HATA",ORNEKLEM!$H$2:$H$126,1)</f>
        <v>17</v>
      </c>
      <c r="C66" s="8">
        <f>COUNTIFS(ORNEKLEM!$K$2:$K$126,"HATA",ORNEKLEM!$H$2:$H$126,0)</f>
        <v>24</v>
      </c>
      <c r="D66" s="8">
        <f>COUNTIFS(ORNEKLEM!$K$2:$K$126,"TEMİZ",ORNEKLEM!$H$2:$H$126,1)+COUNTIFS(ORNEKLEM!$K$2:$K$126,"ÖNEMSİZ",ORNEKLEM!$H$2:$H$126,1)</f>
        <v>13</v>
      </c>
      <c r="E66" s="8">
        <f>COUNTIFS(ORNEKLEM!$K$2:$K$126,"TEMİZ",ORNEKLEM!$H$2:$H$126,0)+COUNTIFS(ORNEKLEM!$K$2:$K$126,"ÖNEMSİZ",ORNEKLEM!$H$2:$H$126,0)</f>
        <v>70</v>
      </c>
    </row>
    <row r="67" spans="1:9" x14ac:dyDescent="0.2">
      <c r="A67" s="5" t="s">
        <v>108</v>
      </c>
      <c r="B67" s="8">
        <f>COUNTIFS(ORNEKLEM!$K$2:$K$126,"HATA",ORNEKLEM!$I$2:$I$126,1)+COUNTIFS(ORNEKLEM!$K$2:$K$126,"HATA",ORNEKLEM!$I$2:$I$126,0,ORNEKLEM!$J$2:$J$126,1)</f>
        <v>33</v>
      </c>
      <c r="C67" s="8">
        <f>COUNTIFS(ORNEKLEM!$K$2:$K$126,"HATA",ORNEKLEM!$I$2:$I$126,0,ORNEKLEM!$J$2:$J$126,0)</f>
        <v>8</v>
      </c>
      <c r="D67" s="8">
        <f>COUNTIFS(ORNEKLEM!$K$2:$K$126,"TEMİZ",ORNEKLEM!$I$2:$I$126,1)+COUNTIFS(ORNEKLEM!$K$2:$K$126,"TEMİZ",ORNEKLEM!$I$2:$I$126,0,ORNEKLEM!$J$2:$J$126,1)+COUNTIFS(ORNEKLEM!$K$2:$K$126,"ÖNEMSİZ",ORNEKLEM!$I$2:$I$126,1)+COUNTIFS(ORNEKLEM!$K$2:$K$126,"ÖNEMSİZ",ORNEKLEM!$I$2:$I$126,0,ORNEKLEM!$J$2:$J$126,1)</f>
        <v>17</v>
      </c>
      <c r="E67" s="8">
        <f>COUNTIFS(ORNEKLEM!$K$2:$K$126,"TEMİZ",ORNEKLEM!$I$2:$I$126,0,ORNEKLEM!$J$2:$J$126,0)+COUNTIFS(ORNEKLEM!$K$2:$K$126,"ÖNEMSİZ",ORNEKLEM!$I$2:$I$126,0,ORNEKLEM!$J$2:$J$126,0)</f>
        <v>66</v>
      </c>
    </row>
    <row r="68" spans="1:9" ht="30" customHeight="1" x14ac:dyDescent="0.2">
      <c r="A68" s="2" t="s">
        <v>109</v>
      </c>
      <c r="B68" s="2"/>
      <c r="C68" s="2"/>
      <c r="D68" s="2"/>
      <c r="E68" s="2"/>
      <c r="F68" s="2"/>
      <c r="G68" s="2"/>
      <c r="H68" s="2"/>
      <c r="I68" s="2"/>
    </row>
    <row r="70" spans="1:9" x14ac:dyDescent="0.2">
      <c r="A70" s="3" t="s">
        <v>110</v>
      </c>
    </row>
    <row r="71" spans="1:9" ht="30" customHeight="1" x14ac:dyDescent="0.2">
      <c r="A71" s="2" t="s">
        <v>111</v>
      </c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7" t="s">
        <v>112</v>
      </c>
    </row>
    <row r="73" spans="1:9" ht="43.5" customHeight="1" x14ac:dyDescent="0.2">
      <c r="A73" s="6" t="s">
        <v>113</v>
      </c>
      <c r="B73" s="6" t="s">
        <v>114</v>
      </c>
      <c r="C73" s="6" t="s">
        <v>115</v>
      </c>
      <c r="D73" s="6" t="s">
        <v>116</v>
      </c>
      <c r="E73" s="6" t="s">
        <v>117</v>
      </c>
      <c r="F73" s="6" t="s">
        <v>118</v>
      </c>
      <c r="G73" s="6" t="s">
        <v>119</v>
      </c>
      <c r="H73" s="6" t="s">
        <v>120</v>
      </c>
    </row>
    <row r="74" spans="1:9" x14ac:dyDescent="0.2">
      <c r="A74" s="5" t="s">
        <v>121</v>
      </c>
      <c r="B74" s="8">
        <f>COUNTIFS(ORNEKLEM!$R$2:$R$126,"SESSİZ HATA")</f>
        <v>35</v>
      </c>
      <c r="C74" s="8">
        <f>COUNTIFS(ORNEKLEM!$S$2:$S$126,"SESSİZ HATA")</f>
        <v>6</v>
      </c>
      <c r="D74" s="8">
        <f>COUNTIFS(ORNEKLEM!$T$2:$T$126,"SESSİZ HATA")</f>
        <v>24</v>
      </c>
      <c r="E74" s="8">
        <f>COUNTIFS(ORNEKLEM!$S$2:$S$126,"SESSİZ HATA",ORNEKLEM!$C$2:$C$126,"Kira anapara")</f>
        <v>3</v>
      </c>
      <c r="F74" s="8">
        <f>COUNTIFS(ORNEKLEM!$S$2:$S$126,"SESSİZ HATA")-E74</f>
        <v>3</v>
      </c>
      <c r="G74" s="8">
        <f>COUNTIFS(ORNEKLEM!$T$2:$T$126,"SESSİZ HATA",ORNEKLEM!$C$2:$C$126,"Kira anapara")</f>
        <v>7</v>
      </c>
      <c r="H74" s="8">
        <f>COUNTIFS(ORNEKLEM!$T$2:$T$126,"SESSİZ HATA")-G74</f>
        <v>17</v>
      </c>
    </row>
    <row r="75" spans="1:9" x14ac:dyDescent="0.2">
      <c r="A75" s="5" t="s">
        <v>122</v>
      </c>
      <c r="B75" s="8">
        <f>COUNTIFS(ORNEKLEM!$R$2:$R$126,"YAKALANDI")</f>
        <v>0</v>
      </c>
      <c r="C75" s="8">
        <f>COUNTIFS(ORNEKLEM!$S$2:$S$126,"YAKALANDI")</f>
        <v>29</v>
      </c>
      <c r="D75" s="8">
        <f>COUNTIFS(ORNEKLEM!$T$2:$T$126,"YAKALANDI")</f>
        <v>11</v>
      </c>
      <c r="E75" s="8">
        <f>COUNTIFS(ORNEKLEM!$S$2:$S$126,"YAKALANDI",ORNEKLEM!$C$2:$C$126,"Kira anapara")</f>
        <v>9</v>
      </c>
      <c r="F75" s="8">
        <f>COUNTIFS(ORNEKLEM!$S$2:$S$126,"YAKALANDI")-E75</f>
        <v>20</v>
      </c>
      <c r="G75" s="8">
        <f>COUNTIFS(ORNEKLEM!$T$2:$T$126,"YAKALANDI",ORNEKLEM!$C$2:$C$126,"Kira anapara")</f>
        <v>5</v>
      </c>
      <c r="H75" s="8">
        <f>COUNTIFS(ORNEKLEM!$T$2:$T$126,"YAKALANDI")-G75</f>
        <v>6</v>
      </c>
    </row>
    <row r="76" spans="1:9" x14ac:dyDescent="0.2">
      <c r="A76" s="5" t="s">
        <v>123</v>
      </c>
      <c r="B76" s="8">
        <f>COUNTIFS(ORNEKLEM!$R$2:$R$126,"YANLIŞ ALARM")</f>
        <v>0</v>
      </c>
      <c r="C76" s="8">
        <f>COUNTIFS(ORNEKLEM!$S$2:$S$126,"YANLIŞ ALARM")</f>
        <v>16</v>
      </c>
      <c r="D76" s="8">
        <f>COUNTIFS(ORNEKLEM!$T$2:$T$126,"YANLIŞ ALARM")</f>
        <v>0</v>
      </c>
      <c r="E76" s="8">
        <f>COUNTIFS(ORNEKLEM!$S$2:$S$126,"YANLIŞ ALARM",ORNEKLEM!$C$2:$C$126,"Kira anapara")</f>
        <v>16</v>
      </c>
      <c r="F76" s="8">
        <f>COUNTIFS(ORNEKLEM!$S$2:$S$126,"YANLIŞ ALARM")-E76</f>
        <v>0</v>
      </c>
      <c r="G76" s="8">
        <f>COUNTIFS(ORNEKLEM!$T$2:$T$126,"YANLIŞ ALARM",ORNEKLEM!$C$2:$C$126,"Kira anapara")</f>
        <v>0</v>
      </c>
      <c r="H76" s="8">
        <f>COUNTIFS(ORNEKLEM!$T$2:$T$126,"YANLIŞ ALARM")-G76</f>
        <v>0</v>
      </c>
    </row>
    <row r="77" spans="1:9" x14ac:dyDescent="0.2">
      <c r="A77" s="5" t="s">
        <v>124</v>
      </c>
      <c r="B77" s="8">
        <f>COUNTIFS(ORNEKLEM!$R$2:$R$126,"DOĞRU SESSİZ")</f>
        <v>74</v>
      </c>
      <c r="C77" s="8">
        <f>COUNTIFS(ORNEKLEM!$S$2:$S$126,"DOĞRU SESSİZ")</f>
        <v>58</v>
      </c>
      <c r="D77" s="8">
        <f>COUNTIFS(ORNEKLEM!$T$2:$T$126,"DOĞRU SESSİZ")</f>
        <v>74</v>
      </c>
      <c r="E77" s="8">
        <f>COUNTIFS(ORNEKLEM!$S$2:$S$126,"DOĞRU SESSİZ",ORNEKLEM!$C$2:$C$126,"Kira anapara")</f>
        <v>23</v>
      </c>
      <c r="F77" s="8">
        <f>COUNTIFS(ORNEKLEM!$S$2:$S$126,"DOĞRU SESSİZ")-E77</f>
        <v>35</v>
      </c>
      <c r="G77" s="8">
        <f>COUNTIFS(ORNEKLEM!$T$2:$T$126,"DOĞRU SESSİZ",ORNEKLEM!$C$2:$C$126,"Kira anapara")</f>
        <v>39</v>
      </c>
      <c r="H77" s="8">
        <f>COUNTIFS(ORNEKLEM!$T$2:$T$126,"DOĞRU SESSİZ")-G77</f>
        <v>35</v>
      </c>
    </row>
    <row r="78" spans="1:9" x14ac:dyDescent="0.2">
      <c r="A78" s="5" t="s">
        <v>125</v>
      </c>
      <c r="B78" s="8">
        <f>COUNTIFS(ORNEKLEM!$R$2:$R$126,"BELİRSİZ — işaretlendi")</f>
        <v>0</v>
      </c>
      <c r="C78" s="8">
        <f>COUNTIFS(ORNEKLEM!$S$2:$S$126,"BELİRSİZ — işaretlendi")</f>
        <v>1</v>
      </c>
      <c r="D78" s="8">
        <f>COUNTIFS(ORNEKLEM!$T$2:$T$126,"BELİRSİZ — işaretlendi")</f>
        <v>0</v>
      </c>
      <c r="E78" s="8">
        <f>COUNTIFS(ORNEKLEM!$S$2:$S$126,"BELİRSİZ — işaretlendi",ORNEKLEM!$C$2:$C$126,"Kira anapara")</f>
        <v>1</v>
      </c>
      <c r="F78" s="8">
        <f>COUNTIFS(ORNEKLEM!$S$2:$S$126,"BELİRSİZ — işaretlendi")-E78</f>
        <v>0</v>
      </c>
      <c r="G78" s="8">
        <f>COUNTIFS(ORNEKLEM!$T$2:$T$126,"BELİRSİZ — işaretlendi",ORNEKLEM!$C$2:$C$126,"Kira anapara")</f>
        <v>0</v>
      </c>
      <c r="H78" s="8">
        <f>COUNTIFS(ORNEKLEM!$T$2:$T$126,"BELİRSİZ — işaretlendi")-G78</f>
        <v>0</v>
      </c>
    </row>
    <row r="79" spans="1:9" x14ac:dyDescent="0.2">
      <c r="A79" s="5" t="s">
        <v>126</v>
      </c>
      <c r="B79" s="8">
        <f>COUNTIFS(ORNEKLEM!$R$2:$R$126,"BELİRSİZ — işaretlenmedi")</f>
        <v>1</v>
      </c>
      <c r="C79" s="8">
        <f>COUNTIFS(ORNEKLEM!$S$2:$S$126,"BELİRSİZ — işaretlenmedi")</f>
        <v>0</v>
      </c>
      <c r="D79" s="8">
        <f>COUNTIFS(ORNEKLEM!$T$2:$T$126,"BELİRSİZ — işaretlenmedi")</f>
        <v>1</v>
      </c>
      <c r="E79" s="8">
        <f>COUNTIFS(ORNEKLEM!$S$2:$S$126,"BELİRSİZ — işaretlenmedi",ORNEKLEM!$C$2:$C$126,"Kira anapara")</f>
        <v>0</v>
      </c>
      <c r="F79" s="8">
        <f>COUNTIFS(ORNEKLEM!$S$2:$S$126,"BELİRSİZ — işaretlenmedi")-E79</f>
        <v>0</v>
      </c>
      <c r="G79" s="8">
        <f>COUNTIFS(ORNEKLEM!$T$2:$T$126,"BELİRSİZ — işaretlenmedi",ORNEKLEM!$C$2:$C$126,"Kira anapara")</f>
        <v>1</v>
      </c>
      <c r="H79" s="8">
        <f>COUNTIFS(ORNEKLEM!$T$2:$T$126,"BELİRSİZ — işaretlenmedi")-G79</f>
        <v>0</v>
      </c>
    </row>
    <row r="80" spans="1:9" x14ac:dyDescent="0.2">
      <c r="A80" s="5" t="s">
        <v>127</v>
      </c>
      <c r="B80" s="8">
        <f>COUNTIFS(ORNEKLEM!$R$2:$R$126,"V7 zaten*")</f>
        <v>15</v>
      </c>
      <c r="C80" s="8">
        <f>COUNTIFS(ORNEKLEM!$S$2:$S$126,"V7 zaten*")</f>
        <v>15</v>
      </c>
      <c r="D80" s="8">
        <f>COUNTIFS(ORNEKLEM!$T$2:$T$126,"V7 zaten*")</f>
        <v>15</v>
      </c>
    </row>
    <row r="81" spans="1:4" x14ac:dyDescent="0.2">
      <c r="A81" s="7" t="s">
        <v>128</v>
      </c>
    </row>
    <row r="82" spans="1:4" ht="43.5" customHeight="1" x14ac:dyDescent="0.2">
      <c r="A82" s="6" t="s">
        <v>36</v>
      </c>
      <c r="B82" s="6" t="s">
        <v>115</v>
      </c>
      <c r="C82" s="6" t="s">
        <v>116</v>
      </c>
      <c r="D82" s="6" t="s">
        <v>129</v>
      </c>
    </row>
    <row r="83" spans="1:4" x14ac:dyDescent="0.2">
      <c r="A83" s="5" t="s">
        <v>130</v>
      </c>
      <c r="B83" s="8">
        <f>SUM(FCF_SIM!$P$2:$P$340)</f>
        <v>214</v>
      </c>
      <c r="C83" s="8">
        <f>SUM(FCF_SIM!$Q$2:$Q$340)</f>
        <v>111</v>
      </c>
      <c r="D83" s="8">
        <f>B83-C83</f>
        <v>103</v>
      </c>
    </row>
    <row r="84" spans="1:4" x14ac:dyDescent="0.2">
      <c r="A84" s="5" t="s">
        <v>131</v>
      </c>
      <c r="B84" s="8">
        <f>COUNTIFS(FCF_SIM!$P$2:$P$340,1,FCF_SIM!$C$2:$C$340,"KESİN")</f>
        <v>187</v>
      </c>
      <c r="C84" s="8">
        <f>COUNTIFS(FCF_SIM!$Q$2:$Q$340,1,FCF_SIM!$C$2:$C$340,"KESİN")</f>
        <v>104</v>
      </c>
      <c r="D84" s="8">
        <f>B84-C84</f>
        <v>83</v>
      </c>
    </row>
    <row r="85" spans="1:4" x14ac:dyDescent="0.2">
      <c r="A85" s="5" t="s">
        <v>132</v>
      </c>
      <c r="B85" s="8">
        <f>COUNTIFS(FCF_SIM!$P$2:$P$340,1,FCF_SIM!$C$2:$C$340,"TÜRETİLMİŞ")</f>
        <v>27</v>
      </c>
      <c r="C85" s="8">
        <f>COUNTIFS(FCF_SIM!$Q$2:$Q$340,1,FCF_SIM!$C$2:$C$340,"TÜRETİLMİŞ")</f>
        <v>7</v>
      </c>
      <c r="D85" s="8">
        <f>B85-C85</f>
        <v>20</v>
      </c>
    </row>
    <row r="86" spans="1:4" x14ac:dyDescent="0.2">
      <c r="A86" s="5" t="s">
        <v>133</v>
      </c>
      <c r="B86" s="8">
        <v>106</v>
      </c>
      <c r="C86" s="8">
        <v>72</v>
      </c>
      <c r="D86" s="8">
        <v>46</v>
      </c>
    </row>
    <row r="87" spans="1:4" x14ac:dyDescent="0.2">
      <c r="A87" s="5" t="s">
        <v>134</v>
      </c>
      <c r="B87" s="8">
        <f>172+B83</f>
        <v>386</v>
      </c>
      <c r="C87" s="8">
        <f>172+C83</f>
        <v>283</v>
      </c>
    </row>
    <row r="88" spans="1:4" ht="43.5" customHeight="1" x14ac:dyDescent="0.2">
      <c r="A88" s="6" t="s">
        <v>135</v>
      </c>
      <c r="B88" s="6" t="s">
        <v>37</v>
      </c>
    </row>
    <row r="89" spans="1:4" x14ac:dyDescent="0.2">
      <c r="A89" s="5" t="s">
        <v>136</v>
      </c>
      <c r="B89" s="8">
        <f>COUNTIFS(FCF_SIM!$F$2:$F$340,1,FCF_SIM!$H$2:$H$340,0,FCF_SIM!$C$2:$C$340,"KESİN",FCF_SIM!$M$2:$M$340,"%1 altı")+COUNTIFS(FCF_SIM!$F$2:$F$340,1,FCF_SIM!$H$2:$H$340,0,FCF_SIM!$C$2:$C$340,"TÜRETİLMİŞ",FCF_SIM!$M$2:$M$340,"%1 altı")</f>
        <v>16</v>
      </c>
    </row>
    <row r="90" spans="1:4" x14ac:dyDescent="0.2">
      <c r="A90" s="5" t="s">
        <v>137</v>
      </c>
      <c r="B90" s="8">
        <f>COUNTIFS(FCF_SIM!$F$2:$F$340,1,FCF_SIM!$H$2:$H$340,0,FCF_SIM!$C$2:$C$340,"KESİN",FCF_SIM!$M$2:$M$340,"%1–5")+COUNTIFS(FCF_SIM!$F$2:$F$340,1,FCF_SIM!$H$2:$H$340,0,FCF_SIM!$C$2:$C$340,"TÜRETİLMİŞ",FCF_SIM!$M$2:$M$340,"%1–5")</f>
        <v>33</v>
      </c>
    </row>
    <row r="91" spans="1:4" x14ac:dyDescent="0.2">
      <c r="A91" s="5" t="s">
        <v>138</v>
      </c>
      <c r="B91" s="8">
        <f>COUNTIFS(FCF_SIM!$F$2:$F$340,1,FCF_SIM!$H$2:$H$340,0,FCF_SIM!$C$2:$C$340,"KESİN",FCF_SIM!$M$2:$M$340,"%5–10")+COUNTIFS(FCF_SIM!$F$2:$F$340,1,FCF_SIM!$H$2:$H$340,0,FCF_SIM!$C$2:$C$340,"TÜRETİLMİŞ",FCF_SIM!$M$2:$M$340,"%5–10")</f>
        <v>9</v>
      </c>
    </row>
    <row r="92" spans="1:4" x14ac:dyDescent="0.2">
      <c r="A92" s="5" t="s">
        <v>139</v>
      </c>
      <c r="B92" s="8">
        <f>COUNTIFS(FCF_SIM!$F$2:$F$340,1,FCF_SIM!$H$2:$H$340,0,FCF_SIM!$C$2:$C$340,"KESİN",FCF_SIM!$M$2:$M$340,"%10–25")+COUNTIFS(FCF_SIM!$F$2:$F$340,1,FCF_SIM!$H$2:$H$340,0,FCF_SIM!$C$2:$C$340,"TÜRETİLMİŞ",FCF_SIM!$M$2:$M$340,"%10–25")</f>
        <v>19</v>
      </c>
    </row>
    <row r="93" spans="1:4" x14ac:dyDescent="0.2">
      <c r="A93" s="5" t="s">
        <v>140</v>
      </c>
      <c r="B93" s="8">
        <f>COUNTIFS(FCF_SIM!$F$2:$F$340,1,FCF_SIM!$H$2:$H$340,0,FCF_SIM!$C$2:$C$340,"KESİN",FCF_SIM!$M$2:$M$340,"%25 üstü")+COUNTIFS(FCF_SIM!$F$2:$F$340,1,FCF_SIM!$H$2:$H$340,0,FCF_SIM!$C$2:$C$340,"TÜRETİLMİŞ",FCF_SIM!$M$2:$M$340,"%25 üstü")</f>
        <v>26</v>
      </c>
    </row>
    <row r="94" spans="1:4" x14ac:dyDescent="0.2">
      <c r="A94" s="4" t="s">
        <v>141</v>
      </c>
      <c r="B94" s="7">
        <f>SUM(B89:B93)</f>
        <v>103</v>
      </c>
    </row>
    <row r="95" spans="1:4" ht="43.5" customHeight="1" x14ac:dyDescent="0.2">
      <c r="A95" s="6" t="s">
        <v>142</v>
      </c>
      <c r="B95" s="6" t="s">
        <v>37</v>
      </c>
    </row>
    <row r="96" spans="1:4" x14ac:dyDescent="0.2">
      <c r="A96" s="5" t="s">
        <v>136</v>
      </c>
      <c r="B96" s="8">
        <f>COUNTIFS(FCF_SIM!$H$2:$H$340,1,FCF_SIM!$C$2:$C$340,"KESİN",FCF_SIM!$M$2:$M$340,"%1 altı")+COUNTIFS(FCF_SIM!$H$2:$H$340,1,FCF_SIM!$C$2:$C$340,"TÜRETİLMİŞ",FCF_SIM!$M$2:$M$340,"%1 altı")</f>
        <v>17</v>
      </c>
    </row>
    <row r="97" spans="1:9" x14ac:dyDescent="0.2">
      <c r="A97" s="5" t="s">
        <v>137</v>
      </c>
      <c r="B97" s="8">
        <f>COUNTIFS(FCF_SIM!$H$2:$H$340,1,FCF_SIM!$C$2:$C$340,"KESİN",FCF_SIM!$M$2:$M$340,"%1–5")+COUNTIFS(FCF_SIM!$H$2:$H$340,1,FCF_SIM!$C$2:$C$340,"TÜRETİLMİŞ",FCF_SIM!$M$2:$M$340,"%1–5")</f>
        <v>24</v>
      </c>
    </row>
    <row r="98" spans="1:9" x14ac:dyDescent="0.2">
      <c r="A98" s="5" t="s">
        <v>138</v>
      </c>
      <c r="B98" s="8">
        <f>COUNTIFS(FCF_SIM!$H$2:$H$340,1,FCF_SIM!$C$2:$C$340,"KESİN",FCF_SIM!$M$2:$M$340,"%5–10")+COUNTIFS(FCF_SIM!$H$2:$H$340,1,FCF_SIM!$C$2:$C$340,"TÜRETİLMİŞ",FCF_SIM!$M$2:$M$340,"%5–10")</f>
        <v>17</v>
      </c>
    </row>
    <row r="99" spans="1:9" x14ac:dyDescent="0.2">
      <c r="A99" s="5" t="s">
        <v>139</v>
      </c>
      <c r="B99" s="8">
        <f>COUNTIFS(FCF_SIM!$H$2:$H$340,1,FCF_SIM!$C$2:$C$340,"KESİN",FCF_SIM!$M$2:$M$340,"%10–25")+COUNTIFS(FCF_SIM!$H$2:$H$340,1,FCF_SIM!$C$2:$C$340,"TÜRETİLMİŞ",FCF_SIM!$M$2:$M$340,"%10–25")</f>
        <v>16</v>
      </c>
    </row>
    <row r="100" spans="1:9" x14ac:dyDescent="0.2">
      <c r="A100" s="5" t="s">
        <v>140</v>
      </c>
      <c r="B100" s="8">
        <f>COUNTIFS(FCF_SIM!$H$2:$H$340,1,FCF_SIM!$C$2:$C$340,"KESİN",FCF_SIM!$M$2:$M$340,"%25 üstü")+COUNTIFS(FCF_SIM!$H$2:$H$340,1,FCF_SIM!$C$2:$C$340,"TÜRETİLMİŞ",FCF_SIM!$M$2:$M$340,"%25 üstü")</f>
        <v>37</v>
      </c>
    </row>
    <row r="101" spans="1:9" x14ac:dyDescent="0.2">
      <c r="A101" s="4" t="s">
        <v>141</v>
      </c>
      <c r="B101" s="7">
        <f>SUM(B96:B100)</f>
        <v>111</v>
      </c>
    </row>
    <row r="102" spans="1:9" ht="43.5" customHeight="1" x14ac:dyDescent="0.2">
      <c r="A102" s="6" t="s">
        <v>143</v>
      </c>
      <c r="B102" s="6" t="s">
        <v>144</v>
      </c>
      <c r="C102" s="6" t="s">
        <v>145</v>
      </c>
    </row>
    <row r="103" spans="1:9" x14ac:dyDescent="0.2">
      <c r="A103" s="5" t="s">
        <v>146</v>
      </c>
      <c r="B103" s="8">
        <f>SUM(FCF_SIM!$J$2:$J$340)</f>
        <v>73</v>
      </c>
      <c r="C103" s="8">
        <f>COUNTIFS(FCF_SIM!$J$2:$J$340,1,FCF_SIM!$C$2:$C$340,"KESİN")+COUNTIFS(FCF_SIM!$J$2:$J$340,1,FCF_SIM!$C$2:$C$340,"TÜRETİLMİŞ")</f>
        <v>55</v>
      </c>
    </row>
    <row r="104" spans="1:9" x14ac:dyDescent="0.2">
      <c r="A104" s="5" t="s">
        <v>147</v>
      </c>
      <c r="B104" s="9">
        <v>60</v>
      </c>
      <c r="C104" s="9">
        <v>5562.96</v>
      </c>
    </row>
    <row r="105" spans="1:9" x14ac:dyDescent="0.2">
      <c r="A105" s="5" t="s">
        <v>148</v>
      </c>
      <c r="B105" s="9">
        <v>15</v>
      </c>
      <c r="C105" s="9">
        <v>11721.890323</v>
      </c>
    </row>
    <row r="106" spans="1:9" ht="30" customHeight="1" x14ac:dyDescent="0.2">
      <c r="A106" s="2" t="s">
        <v>149</v>
      </c>
      <c r="B106" s="2"/>
      <c r="C106" s="2"/>
      <c r="D106" s="2"/>
      <c r="E106" s="2"/>
      <c r="F106" s="2"/>
      <c r="G106" s="2"/>
      <c r="H106" s="2"/>
      <c r="I106" s="2"/>
    </row>
    <row r="108" spans="1:9" x14ac:dyDescent="0.2">
      <c r="A108" s="3" t="s">
        <v>150</v>
      </c>
    </row>
    <row r="109" spans="1:9" ht="43.5" customHeight="1" x14ac:dyDescent="0.2">
      <c r="A109" s="6" t="s">
        <v>151</v>
      </c>
      <c r="B109" s="6" t="s">
        <v>37</v>
      </c>
    </row>
    <row r="110" spans="1:9" ht="24.75" x14ac:dyDescent="0.2">
      <c r="A110" s="5" t="s">
        <v>152</v>
      </c>
      <c r="B110" s="8">
        <f>COUNTIFS(ORNEKLEM!$K$2:$K$126,"HATA",ORNEKLEM!$R$2:$R$126,"SESSİZ HATA",ORNEKLEM!$H$2:$H$126,0)</f>
        <v>19</v>
      </c>
    </row>
    <row r="111" spans="1:9" x14ac:dyDescent="0.2">
      <c r="A111" s="5" t="s">
        <v>153</v>
      </c>
      <c r="B111" s="8">
        <f>COUNTIFS(ORNEKLEM!$K$2:$K$126,"HATA",ORNEKLEM!$R$2:$R$126,"SESSİZ HATA",ORNEKLEM!$H$2:$H$126,1)</f>
        <v>16</v>
      </c>
    </row>
    <row r="112" spans="1:9" ht="24.75" x14ac:dyDescent="0.2">
      <c r="A112" s="5" t="s">
        <v>154</v>
      </c>
      <c r="B112" s="8">
        <f>COUNTIFS(ORNEKLEM!$K$2:$K$126,"HATA",ORNEKLEM!$R$2:$R$126,"V7 zaten*")</f>
        <v>6</v>
      </c>
    </row>
    <row r="113" spans="1:9" ht="30" customHeight="1" x14ac:dyDescent="0.2">
      <c r="A113" s="2" t="s">
        <v>155</v>
      </c>
      <c r="B113" s="2"/>
      <c r="C113" s="2"/>
      <c r="D113" s="2"/>
      <c r="E113" s="2"/>
      <c r="F113" s="2"/>
      <c r="G113" s="2"/>
      <c r="H113" s="2"/>
      <c r="I113" s="2"/>
    </row>
  </sheetData>
  <mergeCells count="8">
    <mergeCell ref="A71:I71"/>
    <mergeCell ref="A106:I106"/>
    <mergeCell ref="A113:I113"/>
    <mergeCell ref="A2:I2"/>
    <mergeCell ref="A19:I19"/>
    <mergeCell ref="A30:I30"/>
    <mergeCell ref="A56:I56"/>
    <mergeCell ref="A68:I6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92"/>
  <sheetViews>
    <sheetView zoomScaleNormal="100" workbookViewId="0">
      <pane xSplit="3" ySplit="1" topLeftCell="D2" activePane="bottomRight" state="frozen"/>
      <selection pane="bottomLeft" activeCell="A2" sqref="A2"/>
      <selection pane="topRight" activeCell="D1" sqref="D1"/>
      <selection pane="bottomRight"/>
    </sheetView>
  </sheetViews>
  <sheetFormatPr defaultColWidth="8.7421875" defaultRowHeight="15" x14ac:dyDescent="0.2"/>
  <cols>
    <col min="1" max="1" width="7.93359375" customWidth="1"/>
    <col min="2" max="2" width="16.0078125" customWidth="1"/>
    <col min="3" max="3" width="9.01171875" customWidth="1"/>
    <col min="4" max="42" width="13.046875" customWidth="1"/>
    <col min="43" max="43" width="11.97265625" customWidth="1"/>
    <col min="44" max="46" width="13.046875" customWidth="1"/>
    <col min="47" max="47" width="11.97265625" customWidth="1"/>
    <col min="48" max="51" width="13.046875" customWidth="1"/>
    <col min="52" max="52" width="69.94921875" customWidth="1"/>
    <col min="53" max="53" width="13.046875" customWidth="1"/>
  </cols>
  <sheetData>
    <row r="1" spans="1:53" ht="78" customHeight="1" x14ac:dyDescent="0.2">
      <c r="A1" s="6" t="s">
        <v>156</v>
      </c>
      <c r="B1" s="6" t="s">
        <v>157</v>
      </c>
      <c r="C1" s="6" t="s">
        <v>158</v>
      </c>
      <c r="D1" s="6" t="s">
        <v>159</v>
      </c>
      <c r="E1" s="6" t="s">
        <v>160</v>
      </c>
      <c r="F1" s="6" t="s">
        <v>161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162</v>
      </c>
      <c r="O1" s="6" t="s">
        <v>163</v>
      </c>
      <c r="P1" s="6" t="s">
        <v>164</v>
      </c>
      <c r="Q1" s="6" t="s">
        <v>165</v>
      </c>
      <c r="R1" s="6" t="s">
        <v>166</v>
      </c>
      <c r="S1" s="6" t="s">
        <v>167</v>
      </c>
      <c r="T1" s="6" t="s">
        <v>168</v>
      </c>
      <c r="U1" s="6" t="s">
        <v>169</v>
      </c>
      <c r="V1" s="6" t="s">
        <v>170</v>
      </c>
      <c r="W1" s="6" t="s">
        <v>171</v>
      </c>
      <c r="X1" s="6" t="s">
        <v>172</v>
      </c>
      <c r="Y1" s="6" t="s">
        <v>173</v>
      </c>
      <c r="Z1" s="6" t="s">
        <v>174</v>
      </c>
      <c r="AA1" s="6" t="s">
        <v>175</v>
      </c>
      <c r="AB1" s="6" t="s">
        <v>176</v>
      </c>
      <c r="AC1" s="6" t="s">
        <v>177</v>
      </c>
      <c r="AD1" s="6" t="s">
        <v>178</v>
      </c>
      <c r="AE1" s="6" t="s">
        <v>179</v>
      </c>
      <c r="AF1" s="6" t="s">
        <v>180</v>
      </c>
      <c r="AG1" s="6" t="s">
        <v>181</v>
      </c>
      <c r="AH1" s="6" t="s">
        <v>182</v>
      </c>
      <c r="AI1" s="6" t="s">
        <v>183</v>
      </c>
      <c r="AJ1" s="6" t="s">
        <v>184</v>
      </c>
      <c r="AK1" s="6" t="s">
        <v>185</v>
      </c>
      <c r="AL1" s="6" t="s">
        <v>186</v>
      </c>
      <c r="AM1" s="6" t="s">
        <v>187</v>
      </c>
      <c r="AN1" s="6" t="s">
        <v>188</v>
      </c>
      <c r="AO1" s="6" t="s">
        <v>189</v>
      </c>
      <c r="AP1" s="6" t="s">
        <v>190</v>
      </c>
      <c r="AQ1" s="6" t="s">
        <v>191</v>
      </c>
      <c r="AR1" s="6" t="s">
        <v>192</v>
      </c>
      <c r="AS1" s="6" t="s">
        <v>193</v>
      </c>
      <c r="AT1" s="6" t="s">
        <v>194</v>
      </c>
      <c r="AU1" s="6" t="s">
        <v>195</v>
      </c>
      <c r="AV1" s="6" t="s">
        <v>196</v>
      </c>
      <c r="AW1" s="6" t="s">
        <v>197</v>
      </c>
      <c r="AX1" s="6" t="s">
        <v>198</v>
      </c>
      <c r="AY1" s="6" t="s">
        <v>199</v>
      </c>
      <c r="AZ1" s="6" t="s">
        <v>200</v>
      </c>
      <c r="BA1" s="6" t="s">
        <v>201</v>
      </c>
    </row>
    <row r="2" spans="1:53" x14ac:dyDescent="0.2">
      <c r="A2" s="8" t="s">
        <v>202</v>
      </c>
      <c r="B2" s="8" t="s">
        <v>83</v>
      </c>
      <c r="C2" s="8" t="s">
        <v>203</v>
      </c>
      <c r="D2" s="8">
        <v>1</v>
      </c>
      <c r="E2" s="8">
        <v>1</v>
      </c>
      <c r="F2" s="8">
        <f>SUM(G2:M2)</f>
        <v>1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1</v>
      </c>
      <c r="N2" s="8">
        <v>0</v>
      </c>
      <c r="O2" s="8">
        <v>0</v>
      </c>
      <c r="P2" s="8">
        <v>1</v>
      </c>
      <c r="Q2" s="8">
        <v>0</v>
      </c>
      <c r="R2" s="8">
        <v>0</v>
      </c>
      <c r="S2" s="8">
        <v>0</v>
      </c>
      <c r="T2" s="10">
        <v>-1.0940000000000001</v>
      </c>
      <c r="U2" s="10">
        <v>-22.518999999999998</v>
      </c>
      <c r="V2" s="10">
        <v>-4.5839999999999996</v>
      </c>
      <c r="W2" s="10">
        <f>IF(RIGHT(C2,2)="12",IF(ISNUMBER(T2),T2,""),IF(COUNT(T2,U2,V2)=3,T2+U2-V2,""))</f>
        <v>-19.029</v>
      </c>
      <c r="X2" s="10">
        <v>-19.029</v>
      </c>
      <c r="Y2" s="10">
        <v>-8.7149999999999999</v>
      </c>
      <c r="Z2" s="10">
        <v>1.974</v>
      </c>
      <c r="AA2" s="10">
        <v>-11.193</v>
      </c>
      <c r="AB2" s="10">
        <v>-1.0940000000000001</v>
      </c>
      <c r="AC2" s="8">
        <v>0</v>
      </c>
      <c r="AD2" s="8">
        <v>0</v>
      </c>
      <c r="AE2" s="8">
        <v>0</v>
      </c>
      <c r="AF2" s="10">
        <v>0</v>
      </c>
      <c r="AG2" s="8">
        <f>COUNTIF(Y2:AB2,"&gt;0")</f>
        <v>1</v>
      </c>
      <c r="AH2" s="10">
        <v>0</v>
      </c>
      <c r="AI2" s="10">
        <v>1.974</v>
      </c>
      <c r="AJ2" s="8" t="str">
        <f>IF(ISNUMBER(X2),IF(X2&gt;0,"+",IF(X2&lt;0,"−","0")),IF(ISNUMBER(W2),IF(W2&gt;0,"+",IF(W2&lt;0,"−","0")),"yok"))</f>
        <v>−</v>
      </c>
      <c r="AK2" s="10">
        <f>IF(AND(RIGHT(C2,2)&lt;&gt;"12",ISNUMBER(U2),ISNUMBER(V2)),U2-V2,"")</f>
        <v>-17.934999999999999</v>
      </c>
      <c r="AL2" s="11">
        <f>IF(AND(ISNUMBER(AK2),ISNUMBER(V2)),IF(V2&lt;&gt;0,AK2/ABS(V2),""),"")</f>
        <v>-3.9125218150087262</v>
      </c>
      <c r="AM2" s="8">
        <f>IF(ISNUMBER(AK2),IF(AK2&gt;1,1,0),"")</f>
        <v>0</v>
      </c>
      <c r="AN2" s="8">
        <f>IF(ISNUMBER(AK2),IF(AK2&gt;0.05*ABS(V2),1,0),"")</f>
        <v>0</v>
      </c>
      <c r="AO2" s="10">
        <v>-19.029</v>
      </c>
      <c r="AP2" s="10">
        <v>19.029</v>
      </c>
      <c r="AQ2" s="8" t="s">
        <v>204</v>
      </c>
      <c r="AR2" s="8">
        <v>0</v>
      </c>
      <c r="AS2" s="10">
        <v>-78.992999999999995</v>
      </c>
      <c r="AT2" s="10">
        <v>-98.022000000000006</v>
      </c>
      <c r="AU2" s="8" t="s">
        <v>204</v>
      </c>
      <c r="AV2" s="10">
        <v>1.974</v>
      </c>
      <c r="AW2" s="11">
        <f>IF(AND(ISNUMBER(AV2),ISNUMBER(AT2)),IF(AT2&lt;&gt;0,AV2/ABS(AT2),""),"")</f>
        <v>2.0138336291852847E-2</v>
      </c>
      <c r="AX2" s="8">
        <v>0</v>
      </c>
      <c r="AY2" s="8">
        <v>0</v>
      </c>
      <c r="AZ2" s="10"/>
      <c r="BA2" s="8">
        <v>0</v>
      </c>
    </row>
    <row r="3" spans="1:53" x14ac:dyDescent="0.2">
      <c r="A3" s="8" t="s">
        <v>202</v>
      </c>
      <c r="B3" s="8" t="s">
        <v>83</v>
      </c>
      <c r="C3" s="8" t="s">
        <v>205</v>
      </c>
      <c r="D3" s="8">
        <v>1</v>
      </c>
      <c r="E3" s="8">
        <v>1</v>
      </c>
      <c r="F3" s="8">
        <f>SUM(G3:M3)</f>
        <v>1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1</v>
      </c>
      <c r="N3" s="8">
        <v>0</v>
      </c>
      <c r="O3" s="8">
        <v>0</v>
      </c>
      <c r="P3" s="8">
        <v>1</v>
      </c>
      <c r="Q3" s="8">
        <v>0</v>
      </c>
      <c r="R3" s="8">
        <v>0</v>
      </c>
      <c r="S3" s="8">
        <v>0</v>
      </c>
      <c r="T3" s="10">
        <v>-4.6020000000000003</v>
      </c>
      <c r="U3" s="10">
        <v>-22.518999999999998</v>
      </c>
      <c r="V3" s="10">
        <v>-13.298999999999999</v>
      </c>
      <c r="W3" s="10">
        <f>IF(RIGHT(C3,2)="12",IF(ISNUMBER(T3),T3,""),IF(COUNT(T3,U3,V3)=3,T3+U3-V3,""))</f>
        <v>-13.821999999999999</v>
      </c>
      <c r="X3" s="10">
        <v>-13.821</v>
      </c>
      <c r="Y3" s="10">
        <v>1.974</v>
      </c>
      <c r="Z3" s="10">
        <v>-11.193</v>
      </c>
      <c r="AA3" s="10">
        <v>-1.0940000000000001</v>
      </c>
      <c r="AB3" s="10">
        <v>-3.5070000000000001</v>
      </c>
      <c r="AC3" s="8">
        <v>0</v>
      </c>
      <c r="AD3" s="8">
        <v>0</v>
      </c>
      <c r="AE3" s="8">
        <v>0</v>
      </c>
      <c r="AF3" s="10">
        <v>0</v>
      </c>
      <c r="AG3" s="8">
        <f>COUNTIF(Y3:AB3,"&gt;0")</f>
        <v>1</v>
      </c>
      <c r="AH3" s="10">
        <v>0</v>
      </c>
      <c r="AI3" s="10">
        <v>1.974</v>
      </c>
      <c r="AJ3" s="8" t="str">
        <f>IF(ISNUMBER(X3),IF(X3&gt;0,"+",IF(X3&lt;0,"−","0")),IF(ISNUMBER(W3),IF(W3&gt;0,"+",IF(W3&lt;0,"−","0")),"yok"))</f>
        <v>−</v>
      </c>
      <c r="AK3" s="10">
        <f>IF(AND(RIGHT(C3,2)&lt;&gt;"12",ISNUMBER(U3),ISNUMBER(V3)),U3-V3,"")</f>
        <v>-9.2199999999999989</v>
      </c>
      <c r="AL3" s="11">
        <f>IF(AND(ISNUMBER(AK3),ISNUMBER(V3)),IF(V3&lt;&gt;0,AK3/ABS(V3),""),"")</f>
        <v>-0.69328520941424165</v>
      </c>
      <c r="AM3" s="8">
        <f>IF(ISNUMBER(AK3),IF(AK3&gt;1,1,0),"")</f>
        <v>0</v>
      </c>
      <c r="AN3" s="8">
        <f>IF(ISNUMBER(AK3),IF(AK3&gt;0.05*ABS(V3),1,0),"")</f>
        <v>0</v>
      </c>
      <c r="AO3" s="10">
        <v>-13.821</v>
      </c>
      <c r="AP3" s="10">
        <v>13.821</v>
      </c>
      <c r="AQ3" s="8" t="s">
        <v>204</v>
      </c>
      <c r="AR3" s="8">
        <v>0</v>
      </c>
      <c r="AS3" s="10">
        <v>-97.99</v>
      </c>
      <c r="AT3" s="10">
        <v>-111.81100000000001</v>
      </c>
      <c r="AU3" s="8" t="s">
        <v>204</v>
      </c>
      <c r="AV3" s="10">
        <v>1.974</v>
      </c>
      <c r="AW3" s="11">
        <f>IF(AND(ISNUMBER(AV3),ISNUMBER(AT3)),IF(AT3&lt;&gt;0,AV3/ABS(AT3),""),"")</f>
        <v>1.7654792462280095E-2</v>
      </c>
      <c r="AX3" s="8">
        <v>0</v>
      </c>
      <c r="AY3" s="8">
        <v>0</v>
      </c>
      <c r="AZ3" s="10"/>
      <c r="BA3" s="8">
        <v>0</v>
      </c>
    </row>
    <row r="4" spans="1:53" x14ac:dyDescent="0.2">
      <c r="A4" s="8" t="s">
        <v>206</v>
      </c>
      <c r="B4" s="8" t="s">
        <v>83</v>
      </c>
      <c r="C4" s="8" t="s">
        <v>203</v>
      </c>
      <c r="D4" s="8">
        <v>1</v>
      </c>
      <c r="E4" s="8">
        <v>1</v>
      </c>
      <c r="F4" s="8">
        <f>SUM(G4:M4)</f>
        <v>1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1</v>
      </c>
      <c r="N4" s="8">
        <v>0</v>
      </c>
      <c r="O4" s="8">
        <v>0</v>
      </c>
      <c r="P4" s="8">
        <v>1</v>
      </c>
      <c r="Q4" s="8">
        <v>0</v>
      </c>
      <c r="R4" s="8">
        <v>0</v>
      </c>
      <c r="S4" s="8">
        <v>0</v>
      </c>
      <c r="T4" s="10">
        <v>-238.28200000000001</v>
      </c>
      <c r="U4" s="10">
        <v>-472.01</v>
      </c>
      <c r="V4" s="10">
        <v>-50.531999999999996</v>
      </c>
      <c r="W4" s="10">
        <f>IF(RIGHT(C4,2)="12",IF(ISNUMBER(T4),T4,""),IF(COUNT(T4,U4,V4)=3,T4+U4-V4,""))</f>
        <v>-659.76</v>
      </c>
      <c r="X4" s="10">
        <v>-659.76</v>
      </c>
      <c r="Y4" s="10">
        <v>-344.7</v>
      </c>
      <c r="Z4" s="10">
        <v>200.19</v>
      </c>
      <c r="AA4" s="10">
        <v>-276.96800000000002</v>
      </c>
      <c r="AB4" s="10">
        <v>-238.28200000000001</v>
      </c>
      <c r="AC4" s="8">
        <v>0</v>
      </c>
      <c r="AD4" s="8">
        <v>0</v>
      </c>
      <c r="AE4" s="8">
        <v>0</v>
      </c>
      <c r="AF4" s="10">
        <v>0</v>
      </c>
      <c r="AG4" s="8">
        <f>COUNTIF(Y4:AB4,"&gt;0")</f>
        <v>1</v>
      </c>
      <c r="AH4" s="10">
        <v>0</v>
      </c>
      <c r="AI4" s="10">
        <v>200.19</v>
      </c>
      <c r="AJ4" s="8" t="str">
        <f>IF(ISNUMBER(X4),IF(X4&gt;0,"+",IF(X4&lt;0,"−","0")),IF(ISNUMBER(W4),IF(W4&gt;0,"+",IF(W4&lt;0,"−","0")),"yok"))</f>
        <v>−</v>
      </c>
      <c r="AK4" s="10">
        <f>IF(AND(RIGHT(C4,2)&lt;&gt;"12",ISNUMBER(U4),ISNUMBER(V4)),U4-V4,"")</f>
        <v>-421.47800000000001</v>
      </c>
      <c r="AL4" s="11">
        <f>IF(AND(ISNUMBER(AK4),ISNUMBER(V4)),IF(V4&lt;&gt;0,AK4/ABS(V4),""),"")</f>
        <v>-8.3408137417873824</v>
      </c>
      <c r="AM4" s="8">
        <f>IF(ISNUMBER(AK4),IF(AK4&gt;1,1,0),"")</f>
        <v>0</v>
      </c>
      <c r="AN4" s="8">
        <f>IF(ISNUMBER(AK4),IF(AK4&gt;0.05*ABS(V4),1,0),"")</f>
        <v>0</v>
      </c>
      <c r="AO4" s="10">
        <v>-659.76099999999997</v>
      </c>
      <c r="AP4" s="10">
        <v>659.76099999999997</v>
      </c>
      <c r="AQ4" s="8" t="s">
        <v>204</v>
      </c>
      <c r="AR4" s="8">
        <v>0</v>
      </c>
      <c r="AS4" s="10">
        <v>1436.4359999999999</v>
      </c>
      <c r="AT4" s="10"/>
      <c r="AU4" s="8" t="s">
        <v>207</v>
      </c>
      <c r="AV4" s="10">
        <v>200.19</v>
      </c>
      <c r="AW4" s="11" t="str">
        <f>IF(AND(ISNUMBER(AV4),ISNUMBER(AT4)),IF(AT4&lt;&gt;0,AV4/ABS(AT4),""),"")</f>
        <v/>
      </c>
      <c r="AX4" s="8">
        <v>0</v>
      </c>
      <c r="AY4" s="8">
        <v>0</v>
      </c>
      <c r="AZ4" s="10"/>
      <c r="BA4" s="8">
        <v>0</v>
      </c>
    </row>
    <row r="5" spans="1:53" x14ac:dyDescent="0.2">
      <c r="A5" s="8" t="s">
        <v>206</v>
      </c>
      <c r="B5" s="8" t="s">
        <v>83</v>
      </c>
      <c r="C5" s="8" t="s">
        <v>205</v>
      </c>
      <c r="D5" s="8">
        <v>1</v>
      </c>
      <c r="E5" s="8">
        <v>1</v>
      </c>
      <c r="F5" s="8">
        <f>SUM(G5:M5)</f>
        <v>1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1</v>
      </c>
      <c r="Q5" s="8">
        <v>0</v>
      </c>
      <c r="R5" s="8">
        <v>0</v>
      </c>
      <c r="S5" s="8">
        <v>0</v>
      </c>
      <c r="T5" s="10">
        <v>-358.41199999999998</v>
      </c>
      <c r="U5" s="10">
        <v>-472.01</v>
      </c>
      <c r="V5" s="10">
        <v>-395.23200000000003</v>
      </c>
      <c r="W5" s="10">
        <f>IF(RIGHT(C5,2)="12",IF(ISNUMBER(T5),T5,""),IF(COUNT(T5,U5,V5)=3,T5+U5-V5,""))</f>
        <v>-435.19</v>
      </c>
      <c r="X5" s="10">
        <v>-435.18900000000002</v>
      </c>
      <c r="Y5" s="10">
        <v>200.19</v>
      </c>
      <c r="Z5" s="10">
        <v>-276.96800000000002</v>
      </c>
      <c r="AA5" s="10">
        <v>-238.28200000000001</v>
      </c>
      <c r="AB5" s="10">
        <v>-120.129</v>
      </c>
      <c r="AC5" s="8">
        <v>0</v>
      </c>
      <c r="AD5" s="8">
        <v>0</v>
      </c>
      <c r="AE5" s="8">
        <v>0</v>
      </c>
      <c r="AF5" s="10">
        <v>0</v>
      </c>
      <c r="AG5" s="8">
        <f>COUNTIF(Y5:AB5,"&gt;0")</f>
        <v>1</v>
      </c>
      <c r="AH5" s="10">
        <v>0</v>
      </c>
      <c r="AI5" s="10">
        <v>200.19</v>
      </c>
      <c r="AJ5" s="8" t="str">
        <f>IF(ISNUMBER(X5),IF(X5&gt;0,"+",IF(X5&lt;0,"−","0")),IF(ISNUMBER(W5),IF(W5&gt;0,"+",IF(W5&lt;0,"−","0")),"yok"))</f>
        <v>−</v>
      </c>
      <c r="AK5" s="10">
        <f>IF(AND(RIGHT(C5,2)&lt;&gt;"12",ISNUMBER(U5),ISNUMBER(V5)),U5-V5,"")</f>
        <v>-76.777999999999963</v>
      </c>
      <c r="AL5" s="11">
        <f>IF(AND(ISNUMBER(AK5),ISNUMBER(V5)),IF(V5&lt;&gt;0,AK5/ABS(V5),""),"")</f>
        <v>-0.19426058618735315</v>
      </c>
      <c r="AM5" s="8">
        <f>IF(ISNUMBER(AK5),IF(AK5&gt;1,1,0),"")</f>
        <v>0</v>
      </c>
      <c r="AN5" s="8">
        <f>IF(ISNUMBER(AK5),IF(AK5&gt;0.05*ABS(V5),1,0),"")</f>
        <v>0</v>
      </c>
      <c r="AO5" s="10">
        <v>-435.18900000000002</v>
      </c>
      <c r="AP5" s="10">
        <v>435.18900000000002</v>
      </c>
      <c r="AQ5" s="8" t="s">
        <v>204</v>
      </c>
      <c r="AR5" s="8">
        <v>0</v>
      </c>
      <c r="AS5" s="10">
        <v>949.67700000000002</v>
      </c>
      <c r="AT5" s="10"/>
      <c r="AU5" s="8" t="s">
        <v>207</v>
      </c>
      <c r="AV5" s="10">
        <v>200.19</v>
      </c>
      <c r="AW5" s="11" t="str">
        <f>IF(AND(ISNUMBER(AV5),ISNUMBER(AT5)),IF(AT5&lt;&gt;0,AV5/ABS(AT5),""),"")</f>
        <v/>
      </c>
      <c r="AX5" s="8">
        <v>0</v>
      </c>
      <c r="AY5" s="8">
        <v>0</v>
      </c>
      <c r="AZ5" s="10"/>
      <c r="BA5" s="8">
        <v>0</v>
      </c>
    </row>
    <row r="6" spans="1:53" x14ac:dyDescent="0.2">
      <c r="A6" s="8" t="s">
        <v>206</v>
      </c>
      <c r="B6" s="8" t="s">
        <v>83</v>
      </c>
      <c r="C6" s="8" t="s">
        <v>208</v>
      </c>
      <c r="D6" s="8">
        <v>1</v>
      </c>
      <c r="E6" s="8">
        <v>1</v>
      </c>
      <c r="F6" s="8">
        <f>SUM(G6:M6)</f>
        <v>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1</v>
      </c>
      <c r="N6" s="8">
        <v>0</v>
      </c>
      <c r="O6" s="8">
        <v>0</v>
      </c>
      <c r="P6" s="8">
        <v>1</v>
      </c>
      <c r="Q6" s="8">
        <v>0</v>
      </c>
      <c r="R6" s="8">
        <v>0</v>
      </c>
      <c r="S6" s="8">
        <v>0</v>
      </c>
      <c r="T6" s="10">
        <v>-31.922000000000001</v>
      </c>
      <c r="U6" s="10">
        <v>-774.71100000000001</v>
      </c>
      <c r="V6" s="10">
        <v>-238.28200000000001</v>
      </c>
      <c r="W6" s="10">
        <f>IF(RIGHT(C6,2)="12",IF(ISNUMBER(T6),T6,""),IF(COUNT(T6,U6,V6)=3,T6+U6-V6,""))</f>
        <v>-568.351</v>
      </c>
      <c r="X6" s="10">
        <v>-568.351</v>
      </c>
      <c r="Y6" s="10">
        <v>-120.129</v>
      </c>
      <c r="Z6" s="10">
        <v>98.159000000000006</v>
      </c>
      <c r="AA6" s="10">
        <v>-514.45899999999995</v>
      </c>
      <c r="AB6" s="10">
        <v>-31.922000000000001</v>
      </c>
      <c r="AC6" s="8">
        <v>0</v>
      </c>
      <c r="AD6" s="8">
        <v>0</v>
      </c>
      <c r="AE6" s="8">
        <v>0</v>
      </c>
      <c r="AF6" s="10">
        <v>0</v>
      </c>
      <c r="AG6" s="8">
        <f>COUNTIF(Y6:AB6,"&gt;0")</f>
        <v>1</v>
      </c>
      <c r="AH6" s="10">
        <v>0</v>
      </c>
      <c r="AI6" s="10">
        <v>98.159000000000006</v>
      </c>
      <c r="AJ6" s="8" t="str">
        <f>IF(ISNUMBER(X6),IF(X6&gt;0,"+",IF(X6&lt;0,"−","0")),IF(ISNUMBER(W6),IF(W6&gt;0,"+",IF(W6&lt;0,"−","0")),"yok"))</f>
        <v>−</v>
      </c>
      <c r="AK6" s="10">
        <f>IF(AND(RIGHT(C6,2)&lt;&gt;"12",ISNUMBER(U6),ISNUMBER(V6)),U6-V6,"")</f>
        <v>-536.42899999999997</v>
      </c>
      <c r="AL6" s="11">
        <f>IF(AND(ISNUMBER(AK6),ISNUMBER(V6)),IF(V6&lt;&gt;0,AK6/ABS(V6),""),"")</f>
        <v>-2.2512359305360872</v>
      </c>
      <c r="AM6" s="8">
        <f>IF(ISNUMBER(AK6),IF(AK6&gt;1,1,0),"")</f>
        <v>0</v>
      </c>
      <c r="AN6" s="8">
        <f>IF(ISNUMBER(AK6),IF(AK6&gt;0.05*ABS(V6),1,0),"")</f>
        <v>0</v>
      </c>
      <c r="AO6" s="10">
        <v>-568.351</v>
      </c>
      <c r="AP6" s="10">
        <v>568.351</v>
      </c>
      <c r="AQ6" s="8" t="s">
        <v>204</v>
      </c>
      <c r="AR6" s="8">
        <v>0</v>
      </c>
      <c r="AS6" s="10">
        <v>762.59500000000003</v>
      </c>
      <c r="AT6" s="10">
        <v>176.34475699999999</v>
      </c>
      <c r="AU6" s="8" t="s">
        <v>209</v>
      </c>
      <c r="AV6" s="10">
        <v>98.159000000000006</v>
      </c>
      <c r="AW6" s="11">
        <f>IF(AND(ISNUMBER(AV6),ISNUMBER(AT6)),IF(AT6&lt;&gt;0,AV6/ABS(AT6),""),"")</f>
        <v>0.55663123571062567</v>
      </c>
      <c r="AX6" s="8">
        <v>0</v>
      </c>
      <c r="AY6" s="8">
        <v>0</v>
      </c>
      <c r="AZ6" s="10"/>
      <c r="BA6" s="8">
        <v>0</v>
      </c>
    </row>
    <row r="7" spans="1:53" x14ac:dyDescent="0.2">
      <c r="A7" s="8" t="s">
        <v>206</v>
      </c>
      <c r="B7" s="8" t="s">
        <v>83</v>
      </c>
      <c r="C7" s="8" t="s">
        <v>210</v>
      </c>
      <c r="D7" s="8">
        <v>1</v>
      </c>
      <c r="E7" s="8">
        <v>1</v>
      </c>
      <c r="F7" s="8">
        <f>SUM(G7:M7)</f>
        <v>1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1</v>
      </c>
      <c r="N7" s="8">
        <v>0</v>
      </c>
      <c r="O7" s="8">
        <v>0</v>
      </c>
      <c r="P7" s="8">
        <v>1</v>
      </c>
      <c r="Q7" s="8">
        <v>0</v>
      </c>
      <c r="R7" s="8">
        <v>0</v>
      </c>
      <c r="S7" s="8">
        <v>0</v>
      </c>
      <c r="T7" s="10">
        <v>-61.454999999999998</v>
      </c>
      <c r="U7" s="10">
        <v>-774.71100000000001</v>
      </c>
      <c r="V7" s="10">
        <v>-358.41199999999998</v>
      </c>
      <c r="W7" s="10">
        <f>IF(RIGHT(C7,2)="12",IF(ISNUMBER(T7),T7,""),IF(COUNT(T7,U7,V7)=3,T7+U7-V7,""))</f>
        <v>-477.75400000000008</v>
      </c>
      <c r="X7" s="10">
        <v>-477.755</v>
      </c>
      <c r="Y7" s="10">
        <v>98.159000000000006</v>
      </c>
      <c r="Z7" s="10">
        <v>-514.45899999999995</v>
      </c>
      <c r="AA7" s="10">
        <v>-31.922000000000001</v>
      </c>
      <c r="AB7" s="10">
        <v>-29.533000000000001</v>
      </c>
      <c r="AC7" s="8">
        <v>0</v>
      </c>
      <c r="AD7" s="8">
        <v>0</v>
      </c>
      <c r="AE7" s="8">
        <v>0</v>
      </c>
      <c r="AF7" s="10">
        <v>0</v>
      </c>
      <c r="AG7" s="8">
        <f>COUNTIF(Y7:AB7,"&gt;0")</f>
        <v>1</v>
      </c>
      <c r="AH7" s="10">
        <v>0</v>
      </c>
      <c r="AI7" s="10">
        <v>98.159000000000006</v>
      </c>
      <c r="AJ7" s="8" t="str">
        <f>IF(ISNUMBER(X7),IF(X7&gt;0,"+",IF(X7&lt;0,"−","0")),IF(ISNUMBER(W7),IF(W7&gt;0,"+",IF(W7&lt;0,"−","0")),"yok"))</f>
        <v>−</v>
      </c>
      <c r="AK7" s="10">
        <f>IF(AND(RIGHT(C7,2)&lt;&gt;"12",ISNUMBER(U7),ISNUMBER(V7)),U7-V7,"")</f>
        <v>-416.29900000000004</v>
      </c>
      <c r="AL7" s="11">
        <f>IF(AND(ISNUMBER(AK7),ISNUMBER(V7)),IF(V7&lt;&gt;0,AK7/ABS(V7),""),"")</f>
        <v>-1.1615096592748013</v>
      </c>
      <c r="AM7" s="8">
        <f>IF(ISNUMBER(AK7),IF(AK7&gt;1,1,0),"")</f>
        <v>0</v>
      </c>
      <c r="AN7" s="8">
        <f>IF(ISNUMBER(AK7),IF(AK7&gt;0.05*ABS(V7),1,0),"")</f>
        <v>0</v>
      </c>
      <c r="AO7" s="10">
        <v>-477.75599999999997</v>
      </c>
      <c r="AP7" s="10">
        <v>477.75599999999997</v>
      </c>
      <c r="AQ7" s="8" t="s">
        <v>204</v>
      </c>
      <c r="AR7" s="8">
        <v>0</v>
      </c>
      <c r="AS7" s="10">
        <v>1105.4090000000001</v>
      </c>
      <c r="AT7" s="10"/>
      <c r="AU7" s="8" t="s">
        <v>207</v>
      </c>
      <c r="AV7" s="10">
        <v>98.159000000000006</v>
      </c>
      <c r="AW7" s="11" t="str">
        <f>IF(AND(ISNUMBER(AV7),ISNUMBER(AT7)),IF(AT7&lt;&gt;0,AV7/ABS(AT7),""),"")</f>
        <v/>
      </c>
      <c r="AX7" s="8">
        <v>0</v>
      </c>
      <c r="AY7" s="8">
        <v>0</v>
      </c>
      <c r="AZ7" s="10"/>
      <c r="BA7" s="8">
        <v>0</v>
      </c>
    </row>
    <row r="8" spans="1:53" x14ac:dyDescent="0.2">
      <c r="A8" s="8" t="s">
        <v>211</v>
      </c>
      <c r="B8" s="8" t="s">
        <v>83</v>
      </c>
      <c r="C8" s="8" t="s">
        <v>203</v>
      </c>
      <c r="D8" s="8">
        <v>1</v>
      </c>
      <c r="E8" s="8">
        <v>1</v>
      </c>
      <c r="F8" s="8">
        <f>SUM(G8:M8)</f>
        <v>1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1</v>
      </c>
      <c r="N8" s="8">
        <v>0</v>
      </c>
      <c r="O8" s="8">
        <v>0</v>
      </c>
      <c r="P8" s="8">
        <v>1</v>
      </c>
      <c r="Q8" s="8">
        <v>0</v>
      </c>
      <c r="R8" s="8">
        <v>0</v>
      </c>
      <c r="S8" s="8">
        <v>0</v>
      </c>
      <c r="T8" s="10">
        <v>-10.577</v>
      </c>
      <c r="U8" s="10">
        <v>-538.899</v>
      </c>
      <c r="V8" s="10">
        <v>-247.17099999999999</v>
      </c>
      <c r="W8" s="10">
        <f>IF(RIGHT(C8,2)="12",IF(ISNUMBER(T8),T8,""),IF(COUNT(T8,U8,V8)=3,T8+U8-V8,""))</f>
        <v>-302.30500000000001</v>
      </c>
      <c r="X8" s="10">
        <v>-302.30500000000001</v>
      </c>
      <c r="Y8" s="10">
        <v>228.95699999999999</v>
      </c>
      <c r="Z8" s="10">
        <v>-92.197000000000003</v>
      </c>
      <c r="AA8" s="10">
        <v>-428.488</v>
      </c>
      <c r="AB8" s="10">
        <v>-10.577</v>
      </c>
      <c r="AC8" s="8">
        <v>0</v>
      </c>
      <c r="AD8" s="8">
        <v>0</v>
      </c>
      <c r="AE8" s="8">
        <v>0</v>
      </c>
      <c r="AF8" s="10">
        <v>0</v>
      </c>
      <c r="AG8" s="8">
        <f>COUNTIF(Y8:AB8,"&gt;0")</f>
        <v>1</v>
      </c>
      <c r="AH8" s="10">
        <v>0</v>
      </c>
      <c r="AI8" s="10">
        <v>228.95699999999999</v>
      </c>
      <c r="AJ8" s="8" t="str">
        <f>IF(ISNUMBER(X8),IF(X8&gt;0,"+",IF(X8&lt;0,"−","0")),IF(ISNUMBER(W8),IF(W8&gt;0,"+",IF(W8&lt;0,"−","0")),"yok"))</f>
        <v>−</v>
      </c>
      <c r="AK8" s="10">
        <f>IF(AND(RIGHT(C8,2)&lt;&gt;"12",ISNUMBER(U8),ISNUMBER(V8)),U8-V8,"")</f>
        <v>-291.72800000000001</v>
      </c>
      <c r="AL8" s="11">
        <f>IF(AND(ISNUMBER(AK8),ISNUMBER(V8)),IF(V8&lt;&gt;0,AK8/ABS(V8),""),"")</f>
        <v>-1.180267911688669</v>
      </c>
      <c r="AM8" s="8">
        <f>IF(ISNUMBER(AK8),IF(AK8&gt;1,1,0),"")</f>
        <v>0</v>
      </c>
      <c r="AN8" s="8">
        <f>IF(ISNUMBER(AK8),IF(AK8&gt;0.05*ABS(V8),1,0),"")</f>
        <v>0</v>
      </c>
      <c r="AO8" s="10">
        <v>-302.30599999999998</v>
      </c>
      <c r="AP8" s="10">
        <v>302.30599999999998</v>
      </c>
      <c r="AQ8" s="8" t="s">
        <v>204</v>
      </c>
      <c r="AR8" s="8">
        <v>0</v>
      </c>
      <c r="AS8" s="10">
        <v>110.965</v>
      </c>
      <c r="AT8" s="10">
        <v>-191.34100000000001</v>
      </c>
      <c r="AU8" s="8" t="s">
        <v>212</v>
      </c>
      <c r="AV8" s="10">
        <v>228.95699999999999</v>
      </c>
      <c r="AW8" s="11">
        <f>IF(AND(ISNUMBER(AV8),ISNUMBER(AT8)),IF(AT8&lt;&gt;0,AV8/ABS(AT8),""),"")</f>
        <v>1.1965914257791064</v>
      </c>
      <c r="AX8" s="8">
        <v>0</v>
      </c>
      <c r="AY8" s="8">
        <v>0</v>
      </c>
      <c r="AZ8" s="10"/>
      <c r="BA8" s="8">
        <v>0</v>
      </c>
    </row>
    <row r="9" spans="1:53" x14ac:dyDescent="0.2">
      <c r="A9" s="8" t="s">
        <v>211</v>
      </c>
      <c r="B9" s="8" t="s">
        <v>83</v>
      </c>
      <c r="C9" s="8" t="s">
        <v>208</v>
      </c>
      <c r="D9" s="8">
        <v>1</v>
      </c>
      <c r="E9" s="8">
        <v>1</v>
      </c>
      <c r="F9" s="8">
        <f>SUM(G9:M9)</f>
        <v>2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1</v>
      </c>
      <c r="M9" s="8">
        <v>1</v>
      </c>
      <c r="N9" s="8">
        <v>0</v>
      </c>
      <c r="O9" s="8">
        <v>0</v>
      </c>
      <c r="P9" s="8">
        <v>1</v>
      </c>
      <c r="Q9" s="8">
        <v>0</v>
      </c>
      <c r="R9" s="8">
        <v>0</v>
      </c>
      <c r="S9" s="8">
        <v>0</v>
      </c>
      <c r="T9" s="10">
        <v>-80.099999999999994</v>
      </c>
      <c r="U9" s="10">
        <v>-3.2509999999999999</v>
      </c>
      <c r="V9" s="10">
        <v>-10.577</v>
      </c>
      <c r="W9" s="10">
        <f>IF(RIGHT(C9,2)="12",IF(ISNUMBER(T9),T9,""),IF(COUNT(T9,U9,V9)=3,T9+U9-V9,""))</f>
        <v>-72.774000000000001</v>
      </c>
      <c r="X9" s="10">
        <v>-72.774000000000001</v>
      </c>
      <c r="Y9" s="10"/>
      <c r="Z9" s="10"/>
      <c r="AA9" s="10">
        <v>174.47300000000001</v>
      </c>
      <c r="AB9" s="10">
        <v>-80.099999999999994</v>
      </c>
      <c r="AC9" s="8">
        <v>0</v>
      </c>
      <c r="AD9" s="8">
        <v>0</v>
      </c>
      <c r="AE9" s="8">
        <v>0</v>
      </c>
      <c r="AF9" s="10">
        <v>0</v>
      </c>
      <c r="AG9" s="8">
        <f>COUNTIF(Y9:AB9,"&gt;0")</f>
        <v>1</v>
      </c>
      <c r="AH9" s="10">
        <v>0</v>
      </c>
      <c r="AI9" s="10">
        <v>174.47300000000001</v>
      </c>
      <c r="AJ9" s="8" t="str">
        <f>IF(ISNUMBER(X9),IF(X9&gt;0,"+",IF(X9&lt;0,"−","0")),IF(ISNUMBER(W9),IF(W9&gt;0,"+",IF(W9&lt;0,"−","0")),"yok"))</f>
        <v>−</v>
      </c>
      <c r="AK9" s="10">
        <f>IF(AND(RIGHT(C9,2)&lt;&gt;"12",ISNUMBER(U9),ISNUMBER(V9)),U9-V9,"")</f>
        <v>7.3260000000000005</v>
      </c>
      <c r="AL9" s="11">
        <f>IF(AND(ISNUMBER(AK9),ISNUMBER(V9)),IF(V9&lt;&gt;0,AK9/ABS(V9),""),"")</f>
        <v>0.69263496265481705</v>
      </c>
      <c r="AM9" s="8">
        <f>IF(ISNUMBER(AK9),IF(AK9&gt;1,1,0),"")</f>
        <v>1</v>
      </c>
      <c r="AN9" s="8">
        <f>IF(ISNUMBER(AK9),IF(AK9&gt;0.05*ABS(V9),1,0),"")</f>
        <v>1</v>
      </c>
      <c r="AO9" s="10"/>
      <c r="AP9" s="10"/>
      <c r="AQ9" s="8" t="s">
        <v>207</v>
      </c>
      <c r="AR9" s="8">
        <v>0</v>
      </c>
      <c r="AS9" s="10">
        <v>-1232.45</v>
      </c>
      <c r="AT9" s="10"/>
      <c r="AU9" s="8" t="s">
        <v>207</v>
      </c>
      <c r="AV9" s="10">
        <v>7.3259999999999996</v>
      </c>
      <c r="AW9" s="11" t="str">
        <f>IF(AND(ISNUMBER(AV9),ISNUMBER(AT9)),IF(AT9&lt;&gt;0,AV9/ABS(AT9),""),"")</f>
        <v/>
      </c>
      <c r="AX9" s="8">
        <v>0</v>
      </c>
      <c r="AY9" s="8">
        <v>1</v>
      </c>
      <c r="AZ9" s="10"/>
      <c r="BA9" s="8">
        <v>0</v>
      </c>
    </row>
    <row r="10" spans="1:53" x14ac:dyDescent="0.2">
      <c r="A10" s="8" t="s">
        <v>211</v>
      </c>
      <c r="B10" s="8" t="s">
        <v>83</v>
      </c>
      <c r="C10" s="8" t="s">
        <v>210</v>
      </c>
      <c r="D10" s="8">
        <v>1</v>
      </c>
      <c r="E10" s="8">
        <v>1</v>
      </c>
      <c r="F10" s="8">
        <f>SUM(G10:M10)</f>
        <v>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1</v>
      </c>
      <c r="Q10" s="8">
        <v>0</v>
      </c>
      <c r="R10" s="8">
        <v>0</v>
      </c>
      <c r="S10" s="8">
        <v>0</v>
      </c>
      <c r="T10" s="10"/>
      <c r="U10" s="10">
        <v>-3.2509999999999999</v>
      </c>
      <c r="V10" s="10"/>
      <c r="W10" s="10" t="str">
        <f>IF(RIGHT(C10,2)="12",IF(ISNUMBER(T10),T10,""),IF(COUNT(T10,U10,V10)=3,T10+U10-V10,""))</f>
        <v/>
      </c>
      <c r="X10" s="10"/>
      <c r="Y10" s="10"/>
      <c r="Z10" s="10">
        <v>174.47300000000001</v>
      </c>
      <c r="AA10" s="10">
        <v>-80.099999999999994</v>
      </c>
      <c r="AB10" s="10"/>
      <c r="AC10" s="8">
        <v>0</v>
      </c>
      <c r="AD10" s="8">
        <v>0</v>
      </c>
      <c r="AE10" s="8">
        <v>0</v>
      </c>
      <c r="AF10" s="10">
        <v>0</v>
      </c>
      <c r="AG10" s="8">
        <f>COUNTIF(Y10:AB10,"&gt;0")</f>
        <v>1</v>
      </c>
      <c r="AH10" s="10">
        <v>0</v>
      </c>
      <c r="AI10" s="10">
        <v>174.47300000000001</v>
      </c>
      <c r="AJ10" s="8" t="str">
        <f>IF(ISNUMBER(X10),IF(X10&gt;0,"+",IF(X10&lt;0,"−","0")),IF(ISNUMBER(W10),IF(W10&gt;0,"+",IF(W10&lt;0,"−","0")),"yok"))</f>
        <v>yok</v>
      </c>
      <c r="AK10" s="10" t="str">
        <f>IF(AND(RIGHT(C10,2)&lt;&gt;"12",ISNUMBER(U10),ISNUMBER(V10)),U10-V10,"")</f>
        <v/>
      </c>
      <c r="AL10" s="11" t="str">
        <f>IF(AND(ISNUMBER(AK10),ISNUMBER(V10)),IF(V10&lt;&gt;0,AK10/ABS(V10),""),"")</f>
        <v/>
      </c>
      <c r="AM10" s="8" t="str">
        <f>IF(ISNUMBER(AK10),IF(AK10&gt;1,1,0),"")</f>
        <v/>
      </c>
      <c r="AN10" s="8" t="str">
        <f>IF(ISNUMBER(AK10),IF(AK10&gt;0.05*ABS(V10),1,0),"")</f>
        <v/>
      </c>
      <c r="AO10" s="10"/>
      <c r="AP10" s="10"/>
      <c r="AQ10" s="8" t="s">
        <v>207</v>
      </c>
      <c r="AR10" s="8">
        <v>0</v>
      </c>
      <c r="AS10" s="10">
        <v>-1015.625</v>
      </c>
      <c r="AT10" s="10"/>
      <c r="AU10" s="8" t="s">
        <v>207</v>
      </c>
      <c r="AV10" s="10">
        <v>174.47300000000001</v>
      </c>
      <c r="AW10" s="11" t="str">
        <f>IF(AND(ISNUMBER(AV10),ISNUMBER(AT10)),IF(AT10&lt;&gt;0,AV10/ABS(AT10),""),"")</f>
        <v/>
      </c>
      <c r="AX10" s="8">
        <v>0</v>
      </c>
      <c r="AY10" s="8">
        <v>0</v>
      </c>
      <c r="AZ10" s="10"/>
      <c r="BA10" s="8">
        <v>0</v>
      </c>
    </row>
    <row r="11" spans="1:53" x14ac:dyDescent="0.2">
      <c r="A11" s="8" t="s">
        <v>213</v>
      </c>
      <c r="B11" s="8" t="s">
        <v>82</v>
      </c>
      <c r="C11" s="8" t="s">
        <v>203</v>
      </c>
      <c r="D11" s="8">
        <v>1</v>
      </c>
      <c r="E11" s="8">
        <v>1</v>
      </c>
      <c r="F11" s="8">
        <f>SUM(G11:M11)</f>
        <v>1</v>
      </c>
      <c r="G11" s="8">
        <v>0</v>
      </c>
      <c r="H11" s="8">
        <v>0</v>
      </c>
      <c r="I11" s="8">
        <v>0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1</v>
      </c>
      <c r="Q11" s="8">
        <v>0</v>
      </c>
      <c r="R11" s="8">
        <v>1</v>
      </c>
      <c r="S11" s="8">
        <v>0</v>
      </c>
      <c r="T11" s="10">
        <v>4.9390000000000001</v>
      </c>
      <c r="U11" s="10">
        <v>-103.809</v>
      </c>
      <c r="V11" s="10">
        <v>-42.319000000000003</v>
      </c>
      <c r="W11" s="10">
        <f>IF(RIGHT(C11,2)="12",IF(ISNUMBER(T11),T11,""),IF(COUNT(T11,U11,V11)=3,T11+U11-V11,""))</f>
        <v>-56.551000000000002</v>
      </c>
      <c r="X11" s="10">
        <v>-56.55</v>
      </c>
      <c r="Y11" s="10">
        <v>-152.721</v>
      </c>
      <c r="Z11" s="10">
        <v>39.892000000000003</v>
      </c>
      <c r="AA11" s="10">
        <v>51.338999999999999</v>
      </c>
      <c r="AB11" s="10">
        <v>4.9390000000000001</v>
      </c>
      <c r="AC11" s="8">
        <v>1</v>
      </c>
      <c r="AD11" s="8">
        <v>0</v>
      </c>
      <c r="AE11" s="8">
        <v>0</v>
      </c>
      <c r="AF11" s="10">
        <v>4.9390000000000001</v>
      </c>
      <c r="AG11" s="8">
        <f>COUNTIF(Y11:AB11,"&gt;0")</f>
        <v>3</v>
      </c>
      <c r="AH11" s="10">
        <v>0</v>
      </c>
      <c r="AI11" s="10">
        <v>91.230999999999995</v>
      </c>
      <c r="AJ11" s="8" t="str">
        <f>IF(ISNUMBER(X11),IF(X11&gt;0,"+",IF(X11&lt;0,"−","0")),IF(ISNUMBER(W11),IF(W11&gt;0,"+",IF(W11&lt;0,"−","0")),"yok"))</f>
        <v>−</v>
      </c>
      <c r="AK11" s="10">
        <f>IF(AND(RIGHT(C11,2)&lt;&gt;"12",ISNUMBER(U11),ISNUMBER(V11)),U11-V11,"")</f>
        <v>-61.489999999999995</v>
      </c>
      <c r="AL11" s="11">
        <f>IF(AND(ISNUMBER(AK11),ISNUMBER(V11)),IF(V11&lt;&gt;0,AK11/ABS(V11),""),"")</f>
        <v>-1.4530116496136485</v>
      </c>
      <c r="AM11" s="8">
        <f>IF(ISNUMBER(AK11),IF(AK11&gt;1,1,0),"")</f>
        <v>0</v>
      </c>
      <c r="AN11" s="8">
        <f>IF(ISNUMBER(AK11),IF(AK11&gt;0.05*ABS(V11),1,0),"")</f>
        <v>0</v>
      </c>
      <c r="AO11" s="10">
        <v>-56.55</v>
      </c>
      <c r="AP11" s="10">
        <v>56.55</v>
      </c>
      <c r="AQ11" s="8" t="s">
        <v>204</v>
      </c>
      <c r="AR11" s="8">
        <v>0</v>
      </c>
      <c r="AS11" s="10">
        <v>19096.508999999998</v>
      </c>
      <c r="AT11" s="10">
        <v>3357.5189999999998</v>
      </c>
      <c r="AU11" s="8" t="s">
        <v>204</v>
      </c>
      <c r="AV11" s="10">
        <v>4.9390000000000001</v>
      </c>
      <c r="AW11" s="11">
        <f>IF(AND(ISNUMBER(AV11),ISNUMBER(AT11)),IF(AT11&lt;&gt;0,AV11/ABS(AT11),""),"")</f>
        <v>1.4710266717775835E-3</v>
      </c>
      <c r="AX11" s="8">
        <v>1</v>
      </c>
      <c r="AY11" s="8">
        <v>0</v>
      </c>
      <c r="AZ11" s="8" t="s">
        <v>214</v>
      </c>
      <c r="BA11" s="8">
        <v>0</v>
      </c>
    </row>
    <row r="12" spans="1:53" x14ac:dyDescent="0.2">
      <c r="A12" s="8" t="s">
        <v>213</v>
      </c>
      <c r="B12" s="8" t="s">
        <v>82</v>
      </c>
      <c r="C12" s="8" t="s">
        <v>205</v>
      </c>
      <c r="D12" s="8">
        <v>1</v>
      </c>
      <c r="E12" s="8">
        <v>1</v>
      </c>
      <c r="F12" s="8">
        <f>SUM(G12:M12)</f>
        <v>1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1</v>
      </c>
      <c r="O12" s="8">
        <v>0</v>
      </c>
      <c r="P12" s="8">
        <v>1</v>
      </c>
      <c r="Q12" s="8">
        <v>1</v>
      </c>
      <c r="R12" s="8">
        <v>1</v>
      </c>
      <c r="S12" s="8">
        <v>0</v>
      </c>
      <c r="T12" s="10">
        <v>-79.054000000000002</v>
      </c>
      <c r="U12" s="10">
        <v>-103.809</v>
      </c>
      <c r="V12" s="10">
        <v>-195.041</v>
      </c>
      <c r="W12" s="10">
        <f>IF(RIGHT(C12,2)="12",IF(ISNUMBER(T12),T12,""),IF(COUNT(T12,U12,V12)=3,T12+U12-V12,""))</f>
        <v>12.177999999999997</v>
      </c>
      <c r="X12" s="10">
        <v>12.177</v>
      </c>
      <c r="Y12" s="10">
        <v>39.892000000000003</v>
      </c>
      <c r="Z12" s="10">
        <v>51.338999999999999</v>
      </c>
      <c r="AA12" s="10">
        <v>4.9390000000000001</v>
      </c>
      <c r="AB12" s="10">
        <v>-83.992999999999995</v>
      </c>
      <c r="AC12" s="8">
        <v>0</v>
      </c>
      <c r="AD12" s="8">
        <v>0</v>
      </c>
      <c r="AE12" s="8">
        <v>0</v>
      </c>
      <c r="AF12" s="10">
        <v>0</v>
      </c>
      <c r="AG12" s="8">
        <f>COUNTIF(Y12:AB12,"&gt;0")</f>
        <v>3</v>
      </c>
      <c r="AH12" s="10">
        <v>0</v>
      </c>
      <c r="AI12" s="10">
        <v>91.230999999999995</v>
      </c>
      <c r="AJ12" s="8" t="str">
        <f>IF(ISNUMBER(X12),IF(X12&gt;0,"+",IF(X12&lt;0,"−","0")),IF(ISNUMBER(W12),IF(W12&gt;0,"+",IF(W12&lt;0,"−","0")),"yok"))</f>
        <v>+</v>
      </c>
      <c r="AK12" s="10">
        <f>IF(AND(RIGHT(C12,2)&lt;&gt;"12",ISNUMBER(U12),ISNUMBER(V12)),U12-V12,"")</f>
        <v>91.231999999999999</v>
      </c>
      <c r="AL12" s="11">
        <f>IF(AND(ISNUMBER(AK12),ISNUMBER(V12)),IF(V12&lt;&gt;0,AK12/ABS(V12),""),"")</f>
        <v>0.46775806112560947</v>
      </c>
      <c r="AM12" s="8">
        <f>IF(ISNUMBER(AK12),IF(AK12&gt;1,1,0),"")</f>
        <v>1</v>
      </c>
      <c r="AN12" s="8">
        <f>IF(ISNUMBER(AK12),IF(AK12&gt;0.05*ABS(V12),1,0),"")</f>
        <v>1</v>
      </c>
      <c r="AO12" s="10">
        <v>12.178000000000001</v>
      </c>
      <c r="AP12" s="10">
        <v>0</v>
      </c>
      <c r="AQ12" s="8" t="s">
        <v>204</v>
      </c>
      <c r="AR12" s="8">
        <v>1</v>
      </c>
      <c r="AS12" s="10">
        <v>20721.501</v>
      </c>
      <c r="AT12" s="10">
        <v>12083.102000000001</v>
      </c>
      <c r="AU12" s="8" t="s">
        <v>204</v>
      </c>
      <c r="AV12" s="10">
        <v>91.231999999999999</v>
      </c>
      <c r="AW12" s="11">
        <f>IF(AND(ISNUMBER(AV12),ISNUMBER(AT12)),IF(AT12&lt;&gt;0,AV12/ABS(AT12),""),"")</f>
        <v>7.5503790334634259E-3</v>
      </c>
      <c r="AX12" s="8">
        <v>0</v>
      </c>
      <c r="AY12" s="8">
        <v>1</v>
      </c>
      <c r="AZ12" s="10"/>
      <c r="BA12" s="8">
        <v>0</v>
      </c>
    </row>
    <row r="13" spans="1:53" x14ac:dyDescent="0.2">
      <c r="A13" s="8" t="s">
        <v>213</v>
      </c>
      <c r="B13" s="8" t="s">
        <v>82</v>
      </c>
      <c r="C13" s="8" t="s">
        <v>215</v>
      </c>
      <c r="D13" s="8">
        <v>1</v>
      </c>
      <c r="E13" s="8">
        <v>1</v>
      </c>
      <c r="F13" s="8">
        <f>SUM(G13:M13)</f>
        <v>1</v>
      </c>
      <c r="G13" s="8">
        <v>0</v>
      </c>
      <c r="H13" s="8">
        <v>1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1</v>
      </c>
      <c r="R13" s="8">
        <v>1</v>
      </c>
      <c r="S13" s="8">
        <v>0</v>
      </c>
      <c r="T13" s="10">
        <v>-113.71599999999999</v>
      </c>
      <c r="U13" s="10">
        <v>-103.809</v>
      </c>
      <c r="V13" s="10">
        <v>-155.148</v>
      </c>
      <c r="W13" s="10">
        <f>IF(RIGHT(C13,2)="12",IF(ISNUMBER(T13),T13,""),IF(COUNT(T13,U13,V13)=3,T13+U13-V13,""))</f>
        <v>-62.376999999999981</v>
      </c>
      <c r="X13" s="10">
        <v>-62.375999999999998</v>
      </c>
      <c r="Y13" s="10">
        <v>51.338999999999999</v>
      </c>
      <c r="Z13" s="10">
        <v>4.9390000000000001</v>
      </c>
      <c r="AA13" s="10">
        <v>-83.992999999999995</v>
      </c>
      <c r="AB13" s="10">
        <v>-34.661999999999999</v>
      </c>
      <c r="AC13" s="8">
        <v>0</v>
      </c>
      <c r="AD13" s="8">
        <v>0</v>
      </c>
      <c r="AE13" s="8">
        <v>0</v>
      </c>
      <c r="AF13" s="10">
        <v>0</v>
      </c>
      <c r="AG13" s="8">
        <f>COUNTIF(Y13:AB13,"&gt;0")</f>
        <v>2</v>
      </c>
      <c r="AH13" s="10">
        <v>0</v>
      </c>
      <c r="AI13" s="10">
        <v>51.338999999999999</v>
      </c>
      <c r="AJ13" s="8" t="str">
        <f>IF(ISNUMBER(X13),IF(X13&gt;0,"+",IF(X13&lt;0,"−","0")),IF(ISNUMBER(W13),IF(W13&gt;0,"+",IF(W13&lt;0,"−","0")),"yok"))</f>
        <v>−</v>
      </c>
      <c r="AK13" s="10">
        <f>IF(AND(RIGHT(C13,2)&lt;&gt;"12",ISNUMBER(U13),ISNUMBER(V13)),U13-V13,"")</f>
        <v>51.338999999999999</v>
      </c>
      <c r="AL13" s="11">
        <f>IF(AND(ISNUMBER(AK13),ISNUMBER(V13)),IF(V13&lt;&gt;0,AK13/ABS(V13),""),"")</f>
        <v>0.33090339546755354</v>
      </c>
      <c r="AM13" s="8">
        <f>IF(ISNUMBER(AK13),IF(AK13&gt;1,1,0),"")</f>
        <v>1</v>
      </c>
      <c r="AN13" s="8">
        <f>IF(ISNUMBER(AK13),IF(AK13&gt;0.05*ABS(V13),1,0),"")</f>
        <v>1</v>
      </c>
      <c r="AO13" s="10">
        <v>-62.375999999999998</v>
      </c>
      <c r="AP13" s="10">
        <v>62.375999999999998</v>
      </c>
      <c r="AQ13" s="8" t="s">
        <v>204</v>
      </c>
      <c r="AR13" s="8">
        <v>0</v>
      </c>
      <c r="AS13" s="10">
        <v>22657.665000000001</v>
      </c>
      <c r="AT13" s="10">
        <v>13649.191999999999</v>
      </c>
      <c r="AU13" s="8" t="s">
        <v>204</v>
      </c>
      <c r="AV13" s="10">
        <v>51.338999999999999</v>
      </c>
      <c r="AW13" s="11">
        <f>IF(AND(ISNUMBER(AV13),ISNUMBER(AT13)),IF(AT13&lt;&gt;0,AV13/ABS(AT13),""),"")</f>
        <v>3.7613215492902437E-3</v>
      </c>
      <c r="AX13" s="8">
        <v>0</v>
      </c>
      <c r="AY13" s="8">
        <v>1</v>
      </c>
      <c r="AZ13" s="10"/>
      <c r="BA13" s="8">
        <v>0</v>
      </c>
    </row>
    <row r="14" spans="1:53" x14ac:dyDescent="0.2">
      <c r="A14" s="8" t="s">
        <v>213</v>
      </c>
      <c r="B14" s="8" t="s">
        <v>82</v>
      </c>
      <c r="C14" s="8" t="s">
        <v>208</v>
      </c>
      <c r="D14" s="8">
        <v>1</v>
      </c>
      <c r="E14" s="8">
        <v>1</v>
      </c>
      <c r="F14" s="8">
        <f>SUM(G14:M14)</f>
        <v>1</v>
      </c>
      <c r="G14" s="8">
        <v>0</v>
      </c>
      <c r="H14" s="8">
        <v>0</v>
      </c>
      <c r="I14" s="8">
        <v>0</v>
      </c>
      <c r="J14" s="8">
        <v>1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10">
        <v>-22.242000000000001</v>
      </c>
      <c r="U14" s="10">
        <v>-149.905</v>
      </c>
      <c r="V14" s="10">
        <v>4.9390000000000001</v>
      </c>
      <c r="W14" s="10">
        <f>IF(RIGHT(C14,2)="12",IF(ISNUMBER(T14),T14,""),IF(COUNT(T14,U14,V14)=3,T14+U14-V14,""))</f>
        <v>-177.08599999999998</v>
      </c>
      <c r="X14" s="10">
        <v>-177.08699999999999</v>
      </c>
      <c r="Y14" s="10">
        <v>-83.992999999999995</v>
      </c>
      <c r="Z14" s="10">
        <v>-34.661999999999999</v>
      </c>
      <c r="AA14" s="10">
        <v>-36.189</v>
      </c>
      <c r="AB14" s="10">
        <v>-22.242000000000001</v>
      </c>
      <c r="AC14" s="8">
        <v>0</v>
      </c>
      <c r="AD14" s="8">
        <v>0</v>
      </c>
      <c r="AE14" s="8">
        <v>1</v>
      </c>
      <c r="AF14" s="10">
        <v>4.9390000000000001</v>
      </c>
      <c r="AG14" s="8">
        <f>COUNTIF(Y14:AB14,"&gt;0")</f>
        <v>0</v>
      </c>
      <c r="AH14" s="10">
        <v>0</v>
      </c>
      <c r="AI14" s="10">
        <v>0</v>
      </c>
      <c r="AJ14" s="8" t="str">
        <f>IF(ISNUMBER(X14),IF(X14&gt;0,"+",IF(X14&lt;0,"−","0")),IF(ISNUMBER(W14),IF(W14&gt;0,"+",IF(W14&lt;0,"−","0")),"yok"))</f>
        <v>−</v>
      </c>
      <c r="AK14" s="10">
        <f>IF(AND(RIGHT(C14,2)&lt;&gt;"12",ISNUMBER(U14),ISNUMBER(V14)),U14-V14,"")</f>
        <v>-154.84399999999999</v>
      </c>
      <c r="AL14" s="11">
        <f>IF(AND(ISNUMBER(AK14),ISNUMBER(V14)),IF(V14&lt;&gt;0,AK14/ABS(V14),""),"")</f>
        <v>-31.351285685361407</v>
      </c>
      <c r="AM14" s="8">
        <f>IF(ISNUMBER(AK14),IF(AK14&gt;1,1,0),"")</f>
        <v>0</v>
      </c>
      <c r="AN14" s="8">
        <f>IF(ISNUMBER(AK14),IF(AK14&gt;0.05*ABS(V14),1,0),"")</f>
        <v>0</v>
      </c>
      <c r="AO14" s="10">
        <v>-177.08799999999999</v>
      </c>
      <c r="AP14" s="10">
        <v>177.08799999999999</v>
      </c>
      <c r="AQ14" s="8" t="s">
        <v>204</v>
      </c>
      <c r="AR14" s="8">
        <v>0</v>
      </c>
      <c r="AS14" s="10">
        <v>29205.005000000001</v>
      </c>
      <c r="AT14" s="10">
        <v>22606.221000000001</v>
      </c>
      <c r="AU14" s="8" t="s">
        <v>204</v>
      </c>
      <c r="AV14" s="10">
        <v>4.9390000000000001</v>
      </c>
      <c r="AW14" s="11">
        <f>IF(AND(ISNUMBER(AV14),ISNUMBER(AT14)),IF(AT14&lt;&gt;0,AV14/ABS(AT14),""),"")</f>
        <v>2.1847968309254341E-4</v>
      </c>
      <c r="AX14" s="8">
        <v>1</v>
      </c>
      <c r="AY14" s="8">
        <v>0</v>
      </c>
      <c r="AZ14" s="8" t="s">
        <v>216</v>
      </c>
      <c r="BA14" s="8">
        <v>0</v>
      </c>
    </row>
    <row r="15" spans="1:53" x14ac:dyDescent="0.2">
      <c r="A15" s="8" t="s">
        <v>217</v>
      </c>
      <c r="B15" s="8" t="s">
        <v>83</v>
      </c>
      <c r="C15" s="8" t="s">
        <v>208</v>
      </c>
      <c r="D15" s="8">
        <v>1</v>
      </c>
      <c r="E15" s="8">
        <v>1</v>
      </c>
      <c r="F15" s="8">
        <f>SUM(G15:M15)</f>
        <v>2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0</v>
      </c>
      <c r="R15" s="8">
        <v>0</v>
      </c>
      <c r="S15" s="8">
        <v>0</v>
      </c>
      <c r="T15" s="10">
        <v>2284.5050000000001</v>
      </c>
      <c r="U15" s="10">
        <v>2152.23</v>
      </c>
      <c r="V15" s="10">
        <v>-383.33</v>
      </c>
      <c r="W15" s="10">
        <f>IF(RIGHT(C15,2)="12",IF(ISNUMBER(T15),T15,""),IF(COUNT(T15,U15,V15)=3,T15+U15-V15,""))</f>
        <v>4820.0650000000005</v>
      </c>
      <c r="X15" s="10">
        <v>4820.0659999999998</v>
      </c>
      <c r="Y15" s="10">
        <v>-115.51</v>
      </c>
      <c r="Z15" s="10"/>
      <c r="AA15" s="10"/>
      <c r="AB15" s="10">
        <v>2284.5050000000001</v>
      </c>
      <c r="AC15" s="8">
        <v>1</v>
      </c>
      <c r="AD15" s="8">
        <v>1</v>
      </c>
      <c r="AE15" s="8">
        <v>0</v>
      </c>
      <c r="AF15" s="10">
        <v>2284.5050000000001</v>
      </c>
      <c r="AG15" s="8">
        <f>COUNTIF(Y15:AB15,"&gt;0")</f>
        <v>1</v>
      </c>
      <c r="AH15" s="10">
        <v>0</v>
      </c>
      <c r="AI15" s="10">
        <v>0</v>
      </c>
      <c r="AJ15" s="8" t="str">
        <f>IF(ISNUMBER(X15),IF(X15&gt;0,"+",IF(X15&lt;0,"−","0")),IF(ISNUMBER(W15),IF(W15&gt;0,"+",IF(W15&lt;0,"−","0")),"yok"))</f>
        <v>+</v>
      </c>
      <c r="AK15" s="10">
        <f>IF(AND(RIGHT(C15,2)&lt;&gt;"12",ISNUMBER(U15),ISNUMBER(V15)),U15-V15,"")</f>
        <v>2535.56</v>
      </c>
      <c r="AL15" s="11">
        <f>IF(AND(ISNUMBER(AK15),ISNUMBER(V15)),IF(V15&lt;&gt;0,AK15/ABS(V15),""),"")</f>
        <v>6.6145618657553547</v>
      </c>
      <c r="AM15" s="8">
        <f>IF(ISNUMBER(AK15),IF(AK15&gt;1,1,0),"")</f>
        <v>1</v>
      </c>
      <c r="AN15" s="8">
        <f>IF(ISNUMBER(AK15),IF(AK15&gt;0.05*ABS(V15),1,0),"")</f>
        <v>1</v>
      </c>
      <c r="AO15" s="10"/>
      <c r="AP15" s="10"/>
      <c r="AQ15" s="8" t="s">
        <v>207</v>
      </c>
      <c r="AR15" s="8">
        <v>0</v>
      </c>
      <c r="AS15" s="10">
        <v>-2622.3679999999999</v>
      </c>
      <c r="AT15" s="10"/>
      <c r="AU15" s="8" t="s">
        <v>207</v>
      </c>
      <c r="AV15" s="10">
        <v>2284.5050000000001</v>
      </c>
      <c r="AW15" s="11" t="str">
        <f>IF(AND(ISNUMBER(AV15),ISNUMBER(AT15)),IF(AT15&lt;&gt;0,AV15/ABS(AT15),""),"")</f>
        <v/>
      </c>
      <c r="AX15" s="8">
        <v>1</v>
      </c>
      <c r="AY15" s="8">
        <v>0</v>
      </c>
      <c r="AZ15" s="8" t="s">
        <v>218</v>
      </c>
      <c r="BA15" s="8">
        <v>0</v>
      </c>
    </row>
    <row r="16" spans="1:53" x14ac:dyDescent="0.2">
      <c r="A16" s="8" t="s">
        <v>217</v>
      </c>
      <c r="B16" s="8" t="s">
        <v>83</v>
      </c>
      <c r="C16" s="8" t="s">
        <v>210</v>
      </c>
      <c r="D16" s="8">
        <v>1</v>
      </c>
      <c r="E16" s="8">
        <v>1</v>
      </c>
      <c r="F16" s="8">
        <f>SUM(G16:M16)</f>
        <v>2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0</v>
      </c>
      <c r="R16" s="8">
        <v>0</v>
      </c>
      <c r="S16" s="8">
        <v>0</v>
      </c>
      <c r="T16" s="10">
        <v>-743.75599999999997</v>
      </c>
      <c r="U16" s="10">
        <v>2152.23</v>
      </c>
      <c r="V16" s="10">
        <v>-498.84</v>
      </c>
      <c r="W16" s="10">
        <f>IF(RIGHT(C16,2)="12",IF(ISNUMBER(T16),T16,""),IF(COUNT(T16,U16,V16)=3,T16+U16-V16,""))</f>
        <v>1907.3140000000001</v>
      </c>
      <c r="X16" s="10">
        <v>1907.3140000000001</v>
      </c>
      <c r="Y16" s="10"/>
      <c r="Z16" s="10"/>
      <c r="AA16" s="10">
        <v>2284.5050000000001</v>
      </c>
      <c r="AB16" s="10">
        <v>-3028.2620000000002</v>
      </c>
      <c r="AC16" s="8">
        <v>0</v>
      </c>
      <c r="AD16" s="8">
        <v>1</v>
      </c>
      <c r="AE16" s="8">
        <v>0</v>
      </c>
      <c r="AF16" s="10">
        <v>2152.23</v>
      </c>
      <c r="AG16" s="8">
        <f>COUNTIF(Y16:AB16,"&gt;0")</f>
        <v>1</v>
      </c>
      <c r="AH16" s="10">
        <v>0</v>
      </c>
      <c r="AI16" s="10">
        <v>0</v>
      </c>
      <c r="AJ16" s="8" t="str">
        <f>IF(ISNUMBER(X16),IF(X16&gt;0,"+",IF(X16&lt;0,"−","0")),IF(ISNUMBER(W16),IF(W16&gt;0,"+",IF(W16&lt;0,"−","0")),"yok"))</f>
        <v>+</v>
      </c>
      <c r="AK16" s="10">
        <f>IF(AND(RIGHT(C16,2)&lt;&gt;"12",ISNUMBER(U16),ISNUMBER(V16)),U16-V16,"")</f>
        <v>2651.07</v>
      </c>
      <c r="AL16" s="11">
        <f>IF(AND(ISNUMBER(AK16),ISNUMBER(V16)),IF(V16&lt;&gt;0,AK16/ABS(V16),""),"")</f>
        <v>5.3144695694010107</v>
      </c>
      <c r="AM16" s="8">
        <f>IF(ISNUMBER(AK16),IF(AK16&gt;1,1,0),"")</f>
        <v>1</v>
      </c>
      <c r="AN16" s="8">
        <f>IF(ISNUMBER(AK16),IF(AK16&gt;0.05*ABS(V16),1,0),"")</f>
        <v>1</v>
      </c>
      <c r="AO16" s="10"/>
      <c r="AP16" s="10"/>
      <c r="AQ16" s="8" t="s">
        <v>207</v>
      </c>
      <c r="AR16" s="8">
        <v>0</v>
      </c>
      <c r="AS16" s="10">
        <v>-667.66300000000001</v>
      </c>
      <c r="AT16" s="10"/>
      <c r="AU16" s="8" t="s">
        <v>207</v>
      </c>
      <c r="AV16" s="10">
        <v>2152.23</v>
      </c>
      <c r="AW16" s="11" t="str">
        <f>IF(AND(ISNUMBER(AV16),ISNUMBER(AT16)),IF(AT16&lt;&gt;0,AV16/ABS(AT16),""),"")</f>
        <v/>
      </c>
      <c r="AX16" s="8">
        <v>1</v>
      </c>
      <c r="AY16" s="8">
        <v>0</v>
      </c>
      <c r="AZ16" s="8" t="s">
        <v>219</v>
      </c>
      <c r="BA16" s="8">
        <v>0</v>
      </c>
    </row>
    <row r="17" spans="1:53" x14ac:dyDescent="0.2">
      <c r="A17" s="8" t="s">
        <v>220</v>
      </c>
      <c r="B17" s="8" t="s">
        <v>82</v>
      </c>
      <c r="C17" s="8" t="s">
        <v>210</v>
      </c>
      <c r="D17" s="8">
        <v>1</v>
      </c>
      <c r="E17" s="8">
        <v>1</v>
      </c>
      <c r="F17" s="8">
        <f>SUM(G17:M17)</f>
        <v>1</v>
      </c>
      <c r="G17" s="8">
        <v>0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1</v>
      </c>
      <c r="Q17" s="8">
        <v>1</v>
      </c>
      <c r="R17" s="8">
        <v>1</v>
      </c>
      <c r="S17" s="8">
        <v>0</v>
      </c>
      <c r="T17" s="10">
        <v>-24.242000000000001</v>
      </c>
      <c r="U17" s="10">
        <v>-16.978000000000002</v>
      </c>
      <c r="V17" s="10">
        <v>-18.777999999999999</v>
      </c>
      <c r="W17" s="10">
        <f>IF(RIGHT(C17,2)="12",IF(ISNUMBER(T17),T17,""),IF(COUNT(T17,U17,V17)=3,T17+U17-V17,""))</f>
        <v>-22.442</v>
      </c>
      <c r="X17" s="10">
        <v>-22.442</v>
      </c>
      <c r="Y17" s="10">
        <v>-1.7070000000000001</v>
      </c>
      <c r="Z17" s="10">
        <v>3.5059999999999998</v>
      </c>
      <c r="AA17" s="10">
        <v>-19.727</v>
      </c>
      <c r="AB17" s="10">
        <v>-4.5140000000000002</v>
      </c>
      <c r="AC17" s="8">
        <v>0</v>
      </c>
      <c r="AD17" s="8">
        <v>0</v>
      </c>
      <c r="AE17" s="8">
        <v>0</v>
      </c>
      <c r="AF17" s="10">
        <v>0</v>
      </c>
      <c r="AG17" s="8">
        <f>COUNTIF(Y17:AB17,"&gt;0")</f>
        <v>1</v>
      </c>
      <c r="AH17" s="10">
        <v>0</v>
      </c>
      <c r="AI17" s="10">
        <v>3.5059999999999998</v>
      </c>
      <c r="AJ17" s="8" t="str">
        <f>IF(ISNUMBER(X17),IF(X17&gt;0,"+",IF(X17&lt;0,"−","0")),IF(ISNUMBER(W17),IF(W17&gt;0,"+",IF(W17&lt;0,"−","0")),"yok"))</f>
        <v>−</v>
      </c>
      <c r="AK17" s="10">
        <f>IF(AND(RIGHT(C17,2)&lt;&gt;"12",ISNUMBER(U17),ISNUMBER(V17)),U17-V17,"")</f>
        <v>1.7999999999999972</v>
      </c>
      <c r="AL17" s="11">
        <f>IF(AND(ISNUMBER(AK17),ISNUMBER(V17)),IF(V17&lt;&gt;0,AK17/ABS(V17),""),"")</f>
        <v>9.5856853765044062E-2</v>
      </c>
      <c r="AM17" s="8">
        <f>IF(ISNUMBER(AK17),IF(AK17&gt;1,1,0),"")</f>
        <v>1</v>
      </c>
      <c r="AN17" s="8">
        <f>IF(ISNUMBER(AK17),IF(AK17&gt;0.05*ABS(V17),1,0),"")</f>
        <v>1</v>
      </c>
      <c r="AO17" s="10">
        <v>-22.443000000000001</v>
      </c>
      <c r="AP17" s="10">
        <v>22.443000000000001</v>
      </c>
      <c r="AQ17" s="8" t="s">
        <v>204</v>
      </c>
      <c r="AR17" s="8">
        <v>0</v>
      </c>
      <c r="AS17" s="10">
        <v>5532.1120000000001</v>
      </c>
      <c r="AT17" s="10">
        <v>2764.66</v>
      </c>
      <c r="AU17" s="8" t="s">
        <v>204</v>
      </c>
      <c r="AV17" s="10">
        <v>1.8</v>
      </c>
      <c r="AW17" s="11">
        <f>IF(AND(ISNUMBER(AV17),ISNUMBER(AT17)),IF(AT17&lt;&gt;0,AV17/ABS(AT17),""),"")</f>
        <v>6.5107463485564231E-4</v>
      </c>
      <c r="AX17" s="8">
        <v>0</v>
      </c>
      <c r="AY17" s="8">
        <v>1</v>
      </c>
      <c r="AZ17" s="10"/>
      <c r="BA17" s="8">
        <v>0</v>
      </c>
    </row>
    <row r="18" spans="1:53" x14ac:dyDescent="0.2">
      <c r="A18" s="8" t="s">
        <v>221</v>
      </c>
      <c r="B18" s="8" t="s">
        <v>82</v>
      </c>
      <c r="C18" s="8" t="s">
        <v>215</v>
      </c>
      <c r="D18" s="8">
        <v>1</v>
      </c>
      <c r="E18" s="8">
        <v>1</v>
      </c>
      <c r="F18" s="8">
        <f>SUM(G18:M18)</f>
        <v>1</v>
      </c>
      <c r="G18" s="8">
        <v>0</v>
      </c>
      <c r="H18" s="8">
        <v>1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1</v>
      </c>
      <c r="Q18" s="8">
        <v>1</v>
      </c>
      <c r="R18" s="8">
        <v>1</v>
      </c>
      <c r="S18" s="8">
        <v>0</v>
      </c>
      <c r="T18" s="10">
        <v>-189.49799999999999</v>
      </c>
      <c r="U18" s="10">
        <v>-387.96600000000001</v>
      </c>
      <c r="V18" s="10">
        <v>-433.863</v>
      </c>
      <c r="W18" s="10">
        <f>IF(RIGHT(C18,2)="12",IF(ISNUMBER(T18),T18,""),IF(COUNT(T18,U18,V18)=3,T18+U18-V18,""))</f>
        <v>-143.60099999999994</v>
      </c>
      <c r="X18" s="10">
        <v>-143.601</v>
      </c>
      <c r="Y18" s="10">
        <v>45.896999999999998</v>
      </c>
      <c r="Z18" s="10">
        <v>-66.278999999999996</v>
      </c>
      <c r="AA18" s="10">
        <v>-112.398</v>
      </c>
      <c r="AB18" s="10">
        <v>-10.819000000000001</v>
      </c>
      <c r="AC18" s="8">
        <v>0</v>
      </c>
      <c r="AD18" s="8">
        <v>0</v>
      </c>
      <c r="AE18" s="8">
        <v>0</v>
      </c>
      <c r="AF18" s="10">
        <v>0</v>
      </c>
      <c r="AG18" s="8">
        <f>COUNTIF(Y18:AB18,"&gt;0")</f>
        <v>1</v>
      </c>
      <c r="AH18" s="10">
        <v>0</v>
      </c>
      <c r="AI18" s="10">
        <v>45.896999999999998</v>
      </c>
      <c r="AJ18" s="8" t="str">
        <f>IF(ISNUMBER(X18),IF(X18&gt;0,"+",IF(X18&lt;0,"−","0")),IF(ISNUMBER(W18),IF(W18&gt;0,"+",IF(W18&lt;0,"−","0")),"yok"))</f>
        <v>−</v>
      </c>
      <c r="AK18" s="10">
        <f>IF(AND(RIGHT(C18,2)&lt;&gt;"12",ISNUMBER(U18),ISNUMBER(V18)),U18-V18,"")</f>
        <v>45.896999999999991</v>
      </c>
      <c r="AL18" s="11">
        <f>IF(AND(ISNUMBER(AK18),ISNUMBER(V18)),IF(V18&lt;&gt;0,AK18/ABS(V18),""),"")</f>
        <v>0.10578684976593992</v>
      </c>
      <c r="AM18" s="8">
        <f>IF(ISNUMBER(AK18),IF(AK18&gt;1,1,0),"")</f>
        <v>1</v>
      </c>
      <c r="AN18" s="8">
        <f>IF(ISNUMBER(AK18),IF(AK18&gt;0.05*ABS(V18),1,0),"")</f>
        <v>1</v>
      </c>
      <c r="AO18" s="10">
        <v>-143.6</v>
      </c>
      <c r="AP18" s="10">
        <v>143.6</v>
      </c>
      <c r="AQ18" s="8" t="s">
        <v>204</v>
      </c>
      <c r="AR18" s="8">
        <v>0</v>
      </c>
      <c r="AS18" s="10">
        <v>5974.3729999999996</v>
      </c>
      <c r="AT18" s="10">
        <v>-17176.05</v>
      </c>
      <c r="AU18" s="8" t="s">
        <v>204</v>
      </c>
      <c r="AV18" s="10">
        <v>45.896999999999998</v>
      </c>
      <c r="AW18" s="11">
        <f>IF(AND(ISNUMBER(AV18),ISNUMBER(AT18)),IF(AT18&lt;&gt;0,AV18/ABS(AT18),""),"")</f>
        <v>2.672151047534212E-3</v>
      </c>
      <c r="AX18" s="8">
        <v>0</v>
      </c>
      <c r="AY18" s="8">
        <v>1</v>
      </c>
      <c r="AZ18" s="10"/>
      <c r="BA18" s="8">
        <v>0</v>
      </c>
    </row>
    <row r="19" spans="1:53" x14ac:dyDescent="0.2">
      <c r="A19" s="8" t="s">
        <v>222</v>
      </c>
      <c r="B19" s="8" t="s">
        <v>83</v>
      </c>
      <c r="C19" s="8" t="s">
        <v>203</v>
      </c>
      <c r="D19" s="8">
        <v>1</v>
      </c>
      <c r="E19" s="8">
        <v>1</v>
      </c>
      <c r="F19" s="8">
        <f>SUM(G19:M19)</f>
        <v>1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</v>
      </c>
      <c r="N19" s="8">
        <v>0</v>
      </c>
      <c r="O19" s="8">
        <v>0</v>
      </c>
      <c r="P19" s="8">
        <v>1</v>
      </c>
      <c r="Q19" s="8">
        <v>0</v>
      </c>
      <c r="R19" s="8">
        <v>0</v>
      </c>
      <c r="S19" s="8">
        <v>0</v>
      </c>
      <c r="T19" s="10"/>
      <c r="U19" s="10">
        <v>-17.504000000000001</v>
      </c>
      <c r="V19" s="10">
        <v>-8.3390000000000004</v>
      </c>
      <c r="W19" s="10" t="str">
        <f>IF(RIGHT(C19,2)="12",IF(ISNUMBER(T19),T19,""),IF(COUNT(T19,U19,V19)=3,T19+U19-V19,""))</f>
        <v/>
      </c>
      <c r="X19" s="10"/>
      <c r="Y19" s="10">
        <v>6.1219999999999999</v>
      </c>
      <c r="Z19" s="10">
        <v>-15.273999999999999</v>
      </c>
      <c r="AA19" s="10">
        <v>-1.2999999999999999E-2</v>
      </c>
      <c r="AB19" s="10"/>
      <c r="AC19" s="8">
        <v>0</v>
      </c>
      <c r="AD19" s="8">
        <v>0</v>
      </c>
      <c r="AE19" s="8">
        <v>0</v>
      </c>
      <c r="AF19" s="10">
        <v>0</v>
      </c>
      <c r="AG19" s="8">
        <f>COUNTIF(Y19:AB19,"&gt;0")</f>
        <v>1</v>
      </c>
      <c r="AH19" s="10">
        <v>0</v>
      </c>
      <c r="AI19" s="10">
        <v>6.1219999999999999</v>
      </c>
      <c r="AJ19" s="8" t="str">
        <f>IF(ISNUMBER(X19),IF(X19&gt;0,"+",IF(X19&lt;0,"−","0")),IF(ISNUMBER(W19),IF(W19&gt;0,"+",IF(W19&lt;0,"−","0")),"yok"))</f>
        <v>yok</v>
      </c>
      <c r="AK19" s="10">
        <f>IF(AND(RIGHT(C19,2)&lt;&gt;"12",ISNUMBER(U19),ISNUMBER(V19)),U19-V19,"")</f>
        <v>-9.1650000000000009</v>
      </c>
      <c r="AL19" s="11">
        <f>IF(AND(ISNUMBER(AK19),ISNUMBER(V19)),IF(V19&lt;&gt;0,AK19/ABS(V19),""),"")</f>
        <v>-1.0990526442019428</v>
      </c>
      <c r="AM19" s="8">
        <f>IF(ISNUMBER(AK19),IF(AK19&gt;1,1,0),"")</f>
        <v>0</v>
      </c>
      <c r="AN19" s="8">
        <f>IF(ISNUMBER(AK19),IF(AK19&gt;0.05*ABS(V19),1,0),"")</f>
        <v>0</v>
      </c>
      <c r="AO19" s="10">
        <v>-9.1639999999999997</v>
      </c>
      <c r="AP19" s="10">
        <v>9.1639999999999997</v>
      </c>
      <c r="AQ19" s="8" t="s">
        <v>209</v>
      </c>
      <c r="AR19" s="8">
        <v>0</v>
      </c>
      <c r="AS19" s="10">
        <v>10.467000000000001</v>
      </c>
      <c r="AT19" s="10">
        <v>-67.742999999999995</v>
      </c>
      <c r="AU19" s="8" t="s">
        <v>209</v>
      </c>
      <c r="AV19" s="10">
        <v>6.1219999999999999</v>
      </c>
      <c r="AW19" s="11">
        <f>IF(AND(ISNUMBER(AV19),ISNUMBER(AT19)),IF(AT19&lt;&gt;0,AV19/ABS(AT19),""),"")</f>
        <v>9.0370960837282091E-2</v>
      </c>
      <c r="AX19" s="8">
        <v>0</v>
      </c>
      <c r="AY19" s="8">
        <v>0</v>
      </c>
      <c r="AZ19" s="10"/>
      <c r="BA19" s="8">
        <v>0</v>
      </c>
    </row>
    <row r="20" spans="1:53" x14ac:dyDescent="0.2">
      <c r="A20" s="8" t="s">
        <v>223</v>
      </c>
      <c r="B20" s="8" t="s">
        <v>82</v>
      </c>
      <c r="C20" s="8" t="s">
        <v>205</v>
      </c>
      <c r="D20" s="8">
        <v>1</v>
      </c>
      <c r="E20" s="8">
        <v>1</v>
      </c>
      <c r="F20" s="8">
        <f>SUM(G20:M20)</f>
        <v>1</v>
      </c>
      <c r="G20" s="8">
        <v>0</v>
      </c>
      <c r="H20" s="8">
        <v>1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1</v>
      </c>
      <c r="Q20" s="8">
        <v>1</v>
      </c>
      <c r="R20" s="8">
        <v>1</v>
      </c>
      <c r="S20" s="8">
        <v>0</v>
      </c>
      <c r="T20" s="10">
        <v>-34.746000000000002</v>
      </c>
      <c r="U20" s="10">
        <v>-61.436999999999998</v>
      </c>
      <c r="V20" s="10">
        <v>-65.364000000000004</v>
      </c>
      <c r="W20" s="10">
        <f>IF(RIGHT(C20,2)="12",IF(ISNUMBER(T20),T20,""),IF(COUNT(T20,U20,V20)=3,T20+U20-V20,""))</f>
        <v>-30.818999999999988</v>
      </c>
      <c r="X20" s="10">
        <v>-30.818999999999999</v>
      </c>
      <c r="Y20" s="10">
        <v>56.018999999999998</v>
      </c>
      <c r="Z20" s="10">
        <v>-52.093000000000004</v>
      </c>
      <c r="AA20" s="10">
        <v>-18.251999999999999</v>
      </c>
      <c r="AB20" s="10">
        <v>-16.494</v>
      </c>
      <c r="AC20" s="8">
        <v>0</v>
      </c>
      <c r="AD20" s="8">
        <v>0</v>
      </c>
      <c r="AE20" s="8">
        <v>0</v>
      </c>
      <c r="AF20" s="10">
        <v>0</v>
      </c>
      <c r="AG20" s="8">
        <f>COUNTIF(Y20:AB20,"&gt;0")</f>
        <v>1</v>
      </c>
      <c r="AH20" s="10">
        <v>0</v>
      </c>
      <c r="AI20" s="10">
        <v>56.018999999999998</v>
      </c>
      <c r="AJ20" s="8" t="str">
        <f>IF(ISNUMBER(X20),IF(X20&gt;0,"+",IF(X20&lt;0,"−","0")),IF(ISNUMBER(W20),IF(W20&gt;0,"+",IF(W20&lt;0,"−","0")),"yok"))</f>
        <v>−</v>
      </c>
      <c r="AK20" s="10">
        <f>IF(AND(RIGHT(C20,2)&lt;&gt;"12",ISNUMBER(U20),ISNUMBER(V20)),U20-V20,"")</f>
        <v>3.9270000000000067</v>
      </c>
      <c r="AL20" s="11">
        <f>IF(AND(ISNUMBER(AK20),ISNUMBER(V20)),IF(V20&lt;&gt;0,AK20/ABS(V20),""),"")</f>
        <v>6.0078942537176529E-2</v>
      </c>
      <c r="AM20" s="8">
        <f>IF(ISNUMBER(AK20),IF(AK20&gt;1,1,0),"")</f>
        <v>1</v>
      </c>
      <c r="AN20" s="8">
        <f>IF(ISNUMBER(AK20),IF(AK20&gt;0.05*ABS(V20),1,0),"")</f>
        <v>1</v>
      </c>
      <c r="AO20" s="10">
        <v>-30.821000000000002</v>
      </c>
      <c r="AP20" s="10">
        <v>30.821000000000002</v>
      </c>
      <c r="AQ20" s="8" t="s">
        <v>204</v>
      </c>
      <c r="AR20" s="8">
        <v>0</v>
      </c>
      <c r="AS20" s="10">
        <v>378.798</v>
      </c>
      <c r="AT20" s="10">
        <v>347.97699999999998</v>
      </c>
      <c r="AU20" s="8" t="s">
        <v>212</v>
      </c>
      <c r="AV20" s="10">
        <v>3.9270000000000098</v>
      </c>
      <c r="AW20" s="11">
        <f>IF(AND(ISNUMBER(AV20),ISNUMBER(AT20)),IF(AT20&lt;&gt;0,AV20/ABS(AT20),""),"")</f>
        <v>1.1285228621431906E-2</v>
      </c>
      <c r="AX20" s="8">
        <v>0</v>
      </c>
      <c r="AY20" s="8">
        <v>1</v>
      </c>
      <c r="AZ20" s="10"/>
      <c r="BA20" s="8">
        <v>0</v>
      </c>
    </row>
    <row r="21" spans="1:53" x14ac:dyDescent="0.2">
      <c r="A21" s="8" t="s">
        <v>223</v>
      </c>
      <c r="B21" s="8" t="s">
        <v>83</v>
      </c>
      <c r="C21" s="8" t="s">
        <v>205</v>
      </c>
      <c r="D21" s="8">
        <v>1</v>
      </c>
      <c r="E21" s="8">
        <v>1</v>
      </c>
      <c r="F21" s="8">
        <f>SUM(G21:M21)</f>
        <v>1</v>
      </c>
      <c r="G21" s="8">
        <v>0</v>
      </c>
      <c r="H21" s="8">
        <v>0</v>
      </c>
      <c r="I21" s="8">
        <v>1</v>
      </c>
      <c r="J21" s="8">
        <v>0</v>
      </c>
      <c r="K21" s="8">
        <v>0</v>
      </c>
      <c r="L21" s="8">
        <v>0</v>
      </c>
      <c r="M21" s="8">
        <v>0</v>
      </c>
      <c r="N21" s="8">
        <v>1</v>
      </c>
      <c r="O21" s="8">
        <v>1</v>
      </c>
      <c r="P21" s="8">
        <v>1</v>
      </c>
      <c r="Q21" s="8">
        <v>0</v>
      </c>
      <c r="R21" s="8">
        <v>0</v>
      </c>
      <c r="S21" s="8">
        <v>1</v>
      </c>
      <c r="T21" s="10">
        <v>1357.15</v>
      </c>
      <c r="U21" s="10">
        <v>-228.62</v>
      </c>
      <c r="V21" s="10">
        <v>-130.27500000000001</v>
      </c>
      <c r="W21" s="10">
        <f>IF(RIGHT(C21,2)="12",IF(ISNUMBER(T21),T21,""),IF(COUNT(T21,U21,V21)=3,T21+U21-V21,""))</f>
        <v>1258.8050000000003</v>
      </c>
      <c r="X21" s="10">
        <v>1258.8040000000001</v>
      </c>
      <c r="Y21" s="10">
        <v>-90.727999999999994</v>
      </c>
      <c r="Z21" s="10">
        <v>-7.617</v>
      </c>
      <c r="AA21" s="10">
        <v>-15.316000000000001</v>
      </c>
      <c r="AB21" s="10">
        <v>1372.4670000000001</v>
      </c>
      <c r="AC21" s="8">
        <v>1</v>
      </c>
      <c r="AD21" s="8">
        <v>0</v>
      </c>
      <c r="AE21" s="8">
        <v>0</v>
      </c>
      <c r="AF21" s="10">
        <v>1357.15</v>
      </c>
      <c r="AG21" s="8">
        <f>COUNTIF(Y21:AB21,"&gt;0")</f>
        <v>1</v>
      </c>
      <c r="AH21" s="10">
        <v>1372.4670000000001</v>
      </c>
      <c r="AI21" s="10">
        <v>0</v>
      </c>
      <c r="AJ21" s="8" t="str">
        <f>IF(ISNUMBER(X21),IF(X21&gt;0,"+",IF(X21&lt;0,"−","0")),IF(ISNUMBER(W21),IF(W21&gt;0,"+",IF(W21&lt;0,"−","0")),"yok"))</f>
        <v>+</v>
      </c>
      <c r="AK21" s="10">
        <f>IF(AND(RIGHT(C21,2)&lt;&gt;"12",ISNUMBER(U21),ISNUMBER(V21)),U21-V21,"")</f>
        <v>-98.344999999999999</v>
      </c>
      <c r="AL21" s="11">
        <f>IF(AND(ISNUMBER(AK21),ISNUMBER(V21)),IF(V21&lt;&gt;0,AK21/ABS(V21),""),"")</f>
        <v>-0.75490308961811547</v>
      </c>
      <c r="AM21" s="8">
        <f>IF(ISNUMBER(AK21),IF(AK21&gt;1,1,0),"")</f>
        <v>0</v>
      </c>
      <c r="AN21" s="8">
        <f>IF(ISNUMBER(AK21),IF(AK21&gt;0.05*ABS(V21),1,0),"")</f>
        <v>0</v>
      </c>
      <c r="AO21" s="10">
        <v>1258.8050000000001</v>
      </c>
      <c r="AP21" s="10">
        <v>0</v>
      </c>
      <c r="AQ21" s="8" t="s">
        <v>204</v>
      </c>
      <c r="AR21" s="8">
        <v>1</v>
      </c>
      <c r="AS21" s="10">
        <v>378.798</v>
      </c>
      <c r="AT21" s="10">
        <v>347.97699999999998</v>
      </c>
      <c r="AU21" s="8" t="s">
        <v>212</v>
      </c>
      <c r="AV21" s="10">
        <v>1357.15</v>
      </c>
      <c r="AW21" s="11">
        <f>IF(AND(ISNUMBER(AV21),ISNUMBER(AT21)),IF(AT21&lt;&gt;0,AV21/ABS(AT21),""),"")</f>
        <v>3.9001140880000693</v>
      </c>
      <c r="AX21" s="8">
        <v>1</v>
      </c>
      <c r="AY21" s="8">
        <v>0</v>
      </c>
      <c r="AZ21" s="8" t="s">
        <v>224</v>
      </c>
      <c r="BA21" s="8">
        <v>1</v>
      </c>
    </row>
    <row r="22" spans="1:53" x14ac:dyDescent="0.2">
      <c r="A22" s="8" t="s">
        <v>223</v>
      </c>
      <c r="B22" s="8" t="s">
        <v>83</v>
      </c>
      <c r="C22" s="8" t="s">
        <v>208</v>
      </c>
      <c r="D22" s="8">
        <v>1</v>
      </c>
      <c r="E22" s="8">
        <v>1</v>
      </c>
      <c r="F22" s="8">
        <f>SUM(G22:M22)</f>
        <v>1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</v>
      </c>
      <c r="N22" s="8">
        <v>0</v>
      </c>
      <c r="O22" s="8">
        <v>0</v>
      </c>
      <c r="P22" s="8">
        <v>1</v>
      </c>
      <c r="Q22" s="8">
        <v>0</v>
      </c>
      <c r="R22" s="8">
        <v>0</v>
      </c>
      <c r="S22" s="8">
        <v>0</v>
      </c>
      <c r="T22" s="10">
        <v>-16.63</v>
      </c>
      <c r="U22" s="10">
        <v>-55.704999999999998</v>
      </c>
      <c r="V22" s="10">
        <v>-15.316000000000001</v>
      </c>
      <c r="W22" s="10">
        <f>IF(RIGHT(C22,2)="12",IF(ISNUMBER(T22),T22,""),IF(COUNT(T22,U22,V22)=3,T22+U22-V22,""))</f>
        <v>-57.018999999999991</v>
      </c>
      <c r="X22" s="10">
        <v>-57.018999999999998</v>
      </c>
      <c r="Y22" s="10">
        <v>1372.4670000000001</v>
      </c>
      <c r="Z22" s="10">
        <v>-1390.529</v>
      </c>
      <c r="AA22" s="10">
        <v>-22.327000000000002</v>
      </c>
      <c r="AB22" s="10">
        <v>-16.63</v>
      </c>
      <c r="AC22" s="8">
        <v>0</v>
      </c>
      <c r="AD22" s="8">
        <v>0</v>
      </c>
      <c r="AE22" s="8">
        <v>0</v>
      </c>
      <c r="AF22" s="10">
        <v>0</v>
      </c>
      <c r="AG22" s="8">
        <f>COUNTIF(Y22:AB22,"&gt;0")</f>
        <v>1</v>
      </c>
      <c r="AH22" s="10">
        <v>0</v>
      </c>
      <c r="AI22" s="10">
        <v>1372.4670000000001</v>
      </c>
      <c r="AJ22" s="8" t="str">
        <f>IF(ISNUMBER(X22),IF(X22&gt;0,"+",IF(X22&lt;0,"−","0")),IF(ISNUMBER(W22),IF(W22&gt;0,"+",IF(W22&lt;0,"−","0")),"yok"))</f>
        <v>−</v>
      </c>
      <c r="AK22" s="10">
        <f>IF(AND(RIGHT(C22,2)&lt;&gt;"12",ISNUMBER(U22),ISNUMBER(V22)),U22-V22,"")</f>
        <v>-40.388999999999996</v>
      </c>
      <c r="AL22" s="11">
        <f>IF(AND(ISNUMBER(AK22),ISNUMBER(V22)),IF(V22&lt;&gt;0,AK22/ABS(V22),""),"")</f>
        <v>-2.637046226168712</v>
      </c>
      <c r="AM22" s="8">
        <f>IF(ISNUMBER(AK22),IF(AK22&gt;1,1,0),"")</f>
        <v>0</v>
      </c>
      <c r="AN22" s="8">
        <f>IF(ISNUMBER(AK22),IF(AK22&gt;0.05*ABS(V22),1,0),"")</f>
        <v>0</v>
      </c>
      <c r="AO22" s="10">
        <v>-57.018999999999998</v>
      </c>
      <c r="AP22" s="10">
        <v>57.018999999999998</v>
      </c>
      <c r="AQ22" s="8" t="s">
        <v>204</v>
      </c>
      <c r="AR22" s="8">
        <v>0</v>
      </c>
      <c r="AS22" s="10">
        <v>-1098.5540000000001</v>
      </c>
      <c r="AT22" s="10">
        <v>-1249.8789999999999</v>
      </c>
      <c r="AU22" s="8" t="s">
        <v>204</v>
      </c>
      <c r="AV22" s="10">
        <v>1372.4670000000001</v>
      </c>
      <c r="AW22" s="11">
        <f>IF(AND(ISNUMBER(AV22),ISNUMBER(AT22)),IF(AT22&lt;&gt;0,AV22/ABS(AT22),""),"")</f>
        <v>1.0980798941337524</v>
      </c>
      <c r="AX22" s="8">
        <v>0</v>
      </c>
      <c r="AY22" s="8">
        <v>0</v>
      </c>
      <c r="AZ22" s="10"/>
      <c r="BA22" s="8">
        <v>0</v>
      </c>
    </row>
    <row r="23" spans="1:53" x14ac:dyDescent="0.2">
      <c r="A23" s="8" t="s">
        <v>223</v>
      </c>
      <c r="B23" s="8" t="s">
        <v>83</v>
      </c>
      <c r="C23" s="8" t="s">
        <v>210</v>
      </c>
      <c r="D23" s="8">
        <v>1</v>
      </c>
      <c r="E23" s="8">
        <v>1</v>
      </c>
      <c r="F23" s="8">
        <f>SUM(G23:M23)</f>
        <v>1</v>
      </c>
      <c r="G23" s="8">
        <v>0</v>
      </c>
      <c r="H23" s="8">
        <v>0</v>
      </c>
      <c r="I23" s="8">
        <v>0</v>
      </c>
      <c r="J23" s="8">
        <v>0</v>
      </c>
      <c r="K23" s="8">
        <v>1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10">
        <v>-26.184999999999999</v>
      </c>
      <c r="U23" s="10">
        <v>-55.704999999999998</v>
      </c>
      <c r="V23" s="10">
        <v>1357.15</v>
      </c>
      <c r="W23" s="10">
        <f>IF(RIGHT(C23,2)="12",IF(ISNUMBER(T23),T23,""),IF(COUNT(T23,U23,V23)=3,T23+U23-V23,""))</f>
        <v>-1439.0400000000002</v>
      </c>
      <c r="X23" s="10">
        <v>-1439.0409999999999</v>
      </c>
      <c r="Y23" s="10">
        <v>-1390.529</v>
      </c>
      <c r="Z23" s="10">
        <v>-22.327000000000002</v>
      </c>
      <c r="AA23" s="10">
        <v>-16.63</v>
      </c>
      <c r="AB23" s="10">
        <v>-9.5549999999999997</v>
      </c>
      <c r="AC23" s="8">
        <v>0</v>
      </c>
      <c r="AD23" s="8">
        <v>0</v>
      </c>
      <c r="AE23" s="8">
        <v>1</v>
      </c>
      <c r="AF23" s="10">
        <v>1357.15</v>
      </c>
      <c r="AG23" s="8">
        <f>COUNTIF(Y23:AB23,"&gt;0")</f>
        <v>0</v>
      </c>
      <c r="AH23" s="10">
        <v>0</v>
      </c>
      <c r="AI23" s="10">
        <v>0</v>
      </c>
      <c r="AJ23" s="8" t="str">
        <f>IF(ISNUMBER(X23),IF(X23&gt;0,"+",IF(X23&lt;0,"−","0")),IF(ISNUMBER(W23),IF(W23&gt;0,"+",IF(W23&lt;0,"−","0")),"yok"))</f>
        <v>−</v>
      </c>
      <c r="AK23" s="10">
        <f>IF(AND(RIGHT(C23,2)&lt;&gt;"12",ISNUMBER(U23),ISNUMBER(V23)),U23-V23,"")</f>
        <v>-1412.855</v>
      </c>
      <c r="AL23" s="11">
        <f>IF(AND(ISNUMBER(AK23),ISNUMBER(V23)),IF(V23&lt;&gt;0,AK23/ABS(V23),""),"")</f>
        <v>-1.0410455734443502</v>
      </c>
      <c r="AM23" s="8">
        <f>IF(ISNUMBER(AK23),IF(AK23&gt;1,1,0),"")</f>
        <v>0</v>
      </c>
      <c r="AN23" s="8">
        <f>IF(ISNUMBER(AK23),IF(AK23&gt;0.05*ABS(V23),1,0),"")</f>
        <v>0</v>
      </c>
      <c r="AO23" s="10">
        <v>-1439.0419999999999</v>
      </c>
      <c r="AP23" s="10">
        <v>1439.0419999999999</v>
      </c>
      <c r="AQ23" s="8" t="s">
        <v>204</v>
      </c>
      <c r="AR23" s="8">
        <v>0</v>
      </c>
      <c r="AS23" s="10">
        <v>860.54100000000005</v>
      </c>
      <c r="AT23" s="10">
        <v>-683.01199999999994</v>
      </c>
      <c r="AU23" s="8" t="s">
        <v>204</v>
      </c>
      <c r="AV23" s="10">
        <v>1357.15</v>
      </c>
      <c r="AW23" s="11">
        <f>IF(AND(ISNUMBER(AV23),ISNUMBER(AT23)),IF(AT23&lt;&gt;0,AV23/ABS(AT23),""),"")</f>
        <v>1.9870075489156855</v>
      </c>
      <c r="AX23" s="8">
        <v>1</v>
      </c>
      <c r="AY23" s="8">
        <v>0</v>
      </c>
      <c r="AZ23" s="8" t="s">
        <v>225</v>
      </c>
      <c r="BA23" s="8">
        <v>1</v>
      </c>
    </row>
    <row r="24" spans="1:53" x14ac:dyDescent="0.2">
      <c r="A24" s="8" t="s">
        <v>226</v>
      </c>
      <c r="B24" s="8" t="s">
        <v>82</v>
      </c>
      <c r="C24" s="8" t="s">
        <v>203</v>
      </c>
      <c r="D24" s="8">
        <v>1</v>
      </c>
      <c r="E24" s="8">
        <v>1</v>
      </c>
      <c r="F24" s="8">
        <f>SUM(G24:M24)</f>
        <v>1</v>
      </c>
      <c r="G24" s="8">
        <v>0</v>
      </c>
      <c r="H24" s="8">
        <v>0</v>
      </c>
      <c r="I24" s="8">
        <v>0</v>
      </c>
      <c r="J24" s="8">
        <v>1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1</v>
      </c>
      <c r="Q24" s="8">
        <v>0</v>
      </c>
      <c r="R24" s="8">
        <v>0</v>
      </c>
      <c r="S24" s="8">
        <v>0</v>
      </c>
      <c r="T24" s="10">
        <v>1.216</v>
      </c>
      <c r="U24" s="10">
        <v>-1.4930000000000001</v>
      </c>
      <c r="V24" s="10">
        <v>0</v>
      </c>
      <c r="W24" s="10">
        <f>IF(RIGHT(C24,2)="12",IF(ISNUMBER(T24),T24,""),IF(COUNT(T24,U24,V24)=3,T24+U24-V24,""))</f>
        <v>-0.27700000000000014</v>
      </c>
      <c r="X24" s="10">
        <v>-0.27700000000000002</v>
      </c>
      <c r="Y24" s="10">
        <v>0</v>
      </c>
      <c r="Z24" s="10">
        <v>0</v>
      </c>
      <c r="AA24" s="10">
        <v>-1.4930000000000001</v>
      </c>
      <c r="AB24" s="10">
        <v>1.216</v>
      </c>
      <c r="AC24" s="8">
        <v>1</v>
      </c>
      <c r="AD24" s="8">
        <v>0</v>
      </c>
      <c r="AE24" s="8">
        <v>0</v>
      </c>
      <c r="AF24" s="10">
        <v>1.216</v>
      </c>
      <c r="AG24" s="8">
        <f>COUNTIF(Y24:AB24,"&gt;0")</f>
        <v>1</v>
      </c>
      <c r="AH24" s="10">
        <v>0</v>
      </c>
      <c r="AI24" s="10">
        <v>0</v>
      </c>
      <c r="AJ24" s="8" t="str">
        <f>IF(ISNUMBER(X24),IF(X24&gt;0,"+",IF(X24&lt;0,"−","0")),IF(ISNUMBER(W24),IF(W24&gt;0,"+",IF(W24&lt;0,"−","0")),"yok"))</f>
        <v>−</v>
      </c>
      <c r="AK24" s="10">
        <f>IF(AND(RIGHT(C24,2)&lt;&gt;"12",ISNUMBER(U24),ISNUMBER(V24)),U24-V24,"")</f>
        <v>-1.4930000000000001</v>
      </c>
      <c r="AL24" s="11" t="str">
        <f>IF(AND(ISNUMBER(AK24),ISNUMBER(V24)),IF(V24&lt;&gt;0,AK24/ABS(V24),""),"")</f>
        <v/>
      </c>
      <c r="AM24" s="8">
        <f>IF(ISNUMBER(AK24),IF(AK24&gt;1,1,0),"")</f>
        <v>0</v>
      </c>
      <c r="AN24" s="8">
        <f>IF(ISNUMBER(AK24),IF(AK24&gt;0.05*ABS(V24),1,0),"")</f>
        <v>0</v>
      </c>
      <c r="AO24" s="10">
        <v>-0.27700000000000002</v>
      </c>
      <c r="AP24" s="10">
        <v>0.27700000000000002</v>
      </c>
      <c r="AQ24" s="8" t="s">
        <v>204</v>
      </c>
      <c r="AR24" s="8">
        <v>0</v>
      </c>
      <c r="AS24" s="10">
        <v>2390.2260000000001</v>
      </c>
      <c r="AT24" s="10">
        <v>1133.1189999999999</v>
      </c>
      <c r="AU24" s="8" t="s">
        <v>204</v>
      </c>
      <c r="AV24" s="10">
        <v>1.216</v>
      </c>
      <c r="AW24" s="11">
        <f>IF(AND(ISNUMBER(AV24),ISNUMBER(AT24)),IF(AT24&lt;&gt;0,AV24/ABS(AT24),""),"")</f>
        <v>1.0731441269628344E-3</v>
      </c>
      <c r="AX24" s="8">
        <v>1</v>
      </c>
      <c r="AY24" s="8">
        <v>0</v>
      </c>
      <c r="AZ24" s="8" t="s">
        <v>227</v>
      </c>
      <c r="BA24" s="8">
        <v>0</v>
      </c>
    </row>
    <row r="25" spans="1:53" x14ac:dyDescent="0.2">
      <c r="A25" s="8" t="s">
        <v>226</v>
      </c>
      <c r="B25" s="8" t="s">
        <v>82</v>
      </c>
      <c r="C25" s="8" t="s">
        <v>208</v>
      </c>
      <c r="D25" s="8">
        <v>1</v>
      </c>
      <c r="E25" s="8">
        <v>1</v>
      </c>
      <c r="F25" s="8">
        <f>SUM(G25:M25)</f>
        <v>1</v>
      </c>
      <c r="G25" s="8">
        <v>0</v>
      </c>
      <c r="H25" s="8">
        <v>0</v>
      </c>
      <c r="I25" s="8">
        <v>0</v>
      </c>
      <c r="J25" s="8">
        <v>1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1</v>
      </c>
      <c r="Q25" s="8">
        <v>0</v>
      </c>
      <c r="R25" s="8">
        <v>0</v>
      </c>
      <c r="S25" s="8">
        <v>0</v>
      </c>
      <c r="T25" s="10">
        <v>-51.927999999999997</v>
      </c>
      <c r="U25" s="10">
        <v>-0.58699999999999997</v>
      </c>
      <c r="V25" s="10">
        <v>1.216</v>
      </c>
      <c r="W25" s="10">
        <f>IF(RIGHT(C25,2)="12",IF(ISNUMBER(T25),T25,""),IF(COUNT(T25,U25,V25)=3,T25+U25-V25,""))</f>
        <v>-53.731000000000002</v>
      </c>
      <c r="X25" s="10">
        <v>-53.731999999999999</v>
      </c>
      <c r="Y25" s="10">
        <v>-2.3889999999999998</v>
      </c>
      <c r="Z25" s="10">
        <v>0.27</v>
      </c>
      <c r="AA25" s="10">
        <v>0.315</v>
      </c>
      <c r="AB25" s="10">
        <v>-51.927999999999997</v>
      </c>
      <c r="AC25" s="8">
        <v>0</v>
      </c>
      <c r="AD25" s="8">
        <v>0</v>
      </c>
      <c r="AE25" s="8">
        <v>1</v>
      </c>
      <c r="AF25" s="10">
        <v>1.216</v>
      </c>
      <c r="AG25" s="8">
        <f>COUNTIF(Y25:AB25,"&gt;0")</f>
        <v>2</v>
      </c>
      <c r="AH25" s="10">
        <v>0</v>
      </c>
      <c r="AI25" s="10">
        <v>0.58499999999999996</v>
      </c>
      <c r="AJ25" s="8" t="str">
        <f>IF(ISNUMBER(X25),IF(X25&gt;0,"+",IF(X25&lt;0,"−","0")),IF(ISNUMBER(W25),IF(W25&gt;0,"+",IF(W25&lt;0,"−","0")),"yok"))</f>
        <v>−</v>
      </c>
      <c r="AK25" s="10">
        <f>IF(AND(RIGHT(C25,2)&lt;&gt;"12",ISNUMBER(U25),ISNUMBER(V25)),U25-V25,"")</f>
        <v>-1.8029999999999999</v>
      </c>
      <c r="AL25" s="11">
        <f>IF(AND(ISNUMBER(AK25),ISNUMBER(V25)),IF(V25&lt;&gt;0,AK25/ABS(V25),""),"")</f>
        <v>-1.4827302631578947</v>
      </c>
      <c r="AM25" s="8">
        <f>IF(ISNUMBER(AK25),IF(AK25&gt;1,1,0),"")</f>
        <v>0</v>
      </c>
      <c r="AN25" s="8">
        <f>IF(ISNUMBER(AK25),IF(AK25&gt;0.05*ABS(V25),1,0),"")</f>
        <v>0</v>
      </c>
      <c r="AO25" s="10">
        <v>-53.734000000000002</v>
      </c>
      <c r="AP25" s="10">
        <v>53.734000000000002</v>
      </c>
      <c r="AQ25" s="8" t="s">
        <v>204</v>
      </c>
      <c r="AR25" s="8">
        <v>0</v>
      </c>
      <c r="AS25" s="10">
        <v>1104.9570000000001</v>
      </c>
      <c r="AT25" s="10"/>
      <c r="AU25" s="8" t="s">
        <v>207</v>
      </c>
      <c r="AV25" s="10">
        <v>1.216</v>
      </c>
      <c r="AW25" s="11" t="str">
        <f>IF(AND(ISNUMBER(AV25),ISNUMBER(AT25)),IF(AT25&lt;&gt;0,AV25/ABS(AT25),""),"")</f>
        <v/>
      </c>
      <c r="AX25" s="8">
        <v>1</v>
      </c>
      <c r="AY25" s="8">
        <v>0</v>
      </c>
      <c r="AZ25" s="8" t="s">
        <v>228</v>
      </c>
      <c r="BA25" s="8">
        <v>0</v>
      </c>
    </row>
    <row r="26" spans="1:53" x14ac:dyDescent="0.2">
      <c r="A26" s="8" t="s">
        <v>229</v>
      </c>
      <c r="B26" s="8" t="s">
        <v>82</v>
      </c>
      <c r="C26" s="8" t="s">
        <v>215</v>
      </c>
      <c r="D26" s="8">
        <v>1</v>
      </c>
      <c r="E26" s="8">
        <v>1</v>
      </c>
      <c r="F26" s="8">
        <f>SUM(G26:M26)</f>
        <v>1</v>
      </c>
      <c r="G26" s="8">
        <v>1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1</v>
      </c>
      <c r="O26" s="8">
        <v>0</v>
      </c>
      <c r="P26" s="8">
        <v>1</v>
      </c>
      <c r="Q26" s="8">
        <v>1</v>
      </c>
      <c r="R26" s="8">
        <v>1</v>
      </c>
      <c r="S26" s="8">
        <v>0</v>
      </c>
      <c r="T26" s="10">
        <v>-111.307</v>
      </c>
      <c r="U26" s="10">
        <v>-95.34</v>
      </c>
      <c r="V26" s="10">
        <v>-280.90800000000002</v>
      </c>
      <c r="W26" s="10">
        <f>IF(RIGHT(C26,2)="12",IF(ISNUMBER(T26),T26,""),IF(COUNT(T26,U26,V26)=3,T26+U26-V26,""))</f>
        <v>74.261000000000024</v>
      </c>
      <c r="X26" s="10">
        <v>74.260999999999996</v>
      </c>
      <c r="Y26" s="10">
        <v>185.56800000000001</v>
      </c>
      <c r="Z26" s="10">
        <v>-33.027999999999999</v>
      </c>
      <c r="AA26" s="10">
        <v>-36.915999999999997</v>
      </c>
      <c r="AB26" s="10">
        <v>-41.360999999999997</v>
      </c>
      <c r="AC26" s="8">
        <v>0</v>
      </c>
      <c r="AD26" s="8">
        <v>0</v>
      </c>
      <c r="AE26" s="8">
        <v>0</v>
      </c>
      <c r="AF26" s="10">
        <v>0</v>
      </c>
      <c r="AG26" s="8">
        <f>COUNTIF(Y26:AB26,"&gt;0")</f>
        <v>1</v>
      </c>
      <c r="AH26" s="10">
        <v>0</v>
      </c>
      <c r="AI26" s="10">
        <v>185.56800000000001</v>
      </c>
      <c r="AJ26" s="8" t="str">
        <f>IF(ISNUMBER(X26),IF(X26&gt;0,"+",IF(X26&lt;0,"−","0")),IF(ISNUMBER(W26),IF(W26&gt;0,"+",IF(W26&lt;0,"−","0")),"yok"))</f>
        <v>+</v>
      </c>
      <c r="AK26" s="10">
        <f>IF(AND(RIGHT(C26,2)&lt;&gt;"12",ISNUMBER(U26),ISNUMBER(V26)),U26-V26,"")</f>
        <v>185.56800000000001</v>
      </c>
      <c r="AL26" s="11">
        <f>IF(AND(ISNUMBER(AK26),ISNUMBER(V26)),IF(V26&lt;&gt;0,AK26/ABS(V26),""),"")</f>
        <v>0.66060062369174255</v>
      </c>
      <c r="AM26" s="8">
        <f>IF(ISNUMBER(AK26),IF(AK26&gt;1,1,0),"")</f>
        <v>1</v>
      </c>
      <c r="AN26" s="8">
        <f>IF(ISNUMBER(AK26),IF(AK26&gt;0.05*ABS(V26),1,0),"")</f>
        <v>1</v>
      </c>
      <c r="AO26" s="10">
        <v>74.260999999999996</v>
      </c>
      <c r="AP26" s="10">
        <v>0</v>
      </c>
      <c r="AQ26" s="8" t="s">
        <v>204</v>
      </c>
      <c r="AR26" s="8">
        <v>1</v>
      </c>
      <c r="AS26" s="10">
        <v>6926.6530000000002</v>
      </c>
      <c r="AT26" s="10">
        <v>6903.9719999999998</v>
      </c>
      <c r="AU26" s="8" t="s">
        <v>212</v>
      </c>
      <c r="AV26" s="10">
        <v>185.56800000000001</v>
      </c>
      <c r="AW26" s="11">
        <f>IF(AND(ISNUMBER(AV26),ISNUMBER(AT26)),IF(AT26&lt;&gt;0,AV26/ABS(AT26),""),"")</f>
        <v>2.6878440410824381E-2</v>
      </c>
      <c r="AX26" s="8">
        <v>0</v>
      </c>
      <c r="AY26" s="8">
        <v>1</v>
      </c>
      <c r="AZ26" s="10"/>
      <c r="BA26" s="8">
        <v>0</v>
      </c>
    </row>
    <row r="27" spans="1:53" x14ac:dyDescent="0.2">
      <c r="A27" s="8" t="s">
        <v>230</v>
      </c>
      <c r="B27" s="8" t="s">
        <v>82</v>
      </c>
      <c r="C27" s="8" t="s">
        <v>208</v>
      </c>
      <c r="D27" s="8">
        <v>1</v>
      </c>
      <c r="E27" s="8">
        <v>1</v>
      </c>
      <c r="F27" s="8">
        <f>SUM(G27:M27)</f>
        <v>1</v>
      </c>
      <c r="G27" s="8">
        <v>0</v>
      </c>
      <c r="H27" s="8">
        <v>0</v>
      </c>
      <c r="I27" s="8">
        <v>0</v>
      </c>
      <c r="J27" s="8">
        <v>1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1</v>
      </c>
      <c r="Q27" s="8">
        <v>0</v>
      </c>
      <c r="R27" s="8">
        <v>0</v>
      </c>
      <c r="S27" s="8">
        <v>0</v>
      </c>
      <c r="T27" s="10">
        <v>23.396000000000001</v>
      </c>
      <c r="U27" s="10">
        <v>-145.167</v>
      </c>
      <c r="V27" s="10">
        <v>-33.640999999999998</v>
      </c>
      <c r="W27" s="10">
        <f>IF(RIGHT(C27,2)="12",IF(ISNUMBER(T27),T27,""),IF(COUNT(T27,U27,V27)=3,T27+U27-V27,""))</f>
        <v>-88.13</v>
      </c>
      <c r="X27" s="10">
        <v>-88.129000000000005</v>
      </c>
      <c r="Y27" s="10">
        <v>-21.367999999999999</v>
      </c>
      <c r="Z27" s="10">
        <v>-20.898</v>
      </c>
      <c r="AA27" s="10">
        <v>-69.257999999999996</v>
      </c>
      <c r="AB27" s="10">
        <v>23.396000000000001</v>
      </c>
      <c r="AC27" s="8">
        <v>1</v>
      </c>
      <c r="AD27" s="8">
        <v>0</v>
      </c>
      <c r="AE27" s="8">
        <v>0</v>
      </c>
      <c r="AF27" s="10">
        <v>23.396000000000001</v>
      </c>
      <c r="AG27" s="8">
        <f>COUNTIF(Y27:AB27,"&gt;0")</f>
        <v>1</v>
      </c>
      <c r="AH27" s="10">
        <v>0</v>
      </c>
      <c r="AI27" s="10">
        <v>0</v>
      </c>
      <c r="AJ27" s="8" t="str">
        <f>IF(ISNUMBER(X27),IF(X27&gt;0,"+",IF(X27&lt;0,"−","0")),IF(ISNUMBER(W27),IF(W27&gt;0,"+",IF(W27&lt;0,"−","0")),"yok"))</f>
        <v>−</v>
      </c>
      <c r="AK27" s="10">
        <f>IF(AND(RIGHT(C27,2)&lt;&gt;"12",ISNUMBER(U27),ISNUMBER(V27)),U27-V27,"")</f>
        <v>-111.52600000000001</v>
      </c>
      <c r="AL27" s="11">
        <f>IF(AND(ISNUMBER(AK27),ISNUMBER(V27)),IF(V27&lt;&gt;0,AK27/ABS(V27),""),"")</f>
        <v>-3.3151808804732323</v>
      </c>
      <c r="AM27" s="8">
        <f>IF(ISNUMBER(AK27),IF(AK27&gt;1,1,0),"")</f>
        <v>0</v>
      </c>
      <c r="AN27" s="8">
        <f>IF(ISNUMBER(AK27),IF(AK27&gt;0.05*ABS(V27),1,0),"")</f>
        <v>0</v>
      </c>
      <c r="AO27" s="10">
        <v>-145.167</v>
      </c>
      <c r="AP27" s="10">
        <v>145.167</v>
      </c>
      <c r="AQ27" s="8" t="s">
        <v>209</v>
      </c>
      <c r="AR27" s="8">
        <v>0</v>
      </c>
      <c r="AS27" s="10">
        <v>1640.346</v>
      </c>
      <c r="AT27" s="10">
        <v>1354.124</v>
      </c>
      <c r="AU27" s="8" t="s">
        <v>209</v>
      </c>
      <c r="AV27" s="10">
        <v>23.396000000000001</v>
      </c>
      <c r="AW27" s="11">
        <f>IF(AND(ISNUMBER(AV27),ISNUMBER(AT27)),IF(AT27&lt;&gt;0,AV27/ABS(AT27),""),"")</f>
        <v>1.727759053085242E-2</v>
      </c>
      <c r="AX27" s="8">
        <v>1</v>
      </c>
      <c r="AY27" s="8">
        <v>0</v>
      </c>
      <c r="AZ27" s="8" t="s">
        <v>231</v>
      </c>
      <c r="BA27" s="8">
        <v>0</v>
      </c>
    </row>
    <row r="28" spans="1:53" x14ac:dyDescent="0.2">
      <c r="A28" s="8" t="s">
        <v>230</v>
      </c>
      <c r="B28" s="8" t="s">
        <v>83</v>
      </c>
      <c r="C28" s="8" t="s">
        <v>203</v>
      </c>
      <c r="D28" s="8">
        <v>1</v>
      </c>
      <c r="E28" s="8">
        <v>1</v>
      </c>
      <c r="F28" s="8">
        <f>SUM(G28:M28)</f>
        <v>2</v>
      </c>
      <c r="G28" s="8">
        <v>0</v>
      </c>
      <c r="H28" s="8">
        <v>0</v>
      </c>
      <c r="I28" s="8">
        <v>0</v>
      </c>
      <c r="J28" s="8">
        <v>0</v>
      </c>
      <c r="K28" s="8">
        <v>1</v>
      </c>
      <c r="L28" s="8">
        <v>0</v>
      </c>
      <c r="M28" s="8">
        <v>1</v>
      </c>
      <c r="N28" s="8">
        <v>0</v>
      </c>
      <c r="O28" s="8">
        <v>1</v>
      </c>
      <c r="P28" s="8">
        <v>1</v>
      </c>
      <c r="Q28" s="8">
        <v>0</v>
      </c>
      <c r="R28" s="8">
        <v>0</v>
      </c>
      <c r="S28" s="8">
        <v>0</v>
      </c>
      <c r="T28" s="10">
        <v>-25.899000000000001</v>
      </c>
      <c r="U28" s="10">
        <v>-64.477999999999994</v>
      </c>
      <c r="V28" s="10">
        <v>13.459</v>
      </c>
      <c r="W28" s="10">
        <f>IF(RIGHT(C28,2)="12",IF(ISNUMBER(T28),T28,""),IF(COUNT(T28,U28,V28)=3,T28+U28-V28,""))</f>
        <v>-103.836</v>
      </c>
      <c r="X28" s="10">
        <v>-103.837</v>
      </c>
      <c r="Y28" s="10">
        <v>-58.298000000000002</v>
      </c>
      <c r="Z28" s="10">
        <v>51.91</v>
      </c>
      <c r="AA28" s="10">
        <v>-71.549000000000007</v>
      </c>
      <c r="AB28" s="10">
        <v>-25.899000000000001</v>
      </c>
      <c r="AC28" s="8">
        <v>0</v>
      </c>
      <c r="AD28" s="8">
        <v>0</v>
      </c>
      <c r="AE28" s="8">
        <v>1</v>
      </c>
      <c r="AF28" s="10">
        <v>13.459</v>
      </c>
      <c r="AG28" s="8">
        <f>COUNTIF(Y28:AB28,"&gt;0")</f>
        <v>1</v>
      </c>
      <c r="AH28" s="10">
        <v>0</v>
      </c>
      <c r="AI28" s="10">
        <v>51.91</v>
      </c>
      <c r="AJ28" s="8" t="str">
        <f>IF(ISNUMBER(X28),IF(X28&gt;0,"+",IF(X28&lt;0,"−","0")),IF(ISNUMBER(W28),IF(W28&gt;0,"+",IF(W28&lt;0,"−","0")),"yok"))</f>
        <v>−</v>
      </c>
      <c r="AK28" s="10">
        <f>IF(AND(RIGHT(C28,2)&lt;&gt;"12",ISNUMBER(U28),ISNUMBER(V28)),U28-V28,"")</f>
        <v>-77.936999999999998</v>
      </c>
      <c r="AL28" s="11">
        <f>IF(AND(ISNUMBER(AK28),ISNUMBER(V28)),IF(V28&lt;&gt;0,AK28/ABS(V28),""),"")</f>
        <v>-5.7906976744186043</v>
      </c>
      <c r="AM28" s="8">
        <f>IF(ISNUMBER(AK28),IF(AK28&gt;1,1,0),"")</f>
        <v>0</v>
      </c>
      <c r="AN28" s="8">
        <f>IF(ISNUMBER(AK28),IF(AK28&gt;0.05*ABS(V28),1,0),"")</f>
        <v>0</v>
      </c>
      <c r="AO28" s="10">
        <v>-64.478999999999999</v>
      </c>
      <c r="AP28" s="10">
        <v>64.478999999999999</v>
      </c>
      <c r="AQ28" s="8" t="s">
        <v>209</v>
      </c>
      <c r="AR28" s="8">
        <v>0</v>
      </c>
      <c r="AS28" s="10">
        <v>-2247.2779999999998</v>
      </c>
      <c r="AT28" s="10">
        <v>-2416.3139999999999</v>
      </c>
      <c r="AU28" s="8" t="s">
        <v>209</v>
      </c>
      <c r="AV28" s="10">
        <v>13.459</v>
      </c>
      <c r="AW28" s="11">
        <f>IF(AND(ISNUMBER(AV28),ISNUMBER(AT28)),IF(AT28&lt;&gt;0,AV28/ABS(AT28),""),"")</f>
        <v>5.5700542230852452E-3</v>
      </c>
      <c r="AX28" s="8">
        <v>1</v>
      </c>
      <c r="AY28" s="8">
        <v>0</v>
      </c>
      <c r="AZ28" s="8" t="s">
        <v>232</v>
      </c>
      <c r="BA28" s="8">
        <v>0</v>
      </c>
    </row>
    <row r="29" spans="1:53" x14ac:dyDescent="0.2">
      <c r="A29" s="8" t="s">
        <v>230</v>
      </c>
      <c r="B29" s="8" t="s">
        <v>83</v>
      </c>
      <c r="C29" s="8" t="s">
        <v>205</v>
      </c>
      <c r="D29" s="8">
        <v>1</v>
      </c>
      <c r="E29" s="8">
        <v>1</v>
      </c>
      <c r="F29" s="8">
        <f>SUM(G29:M29)</f>
        <v>1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</v>
      </c>
      <c r="N29" s="8">
        <v>0</v>
      </c>
      <c r="O29" s="8">
        <v>0</v>
      </c>
      <c r="P29" s="8">
        <v>1</v>
      </c>
      <c r="Q29" s="8">
        <v>0</v>
      </c>
      <c r="R29" s="8">
        <v>0</v>
      </c>
      <c r="S29" s="8">
        <v>0</v>
      </c>
      <c r="T29" s="10">
        <v>-45.326000000000001</v>
      </c>
      <c r="U29" s="10">
        <v>-64.477999999999994</v>
      </c>
      <c r="V29" s="10">
        <v>-44.838999999999999</v>
      </c>
      <c r="W29" s="10">
        <f>IF(RIGHT(C29,2)="12",IF(ISNUMBER(T29),T29,""),IF(COUNT(T29,U29,V29)=3,T29+U29-V29,""))</f>
        <v>-64.965000000000003</v>
      </c>
      <c r="X29" s="10">
        <v>-64.965000000000003</v>
      </c>
      <c r="Y29" s="10">
        <v>51.91</v>
      </c>
      <c r="Z29" s="10">
        <v>-71.549000000000007</v>
      </c>
      <c r="AA29" s="10">
        <v>-25.899000000000001</v>
      </c>
      <c r="AB29" s="10">
        <v>-19.425999999999998</v>
      </c>
      <c r="AC29" s="8">
        <v>0</v>
      </c>
      <c r="AD29" s="8">
        <v>0</v>
      </c>
      <c r="AE29" s="8">
        <v>0</v>
      </c>
      <c r="AF29" s="10">
        <v>0</v>
      </c>
      <c r="AG29" s="8">
        <f>COUNTIF(Y29:AB29,"&gt;0")</f>
        <v>1</v>
      </c>
      <c r="AH29" s="10">
        <v>0</v>
      </c>
      <c r="AI29" s="10">
        <v>51.91</v>
      </c>
      <c r="AJ29" s="8" t="str">
        <f>IF(ISNUMBER(X29),IF(X29&gt;0,"+",IF(X29&lt;0,"−","0")),IF(ISNUMBER(W29),IF(W29&gt;0,"+",IF(W29&lt;0,"−","0")),"yok"))</f>
        <v>−</v>
      </c>
      <c r="AK29" s="10">
        <f>IF(AND(RIGHT(C29,2)&lt;&gt;"12",ISNUMBER(U29),ISNUMBER(V29)),U29-V29,"")</f>
        <v>-19.638999999999996</v>
      </c>
      <c r="AL29" s="11">
        <f>IF(AND(ISNUMBER(AK29),ISNUMBER(V29)),IF(V29&lt;&gt;0,AK29/ABS(V29),""),"")</f>
        <v>-0.43798925042931369</v>
      </c>
      <c r="AM29" s="8">
        <f>IF(ISNUMBER(AK29),IF(AK29&gt;1,1,0),"")</f>
        <v>0</v>
      </c>
      <c r="AN29" s="8">
        <f>IF(ISNUMBER(AK29),IF(AK29&gt;0.05*ABS(V29),1,0),"")</f>
        <v>0</v>
      </c>
      <c r="AO29" s="10">
        <v>-103.837</v>
      </c>
      <c r="AP29" s="10">
        <v>103.837</v>
      </c>
      <c r="AQ29" s="8" t="s">
        <v>209</v>
      </c>
      <c r="AR29" s="8">
        <v>0</v>
      </c>
      <c r="AS29" s="10">
        <v>-2422.2049999999999</v>
      </c>
      <c r="AT29" s="10">
        <v>-2651.8420000000001</v>
      </c>
      <c r="AU29" s="8" t="s">
        <v>209</v>
      </c>
      <c r="AV29" s="10">
        <v>51.91</v>
      </c>
      <c r="AW29" s="11">
        <f>IF(AND(ISNUMBER(AV29),ISNUMBER(AT29)),IF(AT29&lt;&gt;0,AV29/ABS(AT29),""),"")</f>
        <v>1.9575072723035533E-2</v>
      </c>
      <c r="AX29" s="8">
        <v>0</v>
      </c>
      <c r="AY29" s="8">
        <v>0</v>
      </c>
      <c r="AZ29" s="10"/>
      <c r="BA29" s="8">
        <v>0</v>
      </c>
    </row>
    <row r="30" spans="1:53" x14ac:dyDescent="0.2">
      <c r="A30" s="8" t="s">
        <v>230</v>
      </c>
      <c r="B30" s="8" t="s">
        <v>83</v>
      </c>
      <c r="C30" s="8" t="s">
        <v>215</v>
      </c>
      <c r="D30" s="8">
        <v>1</v>
      </c>
      <c r="E30" s="8">
        <v>1</v>
      </c>
      <c r="F30" s="8">
        <f>SUM(G30:M30)</f>
        <v>1</v>
      </c>
      <c r="G30" s="8">
        <v>0</v>
      </c>
      <c r="H30" s="8">
        <v>0</v>
      </c>
      <c r="I30" s="8">
        <v>0</v>
      </c>
      <c r="J30" s="8">
        <v>0</v>
      </c>
      <c r="K30" s="8">
        <v>1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10">
        <v>-95.94</v>
      </c>
      <c r="U30" s="10">
        <v>-64.477999999999994</v>
      </c>
      <c r="V30" s="10">
        <v>7.07</v>
      </c>
      <c r="W30" s="10">
        <f>IF(RIGHT(C30,2)="12",IF(ISNUMBER(T30),T30,""),IF(COUNT(T30,U30,V30)=3,T30+U30-V30,""))</f>
        <v>-167.488</v>
      </c>
      <c r="X30" s="10">
        <v>-167.49</v>
      </c>
      <c r="Y30" s="10">
        <v>-71.549000000000007</v>
      </c>
      <c r="Z30" s="10">
        <v>-25.899000000000001</v>
      </c>
      <c r="AA30" s="10">
        <v>-19.425999999999998</v>
      </c>
      <c r="AB30" s="10">
        <v>-50.613999999999997</v>
      </c>
      <c r="AC30" s="8">
        <v>0</v>
      </c>
      <c r="AD30" s="8">
        <v>0</v>
      </c>
      <c r="AE30" s="8">
        <v>1</v>
      </c>
      <c r="AF30" s="10">
        <v>7.07</v>
      </c>
      <c r="AG30" s="8">
        <f>COUNTIF(Y30:AB30,"&gt;0")</f>
        <v>0</v>
      </c>
      <c r="AH30" s="10">
        <v>0</v>
      </c>
      <c r="AI30" s="10">
        <v>0</v>
      </c>
      <c r="AJ30" s="8" t="str">
        <f>IF(ISNUMBER(X30),IF(X30&gt;0,"+",IF(X30&lt;0,"−","0")),IF(ISNUMBER(W30),IF(W30&gt;0,"+",IF(W30&lt;0,"−","0")),"yok"))</f>
        <v>−</v>
      </c>
      <c r="AK30" s="10">
        <f>IF(AND(RIGHT(C30,2)&lt;&gt;"12",ISNUMBER(U30),ISNUMBER(V30)),U30-V30,"")</f>
        <v>-71.548000000000002</v>
      </c>
      <c r="AL30" s="11">
        <f>IF(AND(ISNUMBER(AK30),ISNUMBER(V30)),IF(V30&lt;&gt;0,AK30/ABS(V30),""),"")</f>
        <v>-10.119943422913719</v>
      </c>
      <c r="AM30" s="8">
        <f>IF(ISNUMBER(AK30),IF(AK30&gt;1,1,0),"")</f>
        <v>0</v>
      </c>
      <c r="AN30" s="8">
        <f>IF(ISNUMBER(AK30),IF(AK30&gt;0.05*ABS(V30),1,0),"")</f>
        <v>0</v>
      </c>
      <c r="AO30" s="10">
        <v>-64.965000000000003</v>
      </c>
      <c r="AP30" s="10">
        <v>64.965000000000003</v>
      </c>
      <c r="AQ30" s="8" t="s">
        <v>209</v>
      </c>
      <c r="AR30" s="8">
        <v>0</v>
      </c>
      <c r="AS30" s="10">
        <v>-1846.846</v>
      </c>
      <c r="AT30" s="10">
        <v>-2044.6859999999999</v>
      </c>
      <c r="AU30" s="8" t="s">
        <v>209</v>
      </c>
      <c r="AV30" s="10">
        <v>7.07</v>
      </c>
      <c r="AW30" s="11">
        <f>IF(AND(ISNUMBER(AV30),ISNUMBER(AT30)),IF(AT30&lt;&gt;0,AV30/ABS(AT30),""),"")</f>
        <v>3.4577436339858544E-3</v>
      </c>
      <c r="AX30" s="8">
        <v>1</v>
      </c>
      <c r="AY30" s="8">
        <v>0</v>
      </c>
      <c r="AZ30" s="8" t="s">
        <v>233</v>
      </c>
      <c r="BA30" s="8">
        <v>0</v>
      </c>
    </row>
    <row r="31" spans="1:53" x14ac:dyDescent="0.2">
      <c r="A31" s="8" t="s">
        <v>234</v>
      </c>
      <c r="B31" s="8" t="s">
        <v>83</v>
      </c>
      <c r="C31" s="8" t="s">
        <v>215</v>
      </c>
      <c r="D31" s="8">
        <v>1</v>
      </c>
      <c r="E31" s="8">
        <v>1</v>
      </c>
      <c r="F31" s="8">
        <f>SUM(G31:M31)</f>
        <v>1</v>
      </c>
      <c r="G31" s="8">
        <v>0</v>
      </c>
      <c r="H31" s="8">
        <v>0</v>
      </c>
      <c r="I31" s="8">
        <v>0</v>
      </c>
      <c r="J31" s="8">
        <v>0</v>
      </c>
      <c r="K31" s="8">
        <v>1</v>
      </c>
      <c r="L31" s="8">
        <v>0</v>
      </c>
      <c r="M31" s="8">
        <v>0</v>
      </c>
      <c r="N31" s="8">
        <v>0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10">
        <v>-5.3159999999999998</v>
      </c>
      <c r="U31" s="10">
        <v>-8.67</v>
      </c>
      <c r="V31" s="10">
        <v>5.3659999999999997</v>
      </c>
      <c r="W31" s="10">
        <f>IF(RIGHT(C31,2)="12",IF(ISNUMBER(T31),T31,""),IF(COUNT(T31,U31,V31)=3,T31+U31-V31,""))</f>
        <v>-19.352</v>
      </c>
      <c r="X31" s="10">
        <v>-19.353000000000002</v>
      </c>
      <c r="Y31" s="10">
        <v>-14.037000000000001</v>
      </c>
      <c r="Z31" s="10">
        <v>-2.11</v>
      </c>
      <c r="AA31" s="10">
        <v>-0.59099999999999997</v>
      </c>
      <c r="AB31" s="10"/>
      <c r="AC31" s="8">
        <v>0</v>
      </c>
      <c r="AD31" s="8">
        <v>0</v>
      </c>
      <c r="AE31" s="8">
        <v>1</v>
      </c>
      <c r="AF31" s="10">
        <v>5.3659999999999997</v>
      </c>
      <c r="AG31" s="8">
        <f>COUNTIF(Y31:AB31,"&gt;0")</f>
        <v>0</v>
      </c>
      <c r="AH31" s="10">
        <v>0</v>
      </c>
      <c r="AI31" s="10">
        <v>0</v>
      </c>
      <c r="AJ31" s="8" t="str">
        <f>IF(ISNUMBER(X31),IF(X31&gt;0,"+",IF(X31&lt;0,"−","0")),IF(ISNUMBER(W31),IF(W31&gt;0,"+",IF(W31&lt;0,"−","0")),"yok"))</f>
        <v>−</v>
      </c>
      <c r="AK31" s="10">
        <f>IF(AND(RIGHT(C31,2)&lt;&gt;"12",ISNUMBER(U31),ISNUMBER(V31)),U31-V31,"")</f>
        <v>-14.036</v>
      </c>
      <c r="AL31" s="11">
        <f>IF(AND(ISNUMBER(AK31),ISNUMBER(V31)),IF(V31&lt;&gt;0,AK31/ABS(V31),""),"")</f>
        <v>-2.6157286619455835</v>
      </c>
      <c r="AM31" s="8">
        <f>IF(ISNUMBER(AK31),IF(AK31&gt;1,1,0),"")</f>
        <v>0</v>
      </c>
      <c r="AN31" s="8">
        <f>IF(ISNUMBER(AK31),IF(AK31&gt;0.05*ABS(V31),1,0),"")</f>
        <v>0</v>
      </c>
      <c r="AO31" s="10"/>
      <c r="AP31" s="10"/>
      <c r="AQ31" s="8" t="s">
        <v>207</v>
      </c>
      <c r="AR31" s="8">
        <v>0</v>
      </c>
      <c r="AS31" s="10"/>
      <c r="AT31" s="10"/>
      <c r="AU31" s="8" t="s">
        <v>207</v>
      </c>
      <c r="AV31" s="10">
        <v>5.3659999999999997</v>
      </c>
      <c r="AW31" s="11" t="str">
        <f>IF(AND(ISNUMBER(AV31),ISNUMBER(AT31)),IF(AT31&lt;&gt;0,AV31/ABS(AT31),""),"")</f>
        <v/>
      </c>
      <c r="AX31" s="8">
        <v>1</v>
      </c>
      <c r="AY31" s="8">
        <v>0</v>
      </c>
      <c r="AZ31" s="8" t="s">
        <v>235</v>
      </c>
      <c r="BA31" s="8">
        <v>0</v>
      </c>
    </row>
    <row r="32" spans="1:53" x14ac:dyDescent="0.2">
      <c r="A32" s="8" t="s">
        <v>236</v>
      </c>
      <c r="B32" s="8" t="s">
        <v>83</v>
      </c>
      <c r="C32" s="8" t="s">
        <v>203</v>
      </c>
      <c r="D32" s="8">
        <v>1</v>
      </c>
      <c r="E32" s="8">
        <v>1</v>
      </c>
      <c r="F32" s="8">
        <f>SUM(G32:M32)</f>
        <v>2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1</v>
      </c>
      <c r="N32" s="8">
        <v>1</v>
      </c>
      <c r="O32" s="8">
        <v>0</v>
      </c>
      <c r="P32" s="8">
        <v>1</v>
      </c>
      <c r="Q32" s="8">
        <v>0</v>
      </c>
      <c r="R32" s="8">
        <v>0</v>
      </c>
      <c r="S32" s="8">
        <v>0</v>
      </c>
      <c r="T32" s="10">
        <v>-53.814</v>
      </c>
      <c r="U32" s="10">
        <v>-31.763999999999999</v>
      </c>
      <c r="V32" s="10">
        <v>-140.411</v>
      </c>
      <c r="W32" s="10">
        <f>IF(RIGHT(C32,2)="12",IF(ISNUMBER(T32),T32,""),IF(COUNT(T32,U32,V32)=3,T32+U32-V32,""))</f>
        <v>54.832999999999998</v>
      </c>
      <c r="X32" s="10">
        <v>54.832000000000001</v>
      </c>
      <c r="Y32" s="10">
        <v>87.260999999999996</v>
      </c>
      <c r="Z32" s="10">
        <v>-8.8520000000000003</v>
      </c>
      <c r="AA32" s="10">
        <v>30.236999999999998</v>
      </c>
      <c r="AB32" s="10">
        <v>-53.814</v>
      </c>
      <c r="AC32" s="8">
        <v>0</v>
      </c>
      <c r="AD32" s="8">
        <v>0</v>
      </c>
      <c r="AE32" s="8">
        <v>0</v>
      </c>
      <c r="AF32" s="10">
        <v>0</v>
      </c>
      <c r="AG32" s="8">
        <f>COUNTIF(Y32:AB32,"&gt;0")</f>
        <v>2</v>
      </c>
      <c r="AH32" s="10">
        <v>0</v>
      </c>
      <c r="AI32" s="10">
        <v>117.498</v>
      </c>
      <c r="AJ32" s="8" t="str">
        <f>IF(ISNUMBER(X32),IF(X32&gt;0,"+",IF(X32&lt;0,"−","0")),IF(ISNUMBER(W32),IF(W32&gt;0,"+",IF(W32&lt;0,"−","0")),"yok"))</f>
        <v>+</v>
      </c>
      <c r="AK32" s="10">
        <f>IF(AND(RIGHT(C32,2)&lt;&gt;"12",ISNUMBER(U32),ISNUMBER(V32)),U32-V32,"")</f>
        <v>108.64700000000001</v>
      </c>
      <c r="AL32" s="11">
        <f>IF(AND(ISNUMBER(AK32),ISNUMBER(V32)),IF(V32&lt;&gt;0,AK32/ABS(V32),""),"")</f>
        <v>0.77377840767461237</v>
      </c>
      <c r="AM32" s="8">
        <f>IF(ISNUMBER(AK32),IF(AK32&gt;1,1,0),"")</f>
        <v>1</v>
      </c>
      <c r="AN32" s="8">
        <f>IF(ISNUMBER(AK32),IF(AK32&gt;0.05*ABS(V32),1,0),"")</f>
        <v>1</v>
      </c>
      <c r="AO32" s="10">
        <v>54.832000000000001</v>
      </c>
      <c r="AP32" s="10">
        <v>54.832000000000001</v>
      </c>
      <c r="AQ32" s="8" t="s">
        <v>204</v>
      </c>
      <c r="AR32" s="8">
        <v>0</v>
      </c>
      <c r="AS32" s="10">
        <v>891.03099999999995</v>
      </c>
      <c r="AT32" s="10"/>
      <c r="AU32" s="8" t="s">
        <v>207</v>
      </c>
      <c r="AV32" s="10">
        <v>108.64700000000001</v>
      </c>
      <c r="AW32" s="11" t="str">
        <f>IF(AND(ISNUMBER(AV32),ISNUMBER(AT32)),IF(AT32&lt;&gt;0,AV32/ABS(AT32),""),"")</f>
        <v/>
      </c>
      <c r="AX32" s="8">
        <v>0</v>
      </c>
      <c r="AY32" s="8">
        <v>1</v>
      </c>
      <c r="AZ32" s="10"/>
      <c r="BA32" s="8">
        <v>0</v>
      </c>
    </row>
    <row r="33" spans="1:53" x14ac:dyDescent="0.2">
      <c r="A33" s="8" t="s">
        <v>236</v>
      </c>
      <c r="B33" s="8" t="s">
        <v>83</v>
      </c>
      <c r="C33" s="8" t="s">
        <v>205</v>
      </c>
      <c r="D33" s="8">
        <v>1</v>
      </c>
      <c r="E33" s="8">
        <v>1</v>
      </c>
      <c r="F33" s="8">
        <f>SUM(G33:M33)</f>
        <v>2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1</v>
      </c>
      <c r="N33" s="8">
        <v>0</v>
      </c>
      <c r="O33" s="8">
        <v>0</v>
      </c>
      <c r="P33" s="8">
        <v>1</v>
      </c>
      <c r="Q33" s="8">
        <v>0</v>
      </c>
      <c r="R33" s="8">
        <v>0</v>
      </c>
      <c r="S33" s="8">
        <v>0</v>
      </c>
      <c r="T33" s="10">
        <v>-85.366</v>
      </c>
      <c r="U33" s="10">
        <v>-31.763999999999999</v>
      </c>
      <c r="V33" s="10">
        <v>-53.149000000000001</v>
      </c>
      <c r="W33" s="10">
        <f>IF(RIGHT(C33,2)="12",IF(ISNUMBER(T33),T33,""),IF(COUNT(T33,U33,V33)=3,T33+U33-V33,""))</f>
        <v>-63.980999999999995</v>
      </c>
      <c r="X33" s="10">
        <v>-63.981000000000002</v>
      </c>
      <c r="Y33" s="10">
        <v>-8.8520000000000003</v>
      </c>
      <c r="Z33" s="10">
        <v>30.236999999999998</v>
      </c>
      <c r="AA33" s="10">
        <v>-53.814</v>
      </c>
      <c r="AB33" s="10">
        <v>-31.552</v>
      </c>
      <c r="AC33" s="8">
        <v>0</v>
      </c>
      <c r="AD33" s="8">
        <v>0</v>
      </c>
      <c r="AE33" s="8">
        <v>0</v>
      </c>
      <c r="AF33" s="10">
        <v>0</v>
      </c>
      <c r="AG33" s="8">
        <f>COUNTIF(Y33:AB33,"&gt;0")</f>
        <v>1</v>
      </c>
      <c r="AH33" s="10">
        <v>0</v>
      </c>
      <c r="AI33" s="10">
        <v>30.236999999999998</v>
      </c>
      <c r="AJ33" s="8" t="str">
        <f>IF(ISNUMBER(X33),IF(X33&gt;0,"+",IF(X33&lt;0,"−","0")),IF(ISNUMBER(W33),IF(W33&gt;0,"+",IF(W33&lt;0,"−","0")),"yok"))</f>
        <v>−</v>
      </c>
      <c r="AK33" s="10">
        <f>IF(AND(RIGHT(C33,2)&lt;&gt;"12",ISNUMBER(U33),ISNUMBER(V33)),U33-V33,"")</f>
        <v>21.385000000000002</v>
      </c>
      <c r="AL33" s="11">
        <f>IF(AND(ISNUMBER(AK33),ISNUMBER(V33)),IF(V33&lt;&gt;0,AK33/ABS(V33),""),"")</f>
        <v>0.40235940469246839</v>
      </c>
      <c r="AM33" s="8">
        <f>IF(ISNUMBER(AK33),IF(AK33&gt;1,1,0),"")</f>
        <v>1</v>
      </c>
      <c r="AN33" s="8">
        <f>IF(ISNUMBER(AK33),IF(AK33&gt;0.05*ABS(V33),1,0),"")</f>
        <v>1</v>
      </c>
      <c r="AO33" s="10">
        <v>-63.981000000000002</v>
      </c>
      <c r="AP33" s="10">
        <v>63.981000000000002</v>
      </c>
      <c r="AQ33" s="8" t="s">
        <v>204</v>
      </c>
      <c r="AR33" s="8">
        <v>0</v>
      </c>
      <c r="AS33" s="10">
        <v>1159.211</v>
      </c>
      <c r="AT33" s="10">
        <v>1086.8730270000001</v>
      </c>
      <c r="AU33" s="8" t="s">
        <v>212</v>
      </c>
      <c r="AV33" s="10">
        <v>21.385000000000002</v>
      </c>
      <c r="AW33" s="11">
        <f>IF(AND(ISNUMBER(AV33),ISNUMBER(AT33)),IF(AT33&lt;&gt;0,AV33/ABS(AT33),""),"")</f>
        <v>1.9675711392918762E-2</v>
      </c>
      <c r="AX33" s="8">
        <v>0</v>
      </c>
      <c r="AY33" s="8">
        <v>1</v>
      </c>
      <c r="AZ33" s="10"/>
      <c r="BA33" s="8">
        <v>0</v>
      </c>
    </row>
    <row r="34" spans="1:53" x14ac:dyDescent="0.2">
      <c r="A34" s="8" t="s">
        <v>236</v>
      </c>
      <c r="B34" s="8" t="s">
        <v>83</v>
      </c>
      <c r="C34" s="8" t="s">
        <v>215</v>
      </c>
      <c r="D34" s="8">
        <v>1</v>
      </c>
      <c r="E34" s="8">
        <v>1</v>
      </c>
      <c r="F34" s="8">
        <f>SUM(G34:M34)</f>
        <v>2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</v>
      </c>
      <c r="M34" s="8">
        <v>1</v>
      </c>
      <c r="N34" s="8">
        <v>0</v>
      </c>
      <c r="O34" s="8">
        <v>0</v>
      </c>
      <c r="P34" s="8">
        <v>1</v>
      </c>
      <c r="Q34" s="8">
        <v>0</v>
      </c>
      <c r="R34" s="8">
        <v>0</v>
      </c>
      <c r="S34" s="8">
        <v>0</v>
      </c>
      <c r="T34" s="10">
        <v>-344.46199999999999</v>
      </c>
      <c r="U34" s="10">
        <v>-31.763999999999999</v>
      </c>
      <c r="V34" s="10">
        <v>-62.002000000000002</v>
      </c>
      <c r="W34" s="10">
        <f>IF(RIGHT(C34,2)="12",IF(ISNUMBER(T34),T34,""),IF(COUNT(T34,U34,V34)=3,T34+U34-V34,""))</f>
        <v>-314.22399999999999</v>
      </c>
      <c r="X34" s="10">
        <v>-314.22399999999999</v>
      </c>
      <c r="Y34" s="10">
        <v>30.236999999999998</v>
      </c>
      <c r="Z34" s="10">
        <v>-53.814</v>
      </c>
      <c r="AA34" s="10">
        <v>-31.552</v>
      </c>
      <c r="AB34" s="10">
        <v>-259.09500000000003</v>
      </c>
      <c r="AC34" s="8">
        <v>0</v>
      </c>
      <c r="AD34" s="8">
        <v>0</v>
      </c>
      <c r="AE34" s="8">
        <v>0</v>
      </c>
      <c r="AF34" s="10">
        <v>0</v>
      </c>
      <c r="AG34" s="8">
        <f>COUNTIF(Y34:AB34,"&gt;0")</f>
        <v>1</v>
      </c>
      <c r="AH34" s="10">
        <v>0</v>
      </c>
      <c r="AI34" s="10">
        <v>30.236999999999998</v>
      </c>
      <c r="AJ34" s="8" t="str">
        <f>IF(ISNUMBER(X34),IF(X34&gt;0,"+",IF(X34&lt;0,"−","0")),IF(ISNUMBER(W34),IF(W34&gt;0,"+",IF(W34&lt;0,"−","0")),"yok"))</f>
        <v>−</v>
      </c>
      <c r="AK34" s="10">
        <f>IF(AND(RIGHT(C34,2)&lt;&gt;"12",ISNUMBER(U34),ISNUMBER(V34)),U34-V34,"")</f>
        <v>30.238000000000003</v>
      </c>
      <c r="AL34" s="11">
        <f>IF(AND(ISNUMBER(AK34),ISNUMBER(V34)),IF(V34&lt;&gt;0,AK34/ABS(V34),""),"")</f>
        <v>0.48769394535660143</v>
      </c>
      <c r="AM34" s="8">
        <f>IF(ISNUMBER(AK34),IF(AK34&gt;1,1,0),"")</f>
        <v>1</v>
      </c>
      <c r="AN34" s="8">
        <f>IF(ISNUMBER(AK34),IF(AK34&gt;0.05*ABS(V34),1,0),"")</f>
        <v>1</v>
      </c>
      <c r="AO34" s="10">
        <v>-314.22500000000002</v>
      </c>
      <c r="AP34" s="10">
        <v>314.22500000000002</v>
      </c>
      <c r="AQ34" s="8" t="s">
        <v>204</v>
      </c>
      <c r="AR34" s="8">
        <v>0</v>
      </c>
      <c r="AS34" s="10">
        <v>1523.5239999999999</v>
      </c>
      <c r="AT34" s="10"/>
      <c r="AU34" s="8" t="s">
        <v>207</v>
      </c>
      <c r="AV34" s="10">
        <v>30.238</v>
      </c>
      <c r="AW34" s="11" t="str">
        <f>IF(AND(ISNUMBER(AV34),ISNUMBER(AT34)),IF(AT34&lt;&gt;0,AV34/ABS(AT34),""),"")</f>
        <v/>
      </c>
      <c r="AX34" s="8">
        <v>0</v>
      </c>
      <c r="AY34" s="8">
        <v>1</v>
      </c>
      <c r="AZ34" s="10"/>
      <c r="BA34" s="8">
        <v>0</v>
      </c>
    </row>
    <row r="35" spans="1:53" x14ac:dyDescent="0.2">
      <c r="A35" s="8" t="s">
        <v>237</v>
      </c>
      <c r="B35" s="8" t="s">
        <v>83</v>
      </c>
      <c r="C35" s="8" t="s">
        <v>208</v>
      </c>
      <c r="D35" s="8">
        <v>1</v>
      </c>
      <c r="E35" s="8">
        <v>1</v>
      </c>
      <c r="F35" s="8">
        <f>SUM(G35:M35)</f>
        <v>1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1</v>
      </c>
      <c r="N35" s="8">
        <v>0</v>
      </c>
      <c r="O35" s="8">
        <v>0</v>
      </c>
      <c r="P35" s="8">
        <v>1</v>
      </c>
      <c r="Q35" s="8">
        <v>0</v>
      </c>
      <c r="R35" s="8">
        <v>0</v>
      </c>
      <c r="S35" s="8">
        <v>0</v>
      </c>
      <c r="T35" s="10">
        <v>-16.306999999999999</v>
      </c>
      <c r="U35" s="10">
        <v>-806.16600000000005</v>
      </c>
      <c r="V35" s="10">
        <v>-164.92099999999999</v>
      </c>
      <c r="W35" s="10">
        <f>IF(RIGHT(C35,2)="12",IF(ISNUMBER(T35),T35,""),IF(COUNT(T35,U35,V35)=3,T35+U35-V35,""))</f>
        <v>-657.55200000000013</v>
      </c>
      <c r="X35" s="10">
        <v>-657.55200000000002</v>
      </c>
      <c r="Y35" s="10">
        <v>118.78400000000001</v>
      </c>
      <c r="Z35" s="10">
        <v>-111.246</v>
      </c>
      <c r="AA35" s="10">
        <v>-648.78200000000004</v>
      </c>
      <c r="AB35" s="10">
        <v>-16.306999999999999</v>
      </c>
      <c r="AC35" s="8">
        <v>0</v>
      </c>
      <c r="AD35" s="8">
        <v>0</v>
      </c>
      <c r="AE35" s="8">
        <v>0</v>
      </c>
      <c r="AF35" s="10">
        <v>0</v>
      </c>
      <c r="AG35" s="8">
        <f>COUNTIF(Y35:AB35,"&gt;0")</f>
        <v>1</v>
      </c>
      <c r="AH35" s="10">
        <v>0</v>
      </c>
      <c r="AI35" s="10">
        <v>118.78400000000001</v>
      </c>
      <c r="AJ35" s="8" t="str">
        <f>IF(ISNUMBER(X35),IF(X35&gt;0,"+",IF(X35&lt;0,"−","0")),IF(ISNUMBER(W35),IF(W35&gt;0,"+",IF(W35&lt;0,"−","0")),"yok"))</f>
        <v>−</v>
      </c>
      <c r="AK35" s="10">
        <f>IF(AND(RIGHT(C35,2)&lt;&gt;"12",ISNUMBER(U35),ISNUMBER(V35)),U35-V35,"")</f>
        <v>-641.24500000000012</v>
      </c>
      <c r="AL35" s="11">
        <f>IF(AND(ISNUMBER(AK35),ISNUMBER(V35)),IF(V35&lt;&gt;0,AK35/ABS(V35),""),"")</f>
        <v>-3.8881949539476484</v>
      </c>
      <c r="AM35" s="8">
        <f>IF(ISNUMBER(AK35),IF(AK35&gt;1,1,0),"")</f>
        <v>0</v>
      </c>
      <c r="AN35" s="8">
        <f>IF(ISNUMBER(AK35),IF(AK35&gt;0.05*ABS(V35),1,0),"")</f>
        <v>0</v>
      </c>
      <c r="AO35" s="10">
        <v>-657.553</v>
      </c>
      <c r="AP35" s="10">
        <v>657.553</v>
      </c>
      <c r="AQ35" s="8" t="s">
        <v>204</v>
      </c>
      <c r="AR35" s="8">
        <v>0</v>
      </c>
      <c r="AS35" s="10">
        <v>494.63200000000001</v>
      </c>
      <c r="AT35" s="10"/>
      <c r="AU35" s="8" t="s">
        <v>207</v>
      </c>
      <c r="AV35" s="10">
        <v>118.78400000000001</v>
      </c>
      <c r="AW35" s="11" t="str">
        <f>IF(AND(ISNUMBER(AV35),ISNUMBER(AT35)),IF(AT35&lt;&gt;0,AV35/ABS(AT35),""),"")</f>
        <v/>
      </c>
      <c r="AX35" s="8">
        <v>0</v>
      </c>
      <c r="AY35" s="8">
        <v>0</v>
      </c>
      <c r="AZ35" s="10"/>
      <c r="BA35" s="8">
        <v>0</v>
      </c>
    </row>
    <row r="36" spans="1:53" x14ac:dyDescent="0.2">
      <c r="A36" s="8" t="s">
        <v>238</v>
      </c>
      <c r="B36" s="8" t="s">
        <v>82</v>
      </c>
      <c r="C36" s="8" t="s">
        <v>215</v>
      </c>
      <c r="D36" s="8">
        <v>1</v>
      </c>
      <c r="E36" s="8">
        <v>1</v>
      </c>
      <c r="F36" s="8">
        <f>SUM(G36:M36)</f>
        <v>1</v>
      </c>
      <c r="G36" s="8">
        <v>0</v>
      </c>
      <c r="H36" s="8">
        <v>0</v>
      </c>
      <c r="I36" s="8">
        <v>0</v>
      </c>
      <c r="J36" s="8">
        <v>1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1</v>
      </c>
      <c r="Q36" s="8">
        <v>0</v>
      </c>
      <c r="R36" s="8">
        <v>0</v>
      </c>
      <c r="S36" s="8">
        <v>1</v>
      </c>
      <c r="T36" s="10">
        <v>-89.628</v>
      </c>
      <c r="U36" s="10">
        <v>-102.262</v>
      </c>
      <c r="V36" s="10">
        <v>16.623999999999999</v>
      </c>
      <c r="W36" s="10">
        <f>IF(RIGHT(C36,2)="12",IF(ISNUMBER(T36),T36,""),IF(COUNT(T36,U36,V36)=3,T36+U36-V36,""))</f>
        <v>-208.51399999999998</v>
      </c>
      <c r="X36" s="10">
        <v>-208.51400000000001</v>
      </c>
      <c r="Y36" s="10">
        <v>-118.886</v>
      </c>
      <c r="Z36" s="10">
        <v>-193.42400000000001</v>
      </c>
      <c r="AA36" s="10">
        <v>97.07</v>
      </c>
      <c r="AB36" s="10">
        <v>6.7249999999999996</v>
      </c>
      <c r="AC36" s="8">
        <v>0</v>
      </c>
      <c r="AD36" s="8">
        <v>0</v>
      </c>
      <c r="AE36" s="8">
        <v>1</v>
      </c>
      <c r="AF36" s="10">
        <v>16.623999999999999</v>
      </c>
      <c r="AG36" s="8">
        <f>COUNTIF(Y36:AB36,"&gt;0")</f>
        <v>2</v>
      </c>
      <c r="AH36" s="10">
        <v>103.795</v>
      </c>
      <c r="AI36" s="10">
        <v>0</v>
      </c>
      <c r="AJ36" s="8" t="str">
        <f>IF(ISNUMBER(X36),IF(X36&gt;0,"+",IF(X36&lt;0,"−","0")),IF(ISNUMBER(W36),IF(W36&gt;0,"+",IF(W36&lt;0,"−","0")),"yok"))</f>
        <v>−</v>
      </c>
      <c r="AK36" s="10">
        <f>IF(AND(RIGHT(C36,2)&lt;&gt;"12",ISNUMBER(U36),ISNUMBER(V36)),U36-V36,"")</f>
        <v>-118.886</v>
      </c>
      <c r="AL36" s="11">
        <f>IF(AND(ISNUMBER(AK36),ISNUMBER(V36)),IF(V36&lt;&gt;0,AK36/ABS(V36),""),"")</f>
        <v>-7.1514677574590957</v>
      </c>
      <c r="AM36" s="8">
        <f>IF(ISNUMBER(AK36),IF(AK36&gt;1,1,0),"")</f>
        <v>0</v>
      </c>
      <c r="AN36" s="8">
        <f>IF(ISNUMBER(AK36),IF(AK36&gt;0.05*ABS(V36),1,0),"")</f>
        <v>0</v>
      </c>
      <c r="AO36" s="10">
        <v>-208.51400000000001</v>
      </c>
      <c r="AP36" s="10">
        <v>208.51400000000001</v>
      </c>
      <c r="AQ36" s="8" t="s">
        <v>204</v>
      </c>
      <c r="AR36" s="8">
        <v>0</v>
      </c>
      <c r="AS36" s="10">
        <v>521.73199999999997</v>
      </c>
      <c r="AT36" s="10">
        <v>-1566.203</v>
      </c>
      <c r="AU36" s="8" t="s">
        <v>212</v>
      </c>
      <c r="AV36" s="10">
        <v>16.623999999999999</v>
      </c>
      <c r="AW36" s="11">
        <f>IF(AND(ISNUMBER(AV36),ISNUMBER(AT36)),IF(AT36&lt;&gt;0,AV36/ABS(AT36),""),"")</f>
        <v>1.0614205182853052E-2</v>
      </c>
      <c r="AX36" s="8">
        <v>1</v>
      </c>
      <c r="AY36" s="8">
        <v>0</v>
      </c>
      <c r="AZ36" s="8" t="s">
        <v>239</v>
      </c>
      <c r="BA36" s="8">
        <v>0</v>
      </c>
    </row>
    <row r="37" spans="1:53" x14ac:dyDescent="0.2">
      <c r="A37" s="8" t="s">
        <v>238</v>
      </c>
      <c r="B37" s="8" t="s">
        <v>82</v>
      </c>
      <c r="C37" s="8" t="s">
        <v>208</v>
      </c>
      <c r="D37" s="8">
        <v>1</v>
      </c>
      <c r="E37" s="8">
        <v>1</v>
      </c>
      <c r="F37" s="8">
        <f>SUM(G37:M37)</f>
        <v>1</v>
      </c>
      <c r="G37" s="8">
        <v>0</v>
      </c>
      <c r="H37" s="8">
        <v>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</v>
      </c>
      <c r="Q37" s="8">
        <v>1</v>
      </c>
      <c r="R37" s="8">
        <v>1</v>
      </c>
      <c r="S37" s="8">
        <v>0</v>
      </c>
      <c r="T37" s="10">
        <v>-41.838999999999999</v>
      </c>
      <c r="U37" s="10">
        <v>-175.53700000000001</v>
      </c>
      <c r="V37" s="10">
        <v>-193.42400000000001</v>
      </c>
      <c r="W37" s="10">
        <f>IF(RIGHT(C37,2)="12",IF(ISNUMBER(T37),T37,""),IF(COUNT(T37,U37,V37)=3,T37+U37-V37,""))</f>
        <v>-23.951999999999998</v>
      </c>
      <c r="X37" s="10">
        <v>-23.951000000000001</v>
      </c>
      <c r="Y37" s="10">
        <v>97.07</v>
      </c>
      <c r="Z37" s="10">
        <v>6.7249999999999996</v>
      </c>
      <c r="AA37" s="10">
        <v>-85.908000000000001</v>
      </c>
      <c r="AB37" s="10">
        <v>-41.838999999999999</v>
      </c>
      <c r="AC37" s="8">
        <v>0</v>
      </c>
      <c r="AD37" s="8">
        <v>0</v>
      </c>
      <c r="AE37" s="8">
        <v>0</v>
      </c>
      <c r="AF37" s="10">
        <v>0</v>
      </c>
      <c r="AG37" s="8">
        <f>COUNTIF(Y37:AB37,"&gt;0")</f>
        <v>2</v>
      </c>
      <c r="AH37" s="10">
        <v>0</v>
      </c>
      <c r="AI37" s="10">
        <v>103.795</v>
      </c>
      <c r="AJ37" s="8" t="str">
        <f>IF(ISNUMBER(X37),IF(X37&gt;0,"+",IF(X37&lt;0,"−","0")),IF(ISNUMBER(W37),IF(W37&gt;0,"+",IF(W37&lt;0,"−","0")),"yok"))</f>
        <v>−</v>
      </c>
      <c r="AK37" s="10">
        <f>IF(AND(RIGHT(C37,2)&lt;&gt;"12",ISNUMBER(U37),ISNUMBER(V37)),U37-V37,"")</f>
        <v>17.887</v>
      </c>
      <c r="AL37" s="11">
        <f>IF(AND(ISNUMBER(AK37),ISNUMBER(V37)),IF(V37&lt;&gt;0,AK37/ABS(V37),""),"")</f>
        <v>9.2475597650756886E-2</v>
      </c>
      <c r="AM37" s="8">
        <f>IF(ISNUMBER(AK37),IF(AK37&gt;1,1,0),"")</f>
        <v>1</v>
      </c>
      <c r="AN37" s="8">
        <f>IF(ISNUMBER(AK37),IF(AK37&gt;0.05*ABS(V37),1,0),"")</f>
        <v>1</v>
      </c>
      <c r="AO37" s="10">
        <v>-23.951000000000001</v>
      </c>
      <c r="AP37" s="10">
        <v>23.951000000000001</v>
      </c>
      <c r="AQ37" s="8" t="s">
        <v>204</v>
      </c>
      <c r="AR37" s="8">
        <v>0</v>
      </c>
      <c r="AS37" s="10">
        <v>1480.5260000000001</v>
      </c>
      <c r="AT37" s="10">
        <v>-210.71899999999999</v>
      </c>
      <c r="AU37" s="8" t="s">
        <v>204</v>
      </c>
      <c r="AV37" s="10">
        <v>17.887</v>
      </c>
      <c r="AW37" s="11">
        <f>IF(AND(ISNUMBER(AV37),ISNUMBER(AT37)),IF(AT37&lt;&gt;0,AV37/ABS(AT37),""),"")</f>
        <v>8.4885558492589663E-2</v>
      </c>
      <c r="AX37" s="8">
        <v>0</v>
      </c>
      <c r="AY37" s="8">
        <v>1</v>
      </c>
      <c r="AZ37" s="10"/>
      <c r="BA37" s="8">
        <v>0</v>
      </c>
    </row>
    <row r="38" spans="1:53" x14ac:dyDescent="0.2">
      <c r="A38" s="8" t="s">
        <v>240</v>
      </c>
      <c r="B38" s="8" t="s">
        <v>82</v>
      </c>
      <c r="C38" s="8" t="s">
        <v>203</v>
      </c>
      <c r="D38" s="8">
        <v>1</v>
      </c>
      <c r="E38" s="8">
        <v>1</v>
      </c>
      <c r="F38" s="8">
        <f>SUM(G38:M38)</f>
        <v>1</v>
      </c>
      <c r="G38" s="8">
        <v>0</v>
      </c>
      <c r="H38" s="8">
        <v>0</v>
      </c>
      <c r="I38" s="8">
        <v>0</v>
      </c>
      <c r="J38" s="8">
        <v>1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1</v>
      </c>
      <c r="Q38" s="8">
        <v>0</v>
      </c>
      <c r="R38" s="8">
        <v>1</v>
      </c>
      <c r="S38" s="8">
        <v>0</v>
      </c>
      <c r="T38" s="10">
        <v>-16.181999999999999</v>
      </c>
      <c r="U38" s="10">
        <v>-51.576000000000001</v>
      </c>
      <c r="V38" s="10">
        <v>15.499000000000001</v>
      </c>
      <c r="W38" s="10">
        <f>IF(RIGHT(C38,2)="12",IF(ISNUMBER(T38),T38,""),IF(COUNT(T38,U38,V38)=3,T38+U38-V38,""))</f>
        <v>-83.256999999999991</v>
      </c>
      <c r="X38" s="10">
        <v>-83.257999999999996</v>
      </c>
      <c r="Y38" s="10">
        <v>13.037000000000001</v>
      </c>
      <c r="Z38" s="10">
        <v>-68.23</v>
      </c>
      <c r="AA38" s="10">
        <v>-11.882999999999999</v>
      </c>
      <c r="AB38" s="10">
        <v>-16.181999999999999</v>
      </c>
      <c r="AC38" s="8">
        <v>0</v>
      </c>
      <c r="AD38" s="8">
        <v>0</v>
      </c>
      <c r="AE38" s="8">
        <v>1</v>
      </c>
      <c r="AF38" s="10">
        <v>15.499000000000001</v>
      </c>
      <c r="AG38" s="8">
        <f>COUNTIF(Y38:AB38,"&gt;0")</f>
        <v>1</v>
      </c>
      <c r="AH38" s="10">
        <v>0</v>
      </c>
      <c r="AI38" s="10">
        <v>13.037000000000001</v>
      </c>
      <c r="AJ38" s="8" t="str">
        <f>IF(ISNUMBER(X38),IF(X38&gt;0,"+",IF(X38&lt;0,"−","0")),IF(ISNUMBER(W38),IF(W38&gt;0,"+",IF(W38&lt;0,"−","0")),"yok"))</f>
        <v>−</v>
      </c>
      <c r="AK38" s="10">
        <f>IF(AND(RIGHT(C38,2)&lt;&gt;"12",ISNUMBER(U38),ISNUMBER(V38)),U38-V38,"")</f>
        <v>-67.075000000000003</v>
      </c>
      <c r="AL38" s="11">
        <f>IF(AND(ISNUMBER(AK38),ISNUMBER(V38)),IF(V38&lt;&gt;0,AK38/ABS(V38),""),"")</f>
        <v>-4.3276985611974963</v>
      </c>
      <c r="AM38" s="8">
        <f>IF(ISNUMBER(AK38),IF(AK38&gt;1,1,0),"")</f>
        <v>0</v>
      </c>
      <c r="AN38" s="8">
        <f>IF(ISNUMBER(AK38),IF(AK38&gt;0.05*ABS(V38),1,0),"")</f>
        <v>0</v>
      </c>
      <c r="AO38" s="10">
        <v>-83.259</v>
      </c>
      <c r="AP38" s="10">
        <v>83.259</v>
      </c>
      <c r="AQ38" s="8" t="s">
        <v>204</v>
      </c>
      <c r="AR38" s="8">
        <v>0</v>
      </c>
      <c r="AS38" s="10">
        <v>1276.8869999999999</v>
      </c>
      <c r="AT38" s="10">
        <v>246.59700000000001</v>
      </c>
      <c r="AU38" s="8" t="s">
        <v>204</v>
      </c>
      <c r="AV38" s="10">
        <v>15.499000000000001</v>
      </c>
      <c r="AW38" s="11">
        <f>IF(AND(ISNUMBER(AV38),ISNUMBER(AT38)),IF(AT38&lt;&gt;0,AV38/ABS(AT38),""),"")</f>
        <v>6.2851535095722985E-2</v>
      </c>
      <c r="AX38" s="8">
        <v>1</v>
      </c>
      <c r="AY38" s="8">
        <v>0</v>
      </c>
      <c r="AZ38" s="8" t="s">
        <v>241</v>
      </c>
      <c r="BA38" s="8">
        <v>0</v>
      </c>
    </row>
    <row r="39" spans="1:53" x14ac:dyDescent="0.2">
      <c r="A39" s="8" t="s">
        <v>240</v>
      </c>
      <c r="B39" s="8" t="s">
        <v>82</v>
      </c>
      <c r="C39" s="8" t="s">
        <v>205</v>
      </c>
      <c r="D39" s="8">
        <v>1</v>
      </c>
      <c r="E39" s="8">
        <v>1</v>
      </c>
      <c r="F39" s="8">
        <f>SUM(G39:M39)</f>
        <v>1</v>
      </c>
      <c r="G39" s="8">
        <v>0</v>
      </c>
      <c r="H39" s="8">
        <v>0</v>
      </c>
      <c r="I39" s="8">
        <v>0</v>
      </c>
      <c r="J39" s="8">
        <v>1</v>
      </c>
      <c r="K39" s="8">
        <v>0</v>
      </c>
      <c r="L39" s="8">
        <v>0</v>
      </c>
      <c r="M39" s="8">
        <v>0</v>
      </c>
      <c r="N39" s="8">
        <v>0</v>
      </c>
      <c r="O39" s="8">
        <v>1</v>
      </c>
      <c r="P39" s="8">
        <v>0</v>
      </c>
      <c r="Q39" s="8">
        <v>0</v>
      </c>
      <c r="R39" s="8">
        <v>0</v>
      </c>
      <c r="S39" s="8">
        <v>0</v>
      </c>
      <c r="T39" s="10">
        <v>-30.533999999999999</v>
      </c>
      <c r="U39" s="10">
        <v>-51.576000000000001</v>
      </c>
      <c r="V39" s="10">
        <v>28.536999999999999</v>
      </c>
      <c r="W39" s="10">
        <f>IF(RIGHT(C39,2)="12",IF(ISNUMBER(T39),T39,""),IF(COUNT(T39,U39,V39)=3,T39+U39-V39,""))</f>
        <v>-110.64699999999999</v>
      </c>
      <c r="X39" s="10">
        <v>-110.648</v>
      </c>
      <c r="Y39" s="10">
        <v>-68.23</v>
      </c>
      <c r="Z39" s="10">
        <v>-11.882999999999999</v>
      </c>
      <c r="AA39" s="10">
        <v>-16.181999999999999</v>
      </c>
      <c r="AB39" s="10">
        <v>-14.352</v>
      </c>
      <c r="AC39" s="8">
        <v>0</v>
      </c>
      <c r="AD39" s="8">
        <v>0</v>
      </c>
      <c r="AE39" s="8">
        <v>1</v>
      </c>
      <c r="AF39" s="10">
        <v>28.536999999999999</v>
      </c>
      <c r="AG39" s="8">
        <f>COUNTIF(Y39:AB39,"&gt;0")</f>
        <v>0</v>
      </c>
      <c r="AH39" s="10">
        <v>0</v>
      </c>
      <c r="AI39" s="10">
        <v>0</v>
      </c>
      <c r="AJ39" s="8" t="str">
        <f>IF(ISNUMBER(X39),IF(X39&gt;0,"+",IF(X39&lt;0,"−","0")),IF(ISNUMBER(W39),IF(W39&gt;0,"+",IF(W39&lt;0,"−","0")),"yok"))</f>
        <v>−</v>
      </c>
      <c r="AK39" s="10">
        <f>IF(AND(RIGHT(C39,2)&lt;&gt;"12",ISNUMBER(U39),ISNUMBER(V39)),U39-V39,"")</f>
        <v>-80.113</v>
      </c>
      <c r="AL39" s="11">
        <f>IF(AND(ISNUMBER(AK39),ISNUMBER(V39)),IF(V39&lt;&gt;0,AK39/ABS(V39),""),"")</f>
        <v>-2.8073378420997304</v>
      </c>
      <c r="AM39" s="8">
        <f>IF(ISNUMBER(AK39),IF(AK39&gt;1,1,0),"")</f>
        <v>0</v>
      </c>
      <c r="AN39" s="8">
        <f>IF(ISNUMBER(AK39),IF(AK39&gt;0.05*ABS(V39),1,0),"")</f>
        <v>0</v>
      </c>
      <c r="AO39" s="10">
        <v>-110.648</v>
      </c>
      <c r="AP39" s="10">
        <v>110.648</v>
      </c>
      <c r="AQ39" s="8" t="s">
        <v>204</v>
      </c>
      <c r="AR39" s="8">
        <v>0</v>
      </c>
      <c r="AS39" s="10">
        <v>3630.6860000000001</v>
      </c>
      <c r="AT39" s="10">
        <v>2684.5360000000001</v>
      </c>
      <c r="AU39" s="8" t="s">
        <v>212</v>
      </c>
      <c r="AV39" s="10">
        <v>28.536999999999999</v>
      </c>
      <c r="AW39" s="11">
        <f>IF(AND(ISNUMBER(AV39),ISNUMBER(AT39)),IF(AT39&lt;&gt;0,AV39/ABS(AT39),""),"")</f>
        <v>1.0630142415672577E-2</v>
      </c>
      <c r="AX39" s="8">
        <v>1</v>
      </c>
      <c r="AY39" s="8">
        <v>0</v>
      </c>
      <c r="AZ39" s="8" t="s">
        <v>242</v>
      </c>
      <c r="BA39" s="8">
        <v>0</v>
      </c>
    </row>
    <row r="40" spans="1:53" x14ac:dyDescent="0.2">
      <c r="A40" s="8" t="s">
        <v>243</v>
      </c>
      <c r="B40" s="8" t="s">
        <v>83</v>
      </c>
      <c r="C40" s="8" t="s">
        <v>203</v>
      </c>
      <c r="D40" s="8">
        <v>1</v>
      </c>
      <c r="E40" s="8">
        <v>1</v>
      </c>
      <c r="F40" s="8">
        <f>SUM(G40:M40)</f>
        <v>2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1</v>
      </c>
      <c r="M40" s="8">
        <v>1</v>
      </c>
      <c r="N40" s="8">
        <v>1</v>
      </c>
      <c r="O40" s="8">
        <v>0</v>
      </c>
      <c r="P40" s="8">
        <v>1</v>
      </c>
      <c r="Q40" s="8">
        <v>0</v>
      </c>
      <c r="R40" s="8">
        <v>0</v>
      </c>
      <c r="S40" s="8">
        <v>0</v>
      </c>
      <c r="T40" s="10">
        <v>-1.6E-2</v>
      </c>
      <c r="U40" s="10">
        <v>-4.0430000000000001</v>
      </c>
      <c r="V40" s="10">
        <v>-17.859000000000002</v>
      </c>
      <c r="W40" s="10">
        <f>IF(RIGHT(C40,2)="12",IF(ISNUMBER(T40),T40,""),IF(COUNT(T40,U40,V40)=3,T40+U40-V40,""))</f>
        <v>13.8</v>
      </c>
      <c r="X40" s="10">
        <v>13.798999999999999</v>
      </c>
      <c r="Y40" s="10">
        <v>17.859000000000002</v>
      </c>
      <c r="Z40" s="10">
        <v>-5.2510000000000003</v>
      </c>
      <c r="AA40" s="10">
        <v>1.208</v>
      </c>
      <c r="AB40" s="10">
        <v>-1.6E-2</v>
      </c>
      <c r="AC40" s="8">
        <v>0</v>
      </c>
      <c r="AD40" s="8">
        <v>0</v>
      </c>
      <c r="AE40" s="8">
        <v>0</v>
      </c>
      <c r="AF40" s="10">
        <v>0</v>
      </c>
      <c r="AG40" s="8">
        <f>COUNTIF(Y40:AB40,"&gt;0")</f>
        <v>2</v>
      </c>
      <c r="AH40" s="10">
        <v>0</v>
      </c>
      <c r="AI40" s="10">
        <v>19.067</v>
      </c>
      <c r="AJ40" s="8" t="str">
        <f>IF(ISNUMBER(X40),IF(X40&gt;0,"+",IF(X40&lt;0,"−","0")),IF(ISNUMBER(W40),IF(W40&gt;0,"+",IF(W40&lt;0,"−","0")),"yok"))</f>
        <v>+</v>
      </c>
      <c r="AK40" s="10">
        <f>IF(AND(RIGHT(C40,2)&lt;&gt;"12",ISNUMBER(U40),ISNUMBER(V40)),U40-V40,"")</f>
        <v>13.816000000000003</v>
      </c>
      <c r="AL40" s="11">
        <f>IF(AND(ISNUMBER(AK40),ISNUMBER(V40)),IF(V40&lt;&gt;0,AK40/ABS(V40),""),"")</f>
        <v>0.7736155439834258</v>
      </c>
      <c r="AM40" s="8">
        <f>IF(ISNUMBER(AK40),IF(AK40&gt;1,1,0),"")</f>
        <v>1</v>
      </c>
      <c r="AN40" s="8">
        <f>IF(ISNUMBER(AK40),IF(AK40&gt;0.05*ABS(V40),1,0),"")</f>
        <v>1</v>
      </c>
      <c r="AO40" s="10">
        <v>13.798999999999999</v>
      </c>
      <c r="AP40" s="10">
        <v>13.798999999999999</v>
      </c>
      <c r="AQ40" s="8" t="s">
        <v>204</v>
      </c>
      <c r="AR40" s="8">
        <v>0</v>
      </c>
      <c r="AS40" s="10">
        <v>87.965999999999994</v>
      </c>
      <c r="AT40" s="10"/>
      <c r="AU40" s="8" t="s">
        <v>207</v>
      </c>
      <c r="AV40" s="10">
        <v>13.816000000000001</v>
      </c>
      <c r="AW40" s="11" t="str">
        <f>IF(AND(ISNUMBER(AV40),ISNUMBER(AT40)),IF(AT40&lt;&gt;0,AV40/ABS(AT40),""),"")</f>
        <v/>
      </c>
      <c r="AX40" s="8">
        <v>0</v>
      </c>
      <c r="AY40" s="8">
        <v>1</v>
      </c>
      <c r="AZ40" s="10"/>
      <c r="BA40" s="8">
        <v>0</v>
      </c>
    </row>
    <row r="41" spans="1:53" x14ac:dyDescent="0.2">
      <c r="A41" s="8" t="s">
        <v>243</v>
      </c>
      <c r="B41" s="8" t="s">
        <v>83</v>
      </c>
      <c r="C41" s="8" t="s">
        <v>205</v>
      </c>
      <c r="D41" s="8">
        <v>1</v>
      </c>
      <c r="E41" s="8">
        <v>1</v>
      </c>
      <c r="F41" s="8">
        <f>SUM(G41:M41)</f>
        <v>1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1</v>
      </c>
      <c r="N41" s="8">
        <v>0</v>
      </c>
      <c r="O41" s="8">
        <v>0</v>
      </c>
      <c r="P41" s="8">
        <v>1</v>
      </c>
      <c r="Q41" s="8">
        <v>0</v>
      </c>
      <c r="R41" s="8">
        <v>0</v>
      </c>
      <c r="S41" s="8">
        <v>0</v>
      </c>
      <c r="T41" s="10">
        <v>-1.6E-2</v>
      </c>
      <c r="U41" s="10">
        <v>-4.0430000000000001</v>
      </c>
      <c r="V41" s="10">
        <v>0</v>
      </c>
      <c r="W41" s="10">
        <f>IF(RIGHT(C41,2)="12",IF(ISNUMBER(T41),T41,""),IF(COUNT(T41,U41,V41)=3,T41+U41-V41,""))</f>
        <v>-4.0590000000000002</v>
      </c>
      <c r="X41" s="10">
        <v>-4.0590000000000002</v>
      </c>
      <c r="Y41" s="10">
        <v>-5.2510000000000003</v>
      </c>
      <c r="Z41" s="10">
        <v>1.208</v>
      </c>
      <c r="AA41" s="10">
        <v>-1.6E-2</v>
      </c>
      <c r="AB41" s="10">
        <v>0</v>
      </c>
      <c r="AC41" s="8">
        <v>0</v>
      </c>
      <c r="AD41" s="8">
        <v>0</v>
      </c>
      <c r="AE41" s="8">
        <v>0</v>
      </c>
      <c r="AF41" s="10">
        <v>0</v>
      </c>
      <c r="AG41" s="8">
        <f>COUNTIF(Y41:AB41,"&gt;0")</f>
        <v>1</v>
      </c>
      <c r="AH41" s="10">
        <v>0</v>
      </c>
      <c r="AI41" s="10">
        <v>1.208</v>
      </c>
      <c r="AJ41" s="8" t="str">
        <f>IF(ISNUMBER(X41),IF(X41&gt;0,"+",IF(X41&lt;0,"−","0")),IF(ISNUMBER(W41),IF(W41&gt;0,"+",IF(W41&lt;0,"−","0")),"yok"))</f>
        <v>−</v>
      </c>
      <c r="AK41" s="10">
        <f>IF(AND(RIGHT(C41,2)&lt;&gt;"12",ISNUMBER(U41),ISNUMBER(V41)),U41-V41,"")</f>
        <v>-4.0430000000000001</v>
      </c>
      <c r="AL41" s="11" t="str">
        <f>IF(AND(ISNUMBER(AK41),ISNUMBER(V41)),IF(V41&lt;&gt;0,AK41/ABS(V41),""),"")</f>
        <v/>
      </c>
      <c r="AM41" s="8">
        <f>IF(ISNUMBER(AK41),IF(AK41&gt;1,1,0),"")</f>
        <v>0</v>
      </c>
      <c r="AN41" s="8">
        <f>IF(ISNUMBER(AK41),IF(AK41&gt;0.05*ABS(V41),1,0),"")</f>
        <v>0</v>
      </c>
      <c r="AO41" s="10">
        <v>-4.0599999999999996</v>
      </c>
      <c r="AP41" s="10">
        <v>4.0599999999999996</v>
      </c>
      <c r="AQ41" s="8" t="s">
        <v>204</v>
      </c>
      <c r="AR41" s="8">
        <v>0</v>
      </c>
      <c r="AS41" s="10">
        <v>-5.7679999999999998</v>
      </c>
      <c r="AT41" s="10"/>
      <c r="AU41" s="8" t="s">
        <v>207</v>
      </c>
      <c r="AV41" s="10">
        <v>1.208</v>
      </c>
      <c r="AW41" s="11" t="str">
        <f>IF(AND(ISNUMBER(AV41),ISNUMBER(AT41)),IF(AT41&lt;&gt;0,AV41/ABS(AT41),""),"")</f>
        <v/>
      </c>
      <c r="AX41" s="8">
        <v>0</v>
      </c>
      <c r="AY41" s="8">
        <v>0</v>
      </c>
      <c r="AZ41" s="10"/>
      <c r="BA41" s="8">
        <v>0</v>
      </c>
    </row>
    <row r="42" spans="1:53" x14ac:dyDescent="0.2">
      <c r="A42" s="8" t="s">
        <v>243</v>
      </c>
      <c r="B42" s="8" t="s">
        <v>83</v>
      </c>
      <c r="C42" s="8" t="s">
        <v>215</v>
      </c>
      <c r="D42" s="8">
        <v>1</v>
      </c>
      <c r="E42" s="8">
        <v>1</v>
      </c>
      <c r="F42" s="8">
        <f>SUM(G42:M42)</f>
        <v>2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1</v>
      </c>
      <c r="M42" s="8">
        <v>1</v>
      </c>
      <c r="N42" s="8">
        <v>1</v>
      </c>
      <c r="O42" s="8">
        <v>0</v>
      </c>
      <c r="P42" s="8">
        <v>1</v>
      </c>
      <c r="Q42" s="8">
        <v>0</v>
      </c>
      <c r="R42" s="8">
        <v>0</v>
      </c>
      <c r="S42" s="8">
        <v>0</v>
      </c>
      <c r="T42" s="10">
        <v>-0.26500000000000001</v>
      </c>
      <c r="U42" s="10">
        <v>-4.0430000000000001</v>
      </c>
      <c r="V42" s="10">
        <v>-5.2510000000000003</v>
      </c>
      <c r="W42" s="10">
        <f>IF(RIGHT(C42,2)="12",IF(ISNUMBER(T42),T42,""),IF(COUNT(T42,U42,V42)=3,T42+U42-V42,""))</f>
        <v>0.9430000000000005</v>
      </c>
      <c r="X42" s="10">
        <v>0.94199999999999995</v>
      </c>
      <c r="Y42" s="10">
        <v>1.208</v>
      </c>
      <c r="Z42" s="10">
        <v>-1.6E-2</v>
      </c>
      <c r="AA42" s="10">
        <v>0</v>
      </c>
      <c r="AB42" s="10">
        <v>-0.248</v>
      </c>
      <c r="AC42" s="8">
        <v>0</v>
      </c>
      <c r="AD42" s="8">
        <v>0</v>
      </c>
      <c r="AE42" s="8">
        <v>0</v>
      </c>
      <c r="AF42" s="10">
        <v>0</v>
      </c>
      <c r="AG42" s="8">
        <f>COUNTIF(Y42:AB42,"&gt;0")</f>
        <v>1</v>
      </c>
      <c r="AH42" s="10">
        <v>0</v>
      </c>
      <c r="AI42" s="10">
        <v>1.208</v>
      </c>
      <c r="AJ42" s="8" t="str">
        <f>IF(ISNUMBER(X42),IF(X42&gt;0,"+",IF(X42&lt;0,"−","0")),IF(ISNUMBER(W42),IF(W42&gt;0,"+",IF(W42&lt;0,"−","0")),"yok"))</f>
        <v>+</v>
      </c>
      <c r="AK42" s="10">
        <f>IF(AND(RIGHT(C42,2)&lt;&gt;"12",ISNUMBER(U42),ISNUMBER(V42)),U42-V42,"")</f>
        <v>1.2080000000000002</v>
      </c>
      <c r="AL42" s="11">
        <f>IF(AND(ISNUMBER(AK42),ISNUMBER(V42)),IF(V42&lt;&gt;0,AK42/ABS(V42),""),"")</f>
        <v>0.23005141877737575</v>
      </c>
      <c r="AM42" s="8">
        <f>IF(ISNUMBER(AK42),IF(AK42&gt;1,1,0),"")</f>
        <v>1</v>
      </c>
      <c r="AN42" s="8">
        <f>IF(ISNUMBER(AK42),IF(AK42&gt;0.05*ABS(V42),1,0),"")</f>
        <v>1</v>
      </c>
      <c r="AO42" s="10">
        <v>0.94299999999999995</v>
      </c>
      <c r="AP42" s="10">
        <v>0.94299999999999995</v>
      </c>
      <c r="AQ42" s="8" t="s">
        <v>204</v>
      </c>
      <c r="AR42" s="8">
        <v>0</v>
      </c>
      <c r="AS42" s="10">
        <v>53.248000000000097</v>
      </c>
      <c r="AT42" s="10"/>
      <c r="AU42" s="8" t="s">
        <v>207</v>
      </c>
      <c r="AV42" s="10">
        <v>1.208</v>
      </c>
      <c r="AW42" s="11" t="str">
        <f>IF(AND(ISNUMBER(AV42),ISNUMBER(AT42)),IF(AT42&lt;&gt;0,AV42/ABS(AT42),""),"")</f>
        <v/>
      </c>
      <c r="AX42" s="8">
        <v>0</v>
      </c>
      <c r="AY42" s="8">
        <v>1</v>
      </c>
      <c r="AZ42" s="10"/>
      <c r="BA42" s="8">
        <v>0</v>
      </c>
    </row>
    <row r="43" spans="1:53" x14ac:dyDescent="0.2">
      <c r="A43" s="8" t="s">
        <v>244</v>
      </c>
      <c r="B43" s="8" t="s">
        <v>82</v>
      </c>
      <c r="C43" s="8" t="s">
        <v>203</v>
      </c>
      <c r="D43" s="8">
        <v>1</v>
      </c>
      <c r="E43" s="8">
        <v>1</v>
      </c>
      <c r="F43" s="8">
        <f>SUM(G43:M43)</f>
        <v>1</v>
      </c>
      <c r="G43" s="8">
        <v>0</v>
      </c>
      <c r="H43" s="8">
        <v>0</v>
      </c>
      <c r="I43" s="8">
        <v>0</v>
      </c>
      <c r="J43" s="8">
        <v>1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10">
        <v>-9.4E-2</v>
      </c>
      <c r="U43" s="10">
        <v>-26.623000000000001</v>
      </c>
      <c r="V43" s="10">
        <v>0.83599999999999997</v>
      </c>
      <c r="W43" s="10">
        <f>IF(RIGHT(C43,2)="12",IF(ISNUMBER(T43),T43,""),IF(COUNT(T43,U43,V43)=3,T43+U43-V43,""))</f>
        <v>-27.553000000000001</v>
      </c>
      <c r="X43" s="10">
        <v>-27.553999999999998</v>
      </c>
      <c r="Y43" s="10"/>
      <c r="Z43" s="10"/>
      <c r="AA43" s="10"/>
      <c r="AB43" s="10">
        <v>-9.4E-2</v>
      </c>
      <c r="AC43" s="8">
        <v>0</v>
      </c>
      <c r="AD43" s="8">
        <v>0</v>
      </c>
      <c r="AE43" s="8">
        <v>1</v>
      </c>
      <c r="AF43" s="10">
        <v>0.83599999999999997</v>
      </c>
      <c r="AG43" s="8">
        <f>COUNTIF(Y43:AB43,"&gt;0")</f>
        <v>0</v>
      </c>
      <c r="AH43" s="10">
        <v>0</v>
      </c>
      <c r="AI43" s="10">
        <v>0</v>
      </c>
      <c r="AJ43" s="8" t="str">
        <f>IF(ISNUMBER(X43),IF(X43&gt;0,"+",IF(X43&lt;0,"−","0")),IF(ISNUMBER(W43),IF(W43&gt;0,"+",IF(W43&lt;0,"−","0")),"yok"))</f>
        <v>−</v>
      </c>
      <c r="AK43" s="10">
        <f>IF(AND(RIGHT(C43,2)&lt;&gt;"12",ISNUMBER(U43),ISNUMBER(V43)),U43-V43,"")</f>
        <v>-27.459</v>
      </c>
      <c r="AL43" s="11">
        <f>IF(AND(ISNUMBER(AK43),ISNUMBER(V43)),IF(V43&lt;&gt;0,AK43/ABS(V43),""),"")</f>
        <v>-32.845693779904309</v>
      </c>
      <c r="AM43" s="8">
        <f>IF(ISNUMBER(AK43),IF(AK43&gt;1,1,0),"")</f>
        <v>0</v>
      </c>
      <c r="AN43" s="8">
        <f>IF(ISNUMBER(AK43),IF(AK43&gt;0.05*ABS(V43),1,0),"")</f>
        <v>0</v>
      </c>
      <c r="AO43" s="10"/>
      <c r="AP43" s="10"/>
      <c r="AQ43" s="8" t="s">
        <v>207</v>
      </c>
      <c r="AR43" s="8">
        <v>0</v>
      </c>
      <c r="AS43" s="10">
        <v>82.941000000000003</v>
      </c>
      <c r="AT43" s="10"/>
      <c r="AU43" s="8" t="s">
        <v>207</v>
      </c>
      <c r="AV43" s="10">
        <v>0.83599999999999997</v>
      </c>
      <c r="AW43" s="11" t="str">
        <f>IF(AND(ISNUMBER(AV43),ISNUMBER(AT43)),IF(AT43&lt;&gt;0,AV43/ABS(AT43),""),"")</f>
        <v/>
      </c>
      <c r="AX43" s="8">
        <v>1</v>
      </c>
      <c r="AY43" s="8">
        <v>0</v>
      </c>
      <c r="AZ43" s="8" t="s">
        <v>245</v>
      </c>
      <c r="BA43" s="8">
        <v>0</v>
      </c>
    </row>
    <row r="44" spans="1:53" x14ac:dyDescent="0.2">
      <c r="A44" s="8" t="s">
        <v>244</v>
      </c>
      <c r="B44" s="8" t="s">
        <v>83</v>
      </c>
      <c r="C44" s="8" t="s">
        <v>203</v>
      </c>
      <c r="D44" s="8">
        <v>1</v>
      </c>
      <c r="E44" s="8">
        <v>1</v>
      </c>
      <c r="F44" s="8">
        <f>SUM(G44:M44)</f>
        <v>1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1</v>
      </c>
      <c r="N44" s="8">
        <v>0</v>
      </c>
      <c r="O44" s="8">
        <v>0</v>
      </c>
      <c r="P44" s="8">
        <v>1</v>
      </c>
      <c r="Q44" s="8">
        <v>0</v>
      </c>
      <c r="R44" s="8">
        <v>0</v>
      </c>
      <c r="S44" s="8">
        <v>0</v>
      </c>
      <c r="T44" s="10">
        <v>-15.625</v>
      </c>
      <c r="U44" s="10">
        <v>-138.11000000000001</v>
      </c>
      <c r="V44" s="10">
        <v>-66.076999999999998</v>
      </c>
      <c r="W44" s="10">
        <f>IF(RIGHT(C44,2)="12",IF(ISNUMBER(T44),T44,""),IF(COUNT(T44,U44,V44)=3,T44+U44-V44,""))</f>
        <v>-87.658000000000015</v>
      </c>
      <c r="X44" s="10">
        <v>-87.658000000000001</v>
      </c>
      <c r="Y44" s="10">
        <v>63.664999999999999</v>
      </c>
      <c r="Z44" s="10">
        <v>0.19700000000000001</v>
      </c>
      <c r="AA44" s="10">
        <v>-135.89500000000001</v>
      </c>
      <c r="AB44" s="10">
        <v>-15.625</v>
      </c>
      <c r="AC44" s="8">
        <v>0</v>
      </c>
      <c r="AD44" s="8">
        <v>0</v>
      </c>
      <c r="AE44" s="8">
        <v>0</v>
      </c>
      <c r="AF44" s="10">
        <v>0</v>
      </c>
      <c r="AG44" s="8">
        <f>COUNTIF(Y44:AB44,"&gt;0")</f>
        <v>2</v>
      </c>
      <c r="AH44" s="10">
        <v>0</v>
      </c>
      <c r="AI44" s="10">
        <v>63.862000000000002</v>
      </c>
      <c r="AJ44" s="8" t="str">
        <f>IF(ISNUMBER(X44),IF(X44&gt;0,"+",IF(X44&lt;0,"−","0")),IF(ISNUMBER(W44),IF(W44&gt;0,"+",IF(W44&lt;0,"−","0")),"yok"))</f>
        <v>−</v>
      </c>
      <c r="AK44" s="10">
        <f>IF(AND(RIGHT(C44,2)&lt;&gt;"12",ISNUMBER(U44),ISNUMBER(V44)),U44-V44,"")</f>
        <v>-72.033000000000015</v>
      </c>
      <c r="AL44" s="11">
        <f>IF(AND(ISNUMBER(AK44),ISNUMBER(V44)),IF(V44&lt;&gt;0,AK44/ABS(V44),""),"")</f>
        <v>-1.0901372641009734</v>
      </c>
      <c r="AM44" s="8">
        <f>IF(ISNUMBER(AK44),IF(AK44&gt;1,1,0),"")</f>
        <v>0</v>
      </c>
      <c r="AN44" s="8">
        <f>IF(ISNUMBER(AK44),IF(AK44&gt;0.05*ABS(V44),1,0),"")</f>
        <v>0</v>
      </c>
      <c r="AO44" s="10">
        <v>-87.658000000000001</v>
      </c>
      <c r="AP44" s="10">
        <v>87.658000000000001</v>
      </c>
      <c r="AQ44" s="8" t="s">
        <v>204</v>
      </c>
      <c r="AR44" s="8">
        <v>0</v>
      </c>
      <c r="AS44" s="10">
        <v>82.941000000000003</v>
      </c>
      <c r="AT44" s="10"/>
      <c r="AU44" s="8" t="s">
        <v>207</v>
      </c>
      <c r="AV44" s="10">
        <v>63.664999999999999</v>
      </c>
      <c r="AW44" s="11" t="str">
        <f>IF(AND(ISNUMBER(AV44),ISNUMBER(AT44)),IF(AT44&lt;&gt;0,AV44/ABS(AT44),""),"")</f>
        <v/>
      </c>
      <c r="AX44" s="8">
        <v>0</v>
      </c>
      <c r="AY44" s="8">
        <v>0</v>
      </c>
      <c r="AZ44" s="10"/>
      <c r="BA44" s="8">
        <v>0</v>
      </c>
    </row>
    <row r="45" spans="1:53" x14ac:dyDescent="0.2">
      <c r="A45" s="8" t="s">
        <v>246</v>
      </c>
      <c r="B45" s="8" t="s">
        <v>83</v>
      </c>
      <c r="C45" s="8" t="s">
        <v>208</v>
      </c>
      <c r="D45" s="8">
        <v>1</v>
      </c>
      <c r="E45" s="8">
        <v>1</v>
      </c>
      <c r="F45" s="8">
        <f>SUM(G45:M45)</f>
        <v>1</v>
      </c>
      <c r="G45" s="8">
        <v>0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1</v>
      </c>
      <c r="O45" s="8">
        <v>1</v>
      </c>
      <c r="P45" s="8">
        <v>1</v>
      </c>
      <c r="Q45" s="8">
        <v>0</v>
      </c>
      <c r="R45" s="8">
        <v>0</v>
      </c>
      <c r="S45" s="8">
        <v>0</v>
      </c>
      <c r="T45" s="10">
        <v>1.8939999999999999</v>
      </c>
      <c r="U45" s="10">
        <v>-0.72699999999999998</v>
      </c>
      <c r="V45" s="10">
        <v>-2.8000000000000001E-2</v>
      </c>
      <c r="W45" s="10">
        <f>IF(RIGHT(C45,2)="12",IF(ISNUMBER(T45),T45,""),IF(COUNT(T45,U45,V45)=3,T45+U45-V45,""))</f>
        <v>1.1949999999999998</v>
      </c>
      <c r="X45" s="10">
        <v>1.1950000000000001</v>
      </c>
      <c r="Y45" s="10">
        <v>-0.107</v>
      </c>
      <c r="Z45" s="10">
        <v>-0.114</v>
      </c>
      <c r="AA45" s="10">
        <v>-0.47699999999999998</v>
      </c>
      <c r="AB45" s="10">
        <v>1.8939999999999999</v>
      </c>
      <c r="AC45" s="8">
        <v>1</v>
      </c>
      <c r="AD45" s="8">
        <v>0</v>
      </c>
      <c r="AE45" s="8">
        <v>0</v>
      </c>
      <c r="AF45" s="10">
        <v>1.8939999999999999</v>
      </c>
      <c r="AG45" s="8">
        <f>COUNTIF(Y45:AB45,"&gt;0")</f>
        <v>1</v>
      </c>
      <c r="AH45" s="10">
        <v>0</v>
      </c>
      <c r="AI45" s="10">
        <v>0</v>
      </c>
      <c r="AJ45" s="8" t="str">
        <f>IF(ISNUMBER(X45),IF(X45&gt;0,"+",IF(X45&lt;0,"−","0")),IF(ISNUMBER(W45),IF(W45&gt;0,"+",IF(W45&lt;0,"−","0")),"yok"))</f>
        <v>+</v>
      </c>
      <c r="AK45" s="10">
        <f>IF(AND(RIGHT(C45,2)&lt;&gt;"12",ISNUMBER(U45),ISNUMBER(V45)),U45-V45,"")</f>
        <v>-0.69899999999999995</v>
      </c>
      <c r="AL45" s="11">
        <f>IF(AND(ISNUMBER(AK45),ISNUMBER(V45)),IF(V45&lt;&gt;0,AK45/ABS(V45),""),"")</f>
        <v>-24.964285714285712</v>
      </c>
      <c r="AM45" s="8">
        <f>IF(ISNUMBER(AK45),IF(AK45&gt;1,1,0),"")</f>
        <v>0</v>
      </c>
      <c r="AN45" s="8">
        <f>IF(ISNUMBER(AK45),IF(AK45&gt;0.05*ABS(V45),1,0),"")</f>
        <v>0</v>
      </c>
      <c r="AO45" s="10">
        <v>1.1950000000000001</v>
      </c>
      <c r="AP45" s="10">
        <v>0</v>
      </c>
      <c r="AQ45" s="8" t="s">
        <v>204</v>
      </c>
      <c r="AR45" s="8">
        <v>1</v>
      </c>
      <c r="AS45" s="10">
        <v>53.536000000000001</v>
      </c>
      <c r="AT45" s="10">
        <v>53.536000000000001</v>
      </c>
      <c r="AU45" s="8" t="s">
        <v>204</v>
      </c>
      <c r="AV45" s="10">
        <v>1.8939999999999999</v>
      </c>
      <c r="AW45" s="11">
        <f>IF(AND(ISNUMBER(AV45),ISNUMBER(AT45)),IF(AT45&lt;&gt;0,AV45/ABS(AT45),""),"")</f>
        <v>3.5378063359234907E-2</v>
      </c>
      <c r="AX45" s="8">
        <v>1</v>
      </c>
      <c r="AY45" s="8">
        <v>0</v>
      </c>
      <c r="AZ45" s="8" t="s">
        <v>247</v>
      </c>
      <c r="BA45" s="8">
        <v>0</v>
      </c>
    </row>
    <row r="46" spans="1:53" x14ac:dyDescent="0.2">
      <c r="A46" s="8" t="s">
        <v>246</v>
      </c>
      <c r="B46" s="8" t="s">
        <v>83</v>
      </c>
      <c r="C46" s="8" t="s">
        <v>210</v>
      </c>
      <c r="D46" s="8">
        <v>1</v>
      </c>
      <c r="E46" s="8">
        <v>1</v>
      </c>
      <c r="F46" s="8">
        <f>SUM(G46:M46)</f>
        <v>1</v>
      </c>
      <c r="G46" s="8">
        <v>0</v>
      </c>
      <c r="H46" s="8">
        <v>0</v>
      </c>
      <c r="I46" s="8">
        <v>1</v>
      </c>
      <c r="J46" s="8">
        <v>0</v>
      </c>
      <c r="K46" s="8">
        <v>0</v>
      </c>
      <c r="L46" s="8">
        <v>0</v>
      </c>
      <c r="M46" s="8">
        <v>0</v>
      </c>
      <c r="N46" s="8">
        <v>1</v>
      </c>
      <c r="O46" s="8">
        <v>1</v>
      </c>
      <c r="P46" s="8">
        <v>1</v>
      </c>
      <c r="Q46" s="8">
        <v>0</v>
      </c>
      <c r="R46" s="8">
        <v>0</v>
      </c>
      <c r="S46" s="8">
        <v>1</v>
      </c>
      <c r="T46" s="10">
        <v>8.7420000000000009</v>
      </c>
      <c r="U46" s="10">
        <v>-0.72699999999999998</v>
      </c>
      <c r="V46" s="10">
        <v>-0.13500000000000001</v>
      </c>
      <c r="W46" s="10">
        <f>IF(RIGHT(C46,2)="12",IF(ISNUMBER(T46),T46,""),IF(COUNT(T46,U46,V46)=3,T46+U46-V46,""))</f>
        <v>8.15</v>
      </c>
      <c r="X46" s="10">
        <v>8.1509999999999998</v>
      </c>
      <c r="Y46" s="10">
        <v>-0.114</v>
      </c>
      <c r="Z46" s="10">
        <v>-0.47699999999999998</v>
      </c>
      <c r="AA46" s="10">
        <v>1.8939999999999999</v>
      </c>
      <c r="AB46" s="10">
        <v>6.8479999999999999</v>
      </c>
      <c r="AC46" s="8">
        <v>1</v>
      </c>
      <c r="AD46" s="8">
        <v>0</v>
      </c>
      <c r="AE46" s="8">
        <v>0</v>
      </c>
      <c r="AF46" s="10">
        <v>8.7420000000000009</v>
      </c>
      <c r="AG46" s="8">
        <f>COUNTIF(Y46:AB46,"&gt;0")</f>
        <v>2</v>
      </c>
      <c r="AH46" s="10">
        <v>6.8479999999999999</v>
      </c>
      <c r="AI46" s="10">
        <v>0</v>
      </c>
      <c r="AJ46" s="8" t="str">
        <f>IF(ISNUMBER(X46),IF(X46&gt;0,"+",IF(X46&lt;0,"−","0")),IF(ISNUMBER(W46),IF(W46&gt;0,"+",IF(W46&lt;0,"−","0")),"yok"))</f>
        <v>+</v>
      </c>
      <c r="AK46" s="10">
        <f>IF(AND(RIGHT(C46,2)&lt;&gt;"12",ISNUMBER(U46),ISNUMBER(V46)),U46-V46,"")</f>
        <v>-0.59199999999999997</v>
      </c>
      <c r="AL46" s="11">
        <f>IF(AND(ISNUMBER(AK46),ISNUMBER(V46)),IF(V46&lt;&gt;0,AK46/ABS(V46),""),"")</f>
        <v>-4.3851851851851844</v>
      </c>
      <c r="AM46" s="8">
        <f>IF(ISNUMBER(AK46),IF(AK46&gt;1,1,0),"")</f>
        <v>0</v>
      </c>
      <c r="AN46" s="8">
        <f>IF(ISNUMBER(AK46),IF(AK46&gt;0.05*ABS(V46),1,0),"")</f>
        <v>0</v>
      </c>
      <c r="AO46" s="10">
        <v>8.1509999999999998</v>
      </c>
      <c r="AP46" s="10">
        <v>0</v>
      </c>
      <c r="AQ46" s="8" t="s">
        <v>204</v>
      </c>
      <c r="AR46" s="8">
        <v>1</v>
      </c>
      <c r="AS46" s="10">
        <v>-51.779000000000003</v>
      </c>
      <c r="AT46" s="10">
        <v>-51.779000000000003</v>
      </c>
      <c r="AU46" s="8" t="s">
        <v>204</v>
      </c>
      <c r="AV46" s="10">
        <v>8.7420000000000009</v>
      </c>
      <c r="AW46" s="11">
        <f>IF(AND(ISNUMBER(AV46),ISNUMBER(AT46)),IF(AT46&lt;&gt;0,AV46/ABS(AT46),""),"")</f>
        <v>0.16883292454469959</v>
      </c>
      <c r="AX46" s="8">
        <v>1</v>
      </c>
      <c r="AY46" s="8">
        <v>0</v>
      </c>
      <c r="AZ46" s="8" t="s">
        <v>248</v>
      </c>
      <c r="BA46" s="8">
        <v>0</v>
      </c>
    </row>
    <row r="47" spans="1:53" x14ac:dyDescent="0.2">
      <c r="A47" s="8" t="s">
        <v>249</v>
      </c>
      <c r="B47" s="8" t="s">
        <v>82</v>
      </c>
      <c r="C47" s="8" t="s">
        <v>203</v>
      </c>
      <c r="D47" s="8">
        <v>1</v>
      </c>
      <c r="E47" s="8">
        <v>1</v>
      </c>
      <c r="F47" s="8">
        <f>SUM(G47:M47)</f>
        <v>1</v>
      </c>
      <c r="G47" s="8">
        <v>0</v>
      </c>
      <c r="H47" s="8">
        <v>0</v>
      </c>
      <c r="I47" s="8">
        <v>0</v>
      </c>
      <c r="J47" s="8">
        <v>1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1</v>
      </c>
      <c r="Q47" s="8">
        <v>0</v>
      </c>
      <c r="R47" s="8">
        <v>1</v>
      </c>
      <c r="S47" s="8">
        <v>0</v>
      </c>
      <c r="T47" s="10">
        <v>5.2229999999999999</v>
      </c>
      <c r="U47" s="10">
        <v>-12.935</v>
      </c>
      <c r="V47" s="10">
        <v>0</v>
      </c>
      <c r="W47" s="10">
        <f>IF(RIGHT(C47,2)="12",IF(ISNUMBER(T47),T47,""),IF(COUNT(T47,U47,V47)=3,T47+U47-V47,""))</f>
        <v>-7.7120000000000006</v>
      </c>
      <c r="X47" s="10">
        <v>-7.7119999999999997</v>
      </c>
      <c r="Y47" s="10">
        <v>-4.617</v>
      </c>
      <c r="Z47" s="10">
        <v>3.286</v>
      </c>
      <c r="AA47" s="10">
        <v>-11.603999999999999</v>
      </c>
      <c r="AB47" s="10">
        <v>5.2229999999999999</v>
      </c>
      <c r="AC47" s="8">
        <v>1</v>
      </c>
      <c r="AD47" s="8">
        <v>0</v>
      </c>
      <c r="AE47" s="8">
        <v>0</v>
      </c>
      <c r="AF47" s="10">
        <v>5.2229999999999999</v>
      </c>
      <c r="AG47" s="8">
        <f>COUNTIF(Y47:AB47,"&gt;0")</f>
        <v>2</v>
      </c>
      <c r="AH47" s="10">
        <v>0</v>
      </c>
      <c r="AI47" s="10">
        <v>3.286</v>
      </c>
      <c r="AJ47" s="8" t="str">
        <f>IF(ISNUMBER(X47),IF(X47&gt;0,"+",IF(X47&lt;0,"−","0")),IF(ISNUMBER(W47),IF(W47&gt;0,"+",IF(W47&lt;0,"−","0")),"yok"))</f>
        <v>−</v>
      </c>
      <c r="AK47" s="10">
        <f>IF(AND(RIGHT(C47,2)&lt;&gt;"12",ISNUMBER(U47),ISNUMBER(V47)),U47-V47,"")</f>
        <v>-12.935</v>
      </c>
      <c r="AL47" s="11" t="str">
        <f>IF(AND(ISNUMBER(AK47),ISNUMBER(V47)),IF(V47&lt;&gt;0,AK47/ABS(V47),""),"")</f>
        <v/>
      </c>
      <c r="AM47" s="8">
        <f>IF(ISNUMBER(AK47),IF(AK47&gt;1,1,0),"")</f>
        <v>0</v>
      </c>
      <c r="AN47" s="8">
        <f>IF(ISNUMBER(AK47),IF(AK47&gt;0.05*ABS(V47),1,0),"")</f>
        <v>0</v>
      </c>
      <c r="AO47" s="10">
        <v>-7.7130000000000001</v>
      </c>
      <c r="AP47" s="10">
        <v>7.7130000000000001</v>
      </c>
      <c r="AQ47" s="8" t="s">
        <v>204</v>
      </c>
      <c r="AR47" s="8">
        <v>0</v>
      </c>
      <c r="AS47" s="10">
        <v>13.962</v>
      </c>
      <c r="AT47" s="10">
        <v>-38.131</v>
      </c>
      <c r="AU47" s="8" t="s">
        <v>204</v>
      </c>
      <c r="AV47" s="10">
        <v>5.2229999999999999</v>
      </c>
      <c r="AW47" s="11">
        <f>IF(AND(ISNUMBER(AV47),ISNUMBER(AT47)),IF(AT47&lt;&gt;0,AV47/ABS(AT47),""),"")</f>
        <v>0.13697516456426528</v>
      </c>
      <c r="AX47" s="8">
        <v>1</v>
      </c>
      <c r="AY47" s="8">
        <v>0</v>
      </c>
      <c r="AZ47" s="8" t="s">
        <v>250</v>
      </c>
      <c r="BA47" s="8">
        <v>0</v>
      </c>
    </row>
    <row r="48" spans="1:53" x14ac:dyDescent="0.2">
      <c r="A48" s="8" t="s">
        <v>249</v>
      </c>
      <c r="B48" s="8" t="s">
        <v>82</v>
      </c>
      <c r="C48" s="8" t="s">
        <v>208</v>
      </c>
      <c r="D48" s="8">
        <v>1</v>
      </c>
      <c r="E48" s="8">
        <v>1</v>
      </c>
      <c r="F48" s="8">
        <f>SUM(G48:M48)</f>
        <v>1</v>
      </c>
      <c r="G48" s="8">
        <v>0</v>
      </c>
      <c r="H48" s="8">
        <v>0</v>
      </c>
      <c r="I48" s="8">
        <v>0</v>
      </c>
      <c r="J48" s="8">
        <v>1</v>
      </c>
      <c r="K48" s="8">
        <v>0</v>
      </c>
      <c r="L48" s="8">
        <v>0</v>
      </c>
      <c r="M48" s="8">
        <v>0</v>
      </c>
      <c r="N48" s="8">
        <v>0</v>
      </c>
      <c r="O48" s="8">
        <v>1</v>
      </c>
      <c r="P48" s="8">
        <v>1</v>
      </c>
      <c r="Q48" s="8">
        <v>0</v>
      </c>
      <c r="R48" s="8">
        <v>1</v>
      </c>
      <c r="S48" s="8">
        <v>0</v>
      </c>
      <c r="T48" s="10">
        <v>0.53</v>
      </c>
      <c r="U48" s="10">
        <v>-16.498000000000001</v>
      </c>
      <c r="V48" s="10">
        <v>5.2229999999999999</v>
      </c>
      <c r="W48" s="10">
        <f>IF(RIGHT(C48,2)="12",IF(ISNUMBER(T48),T48,""),IF(COUNT(T48,U48,V48)=3,T48+U48-V48,""))</f>
        <v>-21.191000000000003</v>
      </c>
      <c r="X48" s="10">
        <v>-21.190999999999999</v>
      </c>
      <c r="Y48" s="10">
        <v>-18.702000000000002</v>
      </c>
      <c r="Z48" s="10">
        <v>7.69</v>
      </c>
      <c r="AA48" s="10">
        <v>-10.71</v>
      </c>
      <c r="AB48" s="10">
        <v>0.53</v>
      </c>
      <c r="AC48" s="8">
        <v>1</v>
      </c>
      <c r="AD48" s="8">
        <v>0</v>
      </c>
      <c r="AE48" s="8">
        <v>1</v>
      </c>
      <c r="AF48" s="10">
        <v>5.2229999999999999</v>
      </c>
      <c r="AG48" s="8">
        <f>COUNTIF(Y48:AB48,"&gt;0")</f>
        <v>2</v>
      </c>
      <c r="AH48" s="10">
        <v>0</v>
      </c>
      <c r="AI48" s="10">
        <v>7.69</v>
      </c>
      <c r="AJ48" s="8" t="str">
        <f>IF(ISNUMBER(X48),IF(X48&gt;0,"+",IF(X48&lt;0,"−","0")),IF(ISNUMBER(W48),IF(W48&gt;0,"+",IF(W48&lt;0,"−","0")),"yok"))</f>
        <v>−</v>
      </c>
      <c r="AK48" s="10">
        <f>IF(AND(RIGHT(C48,2)&lt;&gt;"12",ISNUMBER(U48),ISNUMBER(V48)),U48-V48,"")</f>
        <v>-21.721</v>
      </c>
      <c r="AL48" s="11">
        <f>IF(AND(ISNUMBER(AK48),ISNUMBER(V48)),IF(V48&lt;&gt;0,AK48/ABS(V48),""),"")</f>
        <v>-4.1587210415470039</v>
      </c>
      <c r="AM48" s="8">
        <f>IF(ISNUMBER(AK48),IF(AK48&gt;1,1,0),"")</f>
        <v>0</v>
      </c>
      <c r="AN48" s="8">
        <f>IF(ISNUMBER(AK48),IF(AK48&gt;0.05*ABS(V48),1,0),"")</f>
        <v>0</v>
      </c>
      <c r="AO48" s="10">
        <v>-21.190999999999999</v>
      </c>
      <c r="AP48" s="10">
        <v>21.190999999999999</v>
      </c>
      <c r="AQ48" s="8" t="s">
        <v>204</v>
      </c>
      <c r="AR48" s="8">
        <v>0</v>
      </c>
      <c r="AS48" s="10">
        <v>62.872999999999998</v>
      </c>
      <c r="AT48" s="10">
        <v>-5.1320000000000103</v>
      </c>
      <c r="AU48" s="8" t="s">
        <v>204</v>
      </c>
      <c r="AV48" s="10">
        <v>5.2229999999999999</v>
      </c>
      <c r="AW48" s="11">
        <f>IF(AND(ISNUMBER(AV48),ISNUMBER(AT48)),IF(AT48&lt;&gt;0,AV48/ABS(AT48),""),"")</f>
        <v>1.0177318784099745</v>
      </c>
      <c r="AX48" s="8">
        <v>1</v>
      </c>
      <c r="AY48" s="8">
        <v>0</v>
      </c>
      <c r="AZ48" s="8" t="s">
        <v>251</v>
      </c>
      <c r="BA48" s="8">
        <v>0</v>
      </c>
    </row>
    <row r="49" spans="1:53" x14ac:dyDescent="0.2">
      <c r="A49" s="8" t="s">
        <v>252</v>
      </c>
      <c r="B49" s="8" t="s">
        <v>83</v>
      </c>
      <c r="C49" s="8" t="s">
        <v>203</v>
      </c>
      <c r="D49" s="8">
        <v>1</v>
      </c>
      <c r="E49" s="8">
        <v>1</v>
      </c>
      <c r="F49" s="8">
        <f>SUM(G49:M49)</f>
        <v>1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1</v>
      </c>
      <c r="Q49" s="8">
        <v>0</v>
      </c>
      <c r="R49" s="8">
        <v>0</v>
      </c>
      <c r="S49" s="8">
        <v>0</v>
      </c>
      <c r="T49" s="10">
        <v>-0.55500000000000005</v>
      </c>
      <c r="U49" s="10">
        <v>-4.7530000000000001</v>
      </c>
      <c r="V49" s="10">
        <v>-1.373</v>
      </c>
      <c r="W49" s="10">
        <f>IF(RIGHT(C49,2)="12",IF(ISNUMBER(T49),T49,""),IF(COUNT(T49,U49,V49)=3,T49+U49-V49,""))</f>
        <v>-3.9349999999999996</v>
      </c>
      <c r="X49" s="10">
        <v>-3.9350000000000001</v>
      </c>
      <c r="Y49" s="10">
        <v>-14.646000000000001</v>
      </c>
      <c r="Z49" s="10">
        <v>-0.42399999999999999</v>
      </c>
      <c r="AA49" s="10">
        <v>11.69</v>
      </c>
      <c r="AB49" s="10">
        <v>-0.55500000000000005</v>
      </c>
      <c r="AC49" s="8">
        <v>0</v>
      </c>
      <c r="AD49" s="8">
        <v>0</v>
      </c>
      <c r="AE49" s="8">
        <v>0</v>
      </c>
      <c r="AF49" s="10">
        <v>0</v>
      </c>
      <c r="AG49" s="8">
        <f>COUNTIF(Y49:AB49,"&gt;0")</f>
        <v>1</v>
      </c>
      <c r="AH49" s="10">
        <v>0</v>
      </c>
      <c r="AI49" s="10">
        <v>11.69</v>
      </c>
      <c r="AJ49" s="8" t="str">
        <f>IF(ISNUMBER(X49),IF(X49&gt;0,"+",IF(X49&lt;0,"−","0")),IF(ISNUMBER(W49),IF(W49&gt;0,"+",IF(W49&lt;0,"−","0")),"yok"))</f>
        <v>−</v>
      </c>
      <c r="AK49" s="10">
        <f>IF(AND(RIGHT(C49,2)&lt;&gt;"12",ISNUMBER(U49),ISNUMBER(V49)),U49-V49,"")</f>
        <v>-3.38</v>
      </c>
      <c r="AL49" s="11">
        <f>IF(AND(ISNUMBER(AK49),ISNUMBER(V49)),IF(V49&lt;&gt;0,AK49/ABS(V49),""),"")</f>
        <v>-2.4617625637290605</v>
      </c>
      <c r="AM49" s="8">
        <f>IF(ISNUMBER(AK49),IF(AK49&gt;1,1,0),"")</f>
        <v>0</v>
      </c>
      <c r="AN49" s="8">
        <f>IF(ISNUMBER(AK49),IF(AK49&gt;0.05*ABS(V49),1,0),"")</f>
        <v>0</v>
      </c>
      <c r="AO49" s="10">
        <v>-3.9359999999999999</v>
      </c>
      <c r="AP49" s="10">
        <v>3.9359999999999999</v>
      </c>
      <c r="AQ49" s="8" t="s">
        <v>204</v>
      </c>
      <c r="AR49" s="8">
        <v>0</v>
      </c>
      <c r="AS49" s="10">
        <v>2944.3519999999999</v>
      </c>
      <c r="AT49" s="10">
        <v>2920.0549999999998</v>
      </c>
      <c r="AU49" s="8" t="s">
        <v>204</v>
      </c>
      <c r="AV49" s="10">
        <v>11.69</v>
      </c>
      <c r="AW49" s="11">
        <f>IF(AND(ISNUMBER(AV49),ISNUMBER(AT49)),IF(AT49&lt;&gt;0,AV49/ABS(AT49),""),"")</f>
        <v>4.0033492519832674E-3</v>
      </c>
      <c r="AX49" s="8">
        <v>0</v>
      </c>
      <c r="AY49" s="8">
        <v>0</v>
      </c>
      <c r="AZ49" s="10"/>
      <c r="BA49" s="8">
        <v>0</v>
      </c>
    </row>
    <row r="50" spans="1:53" x14ac:dyDescent="0.2">
      <c r="A50" s="8" t="s">
        <v>252</v>
      </c>
      <c r="B50" s="8" t="s">
        <v>83</v>
      </c>
      <c r="C50" s="8" t="s">
        <v>205</v>
      </c>
      <c r="D50" s="8">
        <v>1</v>
      </c>
      <c r="E50" s="8">
        <v>1</v>
      </c>
      <c r="F50" s="8">
        <f>SUM(G50:M50)</f>
        <v>3</v>
      </c>
      <c r="G50" s="8">
        <v>0</v>
      </c>
      <c r="H50" s="8">
        <v>0</v>
      </c>
      <c r="I50" s="8">
        <v>1</v>
      </c>
      <c r="J50" s="8">
        <v>0</v>
      </c>
      <c r="K50" s="8">
        <v>0</v>
      </c>
      <c r="L50" s="8">
        <v>1</v>
      </c>
      <c r="M50" s="8">
        <v>1</v>
      </c>
      <c r="N50" s="8">
        <v>1</v>
      </c>
      <c r="O50" s="8">
        <v>0</v>
      </c>
      <c r="P50" s="8">
        <v>1</v>
      </c>
      <c r="Q50" s="8">
        <v>0</v>
      </c>
      <c r="R50" s="8">
        <v>0</v>
      </c>
      <c r="S50" s="8">
        <v>0</v>
      </c>
      <c r="T50" s="10">
        <v>-0.75900000000000001</v>
      </c>
      <c r="U50" s="10">
        <v>-4.7530000000000001</v>
      </c>
      <c r="V50" s="10">
        <v>-16.018999999999998</v>
      </c>
      <c r="W50" s="10">
        <f>IF(RIGHT(C50,2)="12",IF(ISNUMBER(T50),T50,""),IF(COUNT(T50,U50,V50)=3,T50+U50-V50,""))</f>
        <v>10.506999999999998</v>
      </c>
      <c r="X50" s="10">
        <v>10.505000000000001</v>
      </c>
      <c r="Y50" s="10">
        <v>-0.42399999999999999</v>
      </c>
      <c r="Z50" s="10">
        <v>11.69</v>
      </c>
      <c r="AA50" s="10">
        <v>-0.55500000000000005</v>
      </c>
      <c r="AB50" s="10">
        <v>-0.20399999999999999</v>
      </c>
      <c r="AC50" s="8">
        <v>0</v>
      </c>
      <c r="AD50" s="8">
        <v>0</v>
      </c>
      <c r="AE50" s="8">
        <v>0</v>
      </c>
      <c r="AF50" s="10">
        <v>0</v>
      </c>
      <c r="AG50" s="8">
        <f>COUNTIF(Y50:AB50,"&gt;0")</f>
        <v>1</v>
      </c>
      <c r="AH50" s="10">
        <v>0</v>
      </c>
      <c r="AI50" s="10">
        <v>11.69</v>
      </c>
      <c r="AJ50" s="8" t="str">
        <f>IF(ISNUMBER(X50),IF(X50&gt;0,"+",IF(X50&lt;0,"−","0")),IF(ISNUMBER(W50),IF(W50&gt;0,"+",IF(W50&lt;0,"−","0")),"yok"))</f>
        <v>+</v>
      </c>
      <c r="AK50" s="10">
        <f>IF(AND(RIGHT(C50,2)&lt;&gt;"12",ISNUMBER(U50),ISNUMBER(V50)),U50-V50,"")</f>
        <v>11.265999999999998</v>
      </c>
      <c r="AL50" s="11">
        <f>IF(AND(ISNUMBER(AK50),ISNUMBER(V50)),IF(V50&lt;&gt;0,AK50/ABS(V50),""),"")</f>
        <v>0.70328984331106803</v>
      </c>
      <c r="AM50" s="8">
        <f>IF(ISNUMBER(AK50),IF(AK50&gt;1,1,0),"")</f>
        <v>1</v>
      </c>
      <c r="AN50" s="8">
        <f>IF(ISNUMBER(AK50),IF(AK50&gt;0.05*ABS(V50),1,0),"")</f>
        <v>1</v>
      </c>
      <c r="AO50" s="10">
        <v>10.505000000000001</v>
      </c>
      <c r="AP50" s="10">
        <v>0</v>
      </c>
      <c r="AQ50" s="8" t="s">
        <v>204</v>
      </c>
      <c r="AR50" s="8">
        <v>1</v>
      </c>
      <c r="AS50" s="10">
        <v>2288.6990000000001</v>
      </c>
      <c r="AT50" s="10">
        <v>2240.605</v>
      </c>
      <c r="AU50" s="8" t="s">
        <v>204</v>
      </c>
      <c r="AV50" s="10">
        <v>11.266</v>
      </c>
      <c r="AW50" s="11">
        <f>IF(AND(ISNUMBER(AV50),ISNUMBER(AT50)),IF(AT50&lt;&gt;0,AV50/ABS(AT50),""),"")</f>
        <v>5.0281062480892437E-3</v>
      </c>
      <c r="AX50" s="8">
        <v>0</v>
      </c>
      <c r="AY50" s="8">
        <v>1</v>
      </c>
      <c r="AZ50" s="10"/>
      <c r="BA50" s="8">
        <v>0</v>
      </c>
    </row>
    <row r="51" spans="1:53" x14ac:dyDescent="0.2">
      <c r="A51" s="8" t="s">
        <v>252</v>
      </c>
      <c r="B51" s="8" t="s">
        <v>83</v>
      </c>
      <c r="C51" s="8" t="s">
        <v>215</v>
      </c>
      <c r="D51" s="8">
        <v>1</v>
      </c>
      <c r="E51" s="8">
        <v>1</v>
      </c>
      <c r="F51" s="8">
        <f>SUM(G51:M51)</f>
        <v>3</v>
      </c>
      <c r="G51" s="8">
        <v>0</v>
      </c>
      <c r="H51" s="8">
        <v>0</v>
      </c>
      <c r="I51" s="8">
        <v>1</v>
      </c>
      <c r="J51" s="8">
        <v>0</v>
      </c>
      <c r="K51" s="8">
        <v>0</v>
      </c>
      <c r="L51" s="8">
        <v>1</v>
      </c>
      <c r="M51" s="8">
        <v>1</v>
      </c>
      <c r="N51" s="8">
        <v>1</v>
      </c>
      <c r="O51" s="8">
        <v>0</v>
      </c>
      <c r="P51" s="8">
        <v>1</v>
      </c>
      <c r="Q51" s="8">
        <v>0</v>
      </c>
      <c r="R51" s="8">
        <v>0</v>
      </c>
      <c r="S51" s="8">
        <v>0</v>
      </c>
      <c r="T51" s="10">
        <v>-7.41</v>
      </c>
      <c r="U51" s="10">
        <v>-4.7530000000000001</v>
      </c>
      <c r="V51" s="10">
        <v>-16.443999999999999</v>
      </c>
      <c r="W51" s="10">
        <f>IF(RIGHT(C51,2)="12",IF(ISNUMBER(T51),T51,""),IF(COUNT(T51,U51,V51)=3,T51+U51-V51,""))</f>
        <v>4.2809999999999988</v>
      </c>
      <c r="X51" s="10">
        <v>4.2789999999999999</v>
      </c>
      <c r="Y51" s="10">
        <v>11.69</v>
      </c>
      <c r="Z51" s="10">
        <v>-0.55500000000000005</v>
      </c>
      <c r="AA51" s="10">
        <v>-0.20399999999999999</v>
      </c>
      <c r="AB51" s="10">
        <v>-6.65</v>
      </c>
      <c r="AC51" s="8">
        <v>0</v>
      </c>
      <c r="AD51" s="8">
        <v>0</v>
      </c>
      <c r="AE51" s="8">
        <v>0</v>
      </c>
      <c r="AF51" s="10">
        <v>0</v>
      </c>
      <c r="AG51" s="8">
        <f>COUNTIF(Y51:AB51,"&gt;0")</f>
        <v>1</v>
      </c>
      <c r="AH51" s="10">
        <v>0</v>
      </c>
      <c r="AI51" s="10">
        <v>11.69</v>
      </c>
      <c r="AJ51" s="8" t="str">
        <f>IF(ISNUMBER(X51),IF(X51&gt;0,"+",IF(X51&lt;0,"−","0")),IF(ISNUMBER(W51),IF(W51&gt;0,"+",IF(W51&lt;0,"−","0")),"yok"))</f>
        <v>+</v>
      </c>
      <c r="AK51" s="10">
        <f>IF(AND(RIGHT(C51,2)&lt;&gt;"12",ISNUMBER(U51),ISNUMBER(V51)),U51-V51,"")</f>
        <v>11.690999999999999</v>
      </c>
      <c r="AL51" s="11">
        <f>IF(AND(ISNUMBER(AK51),ISNUMBER(V51)),IF(V51&lt;&gt;0,AK51/ABS(V51),""),"")</f>
        <v>0.71095840428119672</v>
      </c>
      <c r="AM51" s="8">
        <f>IF(ISNUMBER(AK51),IF(AK51&gt;1,1,0),"")</f>
        <v>1</v>
      </c>
      <c r="AN51" s="8">
        <f>IF(ISNUMBER(AK51),IF(AK51&gt;0.05*ABS(V51),1,0),"")</f>
        <v>1</v>
      </c>
      <c r="AO51" s="10">
        <v>4.28</v>
      </c>
      <c r="AP51" s="10">
        <v>0</v>
      </c>
      <c r="AQ51" s="8" t="s">
        <v>204</v>
      </c>
      <c r="AR51" s="8">
        <v>1</v>
      </c>
      <c r="AS51" s="10">
        <v>2476.232</v>
      </c>
      <c r="AT51" s="10">
        <v>2434.6909999999998</v>
      </c>
      <c r="AU51" s="8" t="s">
        <v>204</v>
      </c>
      <c r="AV51" s="10">
        <v>11.691000000000001</v>
      </c>
      <c r="AW51" s="11">
        <f>IF(AND(ISNUMBER(AV51),ISNUMBER(AT51)),IF(AT51&lt;&gt;0,AV51/ABS(AT51),""),"")</f>
        <v>4.8018413835677716E-3</v>
      </c>
      <c r="AX51" s="8">
        <v>0</v>
      </c>
      <c r="AY51" s="8">
        <v>1</v>
      </c>
      <c r="AZ51" s="10"/>
      <c r="BA51" s="8">
        <v>0</v>
      </c>
    </row>
    <row r="52" spans="1:53" x14ac:dyDescent="0.2">
      <c r="A52" s="8" t="s">
        <v>253</v>
      </c>
      <c r="B52" s="8" t="s">
        <v>83</v>
      </c>
      <c r="C52" s="8" t="s">
        <v>203</v>
      </c>
      <c r="D52" s="8">
        <v>1</v>
      </c>
      <c r="E52" s="8">
        <v>1</v>
      </c>
      <c r="F52" s="8">
        <f>SUM(G52:M52)</f>
        <v>1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1</v>
      </c>
      <c r="N52" s="8">
        <v>0</v>
      </c>
      <c r="O52" s="8">
        <v>0</v>
      </c>
      <c r="P52" s="8">
        <v>1</v>
      </c>
      <c r="Q52" s="8">
        <v>0</v>
      </c>
      <c r="R52" s="8">
        <v>0</v>
      </c>
      <c r="S52" s="8">
        <v>0</v>
      </c>
      <c r="T52" s="10">
        <v>-6.524</v>
      </c>
      <c r="U52" s="10">
        <v>-73.703000000000003</v>
      </c>
      <c r="V52" s="10">
        <v>-15.41</v>
      </c>
      <c r="W52" s="10">
        <f>IF(RIGHT(C52,2)="12",IF(ISNUMBER(T52),T52,""),IF(COUNT(T52,U52,V52)=3,T52+U52-V52,""))</f>
        <v>-64.817000000000007</v>
      </c>
      <c r="X52" s="10">
        <v>-64.817999999999998</v>
      </c>
      <c r="Y52" s="10">
        <v>1.137</v>
      </c>
      <c r="Z52" s="10">
        <v>-14.606999999999999</v>
      </c>
      <c r="AA52" s="10">
        <v>-44.823</v>
      </c>
      <c r="AB52" s="10">
        <v>-6.524</v>
      </c>
      <c r="AC52" s="8">
        <v>0</v>
      </c>
      <c r="AD52" s="8">
        <v>0</v>
      </c>
      <c r="AE52" s="8">
        <v>0</v>
      </c>
      <c r="AF52" s="10">
        <v>0</v>
      </c>
      <c r="AG52" s="8">
        <f>COUNTIF(Y52:AB52,"&gt;0")</f>
        <v>1</v>
      </c>
      <c r="AH52" s="10">
        <v>0</v>
      </c>
      <c r="AI52" s="10">
        <v>1.137</v>
      </c>
      <c r="AJ52" s="8" t="str">
        <f>IF(ISNUMBER(X52),IF(X52&gt;0,"+",IF(X52&lt;0,"−","0")),IF(ISNUMBER(W52),IF(W52&gt;0,"+",IF(W52&lt;0,"−","0")),"yok"))</f>
        <v>−</v>
      </c>
      <c r="AK52" s="10">
        <f>IF(AND(RIGHT(C52,2)&lt;&gt;"12",ISNUMBER(U52),ISNUMBER(V52)),U52-V52,"")</f>
        <v>-58.293000000000006</v>
      </c>
      <c r="AL52" s="11">
        <f>IF(AND(ISNUMBER(AK52),ISNUMBER(V52)),IF(V52&lt;&gt;0,AK52/ABS(V52),""),"")</f>
        <v>-3.7828033744321874</v>
      </c>
      <c r="AM52" s="8">
        <f>IF(ISNUMBER(AK52),IF(AK52&gt;1,1,0),"")</f>
        <v>0</v>
      </c>
      <c r="AN52" s="8">
        <f>IF(ISNUMBER(AK52),IF(AK52&gt;0.05*ABS(V52),1,0),"")</f>
        <v>0</v>
      </c>
      <c r="AO52" s="10">
        <v>-64.819000000000003</v>
      </c>
      <c r="AP52" s="10">
        <v>64.819000000000003</v>
      </c>
      <c r="AQ52" s="8" t="s">
        <v>204</v>
      </c>
      <c r="AR52" s="8">
        <v>0</v>
      </c>
      <c r="AS52" s="10">
        <v>-735.75400000000002</v>
      </c>
      <c r="AT52" s="10">
        <v>-800.57299999999998</v>
      </c>
      <c r="AU52" s="8" t="s">
        <v>204</v>
      </c>
      <c r="AV52" s="10">
        <v>1.137</v>
      </c>
      <c r="AW52" s="11">
        <f>IF(AND(ISNUMBER(AV52),ISNUMBER(AT52)),IF(AT52&lt;&gt;0,AV52/ABS(AT52),""),"")</f>
        <v>1.4202327582868771E-3</v>
      </c>
      <c r="AX52" s="8">
        <v>0</v>
      </c>
      <c r="AY52" s="8">
        <v>0</v>
      </c>
      <c r="AZ52" s="10"/>
      <c r="BA52" s="8">
        <v>0</v>
      </c>
    </row>
    <row r="53" spans="1:53" x14ac:dyDescent="0.2">
      <c r="A53" s="8" t="s">
        <v>254</v>
      </c>
      <c r="B53" s="8" t="s">
        <v>82</v>
      </c>
      <c r="C53" s="8" t="s">
        <v>203</v>
      </c>
      <c r="D53" s="8">
        <v>1</v>
      </c>
      <c r="E53" s="8">
        <v>1</v>
      </c>
      <c r="F53" s="8">
        <f>SUM(G53:M53)</f>
        <v>1</v>
      </c>
      <c r="G53" s="8">
        <v>0</v>
      </c>
      <c r="H53" s="8">
        <v>0</v>
      </c>
      <c r="I53" s="8">
        <v>0</v>
      </c>
      <c r="J53" s="8">
        <v>1</v>
      </c>
      <c r="K53" s="8">
        <v>0</v>
      </c>
      <c r="L53" s="8">
        <v>0</v>
      </c>
      <c r="M53" s="8">
        <v>0</v>
      </c>
      <c r="N53" s="8">
        <v>0</v>
      </c>
      <c r="O53" s="8">
        <v>1</v>
      </c>
      <c r="P53" s="8">
        <v>1</v>
      </c>
      <c r="Q53" s="8">
        <v>0</v>
      </c>
      <c r="R53" s="8">
        <v>1</v>
      </c>
      <c r="S53" s="8">
        <v>0</v>
      </c>
      <c r="T53" s="10">
        <v>4.8090000000000002</v>
      </c>
      <c r="U53" s="10">
        <v>-9.5579999999999998</v>
      </c>
      <c r="V53" s="10">
        <v>5.944</v>
      </c>
      <c r="W53" s="10">
        <f>IF(RIGHT(C53,2)="12",IF(ISNUMBER(T53),T53,""),IF(COUNT(T53,U53,V53)=3,T53+U53-V53,""))</f>
        <v>-10.693</v>
      </c>
      <c r="X53" s="10">
        <v>-10.693</v>
      </c>
      <c r="Y53" s="10">
        <v>-15.545999999999999</v>
      </c>
      <c r="Z53" s="10">
        <v>22.536999999999999</v>
      </c>
      <c r="AA53" s="10">
        <v>-22.494</v>
      </c>
      <c r="AB53" s="10">
        <v>4.8090000000000002</v>
      </c>
      <c r="AC53" s="8">
        <v>1</v>
      </c>
      <c r="AD53" s="8">
        <v>0</v>
      </c>
      <c r="AE53" s="8">
        <v>1</v>
      </c>
      <c r="AF53" s="10">
        <v>5.944</v>
      </c>
      <c r="AG53" s="8">
        <f>COUNTIF(Y53:AB53,"&gt;0")</f>
        <v>2</v>
      </c>
      <c r="AH53" s="10">
        <v>0</v>
      </c>
      <c r="AI53" s="10">
        <v>22.536999999999999</v>
      </c>
      <c r="AJ53" s="8" t="str">
        <f>IF(ISNUMBER(X53),IF(X53&gt;0,"+",IF(X53&lt;0,"−","0")),IF(ISNUMBER(W53),IF(W53&gt;0,"+",IF(W53&lt;0,"−","0")),"yok"))</f>
        <v>−</v>
      </c>
      <c r="AK53" s="10">
        <f>IF(AND(RIGHT(C53,2)&lt;&gt;"12",ISNUMBER(U53),ISNUMBER(V53)),U53-V53,"")</f>
        <v>-15.501999999999999</v>
      </c>
      <c r="AL53" s="11">
        <f>IF(AND(ISNUMBER(AK53),ISNUMBER(V53)),IF(V53&lt;&gt;0,AK53/ABS(V53),""),"")</f>
        <v>-2.6080080753701211</v>
      </c>
      <c r="AM53" s="8">
        <f>IF(ISNUMBER(AK53),IF(AK53&gt;1,1,0),"")</f>
        <v>0</v>
      </c>
      <c r="AN53" s="8">
        <f>IF(ISNUMBER(AK53),IF(AK53&gt;0.05*ABS(V53),1,0),"")</f>
        <v>0</v>
      </c>
      <c r="AO53" s="10">
        <v>-10.694000000000001</v>
      </c>
      <c r="AP53" s="10">
        <v>10.694000000000001</v>
      </c>
      <c r="AQ53" s="8" t="s">
        <v>204</v>
      </c>
      <c r="AR53" s="8">
        <v>0</v>
      </c>
      <c r="AS53" s="10">
        <v>213.95599999999999</v>
      </c>
      <c r="AT53" s="10">
        <v>80.459999999999994</v>
      </c>
      <c r="AU53" s="8" t="s">
        <v>204</v>
      </c>
      <c r="AV53" s="10">
        <v>5.944</v>
      </c>
      <c r="AW53" s="11">
        <f>IF(AND(ISNUMBER(AV53),ISNUMBER(AT53)),IF(AT53&lt;&gt;0,AV53/ABS(AT53),""),"")</f>
        <v>7.3875217499378573E-2</v>
      </c>
      <c r="AX53" s="8">
        <v>1</v>
      </c>
      <c r="AY53" s="8">
        <v>0</v>
      </c>
      <c r="AZ53" s="8" t="s">
        <v>255</v>
      </c>
      <c r="BA53" s="8">
        <v>0</v>
      </c>
    </row>
    <row r="54" spans="1:53" x14ac:dyDescent="0.2">
      <c r="A54" s="8" t="s">
        <v>254</v>
      </c>
      <c r="B54" s="8" t="s">
        <v>82</v>
      </c>
      <c r="C54" s="8" t="s">
        <v>215</v>
      </c>
      <c r="D54" s="8">
        <v>1</v>
      </c>
      <c r="E54" s="8">
        <v>1</v>
      </c>
      <c r="F54" s="8">
        <f>SUM(G54:M54)</f>
        <v>1</v>
      </c>
      <c r="G54" s="8">
        <v>0</v>
      </c>
      <c r="H54" s="8">
        <v>0</v>
      </c>
      <c r="I54" s="8">
        <v>0</v>
      </c>
      <c r="J54" s="8">
        <v>1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1</v>
      </c>
      <c r="Q54" s="8">
        <v>0</v>
      </c>
      <c r="R54" s="8">
        <v>0</v>
      </c>
      <c r="S54" s="8">
        <v>1</v>
      </c>
      <c r="T54" s="10">
        <v>5.6429999999999998</v>
      </c>
      <c r="U54" s="10">
        <v>-9.5579999999999998</v>
      </c>
      <c r="V54" s="10">
        <v>12.935</v>
      </c>
      <c r="W54" s="10">
        <f>IF(RIGHT(C54,2)="12",IF(ISNUMBER(T54),T54,""),IF(COUNT(T54,U54,V54)=3,T54+U54-V54,""))</f>
        <v>-16.850000000000001</v>
      </c>
      <c r="X54" s="10">
        <v>-16.850999999999999</v>
      </c>
      <c r="Y54" s="10">
        <v>-22.494</v>
      </c>
      <c r="Z54" s="10">
        <v>4.8090000000000002</v>
      </c>
      <c r="AA54" s="10">
        <v>-13.260999999999999</v>
      </c>
      <c r="AB54" s="10">
        <v>14.095000000000001</v>
      </c>
      <c r="AC54" s="8">
        <v>1</v>
      </c>
      <c r="AD54" s="8">
        <v>0</v>
      </c>
      <c r="AE54" s="8">
        <v>1</v>
      </c>
      <c r="AF54" s="10">
        <v>12.935</v>
      </c>
      <c r="AG54" s="8">
        <f>COUNTIF(Y54:AB54,"&gt;0")</f>
        <v>2</v>
      </c>
      <c r="AH54" s="10">
        <v>14.095000000000001</v>
      </c>
      <c r="AI54" s="10">
        <v>0</v>
      </c>
      <c r="AJ54" s="8" t="str">
        <f>IF(ISNUMBER(X54),IF(X54&gt;0,"+",IF(X54&lt;0,"−","0")),IF(ISNUMBER(W54),IF(W54&gt;0,"+",IF(W54&lt;0,"−","0")),"yok"))</f>
        <v>−</v>
      </c>
      <c r="AK54" s="10">
        <f>IF(AND(RIGHT(C54,2)&lt;&gt;"12",ISNUMBER(U54),ISNUMBER(V54)),U54-V54,"")</f>
        <v>-22.493000000000002</v>
      </c>
      <c r="AL54" s="11">
        <f>IF(AND(ISNUMBER(AK54),ISNUMBER(V54)),IF(V54&lt;&gt;0,AK54/ABS(V54),""),"")</f>
        <v>-1.7389253962118285</v>
      </c>
      <c r="AM54" s="8">
        <f>IF(ISNUMBER(AK54),IF(AK54&gt;1,1,0),"")</f>
        <v>0</v>
      </c>
      <c r="AN54" s="8">
        <f>IF(ISNUMBER(AK54),IF(AK54&gt;0.05*ABS(V54),1,0),"")</f>
        <v>0</v>
      </c>
      <c r="AO54" s="10">
        <v>-16.852</v>
      </c>
      <c r="AP54" s="10">
        <v>16.852</v>
      </c>
      <c r="AQ54" s="8" t="s">
        <v>204</v>
      </c>
      <c r="AR54" s="8">
        <v>0</v>
      </c>
      <c r="AS54" s="10">
        <v>191.768</v>
      </c>
      <c r="AT54" s="10">
        <v>20.904</v>
      </c>
      <c r="AU54" s="8" t="s">
        <v>204</v>
      </c>
      <c r="AV54" s="10">
        <v>12.935</v>
      </c>
      <c r="AW54" s="11">
        <f>IF(AND(ISNUMBER(AV54),ISNUMBER(AT54)),IF(AT54&lt;&gt;0,AV54/ABS(AT54),""),"")</f>
        <v>0.61878109452736318</v>
      </c>
      <c r="AX54" s="8">
        <v>1</v>
      </c>
      <c r="AY54" s="8">
        <v>0</v>
      </c>
      <c r="AZ54" s="8" t="s">
        <v>256</v>
      </c>
      <c r="BA54" s="8">
        <v>0</v>
      </c>
    </row>
    <row r="55" spans="1:53" x14ac:dyDescent="0.2">
      <c r="A55" s="8" t="s">
        <v>254</v>
      </c>
      <c r="B55" s="8" t="s">
        <v>82</v>
      </c>
      <c r="C55" s="8" t="s">
        <v>208</v>
      </c>
      <c r="D55" s="8">
        <v>1</v>
      </c>
      <c r="E55" s="8">
        <v>1</v>
      </c>
      <c r="F55" s="8">
        <f>SUM(G55:M55)</f>
        <v>1</v>
      </c>
      <c r="G55" s="8">
        <v>0</v>
      </c>
      <c r="H55" s="8">
        <v>0</v>
      </c>
      <c r="I55" s="8">
        <v>0</v>
      </c>
      <c r="J55" s="8">
        <v>1</v>
      </c>
      <c r="K55" s="8">
        <v>0</v>
      </c>
      <c r="L55" s="8">
        <v>0</v>
      </c>
      <c r="M55" s="8">
        <v>0</v>
      </c>
      <c r="N55" s="8">
        <v>0</v>
      </c>
      <c r="O55" s="8">
        <v>1</v>
      </c>
      <c r="P55" s="8">
        <v>1</v>
      </c>
      <c r="Q55" s="8">
        <v>0</v>
      </c>
      <c r="R55" s="8">
        <v>1</v>
      </c>
      <c r="S55" s="8">
        <v>0</v>
      </c>
      <c r="T55" s="10">
        <v>5.6740000000000004</v>
      </c>
      <c r="U55" s="10">
        <v>-4.3769999999999998</v>
      </c>
      <c r="V55" s="10">
        <v>4.8090000000000002</v>
      </c>
      <c r="W55" s="10">
        <f>IF(RIGHT(C55,2)="12",IF(ISNUMBER(T55),T55,""),IF(COUNT(T55,U55,V55)=3,T55+U55-V55,""))</f>
        <v>-3.5119999999999996</v>
      </c>
      <c r="X55" s="10">
        <v>-3.5129999999999999</v>
      </c>
      <c r="Y55" s="10">
        <v>-13.260999999999999</v>
      </c>
      <c r="Z55" s="10">
        <v>14.095000000000001</v>
      </c>
      <c r="AA55" s="10">
        <v>-10.021000000000001</v>
      </c>
      <c r="AB55" s="10">
        <v>5.6740000000000004</v>
      </c>
      <c r="AC55" s="8">
        <v>1</v>
      </c>
      <c r="AD55" s="8">
        <v>0</v>
      </c>
      <c r="AE55" s="8">
        <v>1</v>
      </c>
      <c r="AF55" s="10">
        <v>5.6740000000000004</v>
      </c>
      <c r="AG55" s="8">
        <f>COUNTIF(Y55:AB55,"&gt;0")</f>
        <v>2</v>
      </c>
      <c r="AH55" s="10">
        <v>0</v>
      </c>
      <c r="AI55" s="10">
        <v>14.095000000000001</v>
      </c>
      <c r="AJ55" s="8" t="str">
        <f>IF(ISNUMBER(X55),IF(X55&gt;0,"+",IF(X55&lt;0,"−","0")),IF(ISNUMBER(W55),IF(W55&gt;0,"+",IF(W55&lt;0,"−","0")),"yok"))</f>
        <v>−</v>
      </c>
      <c r="AK55" s="10">
        <f>IF(AND(RIGHT(C55,2)&lt;&gt;"12",ISNUMBER(U55),ISNUMBER(V55)),U55-V55,"")</f>
        <v>-9.1859999999999999</v>
      </c>
      <c r="AL55" s="11">
        <f>IF(AND(ISNUMBER(AK55),ISNUMBER(V55)),IF(V55&lt;&gt;0,AK55/ABS(V55),""),"")</f>
        <v>-1.9101684341859013</v>
      </c>
      <c r="AM55" s="8">
        <f>IF(ISNUMBER(AK55),IF(AK55&gt;1,1,0),"")</f>
        <v>0</v>
      </c>
      <c r="AN55" s="8">
        <f>IF(ISNUMBER(AK55),IF(AK55&gt;0.05*ABS(V55),1,0),"")</f>
        <v>0</v>
      </c>
      <c r="AO55" s="10">
        <v>-3.5139999999999998</v>
      </c>
      <c r="AP55" s="10">
        <v>3.5139999999999998</v>
      </c>
      <c r="AQ55" s="8" t="s">
        <v>204</v>
      </c>
      <c r="AR55" s="8">
        <v>0</v>
      </c>
      <c r="AS55" s="10">
        <v>285.42899999999997</v>
      </c>
      <c r="AT55" s="10">
        <v>155.595</v>
      </c>
      <c r="AU55" s="8" t="s">
        <v>204</v>
      </c>
      <c r="AV55" s="10">
        <v>5.6740000000000004</v>
      </c>
      <c r="AW55" s="11">
        <f>IF(AND(ISNUMBER(AV55),ISNUMBER(AT55)),IF(AT55&lt;&gt;0,AV55/ABS(AT55),""),"")</f>
        <v>3.6466467431472735E-2</v>
      </c>
      <c r="AX55" s="8">
        <v>1</v>
      </c>
      <c r="AY55" s="8">
        <v>0</v>
      </c>
      <c r="AZ55" s="8" t="s">
        <v>257</v>
      </c>
      <c r="BA55" s="8">
        <v>0</v>
      </c>
    </row>
    <row r="56" spans="1:53" x14ac:dyDescent="0.2">
      <c r="A56" s="8" t="s">
        <v>254</v>
      </c>
      <c r="B56" s="8" t="s">
        <v>82</v>
      </c>
      <c r="C56" s="8" t="s">
        <v>210</v>
      </c>
      <c r="D56" s="8">
        <v>1</v>
      </c>
      <c r="E56" s="8">
        <v>1</v>
      </c>
      <c r="F56" s="8">
        <f>SUM(G56:M56)</f>
        <v>1</v>
      </c>
      <c r="G56" s="8">
        <v>0</v>
      </c>
      <c r="H56" s="8">
        <v>1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1</v>
      </c>
      <c r="Q56" s="8">
        <v>1</v>
      </c>
      <c r="R56" s="8">
        <v>1</v>
      </c>
      <c r="S56" s="8">
        <v>0</v>
      </c>
      <c r="T56" s="10">
        <v>-8.4009999999999998</v>
      </c>
      <c r="U56" s="10">
        <v>-4.3769999999999998</v>
      </c>
      <c r="V56" s="10">
        <v>-8.452</v>
      </c>
      <c r="W56" s="10">
        <f>IF(RIGHT(C56,2)="12",IF(ISNUMBER(T56),T56,""),IF(COUNT(T56,U56,V56)=3,T56+U56-V56,""))</f>
        <v>-4.3259999999999987</v>
      </c>
      <c r="X56" s="10">
        <v>-4.327</v>
      </c>
      <c r="Y56" s="10">
        <v>14.095000000000001</v>
      </c>
      <c r="Z56" s="10">
        <v>-10.021000000000001</v>
      </c>
      <c r="AA56" s="10">
        <v>5.6740000000000004</v>
      </c>
      <c r="AB56" s="10">
        <v>-14.074999999999999</v>
      </c>
      <c r="AC56" s="8">
        <v>0</v>
      </c>
      <c r="AD56" s="8">
        <v>0</v>
      </c>
      <c r="AE56" s="8">
        <v>0</v>
      </c>
      <c r="AF56" s="10">
        <v>0</v>
      </c>
      <c r="AG56" s="8">
        <f>COUNTIF(Y56:AB56,"&gt;0")</f>
        <v>2</v>
      </c>
      <c r="AH56" s="10">
        <v>0</v>
      </c>
      <c r="AI56" s="10">
        <v>14.095000000000001</v>
      </c>
      <c r="AJ56" s="8" t="str">
        <f>IF(ISNUMBER(X56),IF(X56&gt;0,"+",IF(X56&lt;0,"−","0")),IF(ISNUMBER(W56),IF(W56&gt;0,"+",IF(W56&lt;0,"−","0")),"yok"))</f>
        <v>−</v>
      </c>
      <c r="AK56" s="10">
        <f>IF(AND(RIGHT(C56,2)&lt;&gt;"12",ISNUMBER(U56),ISNUMBER(V56)),U56-V56,"")</f>
        <v>4.0750000000000002</v>
      </c>
      <c r="AL56" s="11">
        <f>IF(AND(ISNUMBER(AK56),ISNUMBER(V56)),IF(V56&lt;&gt;0,AK56/ABS(V56),""),"")</f>
        <v>0.48213440605773783</v>
      </c>
      <c r="AM56" s="8">
        <f>IF(ISNUMBER(AK56),IF(AK56&gt;1,1,0),"")</f>
        <v>1</v>
      </c>
      <c r="AN56" s="8">
        <f>IF(ISNUMBER(AK56),IF(AK56&gt;0.05*ABS(V56),1,0),"")</f>
        <v>1</v>
      </c>
      <c r="AO56" s="10">
        <v>-4.327</v>
      </c>
      <c r="AP56" s="10">
        <v>4.327</v>
      </c>
      <c r="AQ56" s="8" t="s">
        <v>204</v>
      </c>
      <c r="AR56" s="8">
        <v>0</v>
      </c>
      <c r="AS56" s="10">
        <v>338.81</v>
      </c>
      <c r="AT56" s="10">
        <v>204.40299999999999</v>
      </c>
      <c r="AU56" s="8" t="s">
        <v>204</v>
      </c>
      <c r="AV56" s="10">
        <v>4.0750000000000002</v>
      </c>
      <c r="AW56" s="11">
        <f>IF(AND(ISNUMBER(AV56),ISNUMBER(AT56)),IF(AT56&lt;&gt;0,AV56/ABS(AT56),""),"")</f>
        <v>1.9936106612916643E-2</v>
      </c>
      <c r="AX56" s="8">
        <v>0</v>
      </c>
      <c r="AY56" s="8">
        <v>1</v>
      </c>
      <c r="AZ56" s="10"/>
      <c r="BA56" s="8">
        <v>0</v>
      </c>
    </row>
    <row r="57" spans="1:53" x14ac:dyDescent="0.2">
      <c r="A57" s="8" t="s">
        <v>254</v>
      </c>
      <c r="B57" s="8" t="s">
        <v>83</v>
      </c>
      <c r="C57" s="8" t="s">
        <v>203</v>
      </c>
      <c r="D57" s="8">
        <v>1</v>
      </c>
      <c r="E57" s="8">
        <v>1</v>
      </c>
      <c r="F57" s="8">
        <f>SUM(G57:M57)</f>
        <v>1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1</v>
      </c>
      <c r="Q57" s="8">
        <v>0</v>
      </c>
      <c r="R57" s="8">
        <v>0</v>
      </c>
      <c r="S57" s="8">
        <v>0</v>
      </c>
      <c r="T57" s="10">
        <v>-43.094000000000001</v>
      </c>
      <c r="U57" s="10">
        <v>-195.578</v>
      </c>
      <c r="V57" s="10">
        <v>-115.872</v>
      </c>
      <c r="W57" s="10">
        <f>IF(RIGHT(C57,2)="12",IF(ISNUMBER(T57),T57,""),IF(COUNT(T57,U57,V57)=3,T57+U57-V57,""))</f>
        <v>-122.8</v>
      </c>
      <c r="X57" s="10">
        <v>-122.801</v>
      </c>
      <c r="Y57" s="10">
        <v>15.416</v>
      </c>
      <c r="Z57" s="10">
        <v>-56.197000000000003</v>
      </c>
      <c r="AA57" s="10">
        <v>-38.924999999999997</v>
      </c>
      <c r="AB57" s="10">
        <v>-43.094000000000001</v>
      </c>
      <c r="AC57" s="8">
        <v>0</v>
      </c>
      <c r="AD57" s="8">
        <v>0</v>
      </c>
      <c r="AE57" s="8">
        <v>0</v>
      </c>
      <c r="AF57" s="10">
        <v>0</v>
      </c>
      <c r="AG57" s="8">
        <f>COUNTIF(Y57:AB57,"&gt;0")</f>
        <v>1</v>
      </c>
      <c r="AH57" s="10">
        <v>0</v>
      </c>
      <c r="AI57" s="10">
        <v>15.416</v>
      </c>
      <c r="AJ57" s="8" t="str">
        <f>IF(ISNUMBER(X57),IF(X57&gt;0,"+",IF(X57&lt;0,"−","0")),IF(ISNUMBER(W57),IF(W57&gt;0,"+",IF(W57&lt;0,"−","0")),"yok"))</f>
        <v>−</v>
      </c>
      <c r="AK57" s="10">
        <f>IF(AND(RIGHT(C57,2)&lt;&gt;"12",ISNUMBER(U57),ISNUMBER(V57)),U57-V57,"")</f>
        <v>-79.706000000000003</v>
      </c>
      <c r="AL57" s="11">
        <f>IF(AND(ISNUMBER(AK57),ISNUMBER(V57)),IF(V57&lt;&gt;0,AK57/ABS(V57),""),"")</f>
        <v>-0.68787972935653141</v>
      </c>
      <c r="AM57" s="8">
        <f>IF(ISNUMBER(AK57),IF(AK57&gt;1,1,0),"")</f>
        <v>0</v>
      </c>
      <c r="AN57" s="8">
        <f>IF(ISNUMBER(AK57),IF(AK57&gt;0.05*ABS(V57),1,0),"")</f>
        <v>0</v>
      </c>
      <c r="AO57" s="10">
        <v>-122.80200000000001</v>
      </c>
      <c r="AP57" s="10">
        <v>122.80200000000001</v>
      </c>
      <c r="AQ57" s="8" t="s">
        <v>204</v>
      </c>
      <c r="AR57" s="8">
        <v>0</v>
      </c>
      <c r="AS57" s="10">
        <v>213.95599999999999</v>
      </c>
      <c r="AT57" s="10">
        <v>80.459999999999994</v>
      </c>
      <c r="AU57" s="8" t="s">
        <v>204</v>
      </c>
      <c r="AV57" s="10">
        <v>15.416</v>
      </c>
      <c r="AW57" s="11">
        <f>IF(AND(ISNUMBER(AV57),ISNUMBER(AT57)),IF(AT57&lt;&gt;0,AV57/ABS(AT57),""),"")</f>
        <v>0.1915983097191151</v>
      </c>
      <c r="AX57" s="8">
        <v>0</v>
      </c>
      <c r="AY57" s="8">
        <v>0</v>
      </c>
      <c r="AZ57" s="10"/>
      <c r="BA57" s="8">
        <v>0</v>
      </c>
    </row>
    <row r="58" spans="1:53" x14ac:dyDescent="0.2">
      <c r="A58" s="8" t="s">
        <v>258</v>
      </c>
      <c r="B58" s="8" t="s">
        <v>83</v>
      </c>
      <c r="C58" s="8" t="s">
        <v>203</v>
      </c>
      <c r="D58" s="8">
        <v>1</v>
      </c>
      <c r="E58" s="8">
        <v>1</v>
      </c>
      <c r="F58" s="8">
        <f>SUM(G58:M58)</f>
        <v>2</v>
      </c>
      <c r="G58" s="8">
        <v>0</v>
      </c>
      <c r="H58" s="8">
        <v>0</v>
      </c>
      <c r="I58" s="8">
        <v>0</v>
      </c>
      <c r="J58" s="8">
        <v>0</v>
      </c>
      <c r="K58" s="8">
        <v>1</v>
      </c>
      <c r="L58" s="8">
        <v>0</v>
      </c>
      <c r="M58" s="8">
        <v>1</v>
      </c>
      <c r="N58" s="8">
        <v>0</v>
      </c>
      <c r="O58" s="8">
        <v>1</v>
      </c>
      <c r="P58" s="8">
        <v>1</v>
      </c>
      <c r="Q58" s="8">
        <v>0</v>
      </c>
      <c r="R58" s="8">
        <v>0</v>
      </c>
      <c r="S58" s="8">
        <v>0</v>
      </c>
      <c r="T58" s="10">
        <v>782.48800000000006</v>
      </c>
      <c r="U58" s="10">
        <v>-1059.925</v>
      </c>
      <c r="V58" s="10">
        <v>107.45399999999999</v>
      </c>
      <c r="W58" s="10">
        <f>IF(RIGHT(C58,2)="12",IF(ISNUMBER(T58),T58,""),IF(COUNT(T58,U58,V58)=3,T58+U58-V58,""))</f>
        <v>-384.89099999999991</v>
      </c>
      <c r="X58" s="10">
        <v>-384.892</v>
      </c>
      <c r="Y58" s="10">
        <v>-453.89800000000002</v>
      </c>
      <c r="Z58" s="10">
        <v>29.728999999999999</v>
      </c>
      <c r="AA58" s="10">
        <v>-743.21100000000001</v>
      </c>
      <c r="AB58" s="10">
        <v>782.48800000000006</v>
      </c>
      <c r="AC58" s="8">
        <v>1</v>
      </c>
      <c r="AD58" s="8">
        <v>0</v>
      </c>
      <c r="AE58" s="8">
        <v>1</v>
      </c>
      <c r="AF58" s="10">
        <v>782.48800000000006</v>
      </c>
      <c r="AG58" s="8">
        <f>COUNTIF(Y58:AB58,"&gt;0")</f>
        <v>2</v>
      </c>
      <c r="AH58" s="10">
        <v>0</v>
      </c>
      <c r="AI58" s="10">
        <v>29.728999999999999</v>
      </c>
      <c r="AJ58" s="8" t="str">
        <f>IF(ISNUMBER(X58),IF(X58&gt;0,"+",IF(X58&lt;0,"−","0")),IF(ISNUMBER(W58),IF(W58&gt;0,"+",IF(W58&lt;0,"−","0")),"yok"))</f>
        <v>−</v>
      </c>
      <c r="AK58" s="10">
        <f>IF(AND(RIGHT(C58,2)&lt;&gt;"12",ISNUMBER(U58),ISNUMBER(V58)),U58-V58,"")</f>
        <v>-1167.3789999999999</v>
      </c>
      <c r="AL58" s="11">
        <f>IF(AND(ISNUMBER(AK58),ISNUMBER(V58)),IF(V58&lt;&gt;0,AK58/ABS(V58),""),"")</f>
        <v>-10.863988311277383</v>
      </c>
      <c r="AM58" s="8">
        <f>IF(ISNUMBER(AK58),IF(AK58&gt;1,1,0),"")</f>
        <v>0</v>
      </c>
      <c r="AN58" s="8">
        <f>IF(ISNUMBER(AK58),IF(AK58&gt;0.05*ABS(V58),1,0),"")</f>
        <v>0</v>
      </c>
      <c r="AO58" s="10"/>
      <c r="AP58" s="10"/>
      <c r="AQ58" s="8" t="s">
        <v>207</v>
      </c>
      <c r="AR58" s="8">
        <v>0</v>
      </c>
      <c r="AS58" s="10"/>
      <c r="AT58" s="10"/>
      <c r="AU58" s="8" t="s">
        <v>207</v>
      </c>
      <c r="AV58" s="10">
        <v>782.48800000000006</v>
      </c>
      <c r="AW58" s="11" t="str">
        <f>IF(AND(ISNUMBER(AV58),ISNUMBER(AT58)),IF(AT58&lt;&gt;0,AV58/ABS(AT58),""),"")</f>
        <v/>
      </c>
      <c r="AX58" s="8">
        <v>1</v>
      </c>
      <c r="AY58" s="8">
        <v>0</v>
      </c>
      <c r="AZ58" s="8" t="s">
        <v>259</v>
      </c>
      <c r="BA58" s="8">
        <v>0</v>
      </c>
    </row>
    <row r="59" spans="1:53" x14ac:dyDescent="0.2">
      <c r="A59" s="8" t="s">
        <v>258</v>
      </c>
      <c r="B59" s="8" t="s">
        <v>83</v>
      </c>
      <c r="C59" s="8" t="s">
        <v>205</v>
      </c>
      <c r="D59" s="8">
        <v>1</v>
      </c>
      <c r="E59" s="8">
        <v>1</v>
      </c>
      <c r="F59" s="8">
        <f>SUM(G59:M59)</f>
        <v>1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1</v>
      </c>
      <c r="N59" s="8">
        <v>0</v>
      </c>
      <c r="O59" s="8">
        <v>0</v>
      </c>
      <c r="P59" s="8">
        <v>1</v>
      </c>
      <c r="Q59" s="8">
        <v>0</v>
      </c>
      <c r="R59" s="8">
        <v>0</v>
      </c>
      <c r="S59" s="8">
        <v>0</v>
      </c>
      <c r="T59" s="10">
        <v>-1143.7529999999999</v>
      </c>
      <c r="U59" s="10">
        <v>-1059.925</v>
      </c>
      <c r="V59" s="10">
        <v>-346.44299999999998</v>
      </c>
      <c r="W59" s="10">
        <f>IF(RIGHT(C59,2)="12",IF(ISNUMBER(T59),T59,""),IF(COUNT(T59,U59,V59)=3,T59+U59-V59,""))</f>
        <v>-1857.2349999999999</v>
      </c>
      <c r="X59" s="10">
        <v>-1857.2349999999999</v>
      </c>
      <c r="Y59" s="10">
        <v>29.728999999999999</v>
      </c>
      <c r="Z59" s="10">
        <v>-743.21100000000001</v>
      </c>
      <c r="AA59" s="10">
        <v>782.48800000000006</v>
      </c>
      <c r="AB59" s="10">
        <v>-1926.242</v>
      </c>
      <c r="AC59" s="8">
        <v>0</v>
      </c>
      <c r="AD59" s="8">
        <v>0</v>
      </c>
      <c r="AE59" s="8">
        <v>0</v>
      </c>
      <c r="AF59" s="10">
        <v>0</v>
      </c>
      <c r="AG59" s="8">
        <f>COUNTIF(Y59:AB59,"&gt;0")</f>
        <v>2</v>
      </c>
      <c r="AH59" s="10">
        <v>0</v>
      </c>
      <c r="AI59" s="10">
        <v>29.728999999999999</v>
      </c>
      <c r="AJ59" s="8" t="str">
        <f>IF(ISNUMBER(X59),IF(X59&gt;0,"+",IF(X59&lt;0,"−","0")),IF(ISNUMBER(W59),IF(W59&gt;0,"+",IF(W59&lt;0,"−","0")),"yok"))</f>
        <v>−</v>
      </c>
      <c r="AK59" s="10">
        <f>IF(AND(RIGHT(C59,2)&lt;&gt;"12",ISNUMBER(U59),ISNUMBER(V59)),U59-V59,"")</f>
        <v>-713.48199999999997</v>
      </c>
      <c r="AL59" s="11">
        <f>IF(AND(ISNUMBER(AK59),ISNUMBER(V59)),IF(V59&lt;&gt;0,AK59/ABS(V59),""),"")</f>
        <v>-2.059449895076535</v>
      </c>
      <c r="AM59" s="8">
        <f>IF(ISNUMBER(AK59),IF(AK59&gt;1,1,0),"")</f>
        <v>0</v>
      </c>
      <c r="AN59" s="8">
        <f>IF(ISNUMBER(AK59),IF(AK59&gt;0.05*ABS(V59),1,0),"")</f>
        <v>0</v>
      </c>
      <c r="AO59" s="10">
        <v>-1059.9259999999999</v>
      </c>
      <c r="AP59" s="10">
        <v>1059.9259999999999</v>
      </c>
      <c r="AQ59" s="8" t="s">
        <v>209</v>
      </c>
      <c r="AR59" s="8">
        <v>0</v>
      </c>
      <c r="AS59" s="10">
        <v>-6439.9610000000002</v>
      </c>
      <c r="AT59" s="10">
        <v>-7499.8869999999997</v>
      </c>
      <c r="AU59" s="8" t="s">
        <v>209</v>
      </c>
      <c r="AV59" s="10">
        <v>782.48800000000006</v>
      </c>
      <c r="AW59" s="11">
        <f>IF(AND(ISNUMBER(AV59),ISNUMBER(AT59)),IF(AT59&lt;&gt;0,AV59/ABS(AT59),""),"")</f>
        <v>0.10433330528846636</v>
      </c>
      <c r="AX59" s="8">
        <v>0</v>
      </c>
      <c r="AY59" s="8">
        <v>0</v>
      </c>
      <c r="AZ59" s="10"/>
      <c r="BA59" s="8">
        <v>0</v>
      </c>
    </row>
    <row r="60" spans="1:53" x14ac:dyDescent="0.2">
      <c r="A60" s="8" t="s">
        <v>260</v>
      </c>
      <c r="B60" s="8" t="s">
        <v>82</v>
      </c>
      <c r="C60" s="8" t="s">
        <v>203</v>
      </c>
      <c r="D60" s="8">
        <v>1</v>
      </c>
      <c r="E60" s="8">
        <v>1</v>
      </c>
      <c r="F60" s="8">
        <f>SUM(G60:M60)</f>
        <v>1</v>
      </c>
      <c r="G60" s="8">
        <v>0</v>
      </c>
      <c r="H60" s="8">
        <v>0</v>
      </c>
      <c r="I60" s="8">
        <v>0</v>
      </c>
      <c r="J60" s="8">
        <v>1</v>
      </c>
      <c r="K60" s="8">
        <v>0</v>
      </c>
      <c r="L60" s="8">
        <v>0</v>
      </c>
      <c r="M60" s="8">
        <v>0</v>
      </c>
      <c r="N60" s="8">
        <v>0</v>
      </c>
      <c r="O60" s="8">
        <v>1</v>
      </c>
      <c r="P60" s="8">
        <v>0</v>
      </c>
      <c r="Q60" s="8">
        <v>0</v>
      </c>
      <c r="R60" s="8">
        <v>0</v>
      </c>
      <c r="S60" s="8">
        <v>0</v>
      </c>
      <c r="T60" s="10">
        <v>-24.501999999999999</v>
      </c>
      <c r="U60" s="10">
        <v>-189.45699999999999</v>
      </c>
      <c r="V60" s="10">
        <v>354.31</v>
      </c>
      <c r="W60" s="10">
        <f>IF(RIGHT(C60,2)="12",IF(ISNUMBER(T60),T60,""),IF(COUNT(T60,U60,V60)=3,T60+U60-V60,""))</f>
        <v>-568.26900000000001</v>
      </c>
      <c r="X60" s="10">
        <v>-568.26900000000001</v>
      </c>
      <c r="Y60" s="10">
        <v>-421.07499999999999</v>
      </c>
      <c r="Z60" s="10">
        <v>-54.709000000000003</v>
      </c>
      <c r="AA60" s="10">
        <v>-67.981999999999999</v>
      </c>
      <c r="AB60" s="10">
        <v>-24.501999999999999</v>
      </c>
      <c r="AC60" s="8">
        <v>0</v>
      </c>
      <c r="AD60" s="8">
        <v>0</v>
      </c>
      <c r="AE60" s="8">
        <v>1</v>
      </c>
      <c r="AF60" s="10">
        <v>354.31</v>
      </c>
      <c r="AG60" s="8">
        <f>COUNTIF(Y60:AB60,"&gt;0")</f>
        <v>0</v>
      </c>
      <c r="AH60" s="10">
        <v>0</v>
      </c>
      <c r="AI60" s="10">
        <v>0</v>
      </c>
      <c r="AJ60" s="8" t="str">
        <f>IF(ISNUMBER(X60),IF(X60&gt;0,"+",IF(X60&lt;0,"−","0")),IF(ISNUMBER(W60),IF(W60&gt;0,"+",IF(W60&lt;0,"−","0")),"yok"))</f>
        <v>−</v>
      </c>
      <c r="AK60" s="10">
        <f>IF(AND(RIGHT(C60,2)&lt;&gt;"12",ISNUMBER(U60),ISNUMBER(V60)),U60-V60,"")</f>
        <v>-543.76700000000005</v>
      </c>
      <c r="AL60" s="11">
        <f>IF(AND(ISNUMBER(AK60),ISNUMBER(V60)),IF(V60&lt;&gt;0,AK60/ABS(V60),""),"")</f>
        <v>-1.5347210070277442</v>
      </c>
      <c r="AM60" s="8">
        <f>IF(ISNUMBER(AK60),IF(AK60&gt;1,1,0),"")</f>
        <v>0</v>
      </c>
      <c r="AN60" s="8">
        <f>IF(ISNUMBER(AK60),IF(AK60&gt;0.05*ABS(V60),1,0),"")</f>
        <v>0</v>
      </c>
      <c r="AO60" s="10">
        <v>-568.26900000000001</v>
      </c>
      <c r="AP60" s="10">
        <v>568.26900000000001</v>
      </c>
      <c r="AQ60" s="8" t="s">
        <v>204</v>
      </c>
      <c r="AR60" s="8">
        <v>0</v>
      </c>
      <c r="AS60" s="10">
        <v>5988.29</v>
      </c>
      <c r="AT60" s="10">
        <v>5420.0209999999997</v>
      </c>
      <c r="AU60" s="8" t="s">
        <v>209</v>
      </c>
      <c r="AV60" s="10">
        <v>354.31</v>
      </c>
      <c r="AW60" s="11">
        <f>IF(AND(ISNUMBER(AV60),ISNUMBER(AT60)),IF(AT60&lt;&gt;0,AV60/ABS(AT60),""),"")</f>
        <v>6.5370595427582293E-2</v>
      </c>
      <c r="AX60" s="8">
        <v>1</v>
      </c>
      <c r="AY60" s="8">
        <v>0</v>
      </c>
      <c r="AZ60" s="8" t="s">
        <v>261</v>
      </c>
      <c r="BA60" s="8">
        <v>1</v>
      </c>
    </row>
    <row r="61" spans="1:53" x14ac:dyDescent="0.2">
      <c r="A61" s="8" t="s">
        <v>260</v>
      </c>
      <c r="B61" s="8" t="s">
        <v>83</v>
      </c>
      <c r="C61" s="8" t="s">
        <v>203</v>
      </c>
      <c r="D61" s="8">
        <v>1</v>
      </c>
      <c r="E61" s="8">
        <v>1</v>
      </c>
      <c r="F61" s="8">
        <f>SUM(G61:M61)</f>
        <v>3</v>
      </c>
      <c r="G61" s="8">
        <v>0</v>
      </c>
      <c r="H61" s="8">
        <v>0</v>
      </c>
      <c r="I61" s="8">
        <v>1</v>
      </c>
      <c r="J61" s="8">
        <v>0</v>
      </c>
      <c r="K61" s="8">
        <v>0</v>
      </c>
      <c r="L61" s="8">
        <v>1</v>
      </c>
      <c r="M61" s="8">
        <v>1</v>
      </c>
      <c r="N61" s="8">
        <v>1</v>
      </c>
      <c r="O61" s="8">
        <v>0</v>
      </c>
      <c r="P61" s="8">
        <v>1</v>
      </c>
      <c r="Q61" s="8">
        <v>0</v>
      </c>
      <c r="R61" s="8">
        <v>0</v>
      </c>
      <c r="S61" s="8">
        <v>0</v>
      </c>
      <c r="T61" s="10">
        <v>-22.384</v>
      </c>
      <c r="U61" s="10">
        <v>-104.48099999999999</v>
      </c>
      <c r="V61" s="10">
        <v>-446.55700000000002</v>
      </c>
      <c r="W61" s="10">
        <f>IF(RIGHT(C61,2)="12",IF(ISNUMBER(T61),T61,""),IF(COUNT(T61,U61,V61)=3,T61+U61-V61,""))</f>
        <v>319.69200000000001</v>
      </c>
      <c r="X61" s="10">
        <v>319.69099999999997</v>
      </c>
      <c r="Y61" s="10">
        <v>412.24700000000001</v>
      </c>
      <c r="Z61" s="10">
        <v>-3.859</v>
      </c>
      <c r="AA61" s="10">
        <v>-66.247</v>
      </c>
      <c r="AB61" s="10">
        <v>-22.384</v>
      </c>
      <c r="AC61" s="8">
        <v>0</v>
      </c>
      <c r="AD61" s="8">
        <v>0</v>
      </c>
      <c r="AE61" s="8">
        <v>0</v>
      </c>
      <c r="AF61" s="10">
        <v>0</v>
      </c>
      <c r="AG61" s="8">
        <f>COUNTIF(Y61:AB61,"&gt;0")</f>
        <v>1</v>
      </c>
      <c r="AH61" s="10">
        <v>0</v>
      </c>
      <c r="AI61" s="10">
        <v>412.24700000000001</v>
      </c>
      <c r="AJ61" s="8" t="str">
        <f>IF(ISNUMBER(X61),IF(X61&gt;0,"+",IF(X61&lt;0,"−","0")),IF(ISNUMBER(W61),IF(W61&gt;0,"+",IF(W61&lt;0,"−","0")),"yok"))</f>
        <v>+</v>
      </c>
      <c r="AK61" s="10">
        <f>IF(AND(RIGHT(C61,2)&lt;&gt;"12",ISNUMBER(U61),ISNUMBER(V61)),U61-V61,"")</f>
        <v>342.07600000000002</v>
      </c>
      <c r="AL61" s="11">
        <f>IF(AND(ISNUMBER(AK61),ISNUMBER(V61)),IF(V61&lt;&gt;0,AK61/ABS(V61),""),"")</f>
        <v>0.76602986852742205</v>
      </c>
      <c r="AM61" s="8">
        <f>IF(ISNUMBER(AK61),IF(AK61&gt;1,1,0),"")</f>
        <v>1</v>
      </c>
      <c r="AN61" s="8">
        <f>IF(ISNUMBER(AK61),IF(AK61&gt;0.05*ABS(V61),1,0),"")</f>
        <v>1</v>
      </c>
      <c r="AO61" s="10">
        <v>319.69200000000001</v>
      </c>
      <c r="AP61" s="10">
        <v>0</v>
      </c>
      <c r="AQ61" s="8" t="s">
        <v>204</v>
      </c>
      <c r="AR61" s="8">
        <v>1</v>
      </c>
      <c r="AS61" s="10">
        <v>5988.29</v>
      </c>
      <c r="AT61" s="10">
        <v>5420.0209999999997</v>
      </c>
      <c r="AU61" s="8" t="s">
        <v>209</v>
      </c>
      <c r="AV61" s="10">
        <v>342.07600000000002</v>
      </c>
      <c r="AW61" s="11">
        <f>IF(AND(ISNUMBER(AV61),ISNUMBER(AT61)),IF(AT61&lt;&gt;0,AV61/ABS(AT61),""),"")</f>
        <v>6.311340860118439E-2</v>
      </c>
      <c r="AX61" s="8">
        <v>0</v>
      </c>
      <c r="AY61" s="8">
        <v>1</v>
      </c>
      <c r="AZ61" s="10"/>
      <c r="BA61" s="8">
        <v>0</v>
      </c>
    </row>
    <row r="62" spans="1:53" x14ac:dyDescent="0.2">
      <c r="A62" s="8" t="s">
        <v>262</v>
      </c>
      <c r="B62" s="8" t="s">
        <v>82</v>
      </c>
      <c r="C62" s="8" t="s">
        <v>203</v>
      </c>
      <c r="D62" s="8">
        <v>1</v>
      </c>
      <c r="E62" s="8">
        <v>1</v>
      </c>
      <c r="F62" s="8">
        <f>SUM(G62:M62)</f>
        <v>1</v>
      </c>
      <c r="G62" s="8">
        <v>1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10"/>
      <c r="U62" s="10"/>
      <c r="V62" s="10">
        <v>-7.3999999999999996E-2</v>
      </c>
      <c r="W62" s="10" t="str">
        <f>IF(RIGHT(C62,2)="12",IF(ISNUMBER(T62),T62,""),IF(COUNT(T62,U62,V62)=3,T62+U62-V62,""))</f>
        <v/>
      </c>
      <c r="X62" s="10"/>
      <c r="Y62" s="10"/>
      <c r="Z62" s="10"/>
      <c r="AA62" s="10"/>
      <c r="AB62" s="10"/>
      <c r="AC62" s="8">
        <v>0</v>
      </c>
      <c r="AD62" s="8">
        <v>0</v>
      </c>
      <c r="AE62" s="8">
        <v>0</v>
      </c>
      <c r="AF62" s="10">
        <v>0</v>
      </c>
      <c r="AG62" s="8">
        <f>COUNTIF(Y62:AB62,"&gt;0")</f>
        <v>0</v>
      </c>
      <c r="AH62" s="10">
        <v>0</v>
      </c>
      <c r="AI62" s="10">
        <v>0</v>
      </c>
      <c r="AJ62" s="8" t="str">
        <f>IF(ISNUMBER(X62),IF(X62&gt;0,"+",IF(X62&lt;0,"−","0")),IF(ISNUMBER(W62),IF(W62&gt;0,"+",IF(W62&lt;0,"−","0")),"yok"))</f>
        <v>yok</v>
      </c>
      <c r="AK62" s="10" t="str">
        <f>IF(AND(RIGHT(C62,2)&lt;&gt;"12",ISNUMBER(U62),ISNUMBER(V62)),U62-V62,"")</f>
        <v/>
      </c>
      <c r="AL62" s="11" t="str">
        <f>IF(AND(ISNUMBER(AK62),ISNUMBER(V62)),IF(V62&lt;&gt;0,AK62/ABS(V62),""),"")</f>
        <v/>
      </c>
      <c r="AM62" s="8" t="str">
        <f>IF(ISNUMBER(AK62),IF(AK62&gt;1,1,0),"")</f>
        <v/>
      </c>
      <c r="AN62" s="8" t="str">
        <f>IF(ISNUMBER(AK62),IF(AK62&gt;0.05*ABS(V62),1,0),"")</f>
        <v/>
      </c>
      <c r="AO62" s="10">
        <v>7.4999999999999997E-2</v>
      </c>
      <c r="AP62" s="10">
        <v>0</v>
      </c>
      <c r="AQ62" s="8" t="s">
        <v>209</v>
      </c>
      <c r="AR62" s="8">
        <v>1</v>
      </c>
      <c r="AS62" s="10">
        <v>2614.8719999999998</v>
      </c>
      <c r="AT62" s="10">
        <v>-2268.4340000000002</v>
      </c>
      <c r="AU62" s="8" t="s">
        <v>209</v>
      </c>
      <c r="AV62" s="10">
        <v>0</v>
      </c>
      <c r="AW62" s="11">
        <f>IF(AND(ISNUMBER(AV62),ISNUMBER(AT62)),IF(AT62&lt;&gt;0,AV62/ABS(AT62),""),"")</f>
        <v>0</v>
      </c>
      <c r="AX62" s="8">
        <v>0</v>
      </c>
      <c r="AY62" s="8">
        <v>0</v>
      </c>
      <c r="AZ62" s="10"/>
      <c r="BA62" s="8">
        <v>0</v>
      </c>
    </row>
    <row r="63" spans="1:53" x14ac:dyDescent="0.2">
      <c r="A63" s="8" t="s">
        <v>263</v>
      </c>
      <c r="B63" s="8" t="s">
        <v>82</v>
      </c>
      <c r="C63" s="8" t="s">
        <v>205</v>
      </c>
      <c r="D63" s="8">
        <v>1</v>
      </c>
      <c r="E63" s="8">
        <v>1</v>
      </c>
      <c r="F63" s="8">
        <f>SUM(G63:M63)</f>
        <v>1</v>
      </c>
      <c r="G63" s="8">
        <v>1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1</v>
      </c>
      <c r="O63" s="8">
        <v>0</v>
      </c>
      <c r="P63" s="8">
        <v>1</v>
      </c>
      <c r="Q63" s="8">
        <v>1</v>
      </c>
      <c r="R63" s="8">
        <v>1</v>
      </c>
      <c r="S63" s="8">
        <v>0</v>
      </c>
      <c r="T63" s="10">
        <v>-54.677999999999997</v>
      </c>
      <c r="U63" s="10">
        <v>-70.013999999999996</v>
      </c>
      <c r="V63" s="10">
        <v>-133.517</v>
      </c>
      <c r="W63" s="10">
        <f>IF(RIGHT(C63,2)="12",IF(ISNUMBER(T63),T63,""),IF(COUNT(T63,U63,V63)=3,T63+U63-V63,""))</f>
        <v>8.8250000000000028</v>
      </c>
      <c r="X63" s="10">
        <v>8.8239999999999998</v>
      </c>
      <c r="Y63" s="10">
        <v>19.190000000000001</v>
      </c>
      <c r="Z63" s="10">
        <v>44.311999999999998</v>
      </c>
      <c r="AA63" s="10">
        <v>-33.887999999999998</v>
      </c>
      <c r="AB63" s="10">
        <v>-20.79</v>
      </c>
      <c r="AC63" s="8">
        <v>0</v>
      </c>
      <c r="AD63" s="8">
        <v>0</v>
      </c>
      <c r="AE63" s="8">
        <v>0</v>
      </c>
      <c r="AF63" s="10">
        <v>0</v>
      </c>
      <c r="AG63" s="8">
        <f>COUNTIF(Y63:AB63,"&gt;0")</f>
        <v>2</v>
      </c>
      <c r="AH63" s="10">
        <v>0</v>
      </c>
      <c r="AI63" s="10">
        <v>63.502000000000002</v>
      </c>
      <c r="AJ63" s="8" t="str">
        <f>IF(ISNUMBER(X63),IF(X63&gt;0,"+",IF(X63&lt;0,"−","0")),IF(ISNUMBER(W63),IF(W63&gt;0,"+",IF(W63&lt;0,"−","0")),"yok"))</f>
        <v>+</v>
      </c>
      <c r="AK63" s="10">
        <f>IF(AND(RIGHT(C63,2)&lt;&gt;"12",ISNUMBER(U63),ISNUMBER(V63)),U63-V63,"")</f>
        <v>63.503</v>
      </c>
      <c r="AL63" s="11">
        <f>IF(AND(ISNUMBER(AK63),ISNUMBER(V63)),IF(V63&lt;&gt;0,AK63/ABS(V63),""),"")</f>
        <v>0.47561733711811982</v>
      </c>
      <c r="AM63" s="8">
        <f>IF(ISNUMBER(AK63),IF(AK63&gt;1,1,0),"")</f>
        <v>1</v>
      </c>
      <c r="AN63" s="8">
        <f>IF(ISNUMBER(AK63),IF(AK63&gt;0.05*ABS(V63),1,0),"")</f>
        <v>1</v>
      </c>
      <c r="AO63" s="10">
        <v>8.8239999999999998</v>
      </c>
      <c r="AP63" s="10">
        <v>0</v>
      </c>
      <c r="AQ63" s="8" t="s">
        <v>204</v>
      </c>
      <c r="AR63" s="8">
        <v>1</v>
      </c>
      <c r="AS63" s="10">
        <v>2205.4670000000001</v>
      </c>
      <c r="AT63" s="10">
        <v>1610.519</v>
      </c>
      <c r="AU63" s="8" t="s">
        <v>204</v>
      </c>
      <c r="AV63" s="10">
        <v>63.503</v>
      </c>
      <c r="AW63" s="11">
        <f>IF(AND(ISNUMBER(AV63),ISNUMBER(AT63)),IF(AT63&lt;&gt;0,AV63/ABS(AT63),""),"")</f>
        <v>3.9430146431057314E-2</v>
      </c>
      <c r="AX63" s="8">
        <v>0</v>
      </c>
      <c r="AY63" s="8">
        <v>1</v>
      </c>
      <c r="AZ63" s="10"/>
      <c r="BA63" s="8">
        <v>0</v>
      </c>
    </row>
    <row r="64" spans="1:53" x14ac:dyDescent="0.2">
      <c r="A64" s="8" t="s">
        <v>263</v>
      </c>
      <c r="B64" s="8" t="s">
        <v>82</v>
      </c>
      <c r="C64" s="8" t="s">
        <v>215</v>
      </c>
      <c r="D64" s="8">
        <v>1</v>
      </c>
      <c r="E64" s="8">
        <v>1</v>
      </c>
      <c r="F64" s="8">
        <f>SUM(G64:M64)</f>
        <v>1</v>
      </c>
      <c r="G64" s="8">
        <v>0</v>
      </c>
      <c r="H64" s="8">
        <v>1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1</v>
      </c>
      <c r="Q64" s="8">
        <v>1</v>
      </c>
      <c r="R64" s="8">
        <v>1</v>
      </c>
      <c r="S64" s="8">
        <v>0</v>
      </c>
      <c r="T64" s="10">
        <v>-116.45</v>
      </c>
      <c r="U64" s="10">
        <v>-70.013999999999996</v>
      </c>
      <c r="V64" s="10">
        <v>-114.327</v>
      </c>
      <c r="W64" s="10">
        <f>IF(RIGHT(C64,2)="12",IF(ISNUMBER(T64),T64,""),IF(COUNT(T64,U64,V64)=3,T64+U64-V64,""))</f>
        <v>-72.137</v>
      </c>
      <c r="X64" s="10">
        <v>-72.137</v>
      </c>
      <c r="Y64" s="10">
        <v>44.311999999999998</v>
      </c>
      <c r="Z64" s="10">
        <v>-33.887999999999998</v>
      </c>
      <c r="AA64" s="10">
        <v>-20.79</v>
      </c>
      <c r="AB64" s="10">
        <v>-61.771000000000001</v>
      </c>
      <c r="AC64" s="8">
        <v>0</v>
      </c>
      <c r="AD64" s="8">
        <v>0</v>
      </c>
      <c r="AE64" s="8">
        <v>0</v>
      </c>
      <c r="AF64" s="10">
        <v>0</v>
      </c>
      <c r="AG64" s="8">
        <f>COUNTIF(Y64:AB64,"&gt;0")</f>
        <v>1</v>
      </c>
      <c r="AH64" s="10">
        <v>0</v>
      </c>
      <c r="AI64" s="10">
        <v>44.311999999999998</v>
      </c>
      <c r="AJ64" s="8" t="str">
        <f>IF(ISNUMBER(X64),IF(X64&gt;0,"+",IF(X64&lt;0,"−","0")),IF(ISNUMBER(W64),IF(W64&gt;0,"+",IF(W64&lt;0,"−","0")),"yok"))</f>
        <v>−</v>
      </c>
      <c r="AK64" s="10">
        <f>IF(AND(RIGHT(C64,2)&lt;&gt;"12",ISNUMBER(U64),ISNUMBER(V64)),U64-V64,"")</f>
        <v>44.313000000000002</v>
      </c>
      <c r="AL64" s="11">
        <f>IF(AND(ISNUMBER(AK64),ISNUMBER(V64)),IF(V64&lt;&gt;0,AK64/ABS(V64),""),"")</f>
        <v>0.3875987299588024</v>
      </c>
      <c r="AM64" s="8">
        <f>IF(ISNUMBER(AK64),IF(AK64&gt;1,1,0),"")</f>
        <v>1</v>
      </c>
      <c r="AN64" s="8">
        <f>IF(ISNUMBER(AK64),IF(AK64&gt;0.05*ABS(V64),1,0),"")</f>
        <v>1</v>
      </c>
      <c r="AO64" s="10">
        <v>-72.138000000000005</v>
      </c>
      <c r="AP64" s="10">
        <v>72.138000000000005</v>
      </c>
      <c r="AQ64" s="8" t="s">
        <v>204</v>
      </c>
      <c r="AR64" s="8">
        <v>0</v>
      </c>
      <c r="AS64" s="10">
        <v>546.447</v>
      </c>
      <c r="AT64" s="10">
        <v>-231.59200000000001</v>
      </c>
      <c r="AU64" s="8" t="s">
        <v>212</v>
      </c>
      <c r="AV64" s="10">
        <v>44.313000000000002</v>
      </c>
      <c r="AW64" s="11">
        <f>IF(AND(ISNUMBER(AV64),ISNUMBER(AT64)),IF(AT64&lt;&gt;0,AV64/ABS(AT64),""),"")</f>
        <v>0.19134080624546618</v>
      </c>
      <c r="AX64" s="8">
        <v>0</v>
      </c>
      <c r="AY64" s="8">
        <v>1</v>
      </c>
      <c r="AZ64" s="10"/>
      <c r="BA64" s="8">
        <v>0</v>
      </c>
    </row>
    <row r="65" spans="1:53" x14ac:dyDescent="0.2">
      <c r="A65" s="8" t="s">
        <v>263</v>
      </c>
      <c r="B65" s="8" t="s">
        <v>82</v>
      </c>
      <c r="C65" s="8" t="s">
        <v>208</v>
      </c>
      <c r="D65" s="8">
        <v>1</v>
      </c>
      <c r="E65" s="8">
        <v>1</v>
      </c>
      <c r="F65" s="8">
        <f>SUM(G65:M65)</f>
        <v>1</v>
      </c>
      <c r="G65" s="8">
        <v>0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8">
        <v>1</v>
      </c>
      <c r="R65" s="8">
        <v>1</v>
      </c>
      <c r="S65" s="8">
        <v>0</v>
      </c>
      <c r="T65" s="10">
        <v>-50.991999999999997</v>
      </c>
      <c r="U65" s="10">
        <v>-25.318000000000001</v>
      </c>
      <c r="V65" s="10">
        <v>-33.887999999999998</v>
      </c>
      <c r="W65" s="10">
        <f>IF(RIGHT(C65,2)="12",IF(ISNUMBER(T65),T65,""),IF(COUNT(T65,U65,V65)=3,T65+U65-V65,""))</f>
        <v>-42.422000000000004</v>
      </c>
      <c r="X65" s="10">
        <v>-42.421999999999997</v>
      </c>
      <c r="Y65" s="10">
        <v>-20.79</v>
      </c>
      <c r="Z65" s="10">
        <v>-61.771000000000001</v>
      </c>
      <c r="AA65" s="10">
        <v>91.132000000000005</v>
      </c>
      <c r="AB65" s="10">
        <v>-50.991999999999997</v>
      </c>
      <c r="AC65" s="8">
        <v>0</v>
      </c>
      <c r="AD65" s="8">
        <v>0</v>
      </c>
      <c r="AE65" s="8">
        <v>0</v>
      </c>
      <c r="AF65" s="10">
        <v>0</v>
      </c>
      <c r="AG65" s="8">
        <f>COUNTIF(Y65:AB65,"&gt;0")</f>
        <v>1</v>
      </c>
      <c r="AH65" s="10">
        <v>0</v>
      </c>
      <c r="AI65" s="10">
        <v>91.132000000000005</v>
      </c>
      <c r="AJ65" s="8" t="str">
        <f>IF(ISNUMBER(X65),IF(X65&gt;0,"+",IF(X65&lt;0,"−","0")),IF(ISNUMBER(W65),IF(W65&gt;0,"+",IF(W65&lt;0,"−","0")),"yok"))</f>
        <v>−</v>
      </c>
      <c r="AK65" s="10">
        <f>IF(AND(RIGHT(C65,2)&lt;&gt;"12",ISNUMBER(U65),ISNUMBER(V65)),U65-V65,"")</f>
        <v>8.5699999999999967</v>
      </c>
      <c r="AL65" s="11">
        <f>IF(AND(ISNUMBER(AK65),ISNUMBER(V65)),IF(V65&lt;&gt;0,AK65/ABS(V65),""),"")</f>
        <v>0.25289187913125583</v>
      </c>
      <c r="AM65" s="8">
        <f>IF(ISNUMBER(AK65),IF(AK65&gt;1,1,0),"")</f>
        <v>1</v>
      </c>
      <c r="AN65" s="8">
        <f>IF(ISNUMBER(AK65),IF(AK65&gt;0.05*ABS(V65),1,0),"")</f>
        <v>1</v>
      </c>
      <c r="AO65" s="10">
        <v>-42.423000000000002</v>
      </c>
      <c r="AP65" s="10">
        <v>42.423000000000002</v>
      </c>
      <c r="AQ65" s="8" t="s">
        <v>204</v>
      </c>
      <c r="AR65" s="8">
        <v>0</v>
      </c>
      <c r="AS65" s="10">
        <v>-455.226</v>
      </c>
      <c r="AT65" s="10">
        <v>-1430.08</v>
      </c>
      <c r="AU65" s="8" t="s">
        <v>212</v>
      </c>
      <c r="AV65" s="10">
        <v>8.57</v>
      </c>
      <c r="AW65" s="11">
        <f>IF(AND(ISNUMBER(AV65),ISNUMBER(AT65)),IF(AT65&lt;&gt;0,AV65/ABS(AT65),""),"")</f>
        <v>5.9926717386439921E-3</v>
      </c>
      <c r="AX65" s="8">
        <v>0</v>
      </c>
      <c r="AY65" s="8">
        <v>1</v>
      </c>
      <c r="AZ65" s="10"/>
      <c r="BA65" s="8">
        <v>0</v>
      </c>
    </row>
    <row r="66" spans="1:53" x14ac:dyDescent="0.2">
      <c r="A66" s="8" t="s">
        <v>263</v>
      </c>
      <c r="B66" s="8" t="s">
        <v>82</v>
      </c>
      <c r="C66" s="8" t="s">
        <v>210</v>
      </c>
      <c r="D66" s="8">
        <v>1</v>
      </c>
      <c r="E66" s="8">
        <v>1</v>
      </c>
      <c r="F66" s="8">
        <f>SUM(G66:M66)</f>
        <v>1</v>
      </c>
      <c r="G66" s="8">
        <v>0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1</v>
      </c>
      <c r="Q66" s="8">
        <v>1</v>
      </c>
      <c r="R66" s="8">
        <v>1</v>
      </c>
      <c r="S66" s="8">
        <v>1</v>
      </c>
      <c r="T66" s="10">
        <v>-44.965000000000003</v>
      </c>
      <c r="U66" s="10">
        <v>-25.318000000000001</v>
      </c>
      <c r="V66" s="10">
        <v>-54.677999999999997</v>
      </c>
      <c r="W66" s="10">
        <f>IF(RIGHT(C66,2)="12",IF(ISNUMBER(T66),T66,""),IF(COUNT(T66,U66,V66)=3,T66+U66-V66,""))</f>
        <v>-15.605000000000004</v>
      </c>
      <c r="X66" s="10">
        <v>-15.605</v>
      </c>
      <c r="Y66" s="10">
        <v>-61.771000000000001</v>
      </c>
      <c r="Z66" s="10">
        <v>91.132000000000005</v>
      </c>
      <c r="AA66" s="10">
        <v>-50.991999999999997</v>
      </c>
      <c r="AB66" s="10">
        <v>6.0259999999999998</v>
      </c>
      <c r="AC66" s="8">
        <v>0</v>
      </c>
      <c r="AD66" s="8">
        <v>0</v>
      </c>
      <c r="AE66" s="8">
        <v>0</v>
      </c>
      <c r="AF66" s="10">
        <v>0</v>
      </c>
      <c r="AG66" s="8">
        <f>COUNTIF(Y66:AB66,"&gt;0")</f>
        <v>2</v>
      </c>
      <c r="AH66" s="10">
        <v>6.0259999999999998</v>
      </c>
      <c r="AI66" s="10">
        <v>91.132000000000005</v>
      </c>
      <c r="AJ66" s="8" t="str">
        <f>IF(ISNUMBER(X66),IF(X66&gt;0,"+",IF(X66&lt;0,"−","0")),IF(ISNUMBER(W66),IF(W66&gt;0,"+",IF(W66&lt;0,"−","0")),"yok"))</f>
        <v>−</v>
      </c>
      <c r="AK66" s="10">
        <f>IF(AND(RIGHT(C66,2)&lt;&gt;"12",ISNUMBER(U66),ISNUMBER(V66)),U66-V66,"")</f>
        <v>29.359999999999996</v>
      </c>
      <c r="AL66" s="11">
        <f>IF(AND(ISNUMBER(AK66),ISNUMBER(V66)),IF(V66&lt;&gt;0,AK66/ABS(V66),""),"")</f>
        <v>0.53696184937269098</v>
      </c>
      <c r="AM66" s="8">
        <f>IF(ISNUMBER(AK66),IF(AK66&gt;1,1,0),"")</f>
        <v>1</v>
      </c>
      <c r="AN66" s="8">
        <f>IF(ISNUMBER(AK66),IF(AK66&gt;0.05*ABS(V66),1,0),"")</f>
        <v>1</v>
      </c>
      <c r="AO66" s="10">
        <v>-15.605</v>
      </c>
      <c r="AP66" s="10">
        <v>15.605</v>
      </c>
      <c r="AQ66" s="8" t="s">
        <v>204</v>
      </c>
      <c r="AR66" s="8">
        <v>0</v>
      </c>
      <c r="AS66" s="10">
        <v>336.81700000000001</v>
      </c>
      <c r="AT66" s="10">
        <v>-733.38499999999999</v>
      </c>
      <c r="AU66" s="8" t="s">
        <v>212</v>
      </c>
      <c r="AV66" s="10">
        <v>29.36</v>
      </c>
      <c r="AW66" s="11">
        <f>IF(AND(ISNUMBER(AV66),ISNUMBER(AT66)),IF(AT66&lt;&gt;0,AV66/ABS(AT66),""),"")</f>
        <v>4.0033543091282202E-2</v>
      </c>
      <c r="AX66" s="8">
        <v>0</v>
      </c>
      <c r="AY66" s="8">
        <v>1</v>
      </c>
      <c r="AZ66" s="10"/>
      <c r="BA66" s="8">
        <v>0</v>
      </c>
    </row>
    <row r="67" spans="1:53" x14ac:dyDescent="0.2">
      <c r="A67" s="8" t="s">
        <v>263</v>
      </c>
      <c r="B67" s="8" t="s">
        <v>83</v>
      </c>
      <c r="C67" s="8" t="s">
        <v>203</v>
      </c>
      <c r="D67" s="8">
        <v>1</v>
      </c>
      <c r="E67" s="8">
        <v>1</v>
      </c>
      <c r="F67" s="8">
        <f>SUM(G67:M67)</f>
        <v>1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1</v>
      </c>
      <c r="N67" s="8">
        <v>0</v>
      </c>
      <c r="O67" s="8">
        <v>0</v>
      </c>
      <c r="P67" s="8">
        <v>1</v>
      </c>
      <c r="Q67" s="8">
        <v>0</v>
      </c>
      <c r="R67" s="8">
        <v>0</v>
      </c>
      <c r="S67" s="8">
        <v>0</v>
      </c>
      <c r="T67" s="10">
        <v>-45.091999999999999</v>
      </c>
      <c r="U67" s="10">
        <v>-698.31899999999996</v>
      </c>
      <c r="V67" s="10">
        <v>-285.48</v>
      </c>
      <c r="W67" s="10">
        <f>IF(RIGHT(C67,2)="12",IF(ISNUMBER(T67),T67,""),IF(COUNT(T67,U67,V67)=3,T67+U67-V67,""))</f>
        <v>-457.93099999999993</v>
      </c>
      <c r="X67" s="10">
        <v>-457.93099999999998</v>
      </c>
      <c r="Y67" s="10">
        <v>23.73</v>
      </c>
      <c r="Z67" s="10">
        <v>-93.745999999999995</v>
      </c>
      <c r="AA67" s="10">
        <v>-342.82299999999998</v>
      </c>
      <c r="AB67" s="10">
        <v>-45.091999999999999</v>
      </c>
      <c r="AC67" s="8">
        <v>0</v>
      </c>
      <c r="AD67" s="8">
        <v>0</v>
      </c>
      <c r="AE67" s="8">
        <v>0</v>
      </c>
      <c r="AF67" s="10">
        <v>0</v>
      </c>
      <c r="AG67" s="8">
        <f>COUNTIF(Y67:AB67,"&gt;0")</f>
        <v>1</v>
      </c>
      <c r="AH67" s="10">
        <v>0</v>
      </c>
      <c r="AI67" s="10">
        <v>23.73</v>
      </c>
      <c r="AJ67" s="8" t="str">
        <f>IF(ISNUMBER(X67),IF(X67&gt;0,"+",IF(X67&lt;0,"−","0")),IF(ISNUMBER(W67),IF(W67&gt;0,"+",IF(W67&lt;0,"−","0")),"yok"))</f>
        <v>−</v>
      </c>
      <c r="AK67" s="10">
        <f>IF(AND(RIGHT(C67,2)&lt;&gt;"12",ISNUMBER(U67),ISNUMBER(V67)),U67-V67,"")</f>
        <v>-412.83899999999994</v>
      </c>
      <c r="AL67" s="11">
        <f>IF(AND(ISNUMBER(AK67),ISNUMBER(V67)),IF(V67&lt;&gt;0,AK67/ABS(V67),""),"")</f>
        <v>-1.4461223203026479</v>
      </c>
      <c r="AM67" s="8">
        <f>IF(ISNUMBER(AK67),IF(AK67&gt;1,1,0),"")</f>
        <v>0</v>
      </c>
      <c r="AN67" s="8">
        <f>IF(ISNUMBER(AK67),IF(AK67&gt;0.05*ABS(V67),1,0),"")</f>
        <v>0</v>
      </c>
      <c r="AO67" s="10">
        <v>-457.93099999999998</v>
      </c>
      <c r="AP67" s="10">
        <v>457.93099999999998</v>
      </c>
      <c r="AQ67" s="8" t="s">
        <v>204</v>
      </c>
      <c r="AR67" s="8">
        <v>0</v>
      </c>
      <c r="AS67" s="10">
        <v>2193.3029999999999</v>
      </c>
      <c r="AT67" s="10">
        <v>1691.625</v>
      </c>
      <c r="AU67" s="8" t="s">
        <v>204</v>
      </c>
      <c r="AV67" s="10">
        <v>23.73</v>
      </c>
      <c r="AW67" s="11">
        <f>IF(AND(ISNUMBER(AV67),ISNUMBER(AT67)),IF(AT67&lt;&gt;0,AV67/ABS(AT67),""),"")</f>
        <v>1.4027931722456219E-2</v>
      </c>
      <c r="AX67" s="8">
        <v>0</v>
      </c>
      <c r="AY67" s="8">
        <v>0</v>
      </c>
      <c r="AZ67" s="10"/>
      <c r="BA67" s="8">
        <v>0</v>
      </c>
    </row>
    <row r="68" spans="1:53" x14ac:dyDescent="0.2">
      <c r="A68" s="8" t="s">
        <v>264</v>
      </c>
      <c r="B68" s="8" t="s">
        <v>82</v>
      </c>
      <c r="C68" s="8" t="s">
        <v>208</v>
      </c>
      <c r="D68" s="8">
        <v>1</v>
      </c>
      <c r="E68" s="8">
        <v>1</v>
      </c>
      <c r="F68" s="8">
        <f>SUM(G68:M68)</f>
        <v>1</v>
      </c>
      <c r="G68" s="8">
        <v>0</v>
      </c>
      <c r="H68" s="8">
        <v>0</v>
      </c>
      <c r="I68" s="8">
        <v>0</v>
      </c>
      <c r="J68" s="8">
        <v>1</v>
      </c>
      <c r="K68" s="8">
        <v>0</v>
      </c>
      <c r="L68" s="8">
        <v>0</v>
      </c>
      <c r="M68" s="8">
        <v>0</v>
      </c>
      <c r="N68" s="8">
        <v>0</v>
      </c>
      <c r="O68" s="8">
        <v>1</v>
      </c>
      <c r="P68" s="8">
        <v>1</v>
      </c>
      <c r="Q68" s="8">
        <v>0</v>
      </c>
      <c r="R68" s="8">
        <v>1</v>
      </c>
      <c r="S68" s="8">
        <v>0</v>
      </c>
      <c r="T68" s="10">
        <v>-2.2930000000000001</v>
      </c>
      <c r="U68" s="10">
        <v>-3.2469999999999999</v>
      </c>
      <c r="V68" s="10">
        <v>3.6480000000000001</v>
      </c>
      <c r="W68" s="10">
        <f>IF(RIGHT(C68,2)="12",IF(ISNUMBER(T68),T68,""),IF(COUNT(T68,U68,V68)=3,T68+U68-V68,""))</f>
        <v>-9.1880000000000006</v>
      </c>
      <c r="X68" s="10">
        <v>-9.1890000000000001</v>
      </c>
      <c r="Y68" s="10">
        <v>15.3</v>
      </c>
      <c r="Z68" s="10"/>
      <c r="AA68" s="10"/>
      <c r="AB68" s="10">
        <v>-2.2930000000000001</v>
      </c>
      <c r="AC68" s="8">
        <v>0</v>
      </c>
      <c r="AD68" s="8">
        <v>0</v>
      </c>
      <c r="AE68" s="8">
        <v>1</v>
      </c>
      <c r="AF68" s="10">
        <v>3.6480000000000001</v>
      </c>
      <c r="AG68" s="8">
        <f>COUNTIF(Y68:AB68,"&gt;0")</f>
        <v>1</v>
      </c>
      <c r="AH68" s="10">
        <v>0</v>
      </c>
      <c r="AI68" s="10">
        <v>15.3</v>
      </c>
      <c r="AJ68" s="8" t="str">
        <f>IF(ISNUMBER(X68),IF(X68&gt;0,"+",IF(X68&lt;0,"−","0")),IF(ISNUMBER(W68),IF(W68&gt;0,"+",IF(W68&lt;0,"−","0")),"yok"))</f>
        <v>−</v>
      </c>
      <c r="AK68" s="10">
        <f>IF(AND(RIGHT(C68,2)&lt;&gt;"12",ISNUMBER(U68),ISNUMBER(V68)),U68-V68,"")</f>
        <v>-6.8949999999999996</v>
      </c>
      <c r="AL68" s="11">
        <f>IF(AND(ISNUMBER(AK68),ISNUMBER(V68)),IF(V68&lt;&gt;0,AK68/ABS(V68),""),"")</f>
        <v>-1.8900767543859647</v>
      </c>
      <c r="AM68" s="8">
        <f>IF(ISNUMBER(AK68),IF(AK68&gt;1,1,0),"")</f>
        <v>0</v>
      </c>
      <c r="AN68" s="8">
        <f>IF(ISNUMBER(AK68),IF(AK68&gt;0.05*ABS(V68),1,0),"")</f>
        <v>0</v>
      </c>
      <c r="AO68" s="10"/>
      <c r="AP68" s="10"/>
      <c r="AQ68" s="8" t="s">
        <v>207</v>
      </c>
      <c r="AR68" s="8">
        <v>0</v>
      </c>
      <c r="AS68" s="10">
        <v>249.428</v>
      </c>
      <c r="AT68" s="10"/>
      <c r="AU68" s="8" t="s">
        <v>207</v>
      </c>
      <c r="AV68" s="10">
        <v>3.6480000000000001</v>
      </c>
      <c r="AW68" s="11" t="str">
        <f>IF(AND(ISNUMBER(AV68),ISNUMBER(AT68)),IF(AT68&lt;&gt;0,AV68/ABS(AT68),""),"")</f>
        <v/>
      </c>
      <c r="AX68" s="8">
        <v>1</v>
      </c>
      <c r="AY68" s="8">
        <v>0</v>
      </c>
      <c r="AZ68" s="8" t="s">
        <v>265</v>
      </c>
      <c r="BA68" s="8">
        <v>0</v>
      </c>
    </row>
    <row r="69" spans="1:53" x14ac:dyDescent="0.2">
      <c r="A69" s="8" t="s">
        <v>264</v>
      </c>
      <c r="B69" s="8" t="s">
        <v>82</v>
      </c>
      <c r="C69" s="8" t="s">
        <v>210</v>
      </c>
      <c r="D69" s="8">
        <v>1</v>
      </c>
      <c r="E69" s="8">
        <v>1</v>
      </c>
      <c r="F69" s="8">
        <f>SUM(G69:M69)</f>
        <v>1</v>
      </c>
      <c r="G69" s="8">
        <v>0</v>
      </c>
      <c r="H69" s="8">
        <v>0</v>
      </c>
      <c r="I69" s="8">
        <v>0</v>
      </c>
      <c r="J69" s="8">
        <v>1</v>
      </c>
      <c r="K69" s="8">
        <v>0</v>
      </c>
      <c r="L69" s="8">
        <v>0</v>
      </c>
      <c r="M69" s="8">
        <v>0</v>
      </c>
      <c r="N69" s="8">
        <v>0</v>
      </c>
      <c r="O69" s="8">
        <v>1</v>
      </c>
      <c r="P69" s="8">
        <v>1</v>
      </c>
      <c r="Q69" s="8">
        <v>0</v>
      </c>
      <c r="R69" s="8">
        <v>0</v>
      </c>
      <c r="S69" s="8">
        <v>1</v>
      </c>
      <c r="T69" s="10">
        <v>-0.46300000000000002</v>
      </c>
      <c r="U69" s="10">
        <v>-3.2469999999999999</v>
      </c>
      <c r="V69" s="10">
        <v>18.949000000000002</v>
      </c>
      <c r="W69" s="10">
        <f>IF(RIGHT(C69,2)="12",IF(ISNUMBER(T69),T69,""),IF(COUNT(T69,U69,V69)=3,T69+U69-V69,""))</f>
        <v>-22.659000000000002</v>
      </c>
      <c r="X69" s="10">
        <v>-22.66</v>
      </c>
      <c r="Y69" s="10"/>
      <c r="Z69" s="10"/>
      <c r="AA69" s="10">
        <v>-2.2930000000000001</v>
      </c>
      <c r="AB69" s="10">
        <v>1.829</v>
      </c>
      <c r="AC69" s="8">
        <v>0</v>
      </c>
      <c r="AD69" s="8">
        <v>0</v>
      </c>
      <c r="AE69" s="8">
        <v>1</v>
      </c>
      <c r="AF69" s="10">
        <v>18.949000000000002</v>
      </c>
      <c r="AG69" s="8">
        <f>COUNTIF(Y69:AB69,"&gt;0")</f>
        <v>1</v>
      </c>
      <c r="AH69" s="10">
        <v>1.829</v>
      </c>
      <c r="AI69" s="10">
        <v>0</v>
      </c>
      <c r="AJ69" s="8" t="str">
        <f>IF(ISNUMBER(X69),IF(X69&gt;0,"+",IF(X69&lt;0,"−","0")),IF(ISNUMBER(W69),IF(W69&gt;0,"+",IF(W69&lt;0,"−","0")),"yok"))</f>
        <v>−</v>
      </c>
      <c r="AK69" s="10">
        <f>IF(AND(RIGHT(C69,2)&lt;&gt;"12",ISNUMBER(U69),ISNUMBER(V69)),U69-V69,"")</f>
        <v>-22.196000000000002</v>
      </c>
      <c r="AL69" s="11">
        <f>IF(AND(ISNUMBER(AK69),ISNUMBER(V69)),IF(V69&lt;&gt;0,AK69/ABS(V69),""),"")</f>
        <v>-1.171354688901789</v>
      </c>
      <c r="AM69" s="8">
        <f>IF(ISNUMBER(AK69),IF(AK69&gt;1,1,0),"")</f>
        <v>0</v>
      </c>
      <c r="AN69" s="8">
        <f>IF(ISNUMBER(AK69),IF(AK69&gt;0.05*ABS(V69),1,0),"")</f>
        <v>0</v>
      </c>
      <c r="AO69" s="10"/>
      <c r="AP69" s="10"/>
      <c r="AQ69" s="8" t="s">
        <v>207</v>
      </c>
      <c r="AR69" s="8">
        <v>0</v>
      </c>
      <c r="AS69" s="10">
        <v>232.06899999999999</v>
      </c>
      <c r="AT69" s="10"/>
      <c r="AU69" s="8" t="s">
        <v>207</v>
      </c>
      <c r="AV69" s="10">
        <v>18.949000000000002</v>
      </c>
      <c r="AW69" s="11" t="str">
        <f>IF(AND(ISNUMBER(AV69),ISNUMBER(AT69)),IF(AT69&lt;&gt;0,AV69/ABS(AT69),""),"")</f>
        <v/>
      </c>
      <c r="AX69" s="8">
        <v>1</v>
      </c>
      <c r="AY69" s="8">
        <v>0</v>
      </c>
      <c r="AZ69" s="8" t="s">
        <v>266</v>
      </c>
      <c r="BA69" s="8">
        <v>0</v>
      </c>
    </row>
    <row r="70" spans="1:53" x14ac:dyDescent="0.2">
      <c r="A70" s="8" t="s">
        <v>267</v>
      </c>
      <c r="B70" s="8" t="s">
        <v>82</v>
      </c>
      <c r="C70" s="8" t="s">
        <v>208</v>
      </c>
      <c r="D70" s="8">
        <v>1</v>
      </c>
      <c r="E70" s="8">
        <v>1</v>
      </c>
      <c r="F70" s="8">
        <f>SUM(G70:M70)</f>
        <v>1</v>
      </c>
      <c r="G70" s="8">
        <v>1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1</v>
      </c>
      <c r="O70" s="8">
        <v>0</v>
      </c>
      <c r="P70" s="8">
        <v>1</v>
      </c>
      <c r="Q70" s="8">
        <v>1</v>
      </c>
      <c r="R70" s="8">
        <v>1</v>
      </c>
      <c r="S70" s="8">
        <v>0</v>
      </c>
      <c r="T70" s="10">
        <v>-11.022</v>
      </c>
      <c r="U70" s="10">
        <v>-25.904</v>
      </c>
      <c r="V70" s="10">
        <v>-86.918999999999997</v>
      </c>
      <c r="W70" s="10">
        <f>IF(RIGHT(C70,2)="12",IF(ISNUMBER(T70),T70,""),IF(COUNT(T70,U70,V70)=3,T70+U70-V70,""))</f>
        <v>49.992999999999995</v>
      </c>
      <c r="X70" s="10">
        <v>49.991999999999997</v>
      </c>
      <c r="Y70" s="10">
        <v>71.611000000000004</v>
      </c>
      <c r="Z70" s="10">
        <v>-12.22</v>
      </c>
      <c r="AA70" s="10">
        <v>1.623</v>
      </c>
      <c r="AB70" s="10">
        <v>-11.022</v>
      </c>
      <c r="AC70" s="8">
        <v>0</v>
      </c>
      <c r="AD70" s="8">
        <v>0</v>
      </c>
      <c r="AE70" s="8">
        <v>0</v>
      </c>
      <c r="AF70" s="10">
        <v>0</v>
      </c>
      <c r="AG70" s="8">
        <f>COUNTIF(Y70:AB70,"&gt;0")</f>
        <v>2</v>
      </c>
      <c r="AH70" s="10">
        <v>0</v>
      </c>
      <c r="AI70" s="10">
        <v>73.233999999999995</v>
      </c>
      <c r="AJ70" s="8" t="str">
        <f>IF(ISNUMBER(X70),IF(X70&gt;0,"+",IF(X70&lt;0,"−","0")),IF(ISNUMBER(W70),IF(W70&gt;0,"+",IF(W70&lt;0,"−","0")),"yok"))</f>
        <v>+</v>
      </c>
      <c r="AK70" s="10">
        <f>IF(AND(RIGHT(C70,2)&lt;&gt;"12",ISNUMBER(U70),ISNUMBER(V70)),U70-V70,"")</f>
        <v>61.015000000000001</v>
      </c>
      <c r="AL70" s="11">
        <f>IF(AND(ISNUMBER(AK70),ISNUMBER(V70)),IF(V70&lt;&gt;0,AK70/ABS(V70),""),"")</f>
        <v>0.70197540238612965</v>
      </c>
      <c r="AM70" s="8">
        <f>IF(ISNUMBER(AK70),IF(AK70&gt;1,1,0),"")</f>
        <v>1</v>
      </c>
      <c r="AN70" s="8">
        <f>IF(ISNUMBER(AK70),IF(AK70&gt;0.05*ABS(V70),1,0),"")</f>
        <v>1</v>
      </c>
      <c r="AO70" s="10">
        <v>49.993000000000002</v>
      </c>
      <c r="AP70" s="10">
        <v>0</v>
      </c>
      <c r="AQ70" s="8" t="s">
        <v>204</v>
      </c>
      <c r="AR70" s="8">
        <v>1</v>
      </c>
      <c r="AS70" s="10">
        <v>2629.875</v>
      </c>
      <c r="AT70" s="10">
        <v>-234.50200000000001</v>
      </c>
      <c r="AU70" s="8" t="s">
        <v>204</v>
      </c>
      <c r="AV70" s="10">
        <v>61.015000000000001</v>
      </c>
      <c r="AW70" s="11">
        <f>IF(AND(ISNUMBER(AV70),ISNUMBER(AT70)),IF(AT70&lt;&gt;0,AV70/ABS(AT70),""),"")</f>
        <v>0.26018967855284814</v>
      </c>
      <c r="AX70" s="8">
        <v>0</v>
      </c>
      <c r="AY70" s="8">
        <v>1</v>
      </c>
      <c r="AZ70" s="10"/>
      <c r="BA70" s="8">
        <v>0</v>
      </c>
    </row>
    <row r="71" spans="1:53" x14ac:dyDescent="0.2">
      <c r="A71" s="8" t="s">
        <v>268</v>
      </c>
      <c r="B71" s="8" t="s">
        <v>83</v>
      </c>
      <c r="C71" s="8" t="s">
        <v>208</v>
      </c>
      <c r="D71" s="8">
        <v>1</v>
      </c>
      <c r="E71" s="8">
        <v>1</v>
      </c>
      <c r="F71" s="8">
        <f>SUM(G71:M71)</f>
        <v>1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1</v>
      </c>
      <c r="N71" s="8">
        <v>0</v>
      </c>
      <c r="O71" s="8">
        <v>0</v>
      </c>
      <c r="P71" s="8">
        <v>1</v>
      </c>
      <c r="Q71" s="8">
        <v>0</v>
      </c>
      <c r="R71" s="8">
        <v>0</v>
      </c>
      <c r="S71" s="8">
        <v>0</v>
      </c>
      <c r="T71" s="10">
        <v>-4.0090000000000003</v>
      </c>
      <c r="U71" s="10">
        <v>-581.73400000000004</v>
      </c>
      <c r="V71" s="10">
        <v>-82.405000000000001</v>
      </c>
      <c r="W71" s="10">
        <f>IF(RIGHT(C71,2)="12",IF(ISNUMBER(T71),T71,""),IF(COUNT(T71,U71,V71)=3,T71+U71-V71,""))</f>
        <v>-503.33800000000008</v>
      </c>
      <c r="X71" s="10">
        <v>-503.33800000000002</v>
      </c>
      <c r="Y71" s="10">
        <v>6.5449999999999999</v>
      </c>
      <c r="Z71" s="10">
        <v>-36.188000000000002</v>
      </c>
      <c r="AA71" s="10">
        <v>-469.68400000000003</v>
      </c>
      <c r="AB71" s="10">
        <v>-4.0090000000000003</v>
      </c>
      <c r="AC71" s="8">
        <v>0</v>
      </c>
      <c r="AD71" s="8">
        <v>0</v>
      </c>
      <c r="AE71" s="8">
        <v>0</v>
      </c>
      <c r="AF71" s="10">
        <v>0</v>
      </c>
      <c r="AG71" s="8">
        <f>COUNTIF(Y71:AB71,"&gt;0")</f>
        <v>1</v>
      </c>
      <c r="AH71" s="10">
        <v>0</v>
      </c>
      <c r="AI71" s="10">
        <v>6.5449999999999999</v>
      </c>
      <c r="AJ71" s="8" t="str">
        <f>IF(ISNUMBER(X71),IF(X71&gt;0,"+",IF(X71&lt;0,"−","0")),IF(ISNUMBER(W71),IF(W71&gt;0,"+",IF(W71&lt;0,"−","0")),"yok"))</f>
        <v>−</v>
      </c>
      <c r="AK71" s="10">
        <f>IF(AND(RIGHT(C71,2)&lt;&gt;"12",ISNUMBER(U71),ISNUMBER(V71)),U71-V71,"")</f>
        <v>-499.32900000000006</v>
      </c>
      <c r="AL71" s="11">
        <f>IF(AND(ISNUMBER(AK71),ISNUMBER(V71)),IF(V71&lt;&gt;0,AK71/ABS(V71),""),"")</f>
        <v>-6.0594502760754816</v>
      </c>
      <c r="AM71" s="8">
        <f>IF(ISNUMBER(AK71),IF(AK71&gt;1,1,0),"")</f>
        <v>0</v>
      </c>
      <c r="AN71" s="8">
        <f>IF(ISNUMBER(AK71),IF(AK71&gt;0.05*ABS(V71),1,0),"")</f>
        <v>0</v>
      </c>
      <c r="AO71" s="10">
        <v>-503.33800000000002</v>
      </c>
      <c r="AP71" s="10">
        <v>503.33800000000002</v>
      </c>
      <c r="AQ71" s="8" t="s">
        <v>204</v>
      </c>
      <c r="AR71" s="8">
        <v>0</v>
      </c>
      <c r="AS71" s="10">
        <v>609.20000000000005</v>
      </c>
      <c r="AT71" s="10">
        <v>105.86199999999999</v>
      </c>
      <c r="AU71" s="8" t="s">
        <v>204</v>
      </c>
      <c r="AV71" s="10">
        <v>6.5449999999999999</v>
      </c>
      <c r="AW71" s="11">
        <f>IF(AND(ISNUMBER(AV71),ISNUMBER(AT71)),IF(AT71&lt;&gt;0,AV71/ABS(AT71),""),"")</f>
        <v>6.1825773176399465E-2</v>
      </c>
      <c r="AX71" s="8">
        <v>0</v>
      </c>
      <c r="AY71" s="8">
        <v>0</v>
      </c>
      <c r="AZ71" s="10"/>
      <c r="BA71" s="8">
        <v>0</v>
      </c>
    </row>
    <row r="72" spans="1:53" x14ac:dyDescent="0.2">
      <c r="A72" s="8" t="s">
        <v>269</v>
      </c>
      <c r="B72" s="8" t="s">
        <v>83</v>
      </c>
      <c r="C72" s="8" t="s">
        <v>203</v>
      </c>
      <c r="D72" s="8">
        <v>1</v>
      </c>
      <c r="E72" s="8">
        <v>1</v>
      </c>
      <c r="F72" s="8">
        <f>SUM(G72:M72)</f>
        <v>1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1</v>
      </c>
      <c r="N72" s="8">
        <v>0</v>
      </c>
      <c r="O72" s="8">
        <v>0</v>
      </c>
      <c r="P72" s="8">
        <v>1</v>
      </c>
      <c r="Q72" s="8">
        <v>0</v>
      </c>
      <c r="R72" s="8">
        <v>0</v>
      </c>
      <c r="S72" s="8">
        <v>0</v>
      </c>
      <c r="T72" s="10">
        <v>-27.393999999999998</v>
      </c>
      <c r="U72" s="10">
        <v>-62.805</v>
      </c>
      <c r="V72" s="10">
        <v>-8.8789999999999996</v>
      </c>
      <c r="W72" s="10">
        <f>IF(RIGHT(C72,2)="12",IF(ISNUMBER(T72),T72,""),IF(COUNT(T72,U72,V72)=3,T72+U72-V72,""))</f>
        <v>-81.319999999999993</v>
      </c>
      <c r="X72" s="10">
        <v>-81.320999999999998</v>
      </c>
      <c r="Y72" s="10">
        <v>-32.316000000000003</v>
      </c>
      <c r="Z72" s="10">
        <v>-51.81</v>
      </c>
      <c r="AA72" s="10">
        <v>30.2</v>
      </c>
      <c r="AB72" s="10">
        <v>-27.393999999999998</v>
      </c>
      <c r="AC72" s="8">
        <v>0</v>
      </c>
      <c r="AD72" s="8">
        <v>0</v>
      </c>
      <c r="AE72" s="8">
        <v>0</v>
      </c>
      <c r="AF72" s="10">
        <v>0</v>
      </c>
      <c r="AG72" s="8">
        <f>COUNTIF(Y72:AB72,"&gt;0")</f>
        <v>1</v>
      </c>
      <c r="AH72" s="10">
        <v>0</v>
      </c>
      <c r="AI72" s="10">
        <v>30.2</v>
      </c>
      <c r="AJ72" s="8" t="str">
        <f>IF(ISNUMBER(X72),IF(X72&gt;0,"+",IF(X72&lt;0,"−","0")),IF(ISNUMBER(W72),IF(W72&gt;0,"+",IF(W72&lt;0,"−","0")),"yok"))</f>
        <v>−</v>
      </c>
      <c r="AK72" s="10">
        <f>IF(AND(RIGHT(C72,2)&lt;&gt;"12",ISNUMBER(U72),ISNUMBER(V72)),U72-V72,"")</f>
        <v>-53.926000000000002</v>
      </c>
      <c r="AL72" s="11">
        <f>IF(AND(ISNUMBER(AK72),ISNUMBER(V72)),IF(V72&lt;&gt;0,AK72/ABS(V72),""),"")</f>
        <v>-6.0734316927581942</v>
      </c>
      <c r="AM72" s="8">
        <f>IF(ISNUMBER(AK72),IF(AK72&gt;1,1,0),"")</f>
        <v>0</v>
      </c>
      <c r="AN72" s="8">
        <f>IF(ISNUMBER(AK72),IF(AK72&gt;0.05*ABS(V72),1,0),"")</f>
        <v>0</v>
      </c>
      <c r="AO72" s="10">
        <v>-81.320999999999998</v>
      </c>
      <c r="AP72" s="10">
        <v>81.320999999999998</v>
      </c>
      <c r="AQ72" s="8" t="s">
        <v>204</v>
      </c>
      <c r="AR72" s="8">
        <v>0</v>
      </c>
      <c r="AS72" s="10">
        <v>-722.23</v>
      </c>
      <c r="AT72" s="10"/>
      <c r="AU72" s="8" t="s">
        <v>207</v>
      </c>
      <c r="AV72" s="10">
        <v>30.2</v>
      </c>
      <c r="AW72" s="11" t="str">
        <f>IF(AND(ISNUMBER(AV72),ISNUMBER(AT72)),IF(AT72&lt;&gt;0,AV72/ABS(AT72),""),"")</f>
        <v/>
      </c>
      <c r="AX72" s="8">
        <v>0</v>
      </c>
      <c r="AY72" s="8">
        <v>0</v>
      </c>
      <c r="AZ72" s="10"/>
      <c r="BA72" s="8">
        <v>0</v>
      </c>
    </row>
    <row r="73" spans="1:53" x14ac:dyDescent="0.2">
      <c r="A73" s="8" t="s">
        <v>269</v>
      </c>
      <c r="B73" s="8" t="s">
        <v>83</v>
      </c>
      <c r="C73" s="8" t="s">
        <v>205</v>
      </c>
      <c r="D73" s="8">
        <v>1</v>
      </c>
      <c r="E73" s="8">
        <v>1</v>
      </c>
      <c r="F73" s="8">
        <f>SUM(G73:M73)</f>
        <v>1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1</v>
      </c>
      <c r="N73" s="8">
        <v>0</v>
      </c>
      <c r="O73" s="8">
        <v>0</v>
      </c>
      <c r="P73" s="8">
        <v>1</v>
      </c>
      <c r="Q73" s="8">
        <v>0</v>
      </c>
      <c r="R73" s="8">
        <v>0</v>
      </c>
      <c r="S73" s="8">
        <v>1</v>
      </c>
      <c r="T73" s="10">
        <v>-26.102</v>
      </c>
      <c r="U73" s="10">
        <v>-62.805</v>
      </c>
      <c r="V73" s="10">
        <v>-41.195999999999998</v>
      </c>
      <c r="W73" s="10">
        <f>IF(RIGHT(C73,2)="12",IF(ISNUMBER(T73),T73,""),IF(COUNT(T73,U73,V73)=3,T73+U73-V73,""))</f>
        <v>-47.710999999999999</v>
      </c>
      <c r="X73" s="10">
        <v>-47.712000000000003</v>
      </c>
      <c r="Y73" s="10">
        <v>-51.81</v>
      </c>
      <c r="Z73" s="10">
        <v>30.2</v>
      </c>
      <c r="AA73" s="10">
        <v>-27.393999999999998</v>
      </c>
      <c r="AB73" s="10">
        <v>1.292</v>
      </c>
      <c r="AC73" s="8">
        <v>0</v>
      </c>
      <c r="AD73" s="8">
        <v>0</v>
      </c>
      <c r="AE73" s="8">
        <v>0</v>
      </c>
      <c r="AF73" s="10">
        <v>0</v>
      </c>
      <c r="AG73" s="8">
        <f>COUNTIF(Y73:AB73,"&gt;0")</f>
        <v>2</v>
      </c>
      <c r="AH73" s="10">
        <v>1.292</v>
      </c>
      <c r="AI73" s="10">
        <v>30.2</v>
      </c>
      <c r="AJ73" s="8" t="str">
        <f>IF(ISNUMBER(X73),IF(X73&gt;0,"+",IF(X73&lt;0,"−","0")),IF(ISNUMBER(W73),IF(W73&gt;0,"+",IF(W73&lt;0,"−","0")),"yok"))</f>
        <v>−</v>
      </c>
      <c r="AK73" s="10">
        <f>IF(AND(RIGHT(C73,2)&lt;&gt;"12",ISNUMBER(U73),ISNUMBER(V73)),U73-V73,"")</f>
        <v>-21.609000000000002</v>
      </c>
      <c r="AL73" s="11">
        <f>IF(AND(ISNUMBER(AK73),ISNUMBER(V73)),IF(V73&lt;&gt;0,AK73/ABS(V73),""),"")</f>
        <v>-0.52454121759394123</v>
      </c>
      <c r="AM73" s="8">
        <f>IF(ISNUMBER(AK73),IF(AK73&gt;1,1,0),"")</f>
        <v>0</v>
      </c>
      <c r="AN73" s="8">
        <f>IF(ISNUMBER(AK73),IF(AK73&gt;0.05*ABS(V73),1,0),"")</f>
        <v>0</v>
      </c>
      <c r="AO73" s="10">
        <v>-47.713000000000001</v>
      </c>
      <c r="AP73" s="10">
        <v>47.713000000000001</v>
      </c>
      <c r="AQ73" s="8" t="s">
        <v>204</v>
      </c>
      <c r="AR73" s="8">
        <v>0</v>
      </c>
      <c r="AS73" s="10">
        <v>-1400.866</v>
      </c>
      <c r="AT73" s="10"/>
      <c r="AU73" s="8" t="s">
        <v>207</v>
      </c>
      <c r="AV73" s="10">
        <v>30.2</v>
      </c>
      <c r="AW73" s="11" t="str">
        <f>IF(AND(ISNUMBER(AV73),ISNUMBER(AT73)),IF(AT73&lt;&gt;0,AV73/ABS(AT73),""),"")</f>
        <v/>
      </c>
      <c r="AX73" s="8">
        <v>0</v>
      </c>
      <c r="AY73" s="8">
        <v>0</v>
      </c>
      <c r="AZ73" s="10"/>
      <c r="BA73" s="8">
        <v>0</v>
      </c>
    </row>
    <row r="74" spans="1:53" x14ac:dyDescent="0.2">
      <c r="A74" s="8" t="s">
        <v>269</v>
      </c>
      <c r="B74" s="8" t="s">
        <v>83</v>
      </c>
      <c r="C74" s="8" t="s">
        <v>215</v>
      </c>
      <c r="D74" s="8">
        <v>1</v>
      </c>
      <c r="E74" s="8">
        <v>1</v>
      </c>
      <c r="F74" s="8">
        <f>SUM(G74:M74)</f>
        <v>2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1</v>
      </c>
      <c r="M74" s="8">
        <v>1</v>
      </c>
      <c r="N74" s="8">
        <v>0</v>
      </c>
      <c r="O74" s="8">
        <v>0</v>
      </c>
      <c r="P74" s="8">
        <v>1</v>
      </c>
      <c r="Q74" s="8">
        <v>0</v>
      </c>
      <c r="R74" s="8">
        <v>0</v>
      </c>
      <c r="S74" s="8">
        <v>1</v>
      </c>
      <c r="T74" s="10">
        <v>-58.104999999999997</v>
      </c>
      <c r="U74" s="10">
        <v>-62.805</v>
      </c>
      <c r="V74" s="10">
        <v>-93.006</v>
      </c>
      <c r="W74" s="10">
        <f>IF(RIGHT(C74,2)="12",IF(ISNUMBER(T74),T74,""),IF(COUNT(T74,U74,V74)=3,T74+U74-V74,""))</f>
        <v>-27.903999999999996</v>
      </c>
      <c r="X74" s="10">
        <v>-27.904</v>
      </c>
      <c r="Y74" s="10">
        <v>30.2</v>
      </c>
      <c r="Z74" s="10">
        <v>-27.393999999999998</v>
      </c>
      <c r="AA74" s="10">
        <v>1.292</v>
      </c>
      <c r="AB74" s="10">
        <v>-32.002000000000002</v>
      </c>
      <c r="AC74" s="8">
        <v>0</v>
      </c>
      <c r="AD74" s="8">
        <v>0</v>
      </c>
      <c r="AE74" s="8">
        <v>0</v>
      </c>
      <c r="AF74" s="10">
        <v>0</v>
      </c>
      <c r="AG74" s="8">
        <f>COUNTIF(Y74:AB74,"&gt;0")</f>
        <v>2</v>
      </c>
      <c r="AH74" s="10">
        <v>1.292</v>
      </c>
      <c r="AI74" s="10">
        <v>30.2</v>
      </c>
      <c r="AJ74" s="8" t="str">
        <f>IF(ISNUMBER(X74),IF(X74&gt;0,"+",IF(X74&lt;0,"−","0")),IF(ISNUMBER(W74),IF(W74&gt;0,"+",IF(W74&lt;0,"−","0")),"yok"))</f>
        <v>−</v>
      </c>
      <c r="AK74" s="10">
        <f>IF(AND(RIGHT(C74,2)&lt;&gt;"12",ISNUMBER(U74),ISNUMBER(V74)),U74-V74,"")</f>
        <v>30.201000000000001</v>
      </c>
      <c r="AL74" s="11">
        <f>IF(AND(ISNUMBER(AK74),ISNUMBER(V74)),IF(V74&lt;&gt;0,AK74/ABS(V74),""),"")</f>
        <v>0.32472098574285529</v>
      </c>
      <c r="AM74" s="8">
        <f>IF(ISNUMBER(AK74),IF(AK74&gt;1,1,0),"")</f>
        <v>1</v>
      </c>
      <c r="AN74" s="8">
        <f>IF(ISNUMBER(AK74),IF(AK74&gt;0.05*ABS(V74),1,0),"")</f>
        <v>1</v>
      </c>
      <c r="AO74" s="10">
        <v>-27.905000000000001</v>
      </c>
      <c r="AP74" s="10">
        <v>27.905000000000001</v>
      </c>
      <c r="AQ74" s="8" t="s">
        <v>204</v>
      </c>
      <c r="AR74" s="8">
        <v>0</v>
      </c>
      <c r="AS74" s="10">
        <v>-966.447</v>
      </c>
      <c r="AT74" s="10"/>
      <c r="AU74" s="8" t="s">
        <v>207</v>
      </c>
      <c r="AV74" s="10">
        <v>30.201000000000001</v>
      </c>
      <c r="AW74" s="11" t="str">
        <f>IF(AND(ISNUMBER(AV74),ISNUMBER(AT74)),IF(AT74&lt;&gt;0,AV74/ABS(AT74),""),"")</f>
        <v/>
      </c>
      <c r="AX74" s="8">
        <v>0</v>
      </c>
      <c r="AY74" s="8">
        <v>1</v>
      </c>
      <c r="AZ74" s="10"/>
      <c r="BA74" s="8">
        <v>0</v>
      </c>
    </row>
    <row r="75" spans="1:53" x14ac:dyDescent="0.2">
      <c r="A75" s="8" t="s">
        <v>270</v>
      </c>
      <c r="B75" s="8" t="s">
        <v>83</v>
      </c>
      <c r="C75" s="8" t="s">
        <v>208</v>
      </c>
      <c r="D75" s="8">
        <v>1</v>
      </c>
      <c r="E75" s="8">
        <v>1</v>
      </c>
      <c r="F75" s="8">
        <f>SUM(G75:M75)</f>
        <v>1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1</v>
      </c>
      <c r="N75" s="8">
        <v>0</v>
      </c>
      <c r="O75" s="8">
        <v>0</v>
      </c>
      <c r="P75" s="8">
        <v>1</v>
      </c>
      <c r="Q75" s="8">
        <v>0</v>
      </c>
      <c r="R75" s="8">
        <v>0</v>
      </c>
      <c r="S75" s="8">
        <v>0</v>
      </c>
      <c r="T75" s="10">
        <v>-59.933</v>
      </c>
      <c r="U75" s="10">
        <v>-681.54100000000005</v>
      </c>
      <c r="V75" s="10">
        <v>-142.55799999999999</v>
      </c>
      <c r="W75" s="10">
        <f>IF(RIGHT(C75,2)="12",IF(ISNUMBER(T75),T75,""),IF(COUNT(T75,U75,V75)=3,T75+U75-V75,""))</f>
        <v>-598.91600000000005</v>
      </c>
      <c r="X75" s="10">
        <v>-598.91600000000005</v>
      </c>
      <c r="Y75" s="10">
        <v>8.077</v>
      </c>
      <c r="Z75" s="10">
        <v>-436.89499999999998</v>
      </c>
      <c r="AA75" s="10">
        <v>-110.164</v>
      </c>
      <c r="AB75" s="10">
        <v>-59.933</v>
      </c>
      <c r="AC75" s="8">
        <v>0</v>
      </c>
      <c r="AD75" s="8">
        <v>0</v>
      </c>
      <c r="AE75" s="8">
        <v>0</v>
      </c>
      <c r="AF75" s="10">
        <v>0</v>
      </c>
      <c r="AG75" s="8">
        <f>COUNTIF(Y75:AB75,"&gt;0")</f>
        <v>1</v>
      </c>
      <c r="AH75" s="10">
        <v>0</v>
      </c>
      <c r="AI75" s="10">
        <v>8.077</v>
      </c>
      <c r="AJ75" s="8" t="str">
        <f>IF(ISNUMBER(X75),IF(X75&gt;0,"+",IF(X75&lt;0,"−","0")),IF(ISNUMBER(W75),IF(W75&gt;0,"+",IF(W75&lt;0,"−","0")),"yok"))</f>
        <v>−</v>
      </c>
      <c r="AK75" s="10">
        <f>IF(AND(RIGHT(C75,2)&lt;&gt;"12",ISNUMBER(U75),ISNUMBER(V75)),U75-V75,"")</f>
        <v>-538.98300000000006</v>
      </c>
      <c r="AL75" s="11">
        <f>IF(AND(ISNUMBER(AK75),ISNUMBER(V75)),IF(V75&lt;&gt;0,AK75/ABS(V75),""),"")</f>
        <v>-3.7807979909931402</v>
      </c>
      <c r="AM75" s="8">
        <f>IF(ISNUMBER(AK75),IF(AK75&gt;1,1,0),"")</f>
        <v>0</v>
      </c>
      <c r="AN75" s="8">
        <f>IF(ISNUMBER(AK75),IF(AK75&gt;0.05*ABS(V75),1,0),"")</f>
        <v>0</v>
      </c>
      <c r="AO75" s="10">
        <v>-598.91600000000005</v>
      </c>
      <c r="AP75" s="10">
        <v>598.91600000000005</v>
      </c>
      <c r="AQ75" s="8" t="s">
        <v>204</v>
      </c>
      <c r="AR75" s="8">
        <v>0</v>
      </c>
      <c r="AS75" s="10">
        <v>549.36199999999997</v>
      </c>
      <c r="AT75" s="10"/>
      <c r="AU75" s="8" t="s">
        <v>207</v>
      </c>
      <c r="AV75" s="10">
        <v>8.077</v>
      </c>
      <c r="AW75" s="11" t="str">
        <f>IF(AND(ISNUMBER(AV75),ISNUMBER(AT75)),IF(AT75&lt;&gt;0,AV75/ABS(AT75),""),"")</f>
        <v/>
      </c>
      <c r="AX75" s="8">
        <v>0</v>
      </c>
      <c r="AY75" s="8">
        <v>0</v>
      </c>
      <c r="AZ75" s="10"/>
      <c r="BA75" s="8">
        <v>0</v>
      </c>
    </row>
    <row r="76" spans="1:53" x14ac:dyDescent="0.2">
      <c r="A76" s="8" t="s">
        <v>271</v>
      </c>
      <c r="B76" s="8" t="s">
        <v>83</v>
      </c>
      <c r="C76" s="8" t="s">
        <v>208</v>
      </c>
      <c r="D76" s="8">
        <v>1</v>
      </c>
      <c r="E76" s="8">
        <v>1</v>
      </c>
      <c r="F76" s="8">
        <f>SUM(G76:M76)</f>
        <v>1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1</v>
      </c>
      <c r="N76" s="8">
        <v>0</v>
      </c>
      <c r="O76" s="8">
        <v>0</v>
      </c>
      <c r="P76" s="8">
        <v>1</v>
      </c>
      <c r="Q76" s="8">
        <v>0</v>
      </c>
      <c r="R76" s="8">
        <v>0</v>
      </c>
      <c r="S76" s="8">
        <v>0</v>
      </c>
      <c r="T76" s="10">
        <v>-11.162000000000001</v>
      </c>
      <c r="U76" s="10">
        <v>-241.57900000000001</v>
      </c>
      <c r="V76" s="10">
        <v>-85.343000000000004</v>
      </c>
      <c r="W76" s="10">
        <f>IF(RIGHT(C76,2)="12",IF(ISNUMBER(T76),T76,""),IF(COUNT(T76,U76,V76)=3,T76+U76-V76,""))</f>
        <v>-167.39800000000002</v>
      </c>
      <c r="X76" s="10">
        <v>-167.399</v>
      </c>
      <c r="Y76" s="10">
        <v>20.492000000000001</v>
      </c>
      <c r="Z76" s="10">
        <v>-116.28</v>
      </c>
      <c r="AA76" s="10">
        <v>-60.448999999999998</v>
      </c>
      <c r="AB76" s="10">
        <v>-11.162000000000001</v>
      </c>
      <c r="AC76" s="8">
        <v>0</v>
      </c>
      <c r="AD76" s="8">
        <v>0</v>
      </c>
      <c r="AE76" s="8">
        <v>0</v>
      </c>
      <c r="AF76" s="10">
        <v>0</v>
      </c>
      <c r="AG76" s="8">
        <f>COUNTIF(Y76:AB76,"&gt;0")</f>
        <v>1</v>
      </c>
      <c r="AH76" s="10">
        <v>0</v>
      </c>
      <c r="AI76" s="10">
        <v>20.492000000000001</v>
      </c>
      <c r="AJ76" s="8" t="str">
        <f>IF(ISNUMBER(X76),IF(X76&gt;0,"+",IF(X76&lt;0,"−","0")),IF(ISNUMBER(W76),IF(W76&gt;0,"+",IF(W76&lt;0,"−","0")),"yok"))</f>
        <v>−</v>
      </c>
      <c r="AK76" s="10">
        <f>IF(AND(RIGHT(C76,2)&lt;&gt;"12",ISNUMBER(U76),ISNUMBER(V76)),U76-V76,"")</f>
        <v>-156.23599999999999</v>
      </c>
      <c r="AL76" s="11">
        <f>IF(AND(ISNUMBER(AK76),ISNUMBER(V76)),IF(V76&lt;&gt;0,AK76/ABS(V76),""),"")</f>
        <v>-1.8306832429138884</v>
      </c>
      <c r="AM76" s="8">
        <f>IF(ISNUMBER(AK76),IF(AK76&gt;1,1,0),"")</f>
        <v>0</v>
      </c>
      <c r="AN76" s="8">
        <f>IF(ISNUMBER(AK76),IF(AK76&gt;0.05*ABS(V76),1,0),"")</f>
        <v>0</v>
      </c>
      <c r="AO76" s="10">
        <v>-167.4</v>
      </c>
      <c r="AP76" s="10">
        <v>167.4</v>
      </c>
      <c r="AQ76" s="8" t="s">
        <v>204</v>
      </c>
      <c r="AR76" s="8">
        <v>0</v>
      </c>
      <c r="AS76" s="10">
        <v>2412.326</v>
      </c>
      <c r="AT76" s="10"/>
      <c r="AU76" s="8" t="s">
        <v>207</v>
      </c>
      <c r="AV76" s="10">
        <v>20.492000000000001</v>
      </c>
      <c r="AW76" s="11" t="str">
        <f>IF(AND(ISNUMBER(AV76),ISNUMBER(AT76)),IF(AT76&lt;&gt;0,AV76/ABS(AT76),""),"")</f>
        <v/>
      </c>
      <c r="AX76" s="8">
        <v>0</v>
      </c>
      <c r="AY76" s="8">
        <v>0</v>
      </c>
      <c r="AZ76" s="10"/>
      <c r="BA76" s="8">
        <v>0</v>
      </c>
    </row>
    <row r="77" spans="1:53" x14ac:dyDescent="0.2">
      <c r="A77" s="8" t="s">
        <v>272</v>
      </c>
      <c r="B77" s="8" t="s">
        <v>84</v>
      </c>
      <c r="C77" s="8" t="s">
        <v>208</v>
      </c>
      <c r="D77" s="8">
        <v>1</v>
      </c>
      <c r="E77" s="8">
        <v>1</v>
      </c>
      <c r="F77" s="8">
        <f>SUM(G77:M77)</f>
        <v>1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1</v>
      </c>
      <c r="N77" s="8">
        <v>0</v>
      </c>
      <c r="O77" s="8">
        <v>0</v>
      </c>
      <c r="P77" s="8">
        <v>1</v>
      </c>
      <c r="Q77" s="8">
        <v>0</v>
      </c>
      <c r="R77" s="8">
        <v>0</v>
      </c>
      <c r="S77" s="8">
        <v>0</v>
      </c>
      <c r="T77" s="10"/>
      <c r="U77" s="10">
        <v>-581.08399999999995</v>
      </c>
      <c r="V77" s="10"/>
      <c r="W77" s="10" t="str">
        <f>IF(RIGHT(C77,2)="12",IF(ISNUMBER(T77),T77,""),IF(COUNT(T77,U77,V77)=3,T77+U77-V77,""))</f>
        <v/>
      </c>
      <c r="X77" s="10"/>
      <c r="Y77" s="10"/>
      <c r="Z77" s="10">
        <v>14.773</v>
      </c>
      <c r="AA77" s="10">
        <v>-326.14</v>
      </c>
      <c r="AB77" s="10"/>
      <c r="AC77" s="8">
        <v>0</v>
      </c>
      <c r="AD77" s="8">
        <v>0</v>
      </c>
      <c r="AE77" s="8">
        <v>0</v>
      </c>
      <c r="AF77" s="10">
        <v>0</v>
      </c>
      <c r="AG77" s="8">
        <f>COUNTIF(Y77:AB77,"&gt;0")</f>
        <v>1</v>
      </c>
      <c r="AH77" s="10">
        <v>0</v>
      </c>
      <c r="AI77" s="10">
        <v>14.773</v>
      </c>
      <c r="AJ77" s="8" t="str">
        <f>IF(ISNUMBER(X77),IF(X77&gt;0,"+",IF(X77&lt;0,"−","0")),IF(ISNUMBER(W77),IF(W77&gt;0,"+",IF(W77&lt;0,"−","0")),"yok"))</f>
        <v>yok</v>
      </c>
      <c r="AK77" s="10" t="str">
        <f>IF(AND(RIGHT(C77,2)&lt;&gt;"12",ISNUMBER(U77),ISNUMBER(V77)),U77-V77,"")</f>
        <v/>
      </c>
      <c r="AL77" s="11" t="str">
        <f>IF(AND(ISNUMBER(AK77),ISNUMBER(V77)),IF(V77&lt;&gt;0,AK77/ABS(V77),""),"")</f>
        <v/>
      </c>
      <c r="AM77" s="8" t="str">
        <f>IF(ISNUMBER(AK77),IF(AK77&gt;1,1,0),"")</f>
        <v/>
      </c>
      <c r="AN77" s="8" t="str">
        <f>IF(ISNUMBER(AK77),IF(AK77&gt;0.05*ABS(V77),1,0),"")</f>
        <v/>
      </c>
      <c r="AO77" s="10"/>
      <c r="AP77" s="10"/>
      <c r="AQ77" s="8" t="s">
        <v>207</v>
      </c>
      <c r="AR77" s="8">
        <v>0</v>
      </c>
      <c r="AS77" s="10">
        <v>732.005</v>
      </c>
      <c r="AT77" s="10"/>
      <c r="AU77" s="8" t="s">
        <v>207</v>
      </c>
      <c r="AV77" s="10">
        <v>14.773</v>
      </c>
      <c r="AW77" s="11" t="str">
        <f>IF(AND(ISNUMBER(AV77),ISNUMBER(AT77)),IF(AT77&lt;&gt;0,AV77/ABS(AT77),""),"")</f>
        <v/>
      </c>
      <c r="AX77" s="8">
        <v>0</v>
      </c>
      <c r="AY77" s="8">
        <v>0</v>
      </c>
      <c r="AZ77" s="10"/>
      <c r="BA77" s="8">
        <v>0</v>
      </c>
    </row>
    <row r="78" spans="1:53" x14ac:dyDescent="0.2">
      <c r="A78" s="8" t="s">
        <v>272</v>
      </c>
      <c r="B78" s="8" t="s">
        <v>84</v>
      </c>
      <c r="C78" s="8" t="s">
        <v>210</v>
      </c>
      <c r="D78" s="8">
        <v>1</v>
      </c>
      <c r="E78" s="8">
        <v>1</v>
      </c>
      <c r="F78" s="8">
        <f>SUM(G78:M78)</f>
        <v>1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1</v>
      </c>
      <c r="N78" s="8">
        <v>0</v>
      </c>
      <c r="O78" s="8">
        <v>0</v>
      </c>
      <c r="P78" s="8">
        <v>1</v>
      </c>
      <c r="Q78" s="8">
        <v>0</v>
      </c>
      <c r="R78" s="8">
        <v>0</v>
      </c>
      <c r="S78" s="8">
        <v>0</v>
      </c>
      <c r="T78" s="10"/>
      <c r="U78" s="10">
        <v>-581.08399999999995</v>
      </c>
      <c r="V78" s="10">
        <v>-269.71800000000002</v>
      </c>
      <c r="W78" s="10" t="str">
        <f>IF(RIGHT(C78,2)="12",IF(ISNUMBER(T78),T78,""),IF(COUNT(T78,U78,V78)=3,T78+U78-V78,""))</f>
        <v/>
      </c>
      <c r="X78" s="10"/>
      <c r="Y78" s="10">
        <v>14.773</v>
      </c>
      <c r="Z78" s="10">
        <v>-326.14</v>
      </c>
      <c r="AA78" s="10"/>
      <c r="AB78" s="10"/>
      <c r="AC78" s="8">
        <v>0</v>
      </c>
      <c r="AD78" s="8">
        <v>0</v>
      </c>
      <c r="AE78" s="8">
        <v>0</v>
      </c>
      <c r="AF78" s="10">
        <v>0</v>
      </c>
      <c r="AG78" s="8">
        <f>COUNTIF(Y78:AB78,"&gt;0")</f>
        <v>1</v>
      </c>
      <c r="AH78" s="10">
        <v>0</v>
      </c>
      <c r="AI78" s="10">
        <v>14.773</v>
      </c>
      <c r="AJ78" s="8" t="str">
        <f>IF(ISNUMBER(X78),IF(X78&gt;0,"+",IF(X78&lt;0,"−","0")),IF(ISNUMBER(W78),IF(W78&gt;0,"+",IF(W78&lt;0,"−","0")),"yok"))</f>
        <v>yok</v>
      </c>
      <c r="AK78" s="10">
        <f>IF(AND(RIGHT(C78,2)&lt;&gt;"12",ISNUMBER(U78),ISNUMBER(V78)),U78-V78,"")</f>
        <v>-311.36599999999993</v>
      </c>
      <c r="AL78" s="11">
        <f>IF(AND(ISNUMBER(AK78),ISNUMBER(V78)),IF(V78&lt;&gt;0,AK78/ABS(V78),""),"")</f>
        <v>-1.1544131277853162</v>
      </c>
      <c r="AM78" s="8">
        <f>IF(ISNUMBER(AK78),IF(AK78&gt;1,1,0),"")</f>
        <v>0</v>
      </c>
      <c r="AN78" s="8">
        <f>IF(ISNUMBER(AK78),IF(AK78&gt;0.05*ABS(V78),1,0),"")</f>
        <v>0</v>
      </c>
      <c r="AO78" s="10"/>
      <c r="AP78" s="10"/>
      <c r="AQ78" s="8" t="s">
        <v>207</v>
      </c>
      <c r="AR78" s="8">
        <v>0</v>
      </c>
      <c r="AS78" s="10">
        <v>417.346</v>
      </c>
      <c r="AT78" s="10"/>
      <c r="AU78" s="8" t="s">
        <v>207</v>
      </c>
      <c r="AV78" s="10">
        <v>14.773</v>
      </c>
      <c r="AW78" s="11" t="str">
        <f>IF(AND(ISNUMBER(AV78),ISNUMBER(AT78)),IF(AT78&lt;&gt;0,AV78/ABS(AT78),""),"")</f>
        <v/>
      </c>
      <c r="AX78" s="8">
        <v>0</v>
      </c>
      <c r="AY78" s="8">
        <v>0</v>
      </c>
      <c r="AZ78" s="10"/>
      <c r="BA78" s="8">
        <v>0</v>
      </c>
    </row>
    <row r="79" spans="1:53" x14ac:dyDescent="0.2">
      <c r="A79" s="8" t="s">
        <v>273</v>
      </c>
      <c r="B79" s="8" t="s">
        <v>83</v>
      </c>
      <c r="C79" s="8" t="s">
        <v>203</v>
      </c>
      <c r="D79" s="8">
        <v>1</v>
      </c>
      <c r="E79" s="8">
        <v>1</v>
      </c>
      <c r="F79" s="8">
        <f>SUM(G79:M79)</f>
        <v>1</v>
      </c>
      <c r="G79" s="8">
        <v>0</v>
      </c>
      <c r="H79" s="8">
        <v>0</v>
      </c>
      <c r="I79" s="8">
        <v>0</v>
      </c>
      <c r="J79" s="8">
        <v>0</v>
      </c>
      <c r="K79" s="8">
        <v>1</v>
      </c>
      <c r="L79" s="8">
        <v>0</v>
      </c>
      <c r="M79" s="8">
        <v>0</v>
      </c>
      <c r="N79" s="8">
        <v>0</v>
      </c>
      <c r="O79" s="8">
        <v>1</v>
      </c>
      <c r="P79" s="8">
        <v>0</v>
      </c>
      <c r="Q79" s="8">
        <v>0</v>
      </c>
      <c r="R79" s="8">
        <v>0</v>
      </c>
      <c r="S79" s="8">
        <v>0</v>
      </c>
      <c r="T79" s="10">
        <v>-2.6949999999999998</v>
      </c>
      <c r="U79" s="10">
        <v>-16.643999999999998</v>
      </c>
      <c r="V79" s="10">
        <v>1.256</v>
      </c>
      <c r="W79" s="10">
        <f>IF(RIGHT(C79,2)="12",IF(ISNUMBER(T79),T79,""),IF(COUNT(T79,U79,V79)=3,T79+U79-V79,""))</f>
        <v>-20.594999999999999</v>
      </c>
      <c r="X79" s="10">
        <v>-20.596</v>
      </c>
      <c r="Y79" s="10">
        <v>-0.498</v>
      </c>
      <c r="Z79" s="10">
        <v>-6.7519999999999998</v>
      </c>
      <c r="AA79" s="10">
        <v>-10.648999999999999</v>
      </c>
      <c r="AB79" s="10">
        <v>-2.6949999999999998</v>
      </c>
      <c r="AC79" s="8">
        <v>0</v>
      </c>
      <c r="AD79" s="8">
        <v>0</v>
      </c>
      <c r="AE79" s="8">
        <v>1</v>
      </c>
      <c r="AF79" s="10">
        <v>1.256</v>
      </c>
      <c r="AG79" s="8">
        <f>COUNTIF(Y79:AB79,"&gt;0")</f>
        <v>0</v>
      </c>
      <c r="AH79" s="10">
        <v>0</v>
      </c>
      <c r="AI79" s="10">
        <v>0</v>
      </c>
      <c r="AJ79" s="8" t="str">
        <f>IF(ISNUMBER(X79),IF(X79&gt;0,"+",IF(X79&lt;0,"−","0")),IF(ISNUMBER(W79),IF(W79&gt;0,"+",IF(W79&lt;0,"−","0")),"yok"))</f>
        <v>−</v>
      </c>
      <c r="AK79" s="10">
        <f>IF(AND(RIGHT(C79,2)&lt;&gt;"12",ISNUMBER(U79),ISNUMBER(V79)),U79-V79,"")</f>
        <v>-17.899999999999999</v>
      </c>
      <c r="AL79" s="11">
        <f>IF(AND(ISNUMBER(AK79),ISNUMBER(V79)),IF(V79&lt;&gt;0,AK79/ABS(V79),""),"")</f>
        <v>-14.251592356687897</v>
      </c>
      <c r="AM79" s="8">
        <f>IF(ISNUMBER(AK79),IF(AK79&gt;1,1,0),"")</f>
        <v>0</v>
      </c>
      <c r="AN79" s="8">
        <f>IF(ISNUMBER(AK79),IF(AK79&gt;0.05*ABS(V79),1,0),"")</f>
        <v>0</v>
      </c>
      <c r="AO79" s="10">
        <v>-20.597000000000001</v>
      </c>
      <c r="AP79" s="10">
        <v>20.597000000000001</v>
      </c>
      <c r="AQ79" s="8" t="s">
        <v>204</v>
      </c>
      <c r="AR79" s="8">
        <v>0</v>
      </c>
      <c r="AS79" s="10">
        <v>74.168000000000006</v>
      </c>
      <c r="AT79" s="10">
        <v>51.914000000000001</v>
      </c>
      <c r="AU79" s="8" t="s">
        <v>209</v>
      </c>
      <c r="AV79" s="10">
        <v>1.256</v>
      </c>
      <c r="AW79" s="11">
        <f>IF(AND(ISNUMBER(AV79),ISNUMBER(AT79)),IF(AT79&lt;&gt;0,AV79/ABS(AT79),""),"")</f>
        <v>2.4193859074623417E-2</v>
      </c>
      <c r="AX79" s="8">
        <v>1</v>
      </c>
      <c r="AY79" s="8">
        <v>0</v>
      </c>
      <c r="AZ79" s="8" t="s">
        <v>274</v>
      </c>
      <c r="BA79" s="8">
        <v>0</v>
      </c>
    </row>
    <row r="80" spans="1:53" x14ac:dyDescent="0.2">
      <c r="A80" s="8" t="s">
        <v>273</v>
      </c>
      <c r="B80" s="8" t="s">
        <v>83</v>
      </c>
      <c r="C80" s="8" t="s">
        <v>205</v>
      </c>
      <c r="D80" s="8">
        <v>1</v>
      </c>
      <c r="E80" s="8">
        <v>1</v>
      </c>
      <c r="F80" s="8">
        <f>SUM(G80:M80)</f>
        <v>1</v>
      </c>
      <c r="G80" s="8">
        <v>0</v>
      </c>
      <c r="H80" s="8">
        <v>0</v>
      </c>
      <c r="I80" s="8">
        <v>0</v>
      </c>
      <c r="J80" s="8">
        <v>0</v>
      </c>
      <c r="K80" s="8">
        <v>1</v>
      </c>
      <c r="L80" s="8">
        <v>0</v>
      </c>
      <c r="M80" s="8">
        <v>0</v>
      </c>
      <c r="N80" s="8">
        <v>0</v>
      </c>
      <c r="O80" s="8">
        <v>1</v>
      </c>
      <c r="P80" s="8">
        <v>0</v>
      </c>
      <c r="Q80" s="8">
        <v>0</v>
      </c>
      <c r="R80" s="8">
        <v>0</v>
      </c>
      <c r="S80" s="8">
        <v>0</v>
      </c>
      <c r="T80" s="10">
        <v>-2.8359999999999999</v>
      </c>
      <c r="U80" s="10">
        <v>-16.643999999999998</v>
      </c>
      <c r="V80" s="10">
        <v>0.75800000000000001</v>
      </c>
      <c r="W80" s="10">
        <f>IF(RIGHT(C80,2)="12",IF(ISNUMBER(T80),T80,""),IF(COUNT(T80,U80,V80)=3,T80+U80-V80,""))</f>
        <v>-20.237999999999996</v>
      </c>
      <c r="X80" s="10">
        <v>-20.238</v>
      </c>
      <c r="Y80" s="10">
        <v>-6.7519999999999998</v>
      </c>
      <c r="Z80" s="10">
        <v>-10.648999999999999</v>
      </c>
      <c r="AA80" s="10">
        <v>-2.6949999999999998</v>
      </c>
      <c r="AB80" s="10">
        <v>-0.14000000000000001</v>
      </c>
      <c r="AC80" s="8">
        <v>0</v>
      </c>
      <c r="AD80" s="8">
        <v>0</v>
      </c>
      <c r="AE80" s="8">
        <v>1</v>
      </c>
      <c r="AF80" s="10">
        <v>0.75800000000000001</v>
      </c>
      <c r="AG80" s="8">
        <f>COUNTIF(Y80:AB80,"&gt;0")</f>
        <v>0</v>
      </c>
      <c r="AH80" s="10">
        <v>0</v>
      </c>
      <c r="AI80" s="10">
        <v>0</v>
      </c>
      <c r="AJ80" s="8" t="str">
        <f>IF(ISNUMBER(X80),IF(X80&gt;0,"+",IF(X80&lt;0,"−","0")),IF(ISNUMBER(W80),IF(W80&gt;0,"+",IF(W80&lt;0,"−","0")),"yok"))</f>
        <v>−</v>
      </c>
      <c r="AK80" s="10">
        <f>IF(AND(RIGHT(C80,2)&lt;&gt;"12",ISNUMBER(U80),ISNUMBER(V80)),U80-V80,"")</f>
        <v>-17.401999999999997</v>
      </c>
      <c r="AL80" s="11">
        <f>IF(AND(ISNUMBER(AK80),ISNUMBER(V80)),IF(V80&lt;&gt;0,AK80/ABS(V80),""),"")</f>
        <v>-22.957783641160947</v>
      </c>
      <c r="AM80" s="8">
        <f>IF(ISNUMBER(AK80),IF(AK80&gt;1,1,0),"")</f>
        <v>0</v>
      </c>
      <c r="AN80" s="8">
        <f>IF(ISNUMBER(AK80),IF(AK80&gt;0.05*ABS(V80),1,0),"")</f>
        <v>0</v>
      </c>
      <c r="AO80" s="10">
        <v>-20.238</v>
      </c>
      <c r="AP80" s="10">
        <v>20.238</v>
      </c>
      <c r="AQ80" s="8" t="s">
        <v>204</v>
      </c>
      <c r="AR80" s="8">
        <v>0</v>
      </c>
      <c r="AS80" s="10">
        <v>136.35900000000001</v>
      </c>
      <c r="AT80" s="10">
        <v>114.687</v>
      </c>
      <c r="AU80" s="8" t="s">
        <v>209</v>
      </c>
      <c r="AV80" s="10">
        <v>0.75800000000000001</v>
      </c>
      <c r="AW80" s="11">
        <f>IF(AND(ISNUMBER(AV80),ISNUMBER(AT80)),IF(AT80&lt;&gt;0,AV80/ABS(AT80),""),"")</f>
        <v>6.6092931195340359E-3</v>
      </c>
      <c r="AX80" s="8">
        <v>1</v>
      </c>
      <c r="AY80" s="8">
        <v>0</v>
      </c>
      <c r="AZ80" s="8" t="s">
        <v>275</v>
      </c>
      <c r="BA80" s="8">
        <v>0</v>
      </c>
    </row>
    <row r="81" spans="1:53" x14ac:dyDescent="0.2">
      <c r="A81" s="8" t="s">
        <v>276</v>
      </c>
      <c r="B81" s="8" t="s">
        <v>82</v>
      </c>
      <c r="C81" s="8" t="s">
        <v>203</v>
      </c>
      <c r="D81" s="8">
        <v>1</v>
      </c>
      <c r="E81" s="8">
        <v>1</v>
      </c>
      <c r="F81" s="8">
        <f>SUM(G81:M81)</f>
        <v>2</v>
      </c>
      <c r="G81" s="8">
        <v>0</v>
      </c>
      <c r="H81" s="8">
        <v>1</v>
      </c>
      <c r="I81" s="8">
        <v>0</v>
      </c>
      <c r="J81" s="8">
        <v>1</v>
      </c>
      <c r="K81" s="8">
        <v>0</v>
      </c>
      <c r="L81" s="8">
        <v>0</v>
      </c>
      <c r="M81" s="8">
        <v>0</v>
      </c>
      <c r="N81" s="8">
        <v>0</v>
      </c>
      <c r="O81" s="8">
        <v>1</v>
      </c>
      <c r="P81" s="8">
        <v>1</v>
      </c>
      <c r="Q81" s="8">
        <v>1</v>
      </c>
      <c r="R81" s="8">
        <v>1</v>
      </c>
      <c r="S81" s="8">
        <v>0</v>
      </c>
      <c r="T81" s="10">
        <v>-53.889000000000003</v>
      </c>
      <c r="U81" s="10">
        <v>44.429000000000002</v>
      </c>
      <c r="V81" s="10">
        <v>-3.1509999999999998</v>
      </c>
      <c r="W81" s="10">
        <f>IF(RIGHT(C81,2)="12",IF(ISNUMBER(T81),T81,""),IF(COUNT(T81,U81,V81)=3,T81+U81-V81,""))</f>
        <v>-6.3090000000000011</v>
      </c>
      <c r="X81" s="10">
        <v>-6.3070000000000004</v>
      </c>
      <c r="Y81" s="10">
        <v>16.030999999999999</v>
      </c>
      <c r="Z81" s="10">
        <v>12.182</v>
      </c>
      <c r="AA81" s="10">
        <v>19.367000000000001</v>
      </c>
      <c r="AB81" s="10">
        <v>-53.889000000000003</v>
      </c>
      <c r="AC81" s="8">
        <v>0</v>
      </c>
      <c r="AD81" s="8">
        <v>1</v>
      </c>
      <c r="AE81" s="8">
        <v>0</v>
      </c>
      <c r="AF81" s="10">
        <v>44.429000000000002</v>
      </c>
      <c r="AG81" s="8">
        <f>COUNTIF(Y81:AB81,"&gt;0")</f>
        <v>3</v>
      </c>
      <c r="AH81" s="10">
        <v>0</v>
      </c>
      <c r="AI81" s="10">
        <v>47.58</v>
      </c>
      <c r="AJ81" s="8" t="str">
        <f>IF(ISNUMBER(X81),IF(X81&gt;0,"+",IF(X81&lt;0,"−","0")),IF(ISNUMBER(W81),IF(W81&gt;0,"+",IF(W81&lt;0,"−","0")),"yok"))</f>
        <v>−</v>
      </c>
      <c r="AK81" s="10">
        <f>IF(AND(RIGHT(C81,2)&lt;&gt;"12",ISNUMBER(U81),ISNUMBER(V81)),U81-V81,"")</f>
        <v>47.58</v>
      </c>
      <c r="AL81" s="11">
        <f>IF(AND(ISNUMBER(AK81),ISNUMBER(V81)),IF(V81&lt;&gt;0,AK81/ABS(V81),""),"")</f>
        <v>15.099968264043161</v>
      </c>
      <c r="AM81" s="8">
        <f>IF(ISNUMBER(AK81),IF(AK81&gt;1,1,0),"")</f>
        <v>1</v>
      </c>
      <c r="AN81" s="8">
        <f>IF(ISNUMBER(AK81),IF(AK81&gt;0.05*ABS(V81),1,0),"")</f>
        <v>1</v>
      </c>
      <c r="AO81" s="10">
        <v>-6.3079999999999998</v>
      </c>
      <c r="AP81" s="10">
        <v>6.3079999999999998</v>
      </c>
      <c r="AQ81" s="8" t="s">
        <v>204</v>
      </c>
      <c r="AR81" s="8">
        <v>0</v>
      </c>
      <c r="AS81" s="10">
        <v>563.81200000000001</v>
      </c>
      <c r="AT81" s="10">
        <v>-2156.819</v>
      </c>
      <c r="AU81" s="8" t="s">
        <v>212</v>
      </c>
      <c r="AV81" s="10">
        <v>44.429000000000002</v>
      </c>
      <c r="AW81" s="11">
        <f>IF(AND(ISNUMBER(AV81),ISNUMBER(AT81)),IF(AT81&lt;&gt;0,AV81/ABS(AT81),""),"")</f>
        <v>2.0599317791618121E-2</v>
      </c>
      <c r="AX81" s="8">
        <v>1</v>
      </c>
      <c r="AY81" s="8">
        <v>0</v>
      </c>
      <c r="AZ81" s="8" t="s">
        <v>277</v>
      </c>
      <c r="BA81" s="8">
        <v>0</v>
      </c>
    </row>
    <row r="82" spans="1:53" x14ac:dyDescent="0.2">
      <c r="A82" s="8" t="s">
        <v>276</v>
      </c>
      <c r="B82" s="8" t="s">
        <v>82</v>
      </c>
      <c r="C82" s="8" t="s">
        <v>205</v>
      </c>
      <c r="D82" s="8">
        <v>1</v>
      </c>
      <c r="E82" s="8">
        <v>1</v>
      </c>
      <c r="F82" s="8">
        <f>SUM(G82:M82)</f>
        <v>2</v>
      </c>
      <c r="G82" s="8">
        <v>0</v>
      </c>
      <c r="H82" s="8">
        <v>1</v>
      </c>
      <c r="I82" s="8">
        <v>0</v>
      </c>
      <c r="J82" s="8">
        <v>1</v>
      </c>
      <c r="K82" s="8">
        <v>0</v>
      </c>
      <c r="L82" s="8">
        <v>0</v>
      </c>
      <c r="M82" s="8">
        <v>0</v>
      </c>
      <c r="N82" s="8">
        <v>0</v>
      </c>
      <c r="O82" s="8">
        <v>1</v>
      </c>
      <c r="P82" s="8">
        <v>1</v>
      </c>
      <c r="Q82" s="8">
        <v>1</v>
      </c>
      <c r="R82" s="8">
        <v>1</v>
      </c>
      <c r="S82" s="8">
        <v>0</v>
      </c>
      <c r="T82" s="10">
        <v>-93.299000000000007</v>
      </c>
      <c r="U82" s="10">
        <v>44.429000000000002</v>
      </c>
      <c r="V82" s="10">
        <v>12.879</v>
      </c>
      <c r="W82" s="10">
        <f>IF(RIGHT(C82,2)="12",IF(ISNUMBER(T82),T82,""),IF(COUNT(T82,U82,V82)=3,T82+U82-V82,""))</f>
        <v>-61.749000000000002</v>
      </c>
      <c r="X82" s="10">
        <v>-61.749000000000002</v>
      </c>
      <c r="Y82" s="10">
        <v>12.182</v>
      </c>
      <c r="Z82" s="10">
        <v>19.367000000000001</v>
      </c>
      <c r="AA82" s="10">
        <v>-53.889000000000003</v>
      </c>
      <c r="AB82" s="10">
        <v>-39.408999999999999</v>
      </c>
      <c r="AC82" s="8">
        <v>0</v>
      </c>
      <c r="AD82" s="8">
        <v>1</v>
      </c>
      <c r="AE82" s="8">
        <v>1</v>
      </c>
      <c r="AF82" s="10">
        <v>44.429000000000002</v>
      </c>
      <c r="AG82" s="8">
        <f>COUNTIF(Y82:AB82,"&gt;0")</f>
        <v>2</v>
      </c>
      <c r="AH82" s="10">
        <v>0</v>
      </c>
      <c r="AI82" s="10">
        <v>31.548999999999999</v>
      </c>
      <c r="AJ82" s="8" t="str">
        <f>IF(ISNUMBER(X82),IF(X82&gt;0,"+",IF(X82&lt;0,"−","0")),IF(ISNUMBER(W82),IF(W82&gt;0,"+",IF(W82&lt;0,"−","0")),"yok"))</f>
        <v>−</v>
      </c>
      <c r="AK82" s="10">
        <f>IF(AND(RIGHT(C82,2)&lt;&gt;"12",ISNUMBER(U82),ISNUMBER(V82)),U82-V82,"")</f>
        <v>31.550000000000004</v>
      </c>
      <c r="AL82" s="11">
        <f>IF(AND(ISNUMBER(AK82),ISNUMBER(V82)),IF(V82&lt;&gt;0,AK82/ABS(V82),""),"")</f>
        <v>2.4497243574811711</v>
      </c>
      <c r="AM82" s="8">
        <f>IF(ISNUMBER(AK82),IF(AK82&gt;1,1,0),"")</f>
        <v>1</v>
      </c>
      <c r="AN82" s="8">
        <f>IF(ISNUMBER(AK82),IF(AK82&gt;0.05*ABS(V82),1,0),"")</f>
        <v>1</v>
      </c>
      <c r="AO82" s="10">
        <v>-61.749000000000002</v>
      </c>
      <c r="AP82" s="10">
        <v>61.749000000000002</v>
      </c>
      <c r="AQ82" s="8" t="s">
        <v>204</v>
      </c>
      <c r="AR82" s="8">
        <v>0</v>
      </c>
      <c r="AS82" s="10">
        <v>1742.8589999999999</v>
      </c>
      <c r="AT82" s="10">
        <v>-1121.749</v>
      </c>
      <c r="AU82" s="8" t="s">
        <v>212</v>
      </c>
      <c r="AV82" s="10">
        <v>44.429000000000002</v>
      </c>
      <c r="AW82" s="11">
        <f>IF(AND(ISNUMBER(AV82),ISNUMBER(AT82)),IF(AT82&lt;&gt;0,AV82/ABS(AT82),""),"")</f>
        <v>3.9606899582705225E-2</v>
      </c>
      <c r="AX82" s="8">
        <v>1</v>
      </c>
      <c r="AY82" s="8">
        <v>0</v>
      </c>
      <c r="AZ82" s="8" t="s">
        <v>278</v>
      </c>
      <c r="BA82" s="8">
        <v>0</v>
      </c>
    </row>
    <row r="83" spans="1:53" x14ac:dyDescent="0.2">
      <c r="A83" s="8" t="s">
        <v>276</v>
      </c>
      <c r="B83" s="8" t="s">
        <v>82</v>
      </c>
      <c r="C83" s="8" t="s">
        <v>215</v>
      </c>
      <c r="D83" s="8">
        <v>1</v>
      </c>
      <c r="E83" s="8">
        <v>1</v>
      </c>
      <c r="F83" s="8">
        <f>SUM(G83:M83)</f>
        <v>2</v>
      </c>
      <c r="G83" s="8">
        <v>0</v>
      </c>
      <c r="H83" s="8">
        <v>1</v>
      </c>
      <c r="I83" s="8">
        <v>0</v>
      </c>
      <c r="J83" s="8">
        <v>1</v>
      </c>
      <c r="K83" s="8">
        <v>0</v>
      </c>
      <c r="L83" s="8">
        <v>0</v>
      </c>
      <c r="M83" s="8">
        <v>0</v>
      </c>
      <c r="N83" s="8">
        <v>0</v>
      </c>
      <c r="O83" s="8">
        <v>1</v>
      </c>
      <c r="P83" s="8">
        <v>1</v>
      </c>
      <c r="Q83" s="8">
        <v>1</v>
      </c>
      <c r="R83" s="8">
        <v>1</v>
      </c>
      <c r="S83" s="8">
        <v>0</v>
      </c>
      <c r="T83" s="10">
        <v>-125.953</v>
      </c>
      <c r="U83" s="10">
        <v>44.429000000000002</v>
      </c>
      <c r="V83" s="10">
        <v>25.062000000000001</v>
      </c>
      <c r="W83" s="10">
        <f>IF(RIGHT(C83,2)="12",IF(ISNUMBER(T83),T83,""),IF(COUNT(T83,U83,V83)=3,T83+U83-V83,""))</f>
        <v>-106.586</v>
      </c>
      <c r="X83" s="10">
        <v>-106.586</v>
      </c>
      <c r="Y83" s="10">
        <v>19.367000000000001</v>
      </c>
      <c r="Z83" s="10">
        <v>-53.889000000000003</v>
      </c>
      <c r="AA83" s="10">
        <v>-39.408999999999999</v>
      </c>
      <c r="AB83" s="10">
        <v>-32.654000000000003</v>
      </c>
      <c r="AC83" s="8">
        <v>0</v>
      </c>
      <c r="AD83" s="8">
        <v>1</v>
      </c>
      <c r="AE83" s="8">
        <v>1</v>
      </c>
      <c r="AF83" s="10">
        <v>44.429000000000002</v>
      </c>
      <c r="AG83" s="8">
        <f>COUNTIF(Y83:AB83,"&gt;0")</f>
        <v>1</v>
      </c>
      <c r="AH83" s="10">
        <v>0</v>
      </c>
      <c r="AI83" s="10">
        <v>19.367000000000001</v>
      </c>
      <c r="AJ83" s="8" t="str">
        <f>IF(ISNUMBER(X83),IF(X83&gt;0,"+",IF(X83&lt;0,"−","0")),IF(ISNUMBER(W83),IF(W83&gt;0,"+",IF(W83&lt;0,"−","0")),"yok"))</f>
        <v>−</v>
      </c>
      <c r="AK83" s="10">
        <f>IF(AND(RIGHT(C83,2)&lt;&gt;"12",ISNUMBER(U83),ISNUMBER(V83)),U83-V83,"")</f>
        <v>19.367000000000001</v>
      </c>
      <c r="AL83" s="11">
        <f>IF(AND(ISNUMBER(AK83),ISNUMBER(V83)),IF(V83&lt;&gt;0,AK83/ABS(V83),""),"")</f>
        <v>0.77276354640491585</v>
      </c>
      <c r="AM83" s="8">
        <f>IF(ISNUMBER(AK83),IF(AK83&gt;1,1,0),"")</f>
        <v>1</v>
      </c>
      <c r="AN83" s="8">
        <f>IF(ISNUMBER(AK83),IF(AK83&gt;0.05*ABS(V83),1,0),"")</f>
        <v>1</v>
      </c>
      <c r="AO83" s="10">
        <v>-106.586</v>
      </c>
      <c r="AP83" s="10">
        <v>106.586</v>
      </c>
      <c r="AQ83" s="8" t="s">
        <v>204</v>
      </c>
      <c r="AR83" s="8">
        <v>0</v>
      </c>
      <c r="AS83" s="10">
        <v>901.91700000000003</v>
      </c>
      <c r="AT83" s="10">
        <v>-2150.5079999999998</v>
      </c>
      <c r="AU83" s="8" t="s">
        <v>212</v>
      </c>
      <c r="AV83" s="10">
        <v>44.429000000000002</v>
      </c>
      <c r="AW83" s="11">
        <f>IF(AND(ISNUMBER(AV83),ISNUMBER(AT83)),IF(AT83&lt;&gt;0,AV83/ABS(AT83),""),"")</f>
        <v>2.0659769691626355E-2</v>
      </c>
      <c r="AX83" s="8">
        <v>1</v>
      </c>
      <c r="AY83" s="8">
        <v>0</v>
      </c>
      <c r="AZ83" s="8" t="s">
        <v>279</v>
      </c>
      <c r="BA83" s="8">
        <v>0</v>
      </c>
    </row>
    <row r="84" spans="1:53" x14ac:dyDescent="0.2">
      <c r="A84" s="8" t="s">
        <v>280</v>
      </c>
      <c r="B84" s="8" t="s">
        <v>83</v>
      </c>
      <c r="C84" s="8" t="s">
        <v>210</v>
      </c>
      <c r="D84" s="8">
        <v>1</v>
      </c>
      <c r="E84" s="8">
        <v>1</v>
      </c>
      <c r="F84" s="8">
        <f>SUM(G84:M84)</f>
        <v>1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1</v>
      </c>
      <c r="M84" s="8">
        <v>0</v>
      </c>
      <c r="N84" s="8">
        <v>0</v>
      </c>
      <c r="O84" s="8">
        <v>0</v>
      </c>
      <c r="P84" s="8">
        <v>1</v>
      </c>
      <c r="Q84" s="8">
        <v>0</v>
      </c>
      <c r="R84" s="8">
        <v>0</v>
      </c>
      <c r="S84" s="8">
        <v>0</v>
      </c>
      <c r="T84" s="10">
        <v>-31.161999999999999</v>
      </c>
      <c r="U84" s="10">
        <v>0</v>
      </c>
      <c r="V84" s="10">
        <v>-1.893</v>
      </c>
      <c r="W84" s="10">
        <f>IF(RIGHT(C84,2)="12",IF(ISNUMBER(T84),T84,""),IF(COUNT(T84,U84,V84)=3,T84+U84-V84,""))</f>
        <v>-29.268999999999998</v>
      </c>
      <c r="X84" s="10">
        <v>-29.268999999999998</v>
      </c>
      <c r="Y84" s="10">
        <v>-7.4870000000000001</v>
      </c>
      <c r="Z84" s="10">
        <v>9.3800000000000008</v>
      </c>
      <c r="AA84" s="10"/>
      <c r="AB84" s="10"/>
      <c r="AC84" s="8">
        <v>0</v>
      </c>
      <c r="AD84" s="8">
        <v>0</v>
      </c>
      <c r="AE84" s="8">
        <v>0</v>
      </c>
      <c r="AF84" s="10">
        <v>0</v>
      </c>
      <c r="AG84" s="8">
        <f>COUNTIF(Y84:AB84,"&gt;0")</f>
        <v>1</v>
      </c>
      <c r="AH84" s="10">
        <v>0</v>
      </c>
      <c r="AI84" s="10">
        <v>9.3800000000000008</v>
      </c>
      <c r="AJ84" s="8" t="str">
        <f>IF(ISNUMBER(X84),IF(X84&gt;0,"+",IF(X84&lt;0,"−","0")),IF(ISNUMBER(W84),IF(W84&gt;0,"+",IF(W84&lt;0,"−","0")),"yok"))</f>
        <v>−</v>
      </c>
      <c r="AK84" s="10">
        <f>IF(AND(RIGHT(C84,2)&lt;&gt;"12",ISNUMBER(U84),ISNUMBER(V84)),U84-V84,"")</f>
        <v>1.893</v>
      </c>
      <c r="AL84" s="11">
        <f>IF(AND(ISNUMBER(AK84),ISNUMBER(V84)),IF(V84&lt;&gt;0,AK84/ABS(V84),""),"")</f>
        <v>1</v>
      </c>
      <c r="AM84" s="8">
        <f>IF(ISNUMBER(AK84),IF(AK84&gt;1,1,0),"")</f>
        <v>1</v>
      </c>
      <c r="AN84" s="8">
        <f>IF(ISNUMBER(AK84),IF(AK84&gt;0.05*ABS(V84),1,0),"")</f>
        <v>1</v>
      </c>
      <c r="AO84" s="10">
        <v>-29.27</v>
      </c>
      <c r="AP84" s="10">
        <v>29.27</v>
      </c>
      <c r="AQ84" s="8" t="s">
        <v>209</v>
      </c>
      <c r="AR84" s="8">
        <v>0</v>
      </c>
      <c r="AS84" s="10">
        <v>-869.17700000000002</v>
      </c>
      <c r="AT84" s="10">
        <v>-898.447</v>
      </c>
      <c r="AU84" s="8" t="s">
        <v>209</v>
      </c>
      <c r="AV84" s="10">
        <v>1.893</v>
      </c>
      <c r="AW84" s="11">
        <f>IF(AND(ISNUMBER(AV84),ISNUMBER(AT84)),IF(AT84&lt;&gt;0,AV84/ABS(AT84),""),"")</f>
        <v>2.1069690254405657E-3</v>
      </c>
      <c r="AX84" s="8">
        <v>0</v>
      </c>
      <c r="AY84" s="8">
        <v>1</v>
      </c>
      <c r="AZ84" s="10"/>
      <c r="BA84" s="8">
        <v>0</v>
      </c>
    </row>
    <row r="85" spans="1:53" x14ac:dyDescent="0.2">
      <c r="A85" s="8" t="s">
        <v>281</v>
      </c>
      <c r="B85" s="8" t="s">
        <v>83</v>
      </c>
      <c r="C85" s="8" t="s">
        <v>203</v>
      </c>
      <c r="D85" s="8">
        <v>1</v>
      </c>
      <c r="E85" s="8">
        <v>1</v>
      </c>
      <c r="F85" s="8">
        <f>SUM(G85:M85)</f>
        <v>1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1</v>
      </c>
      <c r="N85" s="8">
        <v>0</v>
      </c>
      <c r="O85" s="8">
        <v>0</v>
      </c>
      <c r="P85" s="8">
        <v>1</v>
      </c>
      <c r="Q85" s="8">
        <v>0</v>
      </c>
      <c r="R85" s="8">
        <v>0</v>
      </c>
      <c r="S85" s="8">
        <v>0</v>
      </c>
      <c r="T85" s="10">
        <v>-23.721</v>
      </c>
      <c r="U85" s="10">
        <v>-23.643999999999998</v>
      </c>
      <c r="V85" s="10">
        <v>-23.643000000000001</v>
      </c>
      <c r="W85" s="10">
        <f>IF(RIGHT(C85,2)="12",IF(ISNUMBER(T85),T85,""),IF(COUNT(T85,U85,V85)=3,T85+U85-V85,""))</f>
        <v>-23.721999999999994</v>
      </c>
      <c r="X85" s="10">
        <v>-23.721</v>
      </c>
      <c r="Y85" s="10">
        <v>-7.78</v>
      </c>
      <c r="Z85" s="10">
        <v>6.26</v>
      </c>
      <c r="AA85" s="10">
        <v>1.5189999999999999</v>
      </c>
      <c r="AB85" s="10">
        <v>-23.721</v>
      </c>
      <c r="AC85" s="8">
        <v>0</v>
      </c>
      <c r="AD85" s="8">
        <v>0</v>
      </c>
      <c r="AE85" s="8">
        <v>0</v>
      </c>
      <c r="AF85" s="10">
        <v>0</v>
      </c>
      <c r="AG85" s="8">
        <f>COUNTIF(Y85:AB85,"&gt;0")</f>
        <v>2</v>
      </c>
      <c r="AH85" s="10">
        <v>0</v>
      </c>
      <c r="AI85" s="10">
        <v>7.7789999999999999</v>
      </c>
      <c r="AJ85" s="8" t="str">
        <f>IF(ISNUMBER(X85),IF(X85&gt;0,"+",IF(X85&lt;0,"−","0")),IF(ISNUMBER(W85),IF(W85&gt;0,"+",IF(W85&lt;0,"−","0")),"yok"))</f>
        <v>−</v>
      </c>
      <c r="AK85" s="10">
        <f>IF(AND(RIGHT(C85,2)&lt;&gt;"12",ISNUMBER(U85),ISNUMBER(V85)),U85-V85,"")</f>
        <v>-9.9999999999766942E-4</v>
      </c>
      <c r="AL85" s="11">
        <f>IF(AND(ISNUMBER(AK85),ISNUMBER(V85)),IF(V85&lt;&gt;0,AK85/ABS(V85),""),"")</f>
        <v>-4.2295816943605694E-5</v>
      </c>
      <c r="AM85" s="8">
        <f>IF(ISNUMBER(AK85),IF(AK85&gt;1,1,0),"")</f>
        <v>0</v>
      </c>
      <c r="AN85" s="8">
        <f>IF(ISNUMBER(AK85),IF(AK85&gt;0.05*ABS(V85),1,0),"")</f>
        <v>0</v>
      </c>
      <c r="AO85" s="10">
        <v>-23.721</v>
      </c>
      <c r="AP85" s="10">
        <v>23.721</v>
      </c>
      <c r="AQ85" s="8" t="s">
        <v>204</v>
      </c>
      <c r="AR85" s="8">
        <v>0</v>
      </c>
      <c r="AS85" s="10">
        <v>61.005000000000003</v>
      </c>
      <c r="AT85" s="10">
        <v>37.283999999999999</v>
      </c>
      <c r="AU85" s="8" t="s">
        <v>204</v>
      </c>
      <c r="AV85" s="10">
        <v>6.26</v>
      </c>
      <c r="AW85" s="11">
        <f>IF(AND(ISNUMBER(AV85),ISNUMBER(AT85)),IF(AT85&lt;&gt;0,AV85/ABS(AT85),""),"")</f>
        <v>0.16790043986696707</v>
      </c>
      <c r="AX85" s="8">
        <v>0</v>
      </c>
      <c r="AY85" s="8">
        <v>0</v>
      </c>
      <c r="AZ85" s="10"/>
      <c r="BA85" s="8">
        <v>0</v>
      </c>
    </row>
    <row r="86" spans="1:53" x14ac:dyDescent="0.2">
      <c r="A86" s="8" t="s">
        <v>281</v>
      </c>
      <c r="B86" s="8" t="s">
        <v>83</v>
      </c>
      <c r="C86" s="8" t="s">
        <v>205</v>
      </c>
      <c r="D86" s="8">
        <v>1</v>
      </c>
      <c r="E86" s="8">
        <v>1</v>
      </c>
      <c r="F86" s="8">
        <f>SUM(G86:M86)</f>
        <v>2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1</v>
      </c>
      <c r="M86" s="8">
        <v>1</v>
      </c>
      <c r="N86" s="8">
        <v>0</v>
      </c>
      <c r="O86" s="8">
        <v>0</v>
      </c>
      <c r="P86" s="8">
        <v>1</v>
      </c>
      <c r="Q86" s="8">
        <v>0</v>
      </c>
      <c r="R86" s="8">
        <v>0</v>
      </c>
      <c r="S86" s="8">
        <v>1</v>
      </c>
      <c r="T86" s="10">
        <v>-19.965</v>
      </c>
      <c r="U86" s="10">
        <v>-23.643999999999998</v>
      </c>
      <c r="V86" s="10">
        <v>-31.423999999999999</v>
      </c>
      <c r="W86" s="10">
        <f>IF(RIGHT(C86,2)="12",IF(ISNUMBER(T86),T86,""),IF(COUNT(T86,U86,V86)=3,T86+U86-V86,""))</f>
        <v>-12.184999999999995</v>
      </c>
      <c r="X86" s="10">
        <v>-12.183999999999999</v>
      </c>
      <c r="Y86" s="10">
        <v>6.26</v>
      </c>
      <c r="Z86" s="10">
        <v>1.5189999999999999</v>
      </c>
      <c r="AA86" s="10">
        <v>-23.721</v>
      </c>
      <c r="AB86" s="10">
        <v>3.7559999999999998</v>
      </c>
      <c r="AC86" s="8">
        <v>0</v>
      </c>
      <c r="AD86" s="8">
        <v>0</v>
      </c>
      <c r="AE86" s="8">
        <v>0</v>
      </c>
      <c r="AF86" s="10">
        <v>0</v>
      </c>
      <c r="AG86" s="8">
        <f>COUNTIF(Y86:AB86,"&gt;0")</f>
        <v>3</v>
      </c>
      <c r="AH86" s="10">
        <v>3.7559999999999998</v>
      </c>
      <c r="AI86" s="10">
        <v>7.7789999999999999</v>
      </c>
      <c r="AJ86" s="8" t="str">
        <f>IF(ISNUMBER(X86),IF(X86&gt;0,"+",IF(X86&lt;0,"−","0")),IF(ISNUMBER(W86),IF(W86&gt;0,"+",IF(W86&lt;0,"−","0")),"yok"))</f>
        <v>−</v>
      </c>
      <c r="AK86" s="10">
        <f>IF(AND(RIGHT(C86,2)&lt;&gt;"12",ISNUMBER(U86),ISNUMBER(V86)),U86-V86,"")</f>
        <v>7.7800000000000011</v>
      </c>
      <c r="AL86" s="11">
        <f>IF(AND(ISNUMBER(AK86),ISNUMBER(V86)),IF(V86&lt;&gt;0,AK86/ABS(V86),""),"")</f>
        <v>0.24758146639511205</v>
      </c>
      <c r="AM86" s="8">
        <f>IF(ISNUMBER(AK86),IF(AK86&gt;1,1,0),"")</f>
        <v>1</v>
      </c>
      <c r="AN86" s="8">
        <f>IF(ISNUMBER(AK86),IF(AK86&gt;0.05*ABS(V86),1,0),"")</f>
        <v>1</v>
      </c>
      <c r="AO86" s="10">
        <v>-12.185</v>
      </c>
      <c r="AP86" s="10">
        <v>12.185</v>
      </c>
      <c r="AQ86" s="8" t="s">
        <v>204</v>
      </c>
      <c r="AR86" s="8">
        <v>0</v>
      </c>
      <c r="AS86" s="10">
        <v>-81.984999999999999</v>
      </c>
      <c r="AT86" s="10">
        <v>-94.17</v>
      </c>
      <c r="AU86" s="8" t="s">
        <v>204</v>
      </c>
      <c r="AV86" s="10">
        <v>7.78</v>
      </c>
      <c r="AW86" s="11">
        <f>IF(AND(ISNUMBER(AV86),ISNUMBER(AT86)),IF(AT86&lt;&gt;0,AV86/ABS(AT86),""),"")</f>
        <v>8.2616544547095674E-2</v>
      </c>
      <c r="AX86" s="8">
        <v>0</v>
      </c>
      <c r="AY86" s="8">
        <v>1</v>
      </c>
      <c r="AZ86" s="10"/>
      <c r="BA86" s="8">
        <v>0</v>
      </c>
    </row>
    <row r="87" spans="1:53" x14ac:dyDescent="0.2">
      <c r="A87" s="8" t="s">
        <v>281</v>
      </c>
      <c r="B87" s="8" t="s">
        <v>83</v>
      </c>
      <c r="C87" s="8" t="s">
        <v>215</v>
      </c>
      <c r="D87" s="8">
        <v>1</v>
      </c>
      <c r="E87" s="8">
        <v>1</v>
      </c>
      <c r="F87" s="8">
        <f>SUM(G87:M87)</f>
        <v>2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1</v>
      </c>
      <c r="M87" s="8">
        <v>1</v>
      </c>
      <c r="N87" s="8">
        <v>0</v>
      </c>
      <c r="O87" s="8">
        <v>0</v>
      </c>
      <c r="P87" s="8">
        <v>1</v>
      </c>
      <c r="Q87" s="8">
        <v>0</v>
      </c>
      <c r="R87" s="8">
        <v>0</v>
      </c>
      <c r="S87" s="8">
        <v>1</v>
      </c>
      <c r="T87" s="10">
        <v>-22.695</v>
      </c>
      <c r="U87" s="10">
        <v>-23.643999999999998</v>
      </c>
      <c r="V87" s="10">
        <v>-25.163</v>
      </c>
      <c r="W87" s="10">
        <f>IF(RIGHT(C87,2)="12",IF(ISNUMBER(T87),T87,""),IF(COUNT(T87,U87,V87)=3,T87+U87-V87,""))</f>
        <v>-21.175999999999998</v>
      </c>
      <c r="X87" s="10">
        <v>-21.175000000000001</v>
      </c>
      <c r="Y87" s="10">
        <v>1.5189999999999999</v>
      </c>
      <c r="Z87" s="10">
        <v>-23.721</v>
      </c>
      <c r="AA87" s="10">
        <v>3.7559999999999998</v>
      </c>
      <c r="AB87" s="10">
        <v>-2.73</v>
      </c>
      <c r="AC87" s="8">
        <v>0</v>
      </c>
      <c r="AD87" s="8">
        <v>0</v>
      </c>
      <c r="AE87" s="8">
        <v>0</v>
      </c>
      <c r="AF87" s="10">
        <v>0</v>
      </c>
      <c r="AG87" s="8">
        <f>COUNTIF(Y87:AB87,"&gt;0")</f>
        <v>2</v>
      </c>
      <c r="AH87" s="10">
        <v>3.7559999999999998</v>
      </c>
      <c r="AI87" s="10">
        <v>1.5189999999999999</v>
      </c>
      <c r="AJ87" s="8" t="str">
        <f>IF(ISNUMBER(X87),IF(X87&gt;0,"+",IF(X87&lt;0,"−","0")),IF(ISNUMBER(W87),IF(W87&gt;0,"+",IF(W87&lt;0,"−","0")),"yok"))</f>
        <v>−</v>
      </c>
      <c r="AK87" s="10">
        <f>IF(AND(RIGHT(C87,2)&lt;&gt;"12",ISNUMBER(U87),ISNUMBER(V87)),U87-V87,"")</f>
        <v>1.5190000000000019</v>
      </c>
      <c r="AL87" s="11">
        <f>IF(AND(ISNUMBER(AK87),ISNUMBER(V87)),IF(V87&lt;&gt;0,AK87/ABS(V87),""),"")</f>
        <v>6.0366411000278258E-2</v>
      </c>
      <c r="AM87" s="8">
        <f>IF(ISNUMBER(AK87),IF(AK87&gt;1,1,0),"")</f>
        <v>1</v>
      </c>
      <c r="AN87" s="8">
        <f>IF(ISNUMBER(AK87),IF(AK87&gt;0.05*ABS(V87),1,0),"")</f>
        <v>1</v>
      </c>
      <c r="AO87" s="10">
        <v>-21.175000000000001</v>
      </c>
      <c r="AP87" s="10">
        <v>21.175000000000001</v>
      </c>
      <c r="AQ87" s="8" t="s">
        <v>204</v>
      </c>
      <c r="AR87" s="8">
        <v>0</v>
      </c>
      <c r="AS87" s="10">
        <v>13.952</v>
      </c>
      <c r="AT87" s="10">
        <v>-7.2229999999999999</v>
      </c>
      <c r="AU87" s="8" t="s">
        <v>204</v>
      </c>
      <c r="AV87" s="10">
        <v>1.5189999999999999</v>
      </c>
      <c r="AW87" s="11">
        <f>IF(AND(ISNUMBER(AV87),ISNUMBER(AT87)),IF(AT87&lt;&gt;0,AV87/ABS(AT87),""),"")</f>
        <v>0.21030042918454936</v>
      </c>
      <c r="AX87" s="8">
        <v>0</v>
      </c>
      <c r="AY87" s="8">
        <v>1</v>
      </c>
      <c r="AZ87" s="10"/>
      <c r="BA87" s="8">
        <v>0</v>
      </c>
    </row>
    <row r="88" spans="1:53" x14ac:dyDescent="0.2">
      <c r="A88" s="8" t="s">
        <v>281</v>
      </c>
      <c r="B88" s="8" t="s">
        <v>83</v>
      </c>
      <c r="C88" s="8" t="s">
        <v>208</v>
      </c>
      <c r="D88" s="8">
        <v>1</v>
      </c>
      <c r="E88" s="8">
        <v>1</v>
      </c>
      <c r="F88" s="8">
        <f>SUM(G88:M88)</f>
        <v>1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1</v>
      </c>
      <c r="N88" s="8">
        <v>0</v>
      </c>
      <c r="O88" s="8">
        <v>0</v>
      </c>
      <c r="P88" s="8">
        <v>1</v>
      </c>
      <c r="Q88" s="8">
        <v>0</v>
      </c>
      <c r="R88" s="8">
        <v>0</v>
      </c>
      <c r="S88" s="8">
        <v>0</v>
      </c>
      <c r="T88" s="10">
        <v>-1.8129999999999999</v>
      </c>
      <c r="U88" s="10">
        <v>-25.097999999999999</v>
      </c>
      <c r="V88" s="10">
        <v>-23.721</v>
      </c>
      <c r="W88" s="10">
        <f>IF(RIGHT(C88,2)="12",IF(ISNUMBER(T88),T88,""),IF(COUNT(T88,U88,V88)=3,T88+U88-V88,""))</f>
        <v>-3.1899999999999977</v>
      </c>
      <c r="X88" s="10">
        <v>-3.19</v>
      </c>
      <c r="Y88" s="10">
        <v>3.7559999999999998</v>
      </c>
      <c r="Z88" s="10">
        <v>-2.73</v>
      </c>
      <c r="AA88" s="10">
        <v>-2.403</v>
      </c>
      <c r="AB88" s="10">
        <v>-1.8129999999999999</v>
      </c>
      <c r="AC88" s="8">
        <v>0</v>
      </c>
      <c r="AD88" s="8">
        <v>0</v>
      </c>
      <c r="AE88" s="8">
        <v>0</v>
      </c>
      <c r="AF88" s="10">
        <v>0</v>
      </c>
      <c r="AG88" s="8">
        <f>COUNTIF(Y88:AB88,"&gt;0")</f>
        <v>1</v>
      </c>
      <c r="AH88" s="10">
        <v>0</v>
      </c>
      <c r="AI88" s="10">
        <v>3.7559999999999998</v>
      </c>
      <c r="AJ88" s="8" t="str">
        <f>IF(ISNUMBER(X88),IF(X88&gt;0,"+",IF(X88&lt;0,"−","0")),IF(ISNUMBER(W88),IF(W88&gt;0,"+",IF(W88&lt;0,"−","0")),"yok"))</f>
        <v>−</v>
      </c>
      <c r="AK88" s="10">
        <f>IF(AND(RIGHT(C88,2)&lt;&gt;"12",ISNUMBER(U88),ISNUMBER(V88)),U88-V88,"")</f>
        <v>-1.3769999999999989</v>
      </c>
      <c r="AL88" s="11">
        <f>IF(AND(ISNUMBER(AK88),ISNUMBER(V88)),IF(V88&lt;&gt;0,AK88/ABS(V88),""),"")</f>
        <v>-5.8049829265207999E-2</v>
      </c>
      <c r="AM88" s="8">
        <f>IF(ISNUMBER(AK88),IF(AK88&gt;1,1,0),"")</f>
        <v>0</v>
      </c>
      <c r="AN88" s="8">
        <f>IF(ISNUMBER(AK88),IF(AK88&gt;0.05*ABS(V88),1,0),"")</f>
        <v>0</v>
      </c>
      <c r="AO88" s="10">
        <v>-3.1909999999999998</v>
      </c>
      <c r="AP88" s="10">
        <v>3.1909999999999998</v>
      </c>
      <c r="AQ88" s="8" t="s">
        <v>204</v>
      </c>
      <c r="AR88" s="8">
        <v>0</v>
      </c>
      <c r="AS88" s="10">
        <v>80.960999999999999</v>
      </c>
      <c r="AT88" s="10">
        <v>77.77</v>
      </c>
      <c r="AU88" s="8" t="s">
        <v>204</v>
      </c>
      <c r="AV88" s="10">
        <v>3.7559999999999998</v>
      </c>
      <c r="AW88" s="11">
        <f>IF(AND(ISNUMBER(AV88),ISNUMBER(AT88)),IF(AT88&lt;&gt;0,AV88/ABS(AT88),""),"")</f>
        <v>4.8296258197248296E-2</v>
      </c>
      <c r="AX88" s="8">
        <v>0</v>
      </c>
      <c r="AY88" s="8">
        <v>0</v>
      </c>
      <c r="AZ88" s="10"/>
      <c r="BA88" s="8">
        <v>0</v>
      </c>
    </row>
    <row r="89" spans="1:53" x14ac:dyDescent="0.2">
      <c r="A89" s="8" t="s">
        <v>282</v>
      </c>
      <c r="B89" s="8" t="s">
        <v>83</v>
      </c>
      <c r="C89" s="8" t="s">
        <v>203</v>
      </c>
      <c r="D89" s="8">
        <v>1</v>
      </c>
      <c r="E89" s="8">
        <v>1</v>
      </c>
      <c r="F89" s="8">
        <f>SUM(G89:M89)</f>
        <v>2</v>
      </c>
      <c r="G89" s="8">
        <v>0</v>
      </c>
      <c r="H89" s="8">
        <v>0</v>
      </c>
      <c r="I89" s="8">
        <v>1</v>
      </c>
      <c r="J89" s="8">
        <v>0</v>
      </c>
      <c r="K89" s="8">
        <v>0</v>
      </c>
      <c r="L89" s="8">
        <v>1</v>
      </c>
      <c r="M89" s="8">
        <v>0</v>
      </c>
      <c r="N89" s="8">
        <v>1</v>
      </c>
      <c r="O89" s="8">
        <v>0</v>
      </c>
      <c r="P89" s="8">
        <v>1</v>
      </c>
      <c r="Q89" s="8">
        <v>0</v>
      </c>
      <c r="R89" s="8">
        <v>0</v>
      </c>
      <c r="S89" s="8">
        <v>0</v>
      </c>
      <c r="T89" s="10">
        <v>-3.6989999999999998</v>
      </c>
      <c r="U89" s="10">
        <v>0</v>
      </c>
      <c r="V89" s="10">
        <v>-27.341000000000001</v>
      </c>
      <c r="W89" s="10">
        <f>IF(RIGHT(C89,2)="12",IF(ISNUMBER(T89),T89,""),IF(COUNT(T89,U89,V89)=3,T89+U89-V89,""))</f>
        <v>23.642000000000003</v>
      </c>
      <c r="X89" s="10">
        <v>23.641999999999999</v>
      </c>
      <c r="Y89" s="10">
        <v>-27.789000000000001</v>
      </c>
      <c r="Z89" s="10">
        <v>-3.4990000000000001</v>
      </c>
      <c r="AA89" s="10">
        <v>58.63</v>
      </c>
      <c r="AB89" s="10">
        <v>-3.6989999999999998</v>
      </c>
      <c r="AC89" s="8">
        <v>0</v>
      </c>
      <c r="AD89" s="8">
        <v>0</v>
      </c>
      <c r="AE89" s="8">
        <v>0</v>
      </c>
      <c r="AF89" s="10">
        <v>0</v>
      </c>
      <c r="AG89" s="8">
        <f>COUNTIF(Y89:AB89,"&gt;0")</f>
        <v>1</v>
      </c>
      <c r="AH89" s="10">
        <v>0</v>
      </c>
      <c r="AI89" s="10">
        <v>58.63</v>
      </c>
      <c r="AJ89" s="8" t="str">
        <f>IF(ISNUMBER(X89),IF(X89&gt;0,"+",IF(X89&lt;0,"−","0")),IF(ISNUMBER(W89),IF(W89&gt;0,"+",IF(W89&lt;0,"−","0")),"yok"))</f>
        <v>+</v>
      </c>
      <c r="AK89" s="10">
        <f>IF(AND(RIGHT(C89,2)&lt;&gt;"12",ISNUMBER(U89),ISNUMBER(V89)),U89-V89,"")</f>
        <v>27.341000000000001</v>
      </c>
      <c r="AL89" s="11">
        <f>IF(AND(ISNUMBER(AK89),ISNUMBER(V89)),IF(V89&lt;&gt;0,AK89/ABS(V89),""),"")</f>
        <v>1</v>
      </c>
      <c r="AM89" s="8">
        <f>IF(ISNUMBER(AK89),IF(AK89&gt;1,1,0),"")</f>
        <v>1</v>
      </c>
      <c r="AN89" s="8">
        <f>IF(ISNUMBER(AK89),IF(AK89&gt;0.05*ABS(V89),1,0),"")</f>
        <v>1</v>
      </c>
      <c r="AO89" s="10">
        <v>23.641999999999999</v>
      </c>
      <c r="AP89" s="10">
        <v>0</v>
      </c>
      <c r="AQ89" s="8" t="s">
        <v>204</v>
      </c>
      <c r="AR89" s="8">
        <v>1</v>
      </c>
      <c r="AS89" s="10">
        <v>-503.04</v>
      </c>
      <c r="AT89" s="10">
        <v>-503.04</v>
      </c>
      <c r="AU89" s="8" t="s">
        <v>204</v>
      </c>
      <c r="AV89" s="10">
        <v>27.341000000000001</v>
      </c>
      <c r="AW89" s="11">
        <f>IF(AND(ISNUMBER(AV89),ISNUMBER(AT89)),IF(AT89&lt;&gt;0,AV89/ABS(AT89),""),"")</f>
        <v>5.435154262086514E-2</v>
      </c>
      <c r="AX89" s="8">
        <v>0</v>
      </c>
      <c r="AY89" s="8">
        <v>1</v>
      </c>
      <c r="AZ89" s="10"/>
      <c r="BA89" s="8">
        <v>0</v>
      </c>
    </row>
    <row r="90" spans="1:53" x14ac:dyDescent="0.2">
      <c r="A90" s="8" t="s">
        <v>282</v>
      </c>
      <c r="B90" s="8" t="s">
        <v>83</v>
      </c>
      <c r="C90" s="8" t="s">
        <v>205</v>
      </c>
      <c r="D90" s="8">
        <v>1</v>
      </c>
      <c r="E90" s="8">
        <v>1</v>
      </c>
      <c r="F90" s="8">
        <f>SUM(G90:M90)</f>
        <v>2</v>
      </c>
      <c r="G90" s="8">
        <v>0</v>
      </c>
      <c r="H90" s="8">
        <v>0</v>
      </c>
      <c r="I90" s="8">
        <v>1</v>
      </c>
      <c r="J90" s="8">
        <v>0</v>
      </c>
      <c r="K90" s="8">
        <v>0</v>
      </c>
      <c r="L90" s="8">
        <v>1</v>
      </c>
      <c r="M90" s="8">
        <v>0</v>
      </c>
      <c r="N90" s="8">
        <v>1</v>
      </c>
      <c r="O90" s="8">
        <v>0</v>
      </c>
      <c r="P90" s="8">
        <v>1</v>
      </c>
      <c r="Q90" s="8">
        <v>0</v>
      </c>
      <c r="R90" s="8">
        <v>0</v>
      </c>
      <c r="S90" s="8">
        <v>0</v>
      </c>
      <c r="T90" s="10">
        <v>-4.9930000000000003</v>
      </c>
      <c r="U90" s="10">
        <v>0</v>
      </c>
      <c r="V90" s="10">
        <v>-55.13</v>
      </c>
      <c r="W90" s="10">
        <f>IF(RIGHT(C90,2)="12",IF(ISNUMBER(T90),T90,""),IF(COUNT(T90,U90,V90)=3,T90+U90-V90,""))</f>
        <v>50.137</v>
      </c>
      <c r="X90" s="10">
        <v>50.137</v>
      </c>
      <c r="Y90" s="10">
        <v>-3.4990000000000001</v>
      </c>
      <c r="Z90" s="10">
        <v>58.63</v>
      </c>
      <c r="AA90" s="10">
        <v>-3.6989999999999998</v>
      </c>
      <c r="AB90" s="10">
        <v>-1.294</v>
      </c>
      <c r="AC90" s="8">
        <v>0</v>
      </c>
      <c r="AD90" s="8">
        <v>0</v>
      </c>
      <c r="AE90" s="8">
        <v>0</v>
      </c>
      <c r="AF90" s="10">
        <v>0</v>
      </c>
      <c r="AG90" s="8">
        <f>COUNTIF(Y90:AB90,"&gt;0")</f>
        <v>1</v>
      </c>
      <c r="AH90" s="10">
        <v>0</v>
      </c>
      <c r="AI90" s="10">
        <v>58.63</v>
      </c>
      <c r="AJ90" s="8" t="str">
        <f>IF(ISNUMBER(X90),IF(X90&gt;0,"+",IF(X90&lt;0,"−","0")),IF(ISNUMBER(W90),IF(W90&gt;0,"+",IF(W90&lt;0,"−","0")),"yok"))</f>
        <v>+</v>
      </c>
      <c r="AK90" s="10">
        <f>IF(AND(RIGHT(C90,2)&lt;&gt;"12",ISNUMBER(U90),ISNUMBER(V90)),U90-V90,"")</f>
        <v>55.13</v>
      </c>
      <c r="AL90" s="11">
        <f>IF(AND(ISNUMBER(AK90),ISNUMBER(V90)),IF(V90&lt;&gt;0,AK90/ABS(V90),""),"")</f>
        <v>1</v>
      </c>
      <c r="AM90" s="8">
        <f>IF(ISNUMBER(AK90),IF(AK90&gt;1,1,0),"")</f>
        <v>1</v>
      </c>
      <c r="AN90" s="8">
        <f>IF(ISNUMBER(AK90),IF(AK90&gt;0.05*ABS(V90),1,0),"")</f>
        <v>1</v>
      </c>
      <c r="AO90" s="10">
        <v>50.137</v>
      </c>
      <c r="AP90" s="10">
        <v>0</v>
      </c>
      <c r="AQ90" s="8" t="s">
        <v>204</v>
      </c>
      <c r="AR90" s="8">
        <v>1</v>
      </c>
      <c r="AS90" s="10">
        <v>-468.67500000000001</v>
      </c>
      <c r="AT90" s="10">
        <v>-468.67500000000001</v>
      </c>
      <c r="AU90" s="8" t="s">
        <v>204</v>
      </c>
      <c r="AV90" s="10">
        <v>55.13</v>
      </c>
      <c r="AW90" s="11">
        <f>IF(AND(ISNUMBER(AV90),ISNUMBER(AT90)),IF(AT90&lt;&gt;0,AV90/ABS(AT90),""),"")</f>
        <v>0.11762948738464821</v>
      </c>
      <c r="AX90" s="8">
        <v>0</v>
      </c>
      <c r="AY90" s="8">
        <v>1</v>
      </c>
      <c r="AZ90" s="10"/>
      <c r="BA90" s="8">
        <v>0</v>
      </c>
    </row>
    <row r="91" spans="1:53" x14ac:dyDescent="0.2">
      <c r="A91" s="8" t="s">
        <v>282</v>
      </c>
      <c r="B91" s="8" t="s">
        <v>83</v>
      </c>
      <c r="C91" s="8" t="s">
        <v>215</v>
      </c>
      <c r="D91" s="8">
        <v>1</v>
      </c>
      <c r="E91" s="8">
        <v>1</v>
      </c>
      <c r="F91" s="8">
        <f>SUM(G91:M91)</f>
        <v>2</v>
      </c>
      <c r="G91" s="8">
        <v>0</v>
      </c>
      <c r="H91" s="8">
        <v>0</v>
      </c>
      <c r="I91" s="8">
        <v>1</v>
      </c>
      <c r="J91" s="8">
        <v>0</v>
      </c>
      <c r="K91" s="8">
        <v>0</v>
      </c>
      <c r="L91" s="8">
        <v>1</v>
      </c>
      <c r="M91" s="8">
        <v>0</v>
      </c>
      <c r="N91" s="8">
        <v>1</v>
      </c>
      <c r="O91" s="8">
        <v>0</v>
      </c>
      <c r="P91" s="8">
        <v>1</v>
      </c>
      <c r="Q91" s="8">
        <v>0</v>
      </c>
      <c r="R91" s="8">
        <v>0</v>
      </c>
      <c r="S91" s="8">
        <v>0</v>
      </c>
      <c r="T91" s="10">
        <v>-13.239000000000001</v>
      </c>
      <c r="U91" s="10">
        <v>0</v>
      </c>
      <c r="V91" s="10">
        <v>-58.63</v>
      </c>
      <c r="W91" s="10">
        <f>IF(RIGHT(C91,2)="12",IF(ISNUMBER(T91),T91,""),IF(COUNT(T91,U91,V91)=3,T91+U91-V91,""))</f>
        <v>45.391000000000005</v>
      </c>
      <c r="X91" s="10">
        <v>45.390999999999998</v>
      </c>
      <c r="Y91" s="10">
        <v>58.63</v>
      </c>
      <c r="Z91" s="10">
        <v>-3.6989999999999998</v>
      </c>
      <c r="AA91" s="10">
        <v>-1.294</v>
      </c>
      <c r="AB91" s="10">
        <v>-8.2449999999999992</v>
      </c>
      <c r="AC91" s="8">
        <v>0</v>
      </c>
      <c r="AD91" s="8">
        <v>0</v>
      </c>
      <c r="AE91" s="8">
        <v>0</v>
      </c>
      <c r="AF91" s="10">
        <v>0</v>
      </c>
      <c r="AG91" s="8">
        <f>COUNTIF(Y91:AB91,"&gt;0")</f>
        <v>1</v>
      </c>
      <c r="AH91" s="10">
        <v>0</v>
      </c>
      <c r="AI91" s="10">
        <v>58.63</v>
      </c>
      <c r="AJ91" s="8" t="str">
        <f>IF(ISNUMBER(X91),IF(X91&gt;0,"+",IF(X91&lt;0,"−","0")),IF(ISNUMBER(W91),IF(W91&gt;0,"+",IF(W91&lt;0,"−","0")),"yok"))</f>
        <v>+</v>
      </c>
      <c r="AK91" s="10">
        <f>IF(AND(RIGHT(C91,2)&lt;&gt;"12",ISNUMBER(U91),ISNUMBER(V91)),U91-V91,"")</f>
        <v>58.63</v>
      </c>
      <c r="AL91" s="11">
        <f>IF(AND(ISNUMBER(AK91),ISNUMBER(V91)),IF(V91&lt;&gt;0,AK91/ABS(V91),""),"")</f>
        <v>1</v>
      </c>
      <c r="AM91" s="8">
        <f>IF(ISNUMBER(AK91),IF(AK91&gt;1,1,0),"")</f>
        <v>1</v>
      </c>
      <c r="AN91" s="8">
        <f>IF(ISNUMBER(AK91),IF(AK91&gt;0.05*ABS(V91),1,0),"")</f>
        <v>1</v>
      </c>
      <c r="AO91" s="10">
        <v>45.390999999999998</v>
      </c>
      <c r="AP91" s="10">
        <v>0</v>
      </c>
      <c r="AQ91" s="8" t="s">
        <v>204</v>
      </c>
      <c r="AR91" s="8">
        <v>1</v>
      </c>
      <c r="AS91" s="10">
        <v>-835.15</v>
      </c>
      <c r="AT91" s="10">
        <v>-835.15</v>
      </c>
      <c r="AU91" s="8" t="s">
        <v>204</v>
      </c>
      <c r="AV91" s="10">
        <v>58.63</v>
      </c>
      <c r="AW91" s="11">
        <f>IF(AND(ISNUMBER(AV91),ISNUMBER(AT91)),IF(AT91&lt;&gt;0,AV91/ABS(AT91),""),"")</f>
        <v>7.0202957552535472E-2</v>
      </c>
      <c r="AX91" s="8">
        <v>0</v>
      </c>
      <c r="AY91" s="8">
        <v>1</v>
      </c>
      <c r="AZ91" s="10"/>
      <c r="BA91" s="8">
        <v>0</v>
      </c>
    </row>
    <row r="92" spans="1:53" x14ac:dyDescent="0.2">
      <c r="A92" s="8" t="s">
        <v>282</v>
      </c>
      <c r="B92" s="8" t="s">
        <v>83</v>
      </c>
      <c r="C92" s="8" t="s">
        <v>208</v>
      </c>
      <c r="D92" s="8">
        <v>1</v>
      </c>
      <c r="E92" s="8">
        <v>1</v>
      </c>
      <c r="F92" s="8">
        <f>SUM(G92:M92)</f>
        <v>1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1</v>
      </c>
      <c r="M92" s="8">
        <v>0</v>
      </c>
      <c r="N92" s="8">
        <v>0</v>
      </c>
      <c r="O92" s="8">
        <v>0</v>
      </c>
      <c r="P92" s="8">
        <v>1</v>
      </c>
      <c r="Q92" s="8">
        <v>0</v>
      </c>
      <c r="R92" s="8">
        <v>0</v>
      </c>
      <c r="S92" s="8">
        <v>0</v>
      </c>
      <c r="T92" s="10">
        <v>-4.7510000000000003</v>
      </c>
      <c r="U92" s="10">
        <v>0</v>
      </c>
      <c r="V92" s="10">
        <v>-3.6989999999999998</v>
      </c>
      <c r="W92" s="10">
        <f>IF(RIGHT(C92,2)="12",IF(ISNUMBER(T92),T92,""),IF(COUNT(T92,U92,V92)=3,T92+U92-V92,""))</f>
        <v>-1.0520000000000005</v>
      </c>
      <c r="X92" s="10">
        <v>-1.052</v>
      </c>
      <c r="Y92" s="10">
        <v>-1.294</v>
      </c>
      <c r="Z92" s="10">
        <v>-8.2449999999999992</v>
      </c>
      <c r="AA92" s="10">
        <v>13.239000000000001</v>
      </c>
      <c r="AB92" s="10">
        <v>-4.7510000000000003</v>
      </c>
      <c r="AC92" s="8">
        <v>0</v>
      </c>
      <c r="AD92" s="8">
        <v>0</v>
      </c>
      <c r="AE92" s="8">
        <v>0</v>
      </c>
      <c r="AF92" s="10">
        <v>0</v>
      </c>
      <c r="AG92" s="8">
        <f>COUNTIF(Y92:AB92,"&gt;0")</f>
        <v>1</v>
      </c>
      <c r="AH92" s="10">
        <v>0</v>
      </c>
      <c r="AI92" s="10">
        <v>13.239000000000001</v>
      </c>
      <c r="AJ92" s="8" t="str">
        <f>IF(ISNUMBER(X92),IF(X92&gt;0,"+",IF(X92&lt;0,"−","0")),IF(ISNUMBER(W92),IF(W92&gt;0,"+",IF(W92&lt;0,"−","0")),"yok"))</f>
        <v>−</v>
      </c>
      <c r="AK92" s="10">
        <f>IF(AND(RIGHT(C92,2)&lt;&gt;"12",ISNUMBER(U92),ISNUMBER(V92)),U92-V92,"")</f>
        <v>3.6989999999999998</v>
      </c>
      <c r="AL92" s="11">
        <f>IF(AND(ISNUMBER(AK92),ISNUMBER(V92)),IF(V92&lt;&gt;0,AK92/ABS(V92),""),"")</f>
        <v>1</v>
      </c>
      <c r="AM92" s="8">
        <f>IF(ISNUMBER(AK92),IF(AK92&gt;1,1,0),"")</f>
        <v>1</v>
      </c>
      <c r="AN92" s="8">
        <f>IF(ISNUMBER(AK92),IF(AK92&gt;0.05*ABS(V92),1,0),"")</f>
        <v>1</v>
      </c>
      <c r="AO92" s="10">
        <v>-1.0529999999999999</v>
      </c>
      <c r="AP92" s="10">
        <v>1.0529999999999999</v>
      </c>
      <c r="AQ92" s="8" t="s">
        <v>204</v>
      </c>
      <c r="AR92" s="8">
        <v>0</v>
      </c>
      <c r="AS92" s="10">
        <v>157.44999999999999</v>
      </c>
      <c r="AT92" s="10">
        <v>156.39699999999999</v>
      </c>
      <c r="AU92" s="8" t="s">
        <v>212</v>
      </c>
      <c r="AV92" s="10">
        <v>3.6989999999999998</v>
      </c>
      <c r="AW92" s="11">
        <f>IF(AND(ISNUMBER(AV92),ISNUMBER(AT92)),IF(AT92&lt;&gt;0,AV92/ABS(AT92),""),"")</f>
        <v>2.3651348811038576E-2</v>
      </c>
      <c r="AX92" s="8">
        <v>0</v>
      </c>
      <c r="AY92" s="8">
        <v>1</v>
      </c>
      <c r="AZ92" s="10"/>
      <c r="BA92" s="8">
        <v>0</v>
      </c>
    </row>
    <row r="93" spans="1:53" x14ac:dyDescent="0.2">
      <c r="A93" s="8" t="s">
        <v>282</v>
      </c>
      <c r="B93" s="8" t="s">
        <v>83</v>
      </c>
      <c r="C93" s="8" t="s">
        <v>210</v>
      </c>
      <c r="D93" s="8">
        <v>1</v>
      </c>
      <c r="E93" s="8">
        <v>1</v>
      </c>
      <c r="F93" s="8">
        <f>SUM(G93:M93)</f>
        <v>2</v>
      </c>
      <c r="G93" s="8">
        <v>0</v>
      </c>
      <c r="H93" s="8">
        <v>0</v>
      </c>
      <c r="I93" s="8">
        <v>1</v>
      </c>
      <c r="J93" s="8">
        <v>0</v>
      </c>
      <c r="K93" s="8">
        <v>0</v>
      </c>
      <c r="L93" s="8">
        <v>1</v>
      </c>
      <c r="M93" s="8">
        <v>0</v>
      </c>
      <c r="N93" s="8">
        <v>1</v>
      </c>
      <c r="O93" s="8">
        <v>0</v>
      </c>
      <c r="P93" s="8">
        <v>1</v>
      </c>
      <c r="Q93" s="8">
        <v>0</v>
      </c>
      <c r="R93" s="8">
        <v>0</v>
      </c>
      <c r="S93" s="8">
        <v>0</v>
      </c>
      <c r="T93" s="10">
        <v>-4.4400000000000004</v>
      </c>
      <c r="U93" s="10">
        <v>0</v>
      </c>
      <c r="V93" s="10">
        <v>-4.9930000000000003</v>
      </c>
      <c r="W93" s="10">
        <f>IF(RIGHT(C93,2)="12",IF(ISNUMBER(T93),T93,""),IF(COUNT(T93,U93,V93)=3,T93+U93-V93,""))</f>
        <v>0.55299999999999994</v>
      </c>
      <c r="X93" s="10">
        <v>0.55300000000000005</v>
      </c>
      <c r="Y93" s="10">
        <v>-8.2449999999999992</v>
      </c>
      <c r="Z93" s="10">
        <v>13.239000000000001</v>
      </c>
      <c r="AA93" s="10">
        <v>-4.7510000000000003</v>
      </c>
      <c r="AB93" s="10">
        <v>0.311</v>
      </c>
      <c r="AC93" s="8">
        <v>0</v>
      </c>
      <c r="AD93" s="8">
        <v>0</v>
      </c>
      <c r="AE93" s="8">
        <v>0</v>
      </c>
      <c r="AF93" s="10">
        <v>0</v>
      </c>
      <c r="AG93" s="8">
        <f>COUNTIF(Y93:AB93,"&gt;0")</f>
        <v>2</v>
      </c>
      <c r="AH93" s="10">
        <v>0.311</v>
      </c>
      <c r="AI93" s="10">
        <v>13.239000000000001</v>
      </c>
      <c r="AJ93" s="8" t="str">
        <f>IF(ISNUMBER(X93),IF(X93&gt;0,"+",IF(X93&lt;0,"−","0")),IF(ISNUMBER(W93),IF(W93&gt;0,"+",IF(W93&lt;0,"−","0")),"yok"))</f>
        <v>+</v>
      </c>
      <c r="AK93" s="10">
        <f>IF(AND(RIGHT(C93,2)&lt;&gt;"12",ISNUMBER(U93),ISNUMBER(V93)),U93-V93,"")</f>
        <v>4.9930000000000003</v>
      </c>
      <c r="AL93" s="11">
        <f>IF(AND(ISNUMBER(AK93),ISNUMBER(V93)),IF(V93&lt;&gt;0,AK93/ABS(V93),""),"")</f>
        <v>1</v>
      </c>
      <c r="AM93" s="8">
        <f>IF(ISNUMBER(AK93),IF(AK93&gt;1,1,0),"")</f>
        <v>1</v>
      </c>
      <c r="AN93" s="8">
        <f>IF(ISNUMBER(AK93),IF(AK93&gt;0.05*ABS(V93),1,0),"")</f>
        <v>1</v>
      </c>
      <c r="AO93" s="10">
        <v>0.55399999999999905</v>
      </c>
      <c r="AP93" s="10">
        <v>0</v>
      </c>
      <c r="AQ93" s="8" t="s">
        <v>204</v>
      </c>
      <c r="AR93" s="8">
        <v>1</v>
      </c>
      <c r="AS93" s="10">
        <v>-83.703000000000003</v>
      </c>
      <c r="AT93" s="10">
        <v>-83.703000000000003</v>
      </c>
      <c r="AU93" s="8" t="s">
        <v>204</v>
      </c>
      <c r="AV93" s="10">
        <v>4.9930000000000003</v>
      </c>
      <c r="AW93" s="11">
        <f>IF(AND(ISNUMBER(AV93),ISNUMBER(AT93)),IF(AT93&lt;&gt;0,AV93/ABS(AT93),""),"")</f>
        <v>5.965138644970909E-2</v>
      </c>
      <c r="AX93" s="8">
        <v>0</v>
      </c>
      <c r="AY93" s="8">
        <v>1</v>
      </c>
      <c r="AZ93" s="10"/>
      <c r="BA93" s="8">
        <v>0</v>
      </c>
    </row>
    <row r="94" spans="1:53" x14ac:dyDescent="0.2">
      <c r="A94" s="8" t="s">
        <v>283</v>
      </c>
      <c r="B94" s="8" t="s">
        <v>82</v>
      </c>
      <c r="C94" s="8" t="s">
        <v>203</v>
      </c>
      <c r="D94" s="8">
        <v>1</v>
      </c>
      <c r="E94" s="8">
        <v>1</v>
      </c>
      <c r="F94" s="8">
        <f>SUM(G94:M94)</f>
        <v>1</v>
      </c>
      <c r="G94" s="8">
        <v>1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1</v>
      </c>
      <c r="O94" s="8">
        <v>0</v>
      </c>
      <c r="P94" s="8">
        <v>1</v>
      </c>
      <c r="Q94" s="8">
        <v>1</v>
      </c>
      <c r="R94" s="8">
        <v>0</v>
      </c>
      <c r="S94" s="8">
        <v>0</v>
      </c>
      <c r="T94" s="10">
        <v>0</v>
      </c>
      <c r="U94" s="10">
        <v>0</v>
      </c>
      <c r="V94" s="10">
        <v>-23.33</v>
      </c>
      <c r="W94" s="10">
        <f>IF(RIGHT(C94,2)="12",IF(ISNUMBER(T94),T94,""),IF(COUNT(T94,U94,V94)=3,T94+U94-V94,""))</f>
        <v>23.33</v>
      </c>
      <c r="X94" s="10">
        <v>23.33</v>
      </c>
      <c r="Y94" s="10">
        <v>-3.3759999999999999</v>
      </c>
      <c r="Z94" s="10">
        <v>26.706</v>
      </c>
      <c r="AA94" s="10">
        <v>0</v>
      </c>
      <c r="AB94" s="10">
        <v>0</v>
      </c>
      <c r="AC94" s="8">
        <v>0</v>
      </c>
      <c r="AD94" s="8">
        <v>0</v>
      </c>
      <c r="AE94" s="8">
        <v>0</v>
      </c>
      <c r="AF94" s="10">
        <v>0</v>
      </c>
      <c r="AG94" s="8">
        <f>COUNTIF(Y94:AB94,"&gt;0")</f>
        <v>1</v>
      </c>
      <c r="AH94" s="10">
        <v>0</v>
      </c>
      <c r="AI94" s="10">
        <v>26.706</v>
      </c>
      <c r="AJ94" s="8" t="str">
        <f>IF(ISNUMBER(X94),IF(X94&gt;0,"+",IF(X94&lt;0,"−","0")),IF(ISNUMBER(W94),IF(W94&gt;0,"+",IF(W94&lt;0,"−","0")),"yok"))</f>
        <v>+</v>
      </c>
      <c r="AK94" s="10">
        <f>IF(AND(RIGHT(C94,2)&lt;&gt;"12",ISNUMBER(U94),ISNUMBER(V94)),U94-V94,"")</f>
        <v>23.33</v>
      </c>
      <c r="AL94" s="11">
        <f>IF(AND(ISNUMBER(AK94),ISNUMBER(V94)),IF(V94&lt;&gt;0,AK94/ABS(V94),""),"")</f>
        <v>1</v>
      </c>
      <c r="AM94" s="8">
        <f>IF(ISNUMBER(AK94),IF(AK94&gt;1,1,0),"")</f>
        <v>1</v>
      </c>
      <c r="AN94" s="8">
        <f>IF(ISNUMBER(AK94),IF(AK94&gt;0.05*ABS(V94),1,0),"")</f>
        <v>1</v>
      </c>
      <c r="AO94" s="10">
        <v>23.33</v>
      </c>
      <c r="AP94" s="10">
        <v>0</v>
      </c>
      <c r="AQ94" s="8" t="s">
        <v>204</v>
      </c>
      <c r="AR94" s="8">
        <v>1</v>
      </c>
      <c r="AS94" s="10">
        <v>-45.244</v>
      </c>
      <c r="AT94" s="10">
        <v>-49.523000000000003</v>
      </c>
      <c r="AU94" s="8" t="s">
        <v>204</v>
      </c>
      <c r="AV94" s="10">
        <v>23.33</v>
      </c>
      <c r="AW94" s="11">
        <f>IF(AND(ISNUMBER(AV94),ISNUMBER(AT94)),IF(AT94&lt;&gt;0,AV94/ABS(AT94),""),"")</f>
        <v>0.47109423904044578</v>
      </c>
      <c r="AX94" s="8">
        <v>0</v>
      </c>
      <c r="AY94" s="8">
        <v>1</v>
      </c>
      <c r="AZ94" s="10"/>
      <c r="BA94" s="8">
        <v>0</v>
      </c>
    </row>
    <row r="95" spans="1:53" x14ac:dyDescent="0.2">
      <c r="A95" s="8" t="s">
        <v>283</v>
      </c>
      <c r="B95" s="8" t="s">
        <v>82</v>
      </c>
      <c r="C95" s="8" t="s">
        <v>205</v>
      </c>
      <c r="D95" s="8">
        <v>1</v>
      </c>
      <c r="E95" s="8">
        <v>1</v>
      </c>
      <c r="F95" s="8">
        <f>SUM(G95:M95)</f>
        <v>1</v>
      </c>
      <c r="G95" s="8">
        <v>1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1</v>
      </c>
      <c r="O95" s="8">
        <v>0</v>
      </c>
      <c r="P95" s="8">
        <v>1</v>
      </c>
      <c r="Q95" s="8">
        <v>1</v>
      </c>
      <c r="R95" s="8">
        <v>0</v>
      </c>
      <c r="S95" s="8">
        <v>0</v>
      </c>
      <c r="T95" s="10">
        <v>0</v>
      </c>
      <c r="U95" s="10">
        <v>0</v>
      </c>
      <c r="V95" s="10">
        <v>-26.706</v>
      </c>
      <c r="W95" s="10">
        <f>IF(RIGHT(C95,2)="12",IF(ISNUMBER(T95),T95,""),IF(COUNT(T95,U95,V95)=3,T95+U95-V95,""))</f>
        <v>26.706</v>
      </c>
      <c r="X95" s="10">
        <v>26.706</v>
      </c>
      <c r="Y95" s="10">
        <v>26.706</v>
      </c>
      <c r="Z95" s="10">
        <v>0</v>
      </c>
      <c r="AA95" s="10">
        <v>0</v>
      </c>
      <c r="AB95" s="10">
        <v>0</v>
      </c>
      <c r="AC95" s="8">
        <v>0</v>
      </c>
      <c r="AD95" s="8">
        <v>0</v>
      </c>
      <c r="AE95" s="8">
        <v>0</v>
      </c>
      <c r="AF95" s="10">
        <v>0</v>
      </c>
      <c r="AG95" s="8">
        <f>COUNTIF(Y95:AB95,"&gt;0")</f>
        <v>1</v>
      </c>
      <c r="AH95" s="10">
        <v>0</v>
      </c>
      <c r="AI95" s="10">
        <v>26.706</v>
      </c>
      <c r="AJ95" s="8" t="str">
        <f>IF(ISNUMBER(X95),IF(X95&gt;0,"+",IF(X95&lt;0,"−","0")),IF(ISNUMBER(W95),IF(W95&gt;0,"+",IF(W95&lt;0,"−","0")),"yok"))</f>
        <v>+</v>
      </c>
      <c r="AK95" s="10">
        <f>IF(AND(RIGHT(C95,2)&lt;&gt;"12",ISNUMBER(U95),ISNUMBER(V95)),U95-V95,"")</f>
        <v>26.706</v>
      </c>
      <c r="AL95" s="11">
        <f>IF(AND(ISNUMBER(AK95),ISNUMBER(V95)),IF(V95&lt;&gt;0,AK95/ABS(V95),""),"")</f>
        <v>1</v>
      </c>
      <c r="AM95" s="8">
        <f>IF(ISNUMBER(AK95),IF(AK95&gt;1,1,0),"")</f>
        <v>1</v>
      </c>
      <c r="AN95" s="8">
        <f>IF(ISNUMBER(AK95),IF(AK95&gt;0.05*ABS(V95),1,0),"")</f>
        <v>1</v>
      </c>
      <c r="AO95" s="10">
        <v>26.707000000000001</v>
      </c>
      <c r="AP95" s="10">
        <v>0</v>
      </c>
      <c r="AQ95" s="8" t="s">
        <v>204</v>
      </c>
      <c r="AR95" s="8">
        <v>1</v>
      </c>
      <c r="AS95" s="10">
        <v>-38.965000000000003</v>
      </c>
      <c r="AT95" s="10">
        <v>-43.277000000000001</v>
      </c>
      <c r="AU95" s="8" t="s">
        <v>204</v>
      </c>
      <c r="AV95" s="10">
        <v>26.706</v>
      </c>
      <c r="AW95" s="11">
        <f>IF(AND(ISNUMBER(AV95),ISNUMBER(AT95)),IF(AT95&lt;&gt;0,AV95/ABS(AT95),""),"")</f>
        <v>0.61709453058206432</v>
      </c>
      <c r="AX95" s="8">
        <v>0</v>
      </c>
      <c r="AY95" s="8">
        <v>1</v>
      </c>
      <c r="AZ95" s="10"/>
      <c r="BA95" s="8">
        <v>0</v>
      </c>
    </row>
    <row r="96" spans="1:53" x14ac:dyDescent="0.2">
      <c r="A96" s="8" t="s">
        <v>283</v>
      </c>
      <c r="B96" s="8" t="s">
        <v>83</v>
      </c>
      <c r="C96" s="8" t="s">
        <v>203</v>
      </c>
      <c r="D96" s="8">
        <v>1</v>
      </c>
      <c r="E96" s="8">
        <v>1</v>
      </c>
      <c r="F96" s="8">
        <f>SUM(G96:M96)</f>
        <v>1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1</v>
      </c>
      <c r="N96" s="8">
        <v>0</v>
      </c>
      <c r="O96" s="8">
        <v>0</v>
      </c>
      <c r="P96" s="8">
        <v>1</v>
      </c>
      <c r="Q96" s="8">
        <v>0</v>
      </c>
      <c r="R96" s="8">
        <v>0</v>
      </c>
      <c r="S96" s="8">
        <v>0</v>
      </c>
      <c r="T96" s="10">
        <v>0</v>
      </c>
      <c r="U96" s="10">
        <v>-4.3120000000000003</v>
      </c>
      <c r="V96" s="10">
        <v>-3.3000000000000002E-2</v>
      </c>
      <c r="W96" s="10">
        <f>IF(RIGHT(C96,2)="12",IF(ISNUMBER(T96),T96,""),IF(COUNT(T96,U96,V96)=3,T96+U96-V96,""))</f>
        <v>-4.2789999999999999</v>
      </c>
      <c r="X96" s="10">
        <v>-4.2779999999999996</v>
      </c>
      <c r="Y96" s="10">
        <v>3.3000000000000002E-2</v>
      </c>
      <c r="Z96" s="10">
        <v>-7.5330000000000004</v>
      </c>
      <c r="AA96" s="10">
        <v>3.2210000000000001</v>
      </c>
      <c r="AB96" s="10">
        <v>0</v>
      </c>
      <c r="AC96" s="8">
        <v>0</v>
      </c>
      <c r="AD96" s="8">
        <v>0</v>
      </c>
      <c r="AE96" s="8">
        <v>0</v>
      </c>
      <c r="AF96" s="10">
        <v>0</v>
      </c>
      <c r="AG96" s="8">
        <f>COUNTIF(Y96:AB96,"&gt;0")</f>
        <v>2</v>
      </c>
      <c r="AH96" s="10">
        <v>0</v>
      </c>
      <c r="AI96" s="10">
        <v>3.254</v>
      </c>
      <c r="AJ96" s="8" t="str">
        <f>IF(ISNUMBER(X96),IF(X96&gt;0,"+",IF(X96&lt;0,"−","0")),IF(ISNUMBER(W96),IF(W96&gt;0,"+",IF(W96&lt;0,"−","0")),"yok"))</f>
        <v>−</v>
      </c>
      <c r="AK96" s="10">
        <f>IF(AND(RIGHT(C96,2)&lt;&gt;"12",ISNUMBER(U96),ISNUMBER(V96)),U96-V96,"")</f>
        <v>-4.2789999999999999</v>
      </c>
      <c r="AL96" s="11">
        <f>IF(AND(ISNUMBER(AK96),ISNUMBER(V96)),IF(V96&lt;&gt;0,AK96/ABS(V96),""),"")</f>
        <v>-129.66666666666666</v>
      </c>
      <c r="AM96" s="8">
        <f>IF(ISNUMBER(AK96),IF(AK96&gt;1,1,0),"")</f>
        <v>0</v>
      </c>
      <c r="AN96" s="8">
        <f>IF(ISNUMBER(AK96),IF(AK96&gt;0.05*ABS(V96),1,0),"")</f>
        <v>0</v>
      </c>
      <c r="AO96" s="10">
        <v>-4.2789999999999999</v>
      </c>
      <c r="AP96" s="10">
        <v>4.2789999999999999</v>
      </c>
      <c r="AQ96" s="8" t="s">
        <v>204</v>
      </c>
      <c r="AR96" s="8">
        <v>0</v>
      </c>
      <c r="AS96" s="10">
        <v>-45.244</v>
      </c>
      <c r="AT96" s="10">
        <v>-49.523000000000003</v>
      </c>
      <c r="AU96" s="8" t="s">
        <v>204</v>
      </c>
      <c r="AV96" s="10">
        <v>3.2210000000000001</v>
      </c>
      <c r="AW96" s="11">
        <f>IF(AND(ISNUMBER(AV96),ISNUMBER(AT96)),IF(AT96&lt;&gt;0,AV96/ABS(AT96),""),"")</f>
        <v>6.504048623871736E-2</v>
      </c>
      <c r="AX96" s="8">
        <v>0</v>
      </c>
      <c r="AY96" s="8">
        <v>0</v>
      </c>
      <c r="AZ96" s="10"/>
      <c r="BA96" s="8">
        <v>0</v>
      </c>
    </row>
    <row r="97" spans="1:53" x14ac:dyDescent="0.2">
      <c r="A97" s="8" t="s">
        <v>283</v>
      </c>
      <c r="B97" s="8" t="s">
        <v>83</v>
      </c>
      <c r="C97" s="8" t="s">
        <v>205</v>
      </c>
      <c r="D97" s="8">
        <v>1</v>
      </c>
      <c r="E97" s="8">
        <v>1</v>
      </c>
      <c r="F97" s="8">
        <f>SUM(G97:M97)</f>
        <v>1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1</v>
      </c>
      <c r="N97" s="8">
        <v>0</v>
      </c>
      <c r="O97" s="8">
        <v>0</v>
      </c>
      <c r="P97" s="8">
        <v>1</v>
      </c>
      <c r="Q97" s="8">
        <v>0</v>
      </c>
      <c r="R97" s="8">
        <v>0</v>
      </c>
      <c r="S97" s="8">
        <v>0</v>
      </c>
      <c r="T97" s="10">
        <v>0</v>
      </c>
      <c r="U97" s="10">
        <v>-4.3120000000000003</v>
      </c>
      <c r="V97" s="10">
        <v>0</v>
      </c>
      <c r="W97" s="10">
        <f>IF(RIGHT(C97,2)="12",IF(ISNUMBER(T97),T97,""),IF(COUNT(T97,U97,V97)=3,T97+U97-V97,""))</f>
        <v>-4.3120000000000003</v>
      </c>
      <c r="X97" s="10">
        <v>-4.3120000000000003</v>
      </c>
      <c r="Y97" s="10">
        <v>-7.5330000000000004</v>
      </c>
      <c r="Z97" s="10">
        <v>3.2210000000000001</v>
      </c>
      <c r="AA97" s="10">
        <v>0</v>
      </c>
      <c r="AB97" s="10">
        <v>0</v>
      </c>
      <c r="AC97" s="8">
        <v>0</v>
      </c>
      <c r="AD97" s="8">
        <v>0</v>
      </c>
      <c r="AE97" s="8">
        <v>0</v>
      </c>
      <c r="AF97" s="10">
        <v>0</v>
      </c>
      <c r="AG97" s="8">
        <f>COUNTIF(Y97:AB97,"&gt;0")</f>
        <v>1</v>
      </c>
      <c r="AH97" s="10">
        <v>0</v>
      </c>
      <c r="AI97" s="10">
        <v>3.2210000000000001</v>
      </c>
      <c r="AJ97" s="8" t="str">
        <f>IF(ISNUMBER(X97),IF(X97&gt;0,"+",IF(X97&lt;0,"−","0")),IF(ISNUMBER(W97),IF(W97&gt;0,"+",IF(W97&lt;0,"−","0")),"yok"))</f>
        <v>−</v>
      </c>
      <c r="AK97" s="10">
        <f>IF(AND(RIGHT(C97,2)&lt;&gt;"12",ISNUMBER(U97),ISNUMBER(V97)),U97-V97,"")</f>
        <v>-4.3120000000000003</v>
      </c>
      <c r="AL97" s="11" t="str">
        <f>IF(AND(ISNUMBER(AK97),ISNUMBER(V97)),IF(V97&lt;&gt;0,AK97/ABS(V97),""),"")</f>
        <v/>
      </c>
      <c r="AM97" s="8">
        <f>IF(ISNUMBER(AK97),IF(AK97&gt;1,1,0),"")</f>
        <v>0</v>
      </c>
      <c r="AN97" s="8">
        <f>IF(ISNUMBER(AK97),IF(AK97&gt;0.05*ABS(V97),1,0),"")</f>
        <v>0</v>
      </c>
      <c r="AO97" s="10">
        <v>-4.3120000000000003</v>
      </c>
      <c r="AP97" s="10">
        <v>4.3120000000000003</v>
      </c>
      <c r="AQ97" s="8" t="s">
        <v>204</v>
      </c>
      <c r="AR97" s="8">
        <v>0</v>
      </c>
      <c r="AS97" s="10">
        <v>-38.965000000000003</v>
      </c>
      <c r="AT97" s="10">
        <v>-43.277000000000001</v>
      </c>
      <c r="AU97" s="8" t="s">
        <v>204</v>
      </c>
      <c r="AV97" s="10">
        <v>3.2210000000000001</v>
      </c>
      <c r="AW97" s="11">
        <f>IF(AND(ISNUMBER(AV97),ISNUMBER(AT97)),IF(AT97&lt;&gt;0,AV97/ABS(AT97),""),"")</f>
        <v>7.4427525013286505E-2</v>
      </c>
      <c r="AX97" s="8">
        <v>0</v>
      </c>
      <c r="AY97" s="8">
        <v>0</v>
      </c>
      <c r="AZ97" s="10"/>
      <c r="BA97" s="8">
        <v>0</v>
      </c>
    </row>
    <row r="98" spans="1:53" x14ac:dyDescent="0.2">
      <c r="A98" s="8" t="s">
        <v>283</v>
      </c>
      <c r="B98" s="8" t="s">
        <v>83</v>
      </c>
      <c r="C98" s="8" t="s">
        <v>215</v>
      </c>
      <c r="D98" s="8">
        <v>1</v>
      </c>
      <c r="E98" s="8">
        <v>1</v>
      </c>
      <c r="F98" s="8">
        <f>SUM(G98:M98)</f>
        <v>3</v>
      </c>
      <c r="G98" s="8">
        <v>0</v>
      </c>
      <c r="H98" s="8">
        <v>0</v>
      </c>
      <c r="I98" s="8">
        <v>1</v>
      </c>
      <c r="J98" s="8">
        <v>0</v>
      </c>
      <c r="K98" s="8">
        <v>0</v>
      </c>
      <c r="L98" s="8">
        <v>1</v>
      </c>
      <c r="M98" s="8">
        <v>1</v>
      </c>
      <c r="N98" s="8">
        <v>1</v>
      </c>
      <c r="O98" s="8">
        <v>0</v>
      </c>
      <c r="P98" s="8">
        <v>1</v>
      </c>
      <c r="Q98" s="8">
        <v>0</v>
      </c>
      <c r="R98" s="8">
        <v>0</v>
      </c>
      <c r="S98" s="8">
        <v>0</v>
      </c>
      <c r="T98" s="10">
        <v>-0.84399999999999997</v>
      </c>
      <c r="U98" s="10">
        <v>-4.3120000000000003</v>
      </c>
      <c r="V98" s="10">
        <v>-7.5330000000000004</v>
      </c>
      <c r="W98" s="10">
        <f>IF(RIGHT(C98,2)="12",IF(ISNUMBER(T98),T98,""),IF(COUNT(T98,U98,V98)=3,T98+U98-V98,""))</f>
        <v>2.3769999999999998</v>
      </c>
      <c r="X98" s="10">
        <v>2.3759999999999999</v>
      </c>
      <c r="Y98" s="10">
        <v>3.2210000000000001</v>
      </c>
      <c r="Z98" s="10">
        <v>0</v>
      </c>
      <c r="AA98" s="10">
        <v>0</v>
      </c>
      <c r="AB98" s="10">
        <v>-0.84399999999999997</v>
      </c>
      <c r="AC98" s="8">
        <v>0</v>
      </c>
      <c r="AD98" s="8">
        <v>0</v>
      </c>
      <c r="AE98" s="8">
        <v>0</v>
      </c>
      <c r="AF98" s="10">
        <v>0</v>
      </c>
      <c r="AG98" s="8">
        <f>COUNTIF(Y98:AB98,"&gt;0")</f>
        <v>1</v>
      </c>
      <c r="AH98" s="10">
        <v>0</v>
      </c>
      <c r="AI98" s="10">
        <v>3.2210000000000001</v>
      </c>
      <c r="AJ98" s="8" t="str">
        <f>IF(ISNUMBER(X98),IF(X98&gt;0,"+",IF(X98&lt;0,"−","0")),IF(ISNUMBER(W98),IF(W98&gt;0,"+",IF(W98&lt;0,"−","0")),"yok"))</f>
        <v>+</v>
      </c>
      <c r="AK98" s="10">
        <f>IF(AND(RIGHT(C98,2)&lt;&gt;"12",ISNUMBER(U98),ISNUMBER(V98)),U98-V98,"")</f>
        <v>3.2210000000000001</v>
      </c>
      <c r="AL98" s="11">
        <f>IF(AND(ISNUMBER(AK98),ISNUMBER(V98)),IF(V98&lt;&gt;0,AK98/ABS(V98),""),"")</f>
        <v>0.42758529138457452</v>
      </c>
      <c r="AM98" s="8">
        <f>IF(ISNUMBER(AK98),IF(AK98&gt;1,1,0),"")</f>
        <v>1</v>
      </c>
      <c r="AN98" s="8">
        <f>IF(ISNUMBER(AK98),IF(AK98&gt;0.05*ABS(V98),1,0),"")</f>
        <v>1</v>
      </c>
      <c r="AO98" s="10">
        <v>2.3769999999999998</v>
      </c>
      <c r="AP98" s="10">
        <v>0</v>
      </c>
      <c r="AQ98" s="8" t="s">
        <v>204</v>
      </c>
      <c r="AR98" s="8">
        <v>1</v>
      </c>
      <c r="AS98" s="10">
        <v>3.5179999999999998</v>
      </c>
      <c r="AT98" s="10">
        <v>3.1909999999999998</v>
      </c>
      <c r="AU98" s="8" t="s">
        <v>204</v>
      </c>
      <c r="AV98" s="10">
        <v>3.2210000000000001</v>
      </c>
      <c r="AW98" s="11">
        <f>IF(AND(ISNUMBER(AV98),ISNUMBER(AT98)),IF(AT98&lt;&gt;0,AV98/ABS(AT98),""),"")</f>
        <v>1.0094014415543717</v>
      </c>
      <c r="AX98" s="8">
        <v>0</v>
      </c>
      <c r="AY98" s="8">
        <v>1</v>
      </c>
      <c r="AZ98" s="10"/>
      <c r="BA98" s="8">
        <v>0</v>
      </c>
    </row>
    <row r="99" spans="1:53" x14ac:dyDescent="0.2">
      <c r="A99" s="8" t="s">
        <v>284</v>
      </c>
      <c r="B99" s="8" t="s">
        <v>83</v>
      </c>
      <c r="C99" s="8" t="s">
        <v>203</v>
      </c>
      <c r="D99" s="8">
        <v>1</v>
      </c>
      <c r="E99" s="8">
        <v>1</v>
      </c>
      <c r="F99" s="8">
        <f>SUM(G99:M99)</f>
        <v>1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1</v>
      </c>
      <c r="N99" s="8">
        <v>0</v>
      </c>
      <c r="O99" s="8">
        <v>0</v>
      </c>
      <c r="P99" s="8">
        <v>1</v>
      </c>
      <c r="Q99" s="8">
        <v>0</v>
      </c>
      <c r="R99" s="8">
        <v>0</v>
      </c>
      <c r="S99" s="8">
        <v>0</v>
      </c>
      <c r="T99" s="10">
        <v>-49.768000000000001</v>
      </c>
      <c r="U99" s="10">
        <v>-127.821</v>
      </c>
      <c r="V99" s="10">
        <v>-108.30800000000001</v>
      </c>
      <c r="W99" s="10">
        <f>IF(RIGHT(C99,2)="12",IF(ISNUMBER(T99),T99,""),IF(COUNT(T99,U99,V99)=3,T99+U99-V99,""))</f>
        <v>-69.280999999999992</v>
      </c>
      <c r="X99" s="10">
        <v>-69.28</v>
      </c>
      <c r="Y99" s="10">
        <v>-34.478000000000002</v>
      </c>
      <c r="Z99" s="10">
        <v>22.803000000000001</v>
      </c>
      <c r="AA99" s="10">
        <v>-7.8360000000000003</v>
      </c>
      <c r="AB99" s="10">
        <v>-49.768000000000001</v>
      </c>
      <c r="AC99" s="8">
        <v>0</v>
      </c>
      <c r="AD99" s="8">
        <v>0</v>
      </c>
      <c r="AE99" s="8">
        <v>0</v>
      </c>
      <c r="AF99" s="10">
        <v>0</v>
      </c>
      <c r="AG99" s="8">
        <f>COUNTIF(Y99:AB99,"&gt;0")</f>
        <v>1</v>
      </c>
      <c r="AH99" s="10">
        <v>0</v>
      </c>
      <c r="AI99" s="10">
        <v>22.803000000000001</v>
      </c>
      <c r="AJ99" s="8" t="str">
        <f>IF(ISNUMBER(X99),IF(X99&gt;0,"+",IF(X99&lt;0,"−","0")),IF(ISNUMBER(W99),IF(W99&gt;0,"+",IF(W99&lt;0,"−","0")),"yok"))</f>
        <v>−</v>
      </c>
      <c r="AK99" s="10">
        <f>IF(AND(RIGHT(C99,2)&lt;&gt;"12",ISNUMBER(U99),ISNUMBER(V99)),U99-V99,"")</f>
        <v>-19.512999999999991</v>
      </c>
      <c r="AL99" s="11">
        <f>IF(AND(ISNUMBER(AK99),ISNUMBER(V99)),IF(V99&lt;&gt;0,AK99/ABS(V99),""),"")</f>
        <v>-0.18016213022122088</v>
      </c>
      <c r="AM99" s="8">
        <f>IF(ISNUMBER(AK99),IF(AK99&gt;1,1,0),"")</f>
        <v>0</v>
      </c>
      <c r="AN99" s="8">
        <f>IF(ISNUMBER(AK99),IF(AK99&gt;0.05*ABS(V99),1,0),"")</f>
        <v>0</v>
      </c>
      <c r="AO99" s="10">
        <v>-69.28</v>
      </c>
      <c r="AP99" s="10">
        <v>69.28</v>
      </c>
      <c r="AQ99" s="8" t="s">
        <v>204</v>
      </c>
      <c r="AR99" s="8">
        <v>0</v>
      </c>
      <c r="AS99" s="10">
        <v>256.54000000000002</v>
      </c>
      <c r="AT99" s="10"/>
      <c r="AU99" s="8" t="s">
        <v>207</v>
      </c>
      <c r="AV99" s="10">
        <v>22.803000000000001</v>
      </c>
      <c r="AW99" s="11" t="str">
        <f>IF(AND(ISNUMBER(AV99),ISNUMBER(AT99)),IF(AT99&lt;&gt;0,AV99/ABS(AT99),""),"")</f>
        <v/>
      </c>
      <c r="AX99" s="8">
        <v>0</v>
      </c>
      <c r="AY99" s="8">
        <v>0</v>
      </c>
      <c r="AZ99" s="10"/>
      <c r="BA99" s="8">
        <v>0</v>
      </c>
    </row>
    <row r="100" spans="1:53" x14ac:dyDescent="0.2">
      <c r="A100" s="8" t="s">
        <v>284</v>
      </c>
      <c r="B100" s="8" t="s">
        <v>83</v>
      </c>
      <c r="C100" s="8" t="s">
        <v>205</v>
      </c>
      <c r="D100" s="8">
        <v>1</v>
      </c>
      <c r="E100" s="8">
        <v>1</v>
      </c>
      <c r="F100" s="8">
        <f>SUM(G100:M100)</f>
        <v>2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1</v>
      </c>
      <c r="M100" s="8">
        <v>1</v>
      </c>
      <c r="N100" s="8">
        <v>0</v>
      </c>
      <c r="O100" s="8">
        <v>0</v>
      </c>
      <c r="P100" s="8">
        <v>1</v>
      </c>
      <c r="Q100" s="8">
        <v>0</v>
      </c>
      <c r="R100" s="8">
        <v>0</v>
      </c>
      <c r="S100" s="8">
        <v>0</v>
      </c>
      <c r="T100" s="10">
        <v>-76.465000000000003</v>
      </c>
      <c r="U100" s="10">
        <v>-127.821</v>
      </c>
      <c r="V100" s="10">
        <v>-142.78700000000001</v>
      </c>
      <c r="W100" s="10">
        <f>IF(RIGHT(C100,2)="12",IF(ISNUMBER(T100),T100,""),IF(COUNT(T100,U100,V100)=3,T100+U100-V100,""))</f>
        <v>-61.498999999999995</v>
      </c>
      <c r="X100" s="10">
        <v>-61.499000000000002</v>
      </c>
      <c r="Y100" s="10">
        <v>22.803000000000001</v>
      </c>
      <c r="Z100" s="10">
        <v>-7.8360000000000003</v>
      </c>
      <c r="AA100" s="10">
        <v>-49.768000000000001</v>
      </c>
      <c r="AB100" s="10">
        <v>-26.696999999999999</v>
      </c>
      <c r="AC100" s="8">
        <v>0</v>
      </c>
      <c r="AD100" s="8">
        <v>0</v>
      </c>
      <c r="AE100" s="8">
        <v>0</v>
      </c>
      <c r="AF100" s="10">
        <v>0</v>
      </c>
      <c r="AG100" s="8">
        <f>COUNTIF(Y100:AB100,"&gt;0")</f>
        <v>1</v>
      </c>
      <c r="AH100" s="10">
        <v>0</v>
      </c>
      <c r="AI100" s="10">
        <v>22.803000000000001</v>
      </c>
      <c r="AJ100" s="8" t="str">
        <f>IF(ISNUMBER(X100),IF(X100&gt;0,"+",IF(X100&lt;0,"−","0")),IF(ISNUMBER(W100),IF(W100&gt;0,"+",IF(W100&lt;0,"−","0")),"yok"))</f>
        <v>−</v>
      </c>
      <c r="AK100" s="10">
        <f>IF(AND(RIGHT(C100,2)&lt;&gt;"12",ISNUMBER(U100),ISNUMBER(V100)),U100-V100,"")</f>
        <v>14.966000000000008</v>
      </c>
      <c r="AL100" s="11">
        <f>IF(AND(ISNUMBER(AK100),ISNUMBER(V100)),IF(V100&lt;&gt;0,AK100/ABS(V100),""),"")</f>
        <v>0.10481346341053463</v>
      </c>
      <c r="AM100" s="8">
        <f>IF(ISNUMBER(AK100),IF(AK100&gt;1,1,0),"")</f>
        <v>1</v>
      </c>
      <c r="AN100" s="8">
        <f>IF(ISNUMBER(AK100),IF(AK100&gt;0.05*ABS(V100),1,0),"")</f>
        <v>1</v>
      </c>
      <c r="AO100" s="10">
        <v>-61.499000000000002</v>
      </c>
      <c r="AP100" s="10">
        <v>61.499000000000002</v>
      </c>
      <c r="AQ100" s="8" t="s">
        <v>204</v>
      </c>
      <c r="AR100" s="8">
        <v>0</v>
      </c>
      <c r="AS100" s="10">
        <v>-421.488</v>
      </c>
      <c r="AT100" s="10"/>
      <c r="AU100" s="8" t="s">
        <v>207</v>
      </c>
      <c r="AV100" s="10">
        <v>14.965999999999999</v>
      </c>
      <c r="AW100" s="11" t="str">
        <f>IF(AND(ISNUMBER(AV100),ISNUMBER(AT100)),IF(AT100&lt;&gt;0,AV100/ABS(AT100),""),"")</f>
        <v/>
      </c>
      <c r="AX100" s="8">
        <v>0</v>
      </c>
      <c r="AY100" s="8">
        <v>1</v>
      </c>
      <c r="AZ100" s="10"/>
      <c r="BA100" s="8">
        <v>0</v>
      </c>
    </row>
    <row r="101" spans="1:53" x14ac:dyDescent="0.2">
      <c r="A101" s="8" t="s">
        <v>285</v>
      </c>
      <c r="B101" s="8" t="s">
        <v>83</v>
      </c>
      <c r="C101" s="8" t="s">
        <v>208</v>
      </c>
      <c r="D101" s="8">
        <v>1</v>
      </c>
      <c r="E101" s="8">
        <v>1</v>
      </c>
      <c r="F101" s="8">
        <f>SUM(G101:M101)</f>
        <v>1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1</v>
      </c>
      <c r="N101" s="8">
        <v>0</v>
      </c>
      <c r="O101" s="8">
        <v>0</v>
      </c>
      <c r="P101" s="8">
        <v>1</v>
      </c>
      <c r="Q101" s="8">
        <v>0</v>
      </c>
      <c r="R101" s="8">
        <v>0</v>
      </c>
      <c r="S101" s="8">
        <v>0</v>
      </c>
      <c r="T101" s="10">
        <v>-288.70400000000001</v>
      </c>
      <c r="U101" s="10">
        <v>-1261.7829999999999</v>
      </c>
      <c r="V101" s="10">
        <v>-193.54599999999999</v>
      </c>
      <c r="W101" s="10">
        <f>IF(RIGHT(C101,2)="12",IF(ISNUMBER(T101),T101,""),IF(COUNT(T101,U101,V101)=3,T101+U101-V101,""))</f>
        <v>-1356.9409999999998</v>
      </c>
      <c r="X101" s="10">
        <v>-1356.94</v>
      </c>
      <c r="Y101" s="10">
        <v>48.569000000000003</v>
      </c>
      <c r="Z101" s="10">
        <v>-858.09699999999998</v>
      </c>
      <c r="AA101" s="10">
        <v>-258.70800000000003</v>
      </c>
      <c r="AB101" s="10">
        <v>-288.70400000000001</v>
      </c>
      <c r="AC101" s="8">
        <v>0</v>
      </c>
      <c r="AD101" s="8">
        <v>0</v>
      </c>
      <c r="AE101" s="8">
        <v>0</v>
      </c>
      <c r="AF101" s="10">
        <v>0</v>
      </c>
      <c r="AG101" s="8">
        <f>COUNTIF(Y101:AB101,"&gt;0")</f>
        <v>1</v>
      </c>
      <c r="AH101" s="10">
        <v>0</v>
      </c>
      <c r="AI101" s="10">
        <v>48.569000000000003</v>
      </c>
      <c r="AJ101" s="8" t="str">
        <f>IF(ISNUMBER(X101),IF(X101&gt;0,"+",IF(X101&lt;0,"−","0")),IF(ISNUMBER(W101),IF(W101&gt;0,"+",IF(W101&lt;0,"−","0")),"yok"))</f>
        <v>−</v>
      </c>
      <c r="AK101" s="10">
        <f>IF(AND(RIGHT(C101,2)&lt;&gt;"12",ISNUMBER(U101),ISNUMBER(V101)),U101-V101,"")</f>
        <v>-1068.2369999999999</v>
      </c>
      <c r="AL101" s="11">
        <f>IF(AND(ISNUMBER(AK101),ISNUMBER(V101)),IF(V101&lt;&gt;0,AK101/ABS(V101),""),"")</f>
        <v>-5.5192925712750451</v>
      </c>
      <c r="AM101" s="8">
        <f>IF(ISNUMBER(AK101),IF(AK101&gt;1,1,0),"")</f>
        <v>0</v>
      </c>
      <c r="AN101" s="8">
        <f>IF(ISNUMBER(AK101),IF(AK101&gt;0.05*ABS(V101),1,0),"")</f>
        <v>0</v>
      </c>
      <c r="AO101" s="10">
        <v>-1356.94</v>
      </c>
      <c r="AP101" s="10">
        <v>1356.94</v>
      </c>
      <c r="AQ101" s="8" t="s">
        <v>204</v>
      </c>
      <c r="AR101" s="8">
        <v>0</v>
      </c>
      <c r="AS101" s="10">
        <v>3355.7739999999999</v>
      </c>
      <c r="AT101" s="10">
        <v>1916.4829999999999</v>
      </c>
      <c r="AU101" s="8" t="s">
        <v>209</v>
      </c>
      <c r="AV101" s="10">
        <v>48.569000000000003</v>
      </c>
      <c r="AW101" s="11">
        <f>IF(AND(ISNUMBER(AV101),ISNUMBER(AT101)),IF(AT101&lt;&gt;0,AV101/ABS(AT101),""),"")</f>
        <v>2.5342776325174815E-2</v>
      </c>
      <c r="AX101" s="8">
        <v>0</v>
      </c>
      <c r="AY101" s="8">
        <v>0</v>
      </c>
      <c r="AZ101" s="10"/>
      <c r="BA101" s="8">
        <v>0</v>
      </c>
    </row>
    <row r="102" spans="1:53" x14ac:dyDescent="0.2">
      <c r="A102" s="8" t="s">
        <v>286</v>
      </c>
      <c r="B102" s="8" t="s">
        <v>82</v>
      </c>
      <c r="C102" s="8" t="s">
        <v>203</v>
      </c>
      <c r="D102" s="8">
        <v>1</v>
      </c>
      <c r="E102" s="8">
        <v>1</v>
      </c>
      <c r="F102" s="8">
        <f>SUM(G102:M102)</f>
        <v>1</v>
      </c>
      <c r="G102" s="8">
        <v>1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10"/>
      <c r="U102" s="10"/>
      <c r="V102" s="10">
        <v>-6.4000000000000001E-2</v>
      </c>
      <c r="W102" s="10" t="str">
        <f>IF(RIGHT(C102,2)="12",IF(ISNUMBER(T102),T102,""),IF(COUNT(T102,U102,V102)=3,T102+U102-V102,""))</f>
        <v/>
      </c>
      <c r="X102" s="10"/>
      <c r="Y102" s="10">
        <v>-5.3999999999999999E-2</v>
      </c>
      <c r="Z102" s="10">
        <v>-4.4999999999999998E-2</v>
      </c>
      <c r="AA102" s="10"/>
      <c r="AB102" s="10"/>
      <c r="AC102" s="8">
        <v>0</v>
      </c>
      <c r="AD102" s="8">
        <v>0</v>
      </c>
      <c r="AE102" s="8">
        <v>0</v>
      </c>
      <c r="AF102" s="10">
        <v>0</v>
      </c>
      <c r="AG102" s="8">
        <f>COUNTIF(Y102:AB102,"&gt;0")</f>
        <v>0</v>
      </c>
      <c r="AH102" s="10">
        <v>0</v>
      </c>
      <c r="AI102" s="10">
        <v>0</v>
      </c>
      <c r="AJ102" s="8" t="str">
        <f>IF(ISNUMBER(X102),IF(X102&gt;0,"+",IF(X102&lt;0,"−","0")),IF(ISNUMBER(W102),IF(W102&gt;0,"+",IF(W102&lt;0,"−","0")),"yok"))</f>
        <v>yok</v>
      </c>
      <c r="AK102" s="10" t="str">
        <f>IF(AND(RIGHT(C102,2)&lt;&gt;"12",ISNUMBER(U102),ISNUMBER(V102)),U102-V102,"")</f>
        <v/>
      </c>
      <c r="AL102" s="11" t="str">
        <f>IF(AND(ISNUMBER(AK102),ISNUMBER(V102)),IF(V102&lt;&gt;0,AK102/ABS(V102),""),"")</f>
        <v/>
      </c>
      <c r="AM102" s="8" t="str">
        <f>IF(ISNUMBER(AK102),IF(AK102&gt;1,1,0),"")</f>
        <v/>
      </c>
      <c r="AN102" s="8" t="str">
        <f>IF(ISNUMBER(AK102),IF(AK102&gt;0.05*ABS(V102),1,0),"")</f>
        <v/>
      </c>
      <c r="AO102" s="10">
        <v>6.5000000000000002E-2</v>
      </c>
      <c r="AP102" s="10">
        <v>0</v>
      </c>
      <c r="AQ102" s="8" t="s">
        <v>209</v>
      </c>
      <c r="AR102" s="8">
        <v>1</v>
      </c>
      <c r="AS102" s="10">
        <v>30.161999999999999</v>
      </c>
      <c r="AT102" s="10">
        <v>17.751000000000001</v>
      </c>
      <c r="AU102" s="8" t="s">
        <v>209</v>
      </c>
      <c r="AV102" s="10">
        <v>0</v>
      </c>
      <c r="AW102" s="11">
        <f>IF(AND(ISNUMBER(AV102),ISNUMBER(AT102)),IF(AT102&lt;&gt;0,AV102/ABS(AT102),""),"")</f>
        <v>0</v>
      </c>
      <c r="AX102" s="8">
        <v>0</v>
      </c>
      <c r="AY102" s="8">
        <v>0</v>
      </c>
      <c r="AZ102" s="10"/>
      <c r="BA102" s="8">
        <v>0</v>
      </c>
    </row>
    <row r="103" spans="1:53" x14ac:dyDescent="0.2">
      <c r="A103" s="8" t="s">
        <v>286</v>
      </c>
      <c r="B103" s="8" t="s">
        <v>82</v>
      </c>
      <c r="C103" s="8" t="s">
        <v>205</v>
      </c>
      <c r="D103" s="8">
        <v>1</v>
      </c>
      <c r="E103" s="8">
        <v>1</v>
      </c>
      <c r="F103" s="8">
        <f>SUM(G103:M103)</f>
        <v>1</v>
      </c>
      <c r="G103" s="8">
        <v>1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10"/>
      <c r="U103" s="10"/>
      <c r="V103" s="10">
        <v>-0.11899999999999999</v>
      </c>
      <c r="W103" s="10" t="str">
        <f>IF(RIGHT(C103,2)="12",IF(ISNUMBER(T103),T103,""),IF(COUNT(T103,U103,V103)=3,T103+U103-V103,""))</f>
        <v/>
      </c>
      <c r="X103" s="10"/>
      <c r="Y103" s="10">
        <v>-4.4999999999999998E-2</v>
      </c>
      <c r="Z103" s="10"/>
      <c r="AA103" s="10"/>
      <c r="AB103" s="10"/>
      <c r="AC103" s="8">
        <v>0</v>
      </c>
      <c r="AD103" s="8">
        <v>0</v>
      </c>
      <c r="AE103" s="8">
        <v>0</v>
      </c>
      <c r="AF103" s="10">
        <v>0</v>
      </c>
      <c r="AG103" s="8">
        <f>COUNTIF(Y103:AB103,"&gt;0")</f>
        <v>0</v>
      </c>
      <c r="AH103" s="10">
        <v>0</v>
      </c>
      <c r="AI103" s="10">
        <v>0</v>
      </c>
      <c r="AJ103" s="8" t="str">
        <f>IF(ISNUMBER(X103),IF(X103&gt;0,"+",IF(X103&lt;0,"−","0")),IF(ISNUMBER(W103),IF(W103&gt;0,"+",IF(W103&lt;0,"−","0")),"yok"))</f>
        <v>yok</v>
      </c>
      <c r="AK103" s="10" t="str">
        <f>IF(AND(RIGHT(C103,2)&lt;&gt;"12",ISNUMBER(U103),ISNUMBER(V103)),U103-V103,"")</f>
        <v/>
      </c>
      <c r="AL103" s="11" t="str">
        <f>IF(AND(ISNUMBER(AK103),ISNUMBER(V103)),IF(V103&lt;&gt;0,AK103/ABS(V103),""),"")</f>
        <v/>
      </c>
      <c r="AM103" s="8" t="str">
        <f>IF(ISNUMBER(AK103),IF(AK103&gt;1,1,0),"")</f>
        <v/>
      </c>
      <c r="AN103" s="8" t="str">
        <f>IF(ISNUMBER(AK103),IF(AK103&gt;0.05*ABS(V103),1,0),"")</f>
        <v/>
      </c>
      <c r="AO103" s="10">
        <v>0.12</v>
      </c>
      <c r="AP103" s="10">
        <v>0</v>
      </c>
      <c r="AQ103" s="8" t="s">
        <v>209</v>
      </c>
      <c r="AR103" s="8">
        <v>1</v>
      </c>
      <c r="AS103" s="10">
        <v>-22.039000000000001</v>
      </c>
      <c r="AT103" s="10">
        <v>-35.402999999999999</v>
      </c>
      <c r="AU103" s="8" t="s">
        <v>209</v>
      </c>
      <c r="AV103" s="10">
        <v>0</v>
      </c>
      <c r="AW103" s="11">
        <f>IF(AND(ISNUMBER(AV103),ISNUMBER(AT103)),IF(AT103&lt;&gt;0,AV103/ABS(AT103),""),"")</f>
        <v>0</v>
      </c>
      <c r="AX103" s="8">
        <v>0</v>
      </c>
      <c r="AY103" s="8">
        <v>0</v>
      </c>
      <c r="AZ103" s="10"/>
      <c r="BA103" s="8">
        <v>0</v>
      </c>
    </row>
    <row r="104" spans="1:53" x14ac:dyDescent="0.2">
      <c r="A104" s="8" t="s">
        <v>286</v>
      </c>
      <c r="B104" s="8" t="s">
        <v>82</v>
      </c>
      <c r="C104" s="8" t="s">
        <v>215</v>
      </c>
      <c r="D104" s="8">
        <v>1</v>
      </c>
      <c r="E104" s="8">
        <v>1</v>
      </c>
      <c r="F104" s="8">
        <f>SUM(G104:M104)</f>
        <v>1</v>
      </c>
      <c r="G104" s="8">
        <v>1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10"/>
      <c r="U104" s="10"/>
      <c r="V104" s="10">
        <v>-0.16500000000000001</v>
      </c>
      <c r="W104" s="10" t="str">
        <f>IF(RIGHT(C104,2)="12",IF(ISNUMBER(T104),T104,""),IF(COUNT(T104,U104,V104)=3,T104+U104-V104,""))</f>
        <v/>
      </c>
      <c r="X104" s="10"/>
      <c r="Y104" s="10"/>
      <c r="Z104" s="10"/>
      <c r="AA104" s="10"/>
      <c r="AB104" s="10"/>
      <c r="AC104" s="8">
        <v>0</v>
      </c>
      <c r="AD104" s="8">
        <v>0</v>
      </c>
      <c r="AE104" s="8">
        <v>0</v>
      </c>
      <c r="AF104" s="10">
        <v>0</v>
      </c>
      <c r="AG104" s="8">
        <f>COUNTIF(Y104:AB104,"&gt;0")</f>
        <v>0</v>
      </c>
      <c r="AH104" s="10">
        <v>0</v>
      </c>
      <c r="AI104" s="10">
        <v>0</v>
      </c>
      <c r="AJ104" s="8" t="str">
        <f>IF(ISNUMBER(X104),IF(X104&gt;0,"+",IF(X104&lt;0,"−","0")),IF(ISNUMBER(W104),IF(W104&gt;0,"+",IF(W104&lt;0,"−","0")),"yok"))</f>
        <v>yok</v>
      </c>
      <c r="AK104" s="10" t="str">
        <f>IF(AND(RIGHT(C104,2)&lt;&gt;"12",ISNUMBER(U104),ISNUMBER(V104)),U104-V104,"")</f>
        <v/>
      </c>
      <c r="AL104" s="11" t="str">
        <f>IF(AND(ISNUMBER(AK104),ISNUMBER(V104)),IF(V104&lt;&gt;0,AK104/ABS(V104),""),"")</f>
        <v/>
      </c>
      <c r="AM104" s="8" t="str">
        <f>IF(ISNUMBER(AK104),IF(AK104&gt;1,1,0),"")</f>
        <v/>
      </c>
      <c r="AN104" s="8" t="str">
        <f>IF(ISNUMBER(AK104),IF(AK104&gt;0.05*ABS(V104),1,0),"")</f>
        <v/>
      </c>
      <c r="AO104" s="10">
        <v>0.16500000000000001</v>
      </c>
      <c r="AP104" s="10">
        <v>0</v>
      </c>
      <c r="AQ104" s="8" t="s">
        <v>209</v>
      </c>
      <c r="AR104" s="8">
        <v>1</v>
      </c>
      <c r="AS104" s="10">
        <v>23.701000000000001</v>
      </c>
      <c r="AT104" s="10">
        <v>12.611000000000001</v>
      </c>
      <c r="AU104" s="8" t="s">
        <v>209</v>
      </c>
      <c r="AV104" s="10">
        <v>0</v>
      </c>
      <c r="AW104" s="11">
        <f>IF(AND(ISNUMBER(AV104),ISNUMBER(AT104)),IF(AT104&lt;&gt;0,AV104/ABS(AT104),""),"")</f>
        <v>0</v>
      </c>
      <c r="AX104" s="8">
        <v>0</v>
      </c>
      <c r="AY104" s="8">
        <v>0</v>
      </c>
      <c r="AZ104" s="10"/>
      <c r="BA104" s="8">
        <v>0</v>
      </c>
    </row>
    <row r="105" spans="1:53" x14ac:dyDescent="0.2">
      <c r="A105" s="8" t="s">
        <v>287</v>
      </c>
      <c r="B105" s="8" t="s">
        <v>83</v>
      </c>
      <c r="C105" s="8" t="s">
        <v>208</v>
      </c>
      <c r="D105" s="8">
        <v>1</v>
      </c>
      <c r="E105" s="8">
        <v>1</v>
      </c>
      <c r="F105" s="8">
        <f>SUM(G105:M105)</f>
        <v>1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1</v>
      </c>
      <c r="N105" s="8">
        <v>0</v>
      </c>
      <c r="O105" s="8">
        <v>0</v>
      </c>
      <c r="P105" s="8">
        <v>1</v>
      </c>
      <c r="Q105" s="8">
        <v>0</v>
      </c>
      <c r="R105" s="8">
        <v>0</v>
      </c>
      <c r="S105" s="8">
        <v>0</v>
      </c>
      <c r="T105" s="10">
        <v>-48.399000000000001</v>
      </c>
      <c r="U105" s="10">
        <v>-319.976</v>
      </c>
      <c r="V105" s="10">
        <v>-315.68900000000002</v>
      </c>
      <c r="W105" s="10">
        <f>IF(RIGHT(C105,2)="12",IF(ISNUMBER(T105),T105,""),IF(COUNT(T105,U105,V105)=3,T105+U105-V105,""))</f>
        <v>-52.685999999999979</v>
      </c>
      <c r="X105" s="10">
        <v>-52.686</v>
      </c>
      <c r="Y105" s="10">
        <v>73.3</v>
      </c>
      <c r="Z105" s="10">
        <v>-66.548000000000002</v>
      </c>
      <c r="AA105" s="10">
        <v>-11.038</v>
      </c>
      <c r="AB105" s="10">
        <v>-48.399000000000001</v>
      </c>
      <c r="AC105" s="8">
        <v>0</v>
      </c>
      <c r="AD105" s="8">
        <v>0</v>
      </c>
      <c r="AE105" s="8">
        <v>0</v>
      </c>
      <c r="AF105" s="10">
        <v>0</v>
      </c>
      <c r="AG105" s="8">
        <f>COUNTIF(Y105:AB105,"&gt;0")</f>
        <v>1</v>
      </c>
      <c r="AH105" s="10">
        <v>0</v>
      </c>
      <c r="AI105" s="10">
        <v>73.3</v>
      </c>
      <c r="AJ105" s="8" t="str">
        <f>IF(ISNUMBER(X105),IF(X105&gt;0,"+",IF(X105&lt;0,"−","0")),IF(ISNUMBER(W105),IF(W105&gt;0,"+",IF(W105&lt;0,"−","0")),"yok"))</f>
        <v>−</v>
      </c>
      <c r="AK105" s="10">
        <f>IF(AND(RIGHT(C105,2)&lt;&gt;"12",ISNUMBER(U105),ISNUMBER(V105)),U105-V105,"")</f>
        <v>-4.2869999999999777</v>
      </c>
      <c r="AL105" s="11">
        <f>IF(AND(ISNUMBER(AK105),ISNUMBER(V105)),IF(V105&lt;&gt;0,AK105/ABS(V105),""),"")</f>
        <v>-1.3579820646268883E-2</v>
      </c>
      <c r="AM105" s="8">
        <f>IF(ISNUMBER(AK105),IF(AK105&gt;1,1,0),"")</f>
        <v>0</v>
      </c>
      <c r="AN105" s="8">
        <f>IF(ISNUMBER(AK105),IF(AK105&gt;0.05*ABS(V105),1,0),"")</f>
        <v>0</v>
      </c>
      <c r="AO105" s="10">
        <v>-52.686</v>
      </c>
      <c r="AP105" s="10">
        <v>52.686</v>
      </c>
      <c r="AQ105" s="8" t="s">
        <v>204</v>
      </c>
      <c r="AR105" s="8">
        <v>0</v>
      </c>
      <c r="AS105" s="10">
        <v>-474.52800000000002</v>
      </c>
      <c r="AT105" s="10">
        <v>-527.21400000000006</v>
      </c>
      <c r="AU105" s="8" t="s">
        <v>204</v>
      </c>
      <c r="AV105" s="10">
        <v>73.3</v>
      </c>
      <c r="AW105" s="11">
        <f>IF(AND(ISNUMBER(AV105),ISNUMBER(AT105)),IF(AT105&lt;&gt;0,AV105/ABS(AT105),""),"")</f>
        <v>0.13903272674853093</v>
      </c>
      <c r="AX105" s="8">
        <v>0</v>
      </c>
      <c r="AY105" s="8">
        <v>0</v>
      </c>
      <c r="AZ105" s="10"/>
      <c r="BA105" s="8">
        <v>0</v>
      </c>
    </row>
    <row r="106" spans="1:53" x14ac:dyDescent="0.2">
      <c r="A106" s="8" t="s">
        <v>288</v>
      </c>
      <c r="B106" s="8" t="s">
        <v>82</v>
      </c>
      <c r="C106" s="8" t="s">
        <v>215</v>
      </c>
      <c r="D106" s="8">
        <v>1</v>
      </c>
      <c r="E106" s="8">
        <v>1</v>
      </c>
      <c r="F106" s="8">
        <f>SUM(G106:M106)</f>
        <v>1</v>
      </c>
      <c r="G106" s="8">
        <v>1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1</v>
      </c>
      <c r="P106" s="8">
        <v>0</v>
      </c>
      <c r="Q106" s="8">
        <v>0</v>
      </c>
      <c r="R106" s="8">
        <v>0</v>
      </c>
      <c r="S106" s="8">
        <v>0</v>
      </c>
      <c r="T106" s="10"/>
      <c r="U106" s="10">
        <v>311.83300000000003</v>
      </c>
      <c r="V106" s="10"/>
      <c r="W106" s="10" t="str">
        <f>IF(RIGHT(C106,2)="12",IF(ISNUMBER(T106),T106,""),IF(COUNT(T106,U106,V106)=3,T106+U106-V106,""))</f>
        <v/>
      </c>
      <c r="X106" s="10"/>
      <c r="Y106" s="10"/>
      <c r="Z106" s="10"/>
      <c r="AA106" s="10"/>
      <c r="AB106" s="10"/>
      <c r="AC106" s="8">
        <v>0</v>
      </c>
      <c r="AD106" s="8">
        <v>1</v>
      </c>
      <c r="AE106" s="8">
        <v>0</v>
      </c>
      <c r="AF106" s="10">
        <v>311.83300000000003</v>
      </c>
      <c r="AG106" s="8">
        <f>COUNTIF(Y106:AB106,"&gt;0")</f>
        <v>0</v>
      </c>
      <c r="AH106" s="10">
        <v>0</v>
      </c>
      <c r="AI106" s="10">
        <v>0</v>
      </c>
      <c r="AJ106" s="8" t="str">
        <f>IF(ISNUMBER(X106),IF(X106&gt;0,"+",IF(X106&lt;0,"−","0")),IF(ISNUMBER(W106),IF(W106&gt;0,"+",IF(W106&lt;0,"−","0")),"yok"))</f>
        <v>yok</v>
      </c>
      <c r="AK106" s="10" t="str">
        <f>IF(AND(RIGHT(C106,2)&lt;&gt;"12",ISNUMBER(U106),ISNUMBER(V106)),U106-V106,"")</f>
        <v/>
      </c>
      <c r="AL106" s="11" t="str">
        <f>IF(AND(ISNUMBER(AK106),ISNUMBER(V106)),IF(V106&lt;&gt;0,AK106/ABS(V106),""),"")</f>
        <v/>
      </c>
      <c r="AM106" s="8" t="str">
        <f>IF(ISNUMBER(AK106),IF(AK106&gt;1,1,0),"")</f>
        <v/>
      </c>
      <c r="AN106" s="8" t="str">
        <f>IF(ISNUMBER(AK106),IF(AK106&gt;0.05*ABS(V106),1,0),"")</f>
        <v/>
      </c>
      <c r="AO106" s="10">
        <v>311.83300000000003</v>
      </c>
      <c r="AP106" s="10">
        <v>0</v>
      </c>
      <c r="AQ106" s="8" t="s">
        <v>209</v>
      </c>
      <c r="AR106" s="8">
        <v>1</v>
      </c>
      <c r="AS106" s="10">
        <v>-218.184</v>
      </c>
      <c r="AT106" s="10">
        <v>-1266.78</v>
      </c>
      <c r="AU106" s="8" t="s">
        <v>209</v>
      </c>
      <c r="AV106" s="10">
        <v>311.83300000000003</v>
      </c>
      <c r="AW106" s="11">
        <f>IF(AND(ISNUMBER(AV106),ISNUMBER(AT106)),IF(AT106&lt;&gt;0,AV106/ABS(AT106),""),"")</f>
        <v>0.24616192235431569</v>
      </c>
      <c r="AX106" s="8">
        <v>1</v>
      </c>
      <c r="AY106" s="8">
        <v>0</v>
      </c>
      <c r="AZ106" s="8" t="s">
        <v>289</v>
      </c>
      <c r="BA106" s="8">
        <v>0</v>
      </c>
    </row>
    <row r="107" spans="1:53" x14ac:dyDescent="0.2">
      <c r="A107" s="8" t="s">
        <v>288</v>
      </c>
      <c r="B107" s="8" t="s">
        <v>82</v>
      </c>
      <c r="C107" s="8" t="s">
        <v>290</v>
      </c>
      <c r="D107" s="8">
        <v>1</v>
      </c>
      <c r="E107" s="8">
        <v>1</v>
      </c>
      <c r="F107" s="8">
        <f>SUM(G107:M107)</f>
        <v>1</v>
      </c>
      <c r="G107" s="8">
        <v>1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1</v>
      </c>
      <c r="O107" s="8">
        <v>1</v>
      </c>
      <c r="P107" s="8">
        <v>0</v>
      </c>
      <c r="Q107" s="8">
        <v>0</v>
      </c>
      <c r="R107" s="8">
        <v>0</v>
      </c>
      <c r="S107" s="8">
        <v>0</v>
      </c>
      <c r="T107" s="10">
        <v>86.308000000000007</v>
      </c>
      <c r="U107" s="10"/>
      <c r="V107" s="10"/>
      <c r="W107" s="10">
        <f>IF(RIGHT(C107,2)="12",IF(ISNUMBER(T107),T107,""),IF(COUNT(T107,U107,V107)=3,T107+U107-V107,""))</f>
        <v>86.308000000000007</v>
      </c>
      <c r="X107" s="10">
        <v>86.308000000000007</v>
      </c>
      <c r="Y107" s="10"/>
      <c r="Z107" s="10"/>
      <c r="AA107" s="10"/>
      <c r="AB107" s="10"/>
      <c r="AC107" s="8">
        <v>1</v>
      </c>
      <c r="AD107" s="8">
        <v>0</v>
      </c>
      <c r="AE107" s="8">
        <v>0</v>
      </c>
      <c r="AF107" s="10">
        <v>86.308000000000007</v>
      </c>
      <c r="AG107" s="8">
        <f>COUNTIF(Y107:AB107,"&gt;0")</f>
        <v>0</v>
      </c>
      <c r="AH107" s="10">
        <v>0</v>
      </c>
      <c r="AI107" s="10">
        <v>0</v>
      </c>
      <c r="AJ107" s="8" t="str">
        <f>IF(ISNUMBER(X107),IF(X107&gt;0,"+",IF(X107&lt;0,"−","0")),IF(ISNUMBER(W107),IF(W107&gt;0,"+",IF(W107&lt;0,"−","0")),"yok"))</f>
        <v>+</v>
      </c>
      <c r="AK107" s="10" t="str">
        <f>IF(AND(RIGHT(C107,2)&lt;&gt;"12",ISNUMBER(U107),ISNUMBER(V107)),U107-V107,"")</f>
        <v/>
      </c>
      <c r="AL107" s="11" t="str">
        <f>IF(AND(ISNUMBER(AK107),ISNUMBER(V107)),IF(V107&lt;&gt;0,AK107/ABS(V107),""),"")</f>
        <v/>
      </c>
      <c r="AM107" s="8" t="str">
        <f>IF(ISNUMBER(AK107),IF(AK107&gt;1,1,0),"")</f>
        <v/>
      </c>
      <c r="AN107" s="8" t="str">
        <f>IF(ISNUMBER(AK107),IF(AK107&gt;0.05*ABS(V107),1,0),"")</f>
        <v/>
      </c>
      <c r="AO107" s="10">
        <v>86.308000000000007</v>
      </c>
      <c r="AP107" s="10">
        <v>0</v>
      </c>
      <c r="AQ107" s="8" t="s">
        <v>209</v>
      </c>
      <c r="AR107" s="8">
        <v>1</v>
      </c>
      <c r="AS107" s="10">
        <v>1040.2850000000001</v>
      </c>
      <c r="AT107" s="10">
        <v>-365.72800000000001</v>
      </c>
      <c r="AU107" s="8" t="s">
        <v>209</v>
      </c>
      <c r="AV107" s="10">
        <v>86.308000000000007</v>
      </c>
      <c r="AW107" s="11">
        <f>IF(AND(ISNUMBER(AV107),ISNUMBER(AT107)),IF(AT107&lt;&gt;0,AV107/ABS(AT107),""),"")</f>
        <v>0.23598958789045413</v>
      </c>
      <c r="AX107" s="8">
        <v>1</v>
      </c>
      <c r="AY107" s="8">
        <v>0</v>
      </c>
      <c r="AZ107" s="8" t="s">
        <v>291</v>
      </c>
      <c r="BA107" s="8">
        <v>0</v>
      </c>
    </row>
    <row r="108" spans="1:53" x14ac:dyDescent="0.2">
      <c r="A108" s="8" t="s">
        <v>292</v>
      </c>
      <c r="B108" s="8" t="s">
        <v>82</v>
      </c>
      <c r="C108" s="8" t="s">
        <v>203</v>
      </c>
      <c r="D108" s="8">
        <v>1</v>
      </c>
      <c r="E108" s="8">
        <v>1</v>
      </c>
      <c r="F108" s="8">
        <f>SUM(G108:M108)</f>
        <v>1</v>
      </c>
      <c r="G108" s="8">
        <v>0</v>
      </c>
      <c r="H108" s="8">
        <v>0</v>
      </c>
      <c r="I108" s="8">
        <v>0</v>
      </c>
      <c r="J108" s="8">
        <v>1</v>
      </c>
      <c r="K108" s="8">
        <v>0</v>
      </c>
      <c r="L108" s="8">
        <v>0</v>
      </c>
      <c r="M108" s="8">
        <v>0</v>
      </c>
      <c r="N108" s="8">
        <v>0</v>
      </c>
      <c r="O108" s="8">
        <v>1</v>
      </c>
      <c r="P108" s="8">
        <v>1</v>
      </c>
      <c r="Q108" s="8">
        <v>0</v>
      </c>
      <c r="R108" s="8">
        <v>1</v>
      </c>
      <c r="S108" s="8">
        <v>0</v>
      </c>
      <c r="T108" s="10">
        <v>-6.0490000000000004</v>
      </c>
      <c r="U108" s="10">
        <v>-4.2149999999999999</v>
      </c>
      <c r="V108" s="10">
        <v>4.9470000000000001</v>
      </c>
      <c r="W108" s="10">
        <f>IF(RIGHT(C108,2)="12",IF(ISNUMBER(T108),T108,""),IF(COUNT(T108,U108,V108)=3,T108+U108-V108,""))</f>
        <v>-15.210999999999999</v>
      </c>
      <c r="X108" s="10">
        <v>-15.212</v>
      </c>
      <c r="Y108" s="10">
        <v>-16.181000000000001</v>
      </c>
      <c r="Z108" s="10">
        <v>-4.37</v>
      </c>
      <c r="AA108" s="10">
        <v>11.388</v>
      </c>
      <c r="AB108" s="10">
        <v>-6.0490000000000004</v>
      </c>
      <c r="AC108" s="8">
        <v>0</v>
      </c>
      <c r="AD108" s="8">
        <v>0</v>
      </c>
      <c r="AE108" s="8">
        <v>1</v>
      </c>
      <c r="AF108" s="10">
        <v>4.9470000000000001</v>
      </c>
      <c r="AG108" s="8">
        <f>COUNTIF(Y108:AB108,"&gt;0")</f>
        <v>1</v>
      </c>
      <c r="AH108" s="10">
        <v>0</v>
      </c>
      <c r="AI108" s="10">
        <v>11.388</v>
      </c>
      <c r="AJ108" s="8" t="str">
        <f>IF(ISNUMBER(X108),IF(X108&gt;0,"+",IF(X108&lt;0,"−","0")),IF(ISNUMBER(W108),IF(W108&gt;0,"+",IF(W108&lt;0,"−","0")),"yok"))</f>
        <v>−</v>
      </c>
      <c r="AK108" s="10">
        <f>IF(AND(RIGHT(C108,2)&lt;&gt;"12",ISNUMBER(U108),ISNUMBER(V108)),U108-V108,"")</f>
        <v>-9.161999999999999</v>
      </c>
      <c r="AL108" s="11">
        <f>IF(AND(ISNUMBER(AK108),ISNUMBER(V108)),IF(V108&lt;&gt;0,AK108/ABS(V108),""),"")</f>
        <v>-1.8520315342631897</v>
      </c>
      <c r="AM108" s="8">
        <f>IF(ISNUMBER(AK108),IF(AK108&gt;1,1,0),"")</f>
        <v>0</v>
      </c>
      <c r="AN108" s="8">
        <f>IF(ISNUMBER(AK108),IF(AK108&gt;0.05*ABS(V108),1,0),"")</f>
        <v>0</v>
      </c>
      <c r="AO108" s="10">
        <v>-15.212</v>
      </c>
      <c r="AP108" s="10">
        <v>15.212</v>
      </c>
      <c r="AQ108" s="8" t="s">
        <v>204</v>
      </c>
      <c r="AR108" s="8">
        <v>0</v>
      </c>
      <c r="AS108" s="10">
        <v>2283.3319999999999</v>
      </c>
      <c r="AT108" s="10">
        <v>256.71800000000098</v>
      </c>
      <c r="AU108" s="8" t="s">
        <v>204</v>
      </c>
      <c r="AV108" s="10">
        <v>4.9470000000000001</v>
      </c>
      <c r="AW108" s="11">
        <f>IF(AND(ISNUMBER(AV108),ISNUMBER(AT108)),IF(AT108&lt;&gt;0,AV108/ABS(AT108),""),"")</f>
        <v>1.9270171939637974E-2</v>
      </c>
      <c r="AX108" s="8">
        <v>1</v>
      </c>
      <c r="AY108" s="8">
        <v>0</v>
      </c>
      <c r="AZ108" s="8" t="s">
        <v>293</v>
      </c>
      <c r="BA108" s="8">
        <v>1</v>
      </c>
    </row>
    <row r="109" spans="1:53" x14ac:dyDescent="0.2">
      <c r="A109" s="8" t="s">
        <v>292</v>
      </c>
      <c r="B109" s="8" t="s">
        <v>82</v>
      </c>
      <c r="C109" s="8" t="s">
        <v>205</v>
      </c>
      <c r="D109" s="8">
        <v>1</v>
      </c>
      <c r="E109" s="8">
        <v>1</v>
      </c>
      <c r="F109" s="8">
        <f>SUM(G109:M109)</f>
        <v>1</v>
      </c>
      <c r="G109" s="8">
        <v>1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1</v>
      </c>
      <c r="O109" s="8">
        <v>1</v>
      </c>
      <c r="P109" s="8">
        <v>1</v>
      </c>
      <c r="Q109" s="8">
        <v>1</v>
      </c>
      <c r="R109" s="8">
        <v>1</v>
      </c>
      <c r="S109" s="8">
        <v>1</v>
      </c>
      <c r="T109" s="10">
        <v>35.067</v>
      </c>
      <c r="U109" s="10">
        <v>-4.2149999999999999</v>
      </c>
      <c r="V109" s="10">
        <v>-11.233000000000001</v>
      </c>
      <c r="W109" s="10">
        <f>IF(RIGHT(C109,2)="12",IF(ISNUMBER(T109),T109,""),IF(COUNT(T109,U109,V109)=3,T109+U109-V109,""))</f>
        <v>42.085000000000001</v>
      </c>
      <c r="X109" s="10">
        <v>42.085000000000001</v>
      </c>
      <c r="Y109" s="10">
        <v>-4.37</v>
      </c>
      <c r="Z109" s="10">
        <v>11.388</v>
      </c>
      <c r="AA109" s="10">
        <v>-6.0490000000000004</v>
      </c>
      <c r="AB109" s="10">
        <v>41.116</v>
      </c>
      <c r="AC109" s="8">
        <v>1</v>
      </c>
      <c r="AD109" s="8">
        <v>0</v>
      </c>
      <c r="AE109" s="8">
        <v>0</v>
      </c>
      <c r="AF109" s="10">
        <v>35.067</v>
      </c>
      <c r="AG109" s="8">
        <f>COUNTIF(Y109:AB109,"&gt;0")</f>
        <v>2</v>
      </c>
      <c r="AH109" s="10">
        <v>41.116</v>
      </c>
      <c r="AI109" s="10">
        <v>11.388</v>
      </c>
      <c r="AJ109" s="8" t="str">
        <f>IF(ISNUMBER(X109),IF(X109&gt;0,"+",IF(X109&lt;0,"−","0")),IF(ISNUMBER(W109),IF(W109&gt;0,"+",IF(W109&lt;0,"−","0")),"yok"))</f>
        <v>+</v>
      </c>
      <c r="AK109" s="10">
        <f>IF(AND(RIGHT(C109,2)&lt;&gt;"12",ISNUMBER(U109),ISNUMBER(V109)),U109-V109,"")</f>
        <v>7.0180000000000007</v>
      </c>
      <c r="AL109" s="11">
        <f>IF(AND(ISNUMBER(AK109),ISNUMBER(V109)),IF(V109&lt;&gt;0,AK109/ABS(V109),""),"")</f>
        <v>0.62476631354046119</v>
      </c>
      <c r="AM109" s="8">
        <f>IF(ISNUMBER(AK109),IF(AK109&gt;1,1,0),"")</f>
        <v>1</v>
      </c>
      <c r="AN109" s="8">
        <f>IF(ISNUMBER(AK109),IF(AK109&gt;0.05*ABS(V109),1,0),"")</f>
        <v>1</v>
      </c>
      <c r="AO109" s="10">
        <v>42.085999999999999</v>
      </c>
      <c r="AP109" s="10">
        <v>0</v>
      </c>
      <c r="AQ109" s="8" t="s">
        <v>204</v>
      </c>
      <c r="AR109" s="8">
        <v>1</v>
      </c>
      <c r="AS109" s="10">
        <v>-3074.2449999999999</v>
      </c>
      <c r="AT109" s="10">
        <v>-3074.2449999999999</v>
      </c>
      <c r="AU109" s="8" t="s">
        <v>204</v>
      </c>
      <c r="AV109" s="10">
        <v>35.067</v>
      </c>
      <c r="AW109" s="11">
        <f>IF(AND(ISNUMBER(AV109),ISNUMBER(AT109)),IF(AT109&lt;&gt;0,AV109/ABS(AT109),""),"")</f>
        <v>1.1406703109218687E-2</v>
      </c>
      <c r="AX109" s="8">
        <v>1</v>
      </c>
      <c r="AY109" s="8">
        <v>0</v>
      </c>
      <c r="AZ109" s="8" t="s">
        <v>294</v>
      </c>
      <c r="BA109" s="8">
        <v>1</v>
      </c>
    </row>
    <row r="110" spans="1:53" x14ac:dyDescent="0.2">
      <c r="A110" s="8" t="s">
        <v>292</v>
      </c>
      <c r="B110" s="8" t="s">
        <v>82</v>
      </c>
      <c r="C110" s="8" t="s">
        <v>215</v>
      </c>
      <c r="D110" s="8">
        <v>1</v>
      </c>
      <c r="E110" s="8">
        <v>1</v>
      </c>
      <c r="F110" s="8">
        <f>SUM(G110:M110)</f>
        <v>1</v>
      </c>
      <c r="G110" s="8">
        <v>1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1</v>
      </c>
      <c r="O110" s="8">
        <v>1</v>
      </c>
      <c r="P110" s="8">
        <v>1</v>
      </c>
      <c r="Q110" s="8">
        <v>1</v>
      </c>
      <c r="R110" s="8">
        <v>1</v>
      </c>
      <c r="S110" s="8">
        <v>1</v>
      </c>
      <c r="T110" s="10">
        <v>3.4249999999999998</v>
      </c>
      <c r="U110" s="10">
        <v>-4.2149999999999999</v>
      </c>
      <c r="V110" s="10">
        <v>-15.603999999999999</v>
      </c>
      <c r="W110" s="10">
        <f>IF(RIGHT(C110,2)="12",IF(ISNUMBER(T110),T110,""),IF(COUNT(T110,U110,V110)=3,T110+U110-V110,""))</f>
        <v>14.814</v>
      </c>
      <c r="X110" s="10">
        <v>14.814</v>
      </c>
      <c r="Y110" s="10">
        <v>11.388</v>
      </c>
      <c r="Z110" s="10">
        <v>-6.0490000000000004</v>
      </c>
      <c r="AA110" s="10">
        <v>41.116</v>
      </c>
      <c r="AB110" s="10">
        <v>-31.640999999999998</v>
      </c>
      <c r="AC110" s="8">
        <v>1</v>
      </c>
      <c r="AD110" s="8">
        <v>0</v>
      </c>
      <c r="AE110" s="8">
        <v>0</v>
      </c>
      <c r="AF110" s="10">
        <v>3.4249999999999998</v>
      </c>
      <c r="AG110" s="8">
        <f>COUNTIF(Y110:AB110,"&gt;0")</f>
        <v>2</v>
      </c>
      <c r="AH110" s="10">
        <v>41.116</v>
      </c>
      <c r="AI110" s="10">
        <v>11.388</v>
      </c>
      <c r="AJ110" s="8" t="str">
        <f>IF(ISNUMBER(X110),IF(X110&gt;0,"+",IF(X110&lt;0,"−","0")),IF(ISNUMBER(W110),IF(W110&gt;0,"+",IF(W110&lt;0,"−","0")),"yok"))</f>
        <v>+</v>
      </c>
      <c r="AK110" s="10">
        <f>IF(AND(RIGHT(C110,2)&lt;&gt;"12",ISNUMBER(U110),ISNUMBER(V110)),U110-V110,"")</f>
        <v>11.388999999999999</v>
      </c>
      <c r="AL110" s="11">
        <f>IF(AND(ISNUMBER(AK110),ISNUMBER(V110)),IF(V110&lt;&gt;0,AK110/ABS(V110),""),"")</f>
        <v>0.72987695462701874</v>
      </c>
      <c r="AM110" s="8">
        <f>IF(ISNUMBER(AK110),IF(AK110&gt;1,1,0),"")</f>
        <v>1</v>
      </c>
      <c r="AN110" s="8">
        <f>IF(ISNUMBER(AK110),IF(AK110&gt;0.05*ABS(V110),1,0),"")</f>
        <v>1</v>
      </c>
      <c r="AO110" s="10">
        <v>14.815</v>
      </c>
      <c r="AP110" s="10">
        <v>0</v>
      </c>
      <c r="AQ110" s="8" t="s">
        <v>204</v>
      </c>
      <c r="AR110" s="8">
        <v>1</v>
      </c>
      <c r="AS110" s="10">
        <v>-5299.7740000000003</v>
      </c>
      <c r="AT110" s="10">
        <v>-5299.7740000000003</v>
      </c>
      <c r="AU110" s="8" t="s">
        <v>204</v>
      </c>
      <c r="AV110" s="10">
        <v>3.4249999999999998</v>
      </c>
      <c r="AW110" s="11">
        <f>IF(AND(ISNUMBER(AV110),ISNUMBER(AT110)),IF(AT110&lt;&gt;0,AV110/ABS(AT110),""),"")</f>
        <v>6.4625397233919783E-4</v>
      </c>
      <c r="AX110" s="8">
        <v>1</v>
      </c>
      <c r="AY110" s="8">
        <v>0</v>
      </c>
      <c r="AZ110" s="8" t="s">
        <v>295</v>
      </c>
      <c r="BA110" s="8">
        <v>1</v>
      </c>
    </row>
    <row r="111" spans="1:53" x14ac:dyDescent="0.2">
      <c r="A111" s="8" t="s">
        <v>292</v>
      </c>
      <c r="B111" s="8" t="s">
        <v>82</v>
      </c>
      <c r="C111" s="8" t="s">
        <v>290</v>
      </c>
      <c r="D111" s="8">
        <v>1</v>
      </c>
      <c r="E111" s="8">
        <v>1</v>
      </c>
      <c r="F111" s="8">
        <f>SUM(G111:M111)</f>
        <v>1</v>
      </c>
      <c r="G111" s="8">
        <v>1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1</v>
      </c>
      <c r="O111" s="8">
        <v>1</v>
      </c>
      <c r="P111" s="8">
        <v>1</v>
      </c>
      <c r="Q111" s="8">
        <v>0</v>
      </c>
      <c r="R111" s="8">
        <v>0</v>
      </c>
      <c r="S111" s="8">
        <v>1</v>
      </c>
      <c r="T111" s="10">
        <v>55.354999999999997</v>
      </c>
      <c r="U111" s="10"/>
      <c r="V111" s="10"/>
      <c r="W111" s="10">
        <f>IF(RIGHT(C111,2)="12",IF(ISNUMBER(T111),T111,""),IF(COUNT(T111,U111,V111)=3,T111+U111-V111,""))</f>
        <v>55.354999999999997</v>
      </c>
      <c r="X111" s="10">
        <v>55.354999999999997</v>
      </c>
      <c r="Y111" s="10">
        <v>-6.0490000000000004</v>
      </c>
      <c r="Z111" s="10">
        <v>41.116</v>
      </c>
      <c r="AA111" s="10">
        <v>-31.640999999999998</v>
      </c>
      <c r="AB111" s="10">
        <v>51.929000000000002</v>
      </c>
      <c r="AC111" s="8">
        <v>1</v>
      </c>
      <c r="AD111" s="8">
        <v>0</v>
      </c>
      <c r="AE111" s="8">
        <v>0</v>
      </c>
      <c r="AF111" s="10">
        <v>55.354999999999997</v>
      </c>
      <c r="AG111" s="8">
        <f>COUNTIF(Y111:AB111,"&gt;0")</f>
        <v>2</v>
      </c>
      <c r="AH111" s="10">
        <v>93.045000000000002</v>
      </c>
      <c r="AI111" s="10">
        <v>0</v>
      </c>
      <c r="AJ111" s="8" t="str">
        <f>IF(ISNUMBER(X111),IF(X111&gt;0,"+",IF(X111&lt;0,"−","0")),IF(ISNUMBER(W111),IF(W111&gt;0,"+",IF(W111&lt;0,"−","0")),"yok"))</f>
        <v>+</v>
      </c>
      <c r="AK111" s="10" t="str">
        <f>IF(AND(RIGHT(C111,2)&lt;&gt;"12",ISNUMBER(U111),ISNUMBER(V111)),U111-V111,"")</f>
        <v/>
      </c>
      <c r="AL111" s="11" t="str">
        <f>IF(AND(ISNUMBER(AK111),ISNUMBER(V111)),IF(V111&lt;&gt;0,AK111/ABS(V111),""),"")</f>
        <v/>
      </c>
      <c r="AM111" s="8" t="str">
        <f>IF(ISNUMBER(AK111),IF(AK111&gt;1,1,0),"")</f>
        <v/>
      </c>
      <c r="AN111" s="8" t="str">
        <f>IF(ISNUMBER(AK111),IF(AK111&gt;0.05*ABS(V111),1,0),"")</f>
        <v/>
      </c>
      <c r="AO111" s="10">
        <v>55.356000000000002</v>
      </c>
      <c r="AP111" s="10">
        <v>0</v>
      </c>
      <c r="AQ111" s="8" t="s">
        <v>204</v>
      </c>
      <c r="AR111" s="8">
        <v>1</v>
      </c>
      <c r="AS111" s="10">
        <v>-2046.8630000000001</v>
      </c>
      <c r="AT111" s="10">
        <v>-2046.8630000000001</v>
      </c>
      <c r="AU111" s="8" t="s">
        <v>204</v>
      </c>
      <c r="AV111" s="10">
        <v>55.354999999999997</v>
      </c>
      <c r="AW111" s="11">
        <f>IF(AND(ISNUMBER(AV111),ISNUMBER(AT111)),IF(AT111&lt;&gt;0,AV111/ABS(AT111),""),"")</f>
        <v>2.7043822669128317E-2</v>
      </c>
      <c r="AX111" s="8">
        <v>1</v>
      </c>
      <c r="AY111" s="8">
        <v>0</v>
      </c>
      <c r="AZ111" s="8" t="s">
        <v>296</v>
      </c>
      <c r="BA111" s="8">
        <v>1</v>
      </c>
    </row>
    <row r="112" spans="1:53" x14ac:dyDescent="0.2">
      <c r="A112" s="8" t="s">
        <v>292</v>
      </c>
      <c r="B112" s="8" t="s">
        <v>82</v>
      </c>
      <c r="C112" s="8" t="s">
        <v>208</v>
      </c>
      <c r="D112" s="8">
        <v>1</v>
      </c>
      <c r="E112" s="8">
        <v>1</v>
      </c>
      <c r="F112" s="8">
        <f>SUM(G112:M112)</f>
        <v>1</v>
      </c>
      <c r="G112" s="8">
        <v>1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1</v>
      </c>
      <c r="O112" s="8">
        <v>1</v>
      </c>
      <c r="P112" s="8">
        <v>1</v>
      </c>
      <c r="Q112" s="8">
        <v>1</v>
      </c>
      <c r="R112" s="8">
        <v>1</v>
      </c>
      <c r="S112" s="8">
        <v>0</v>
      </c>
      <c r="T112" s="10">
        <v>-20.088999999999999</v>
      </c>
      <c r="U112" s="10">
        <v>55.354999999999997</v>
      </c>
      <c r="V112" s="10">
        <v>-6.0490000000000004</v>
      </c>
      <c r="W112" s="10">
        <f>IF(RIGHT(C112,2)="12",IF(ISNUMBER(T112),T112,""),IF(COUNT(T112,U112,V112)=3,T112+U112-V112,""))</f>
        <v>41.314999999999998</v>
      </c>
      <c r="X112" s="10">
        <v>41.314999999999998</v>
      </c>
      <c r="Y112" s="10">
        <v>41.116</v>
      </c>
      <c r="Z112" s="10">
        <v>-31.640999999999998</v>
      </c>
      <c r="AA112" s="10">
        <v>51.929000000000002</v>
      </c>
      <c r="AB112" s="10">
        <v>-20.088999999999999</v>
      </c>
      <c r="AC112" s="8">
        <v>0</v>
      </c>
      <c r="AD112" s="8">
        <v>1</v>
      </c>
      <c r="AE112" s="8">
        <v>0</v>
      </c>
      <c r="AF112" s="10">
        <v>55.354999999999997</v>
      </c>
      <c r="AG112" s="8">
        <f>COUNTIF(Y112:AB112,"&gt;0")</f>
        <v>2</v>
      </c>
      <c r="AH112" s="10">
        <v>0</v>
      </c>
      <c r="AI112" s="10">
        <v>93.045000000000002</v>
      </c>
      <c r="AJ112" s="8" t="str">
        <f>IF(ISNUMBER(X112),IF(X112&gt;0,"+",IF(X112&lt;0,"−","0")),IF(ISNUMBER(W112),IF(W112&gt;0,"+",IF(W112&lt;0,"−","0")),"yok"))</f>
        <v>+</v>
      </c>
      <c r="AK112" s="10">
        <f>IF(AND(RIGHT(C112,2)&lt;&gt;"12",ISNUMBER(U112),ISNUMBER(V112)),U112-V112,"")</f>
        <v>61.403999999999996</v>
      </c>
      <c r="AL112" s="11">
        <f>IF(AND(ISNUMBER(AK112),ISNUMBER(V112)),IF(V112&lt;&gt;0,AK112/ABS(V112),""),"")</f>
        <v>10.151099355265332</v>
      </c>
      <c r="AM112" s="8">
        <f>IF(ISNUMBER(AK112),IF(AK112&gt;1,1,0),"")</f>
        <v>1</v>
      </c>
      <c r="AN112" s="8">
        <f>IF(ISNUMBER(AK112),IF(AK112&gt;0.05*ABS(V112),1,0),"")</f>
        <v>1</v>
      </c>
      <c r="AO112" s="10">
        <v>41.316000000000003</v>
      </c>
      <c r="AP112" s="10">
        <v>0</v>
      </c>
      <c r="AQ112" s="8" t="s">
        <v>204</v>
      </c>
      <c r="AR112" s="8">
        <v>1</v>
      </c>
      <c r="AS112" s="10">
        <v>-5809.9440000000004</v>
      </c>
      <c r="AT112" s="10">
        <v>-5809.9440000000004</v>
      </c>
      <c r="AU112" s="8" t="s">
        <v>204</v>
      </c>
      <c r="AV112" s="10">
        <v>55.354999999999997</v>
      </c>
      <c r="AW112" s="11">
        <f>IF(AND(ISNUMBER(AV112),ISNUMBER(AT112)),IF(AT112&lt;&gt;0,AV112/ABS(AT112),""),"")</f>
        <v>9.5276305589176071E-3</v>
      </c>
      <c r="AX112" s="8">
        <v>1</v>
      </c>
      <c r="AY112" s="8">
        <v>0</v>
      </c>
      <c r="AZ112" s="8" t="s">
        <v>297</v>
      </c>
      <c r="BA112" s="8">
        <v>1</v>
      </c>
    </row>
    <row r="113" spans="1:53" x14ac:dyDescent="0.2">
      <c r="A113" s="8" t="s">
        <v>292</v>
      </c>
      <c r="B113" s="8" t="s">
        <v>82</v>
      </c>
      <c r="C113" s="8" t="s">
        <v>210</v>
      </c>
      <c r="D113" s="8">
        <v>1</v>
      </c>
      <c r="E113" s="8">
        <v>1</v>
      </c>
      <c r="F113" s="8">
        <f>SUM(G113:M113)</f>
        <v>2</v>
      </c>
      <c r="G113" s="8">
        <v>0</v>
      </c>
      <c r="H113" s="8">
        <v>1</v>
      </c>
      <c r="I113" s="8">
        <v>0</v>
      </c>
      <c r="J113" s="8">
        <v>1</v>
      </c>
      <c r="K113" s="8">
        <v>0</v>
      </c>
      <c r="L113" s="8">
        <v>0</v>
      </c>
      <c r="M113" s="8">
        <v>0</v>
      </c>
      <c r="N113" s="8">
        <v>0</v>
      </c>
      <c r="O113" s="8">
        <v>1</v>
      </c>
      <c r="P113" s="8">
        <v>1</v>
      </c>
      <c r="Q113" s="8">
        <v>1</v>
      </c>
      <c r="R113" s="8">
        <v>1</v>
      </c>
      <c r="S113" s="8">
        <v>0</v>
      </c>
      <c r="T113" s="10">
        <v>-23.596</v>
      </c>
      <c r="U113" s="10">
        <v>55.354999999999997</v>
      </c>
      <c r="V113" s="10">
        <v>35.067</v>
      </c>
      <c r="W113" s="10">
        <f>IF(RIGHT(C113,2)="12",IF(ISNUMBER(T113),T113,""),IF(COUNT(T113,U113,V113)=3,T113+U113-V113,""))</f>
        <v>-3.3080000000000034</v>
      </c>
      <c r="X113" s="10">
        <v>-3.3079999999999998</v>
      </c>
      <c r="Y113" s="10">
        <v>-31.640999999999998</v>
      </c>
      <c r="Z113" s="10">
        <v>51.929000000000002</v>
      </c>
      <c r="AA113" s="10">
        <v>-20.088999999999999</v>
      </c>
      <c r="AB113" s="10">
        <v>-3.5059999999999998</v>
      </c>
      <c r="AC113" s="8">
        <v>0</v>
      </c>
      <c r="AD113" s="8">
        <v>1</v>
      </c>
      <c r="AE113" s="8">
        <v>1</v>
      </c>
      <c r="AF113" s="10">
        <v>55.354999999999997</v>
      </c>
      <c r="AG113" s="8">
        <f>COUNTIF(Y113:AB113,"&gt;0")</f>
        <v>1</v>
      </c>
      <c r="AH113" s="10">
        <v>0</v>
      </c>
      <c r="AI113" s="10">
        <v>51.929000000000002</v>
      </c>
      <c r="AJ113" s="8" t="str">
        <f>IF(ISNUMBER(X113),IF(X113&gt;0,"+",IF(X113&lt;0,"−","0")),IF(ISNUMBER(W113),IF(W113&gt;0,"+",IF(W113&lt;0,"−","0")),"yok"))</f>
        <v>−</v>
      </c>
      <c r="AK113" s="10">
        <f>IF(AND(RIGHT(C113,2)&lt;&gt;"12",ISNUMBER(U113),ISNUMBER(V113)),U113-V113,"")</f>
        <v>20.287999999999997</v>
      </c>
      <c r="AL113" s="11">
        <f>IF(AND(ISNUMBER(AK113),ISNUMBER(V113)),IF(V113&lt;&gt;0,AK113/ABS(V113),""),"")</f>
        <v>0.57854963355861622</v>
      </c>
      <c r="AM113" s="8">
        <f>IF(ISNUMBER(AK113),IF(AK113&gt;1,1,0),"")</f>
        <v>1</v>
      </c>
      <c r="AN113" s="8">
        <f>IF(ISNUMBER(AK113),IF(AK113&gt;0.05*ABS(V113),1,0),"")</f>
        <v>1</v>
      </c>
      <c r="AO113" s="10">
        <v>-3.3079999999999998</v>
      </c>
      <c r="AP113" s="10">
        <v>3.3079999999999998</v>
      </c>
      <c r="AQ113" s="8" t="s">
        <v>204</v>
      </c>
      <c r="AR113" s="8">
        <v>0</v>
      </c>
      <c r="AS113" s="10">
        <v>-391.23899999999998</v>
      </c>
      <c r="AT113" s="10">
        <v>-394.54700000000003</v>
      </c>
      <c r="AU113" s="8" t="s">
        <v>204</v>
      </c>
      <c r="AV113" s="10">
        <v>55.354999999999997</v>
      </c>
      <c r="AW113" s="11">
        <f>IF(AND(ISNUMBER(AV113),ISNUMBER(AT113)),IF(AT113&lt;&gt;0,AV113/ABS(AT113),""),"")</f>
        <v>0.14030014168147265</v>
      </c>
      <c r="AX113" s="8">
        <v>1</v>
      </c>
      <c r="AY113" s="8">
        <v>0</v>
      </c>
      <c r="AZ113" s="8" t="s">
        <v>298</v>
      </c>
      <c r="BA113" s="8">
        <v>1</v>
      </c>
    </row>
    <row r="114" spans="1:53" x14ac:dyDescent="0.2">
      <c r="A114" s="8" t="s">
        <v>292</v>
      </c>
      <c r="B114" s="8" t="s">
        <v>83</v>
      </c>
      <c r="C114" s="8" t="s">
        <v>203</v>
      </c>
      <c r="D114" s="8">
        <v>1</v>
      </c>
      <c r="E114" s="8">
        <v>1</v>
      </c>
      <c r="F114" s="8">
        <f>SUM(G114:M114)</f>
        <v>2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1</v>
      </c>
      <c r="M114" s="8">
        <v>1</v>
      </c>
      <c r="N114" s="8">
        <v>0</v>
      </c>
      <c r="O114" s="8">
        <v>0</v>
      </c>
      <c r="P114" s="8">
        <v>1</v>
      </c>
      <c r="Q114" s="8">
        <v>0</v>
      </c>
      <c r="R114" s="8">
        <v>0</v>
      </c>
      <c r="S114" s="8">
        <v>0</v>
      </c>
      <c r="T114" s="10">
        <v>-2781.9079999999999</v>
      </c>
      <c r="U114" s="10">
        <v>-3081.9690000000001</v>
      </c>
      <c r="V114" s="10">
        <v>-3852.4749999999999</v>
      </c>
      <c r="W114" s="10">
        <f>IF(RIGHT(C114,2)="12",IF(ISNUMBER(T114),T114,""),IF(COUNT(T114,U114,V114)=3,T114+U114-V114,""))</f>
        <v>-2011.4020000000005</v>
      </c>
      <c r="X114" s="10">
        <v>-2011.402</v>
      </c>
      <c r="Y114" s="10">
        <v>-2021.876</v>
      </c>
      <c r="Z114" s="10">
        <v>-2705.71</v>
      </c>
      <c r="AA114" s="10">
        <v>5498.0919999999996</v>
      </c>
      <c r="AB114" s="10">
        <v>-2781.9079999999999</v>
      </c>
      <c r="AC114" s="8">
        <v>0</v>
      </c>
      <c r="AD114" s="8">
        <v>0</v>
      </c>
      <c r="AE114" s="8">
        <v>0</v>
      </c>
      <c r="AF114" s="10">
        <v>0</v>
      </c>
      <c r="AG114" s="8">
        <f>COUNTIF(Y114:AB114,"&gt;0")</f>
        <v>1</v>
      </c>
      <c r="AH114" s="10">
        <v>0</v>
      </c>
      <c r="AI114" s="10">
        <v>5498.0919999999996</v>
      </c>
      <c r="AJ114" s="8" t="str">
        <f>IF(ISNUMBER(X114),IF(X114&gt;0,"+",IF(X114&lt;0,"−","0")),IF(ISNUMBER(W114),IF(W114&gt;0,"+",IF(W114&lt;0,"−","0")),"yok"))</f>
        <v>−</v>
      </c>
      <c r="AK114" s="10">
        <f>IF(AND(RIGHT(C114,2)&lt;&gt;"12",ISNUMBER(U114),ISNUMBER(V114)),U114-V114,"")</f>
        <v>770.50599999999986</v>
      </c>
      <c r="AL114" s="11">
        <f>IF(AND(ISNUMBER(AK114),ISNUMBER(V114)),IF(V114&lt;&gt;0,AK114/ABS(V114),""),"")</f>
        <v>0.20000285530730241</v>
      </c>
      <c r="AM114" s="8">
        <f>IF(ISNUMBER(AK114),IF(AK114&gt;1,1,0),"")</f>
        <v>1</v>
      </c>
      <c r="AN114" s="8">
        <f>IF(ISNUMBER(AK114),IF(AK114&gt;0.05*ABS(V114),1,0),"")</f>
        <v>1</v>
      </c>
      <c r="AO114" s="10">
        <v>-2011.402</v>
      </c>
      <c r="AP114" s="10">
        <v>2011.402</v>
      </c>
      <c r="AQ114" s="8" t="s">
        <v>204</v>
      </c>
      <c r="AR114" s="8">
        <v>0</v>
      </c>
      <c r="AS114" s="10">
        <v>2283.3319999999999</v>
      </c>
      <c r="AT114" s="10">
        <v>256.71800000000098</v>
      </c>
      <c r="AU114" s="8" t="s">
        <v>204</v>
      </c>
      <c r="AV114" s="10">
        <v>770.50599999999997</v>
      </c>
      <c r="AW114" s="11">
        <f>IF(AND(ISNUMBER(AV114),ISNUMBER(AT114)),IF(AT114&lt;&gt;0,AV114/ABS(AT114),""),"")</f>
        <v>3.001371154340549</v>
      </c>
      <c r="AX114" s="8">
        <v>0</v>
      </c>
      <c r="AY114" s="8">
        <v>1</v>
      </c>
      <c r="AZ114" s="10"/>
      <c r="BA114" s="8">
        <v>1</v>
      </c>
    </row>
    <row r="115" spans="1:53" x14ac:dyDescent="0.2">
      <c r="A115" s="8" t="s">
        <v>292</v>
      </c>
      <c r="B115" s="8" t="s">
        <v>83</v>
      </c>
      <c r="C115" s="8" t="s">
        <v>205</v>
      </c>
      <c r="D115" s="8">
        <v>1</v>
      </c>
      <c r="E115" s="8">
        <v>1</v>
      </c>
      <c r="F115" s="8">
        <f>SUM(G115:M115)</f>
        <v>3</v>
      </c>
      <c r="G115" s="8">
        <v>0</v>
      </c>
      <c r="H115" s="8">
        <v>0</v>
      </c>
      <c r="I115" s="8">
        <v>1</v>
      </c>
      <c r="J115" s="8">
        <v>0</v>
      </c>
      <c r="K115" s="8">
        <v>0</v>
      </c>
      <c r="L115" s="8">
        <v>1</v>
      </c>
      <c r="M115" s="8">
        <v>1</v>
      </c>
      <c r="N115" s="8">
        <v>1</v>
      </c>
      <c r="O115" s="8">
        <v>1</v>
      </c>
      <c r="P115" s="8">
        <v>1</v>
      </c>
      <c r="Q115" s="8">
        <v>0</v>
      </c>
      <c r="R115" s="8">
        <v>0</v>
      </c>
      <c r="S115" s="8">
        <v>1</v>
      </c>
      <c r="T115" s="10">
        <v>267.33699999999999</v>
      </c>
      <c r="U115" s="10">
        <v>-3081.9690000000001</v>
      </c>
      <c r="V115" s="10">
        <v>-5874.3509999999997</v>
      </c>
      <c r="W115" s="10">
        <f>IF(RIGHT(C115,2)="12",IF(ISNUMBER(T115),T115,""),IF(COUNT(T115,U115,V115)=3,T115+U115-V115,""))</f>
        <v>3059.7189999999996</v>
      </c>
      <c r="X115" s="10">
        <v>3059.7190000000001</v>
      </c>
      <c r="Y115" s="10">
        <v>-2705.71</v>
      </c>
      <c r="Z115" s="10">
        <v>5498.0919999999996</v>
      </c>
      <c r="AA115" s="10">
        <v>-2781.9079999999999</v>
      </c>
      <c r="AB115" s="10">
        <v>3049.2460000000001</v>
      </c>
      <c r="AC115" s="8">
        <v>1</v>
      </c>
      <c r="AD115" s="8">
        <v>0</v>
      </c>
      <c r="AE115" s="8">
        <v>0</v>
      </c>
      <c r="AF115" s="10">
        <v>267.33699999999999</v>
      </c>
      <c r="AG115" s="8">
        <f>COUNTIF(Y115:AB115,"&gt;0")</f>
        <v>2</v>
      </c>
      <c r="AH115" s="10">
        <v>3049.2460000000001</v>
      </c>
      <c r="AI115" s="10">
        <v>5498.0919999999996</v>
      </c>
      <c r="AJ115" s="8" t="str">
        <f>IF(ISNUMBER(X115),IF(X115&gt;0,"+",IF(X115&lt;0,"−","0")),IF(ISNUMBER(W115),IF(W115&gt;0,"+",IF(W115&lt;0,"−","0")),"yok"))</f>
        <v>+</v>
      </c>
      <c r="AK115" s="10">
        <f>IF(AND(RIGHT(C115,2)&lt;&gt;"12",ISNUMBER(U115),ISNUMBER(V115)),U115-V115,"")</f>
        <v>2792.3819999999996</v>
      </c>
      <c r="AL115" s="11">
        <f>IF(AND(ISNUMBER(AK115),ISNUMBER(V115)),IF(V115&lt;&gt;0,AK115/ABS(V115),""),"")</f>
        <v>0.47535157500803066</v>
      </c>
      <c r="AM115" s="8">
        <f>IF(ISNUMBER(AK115),IF(AK115&gt;1,1,0),"")</f>
        <v>1</v>
      </c>
      <c r="AN115" s="8">
        <f>IF(ISNUMBER(AK115),IF(AK115&gt;0.05*ABS(V115),1,0),"")</f>
        <v>1</v>
      </c>
      <c r="AO115" s="10">
        <v>3059.72</v>
      </c>
      <c r="AP115" s="10">
        <v>0</v>
      </c>
      <c r="AQ115" s="8" t="s">
        <v>204</v>
      </c>
      <c r="AR115" s="8">
        <v>1</v>
      </c>
      <c r="AS115" s="10">
        <v>-3074.2449999999999</v>
      </c>
      <c r="AT115" s="10">
        <v>-3074.2449999999999</v>
      </c>
      <c r="AU115" s="8" t="s">
        <v>204</v>
      </c>
      <c r="AV115" s="10">
        <v>267.33699999999999</v>
      </c>
      <c r="AW115" s="11">
        <f>IF(AND(ISNUMBER(AV115),ISNUMBER(AT115)),IF(AT115&lt;&gt;0,AV115/ABS(AT115),""),"")</f>
        <v>8.6960212995385852E-2</v>
      </c>
      <c r="AX115" s="8">
        <v>1</v>
      </c>
      <c r="AY115" s="8">
        <v>0</v>
      </c>
      <c r="AZ115" s="8" t="s">
        <v>299</v>
      </c>
      <c r="BA115" s="8">
        <v>1</v>
      </c>
    </row>
    <row r="116" spans="1:53" x14ac:dyDescent="0.2">
      <c r="A116" s="8" t="s">
        <v>292</v>
      </c>
      <c r="B116" s="8" t="s">
        <v>83</v>
      </c>
      <c r="C116" s="8" t="s">
        <v>215</v>
      </c>
      <c r="D116" s="8">
        <v>1</v>
      </c>
      <c r="E116" s="8">
        <v>1</v>
      </c>
      <c r="F116" s="8">
        <f>SUM(G116:M116)</f>
        <v>3</v>
      </c>
      <c r="G116" s="8">
        <v>0</v>
      </c>
      <c r="H116" s="8">
        <v>0</v>
      </c>
      <c r="I116" s="8">
        <v>1</v>
      </c>
      <c r="J116" s="8">
        <v>0</v>
      </c>
      <c r="K116" s="8">
        <v>0</v>
      </c>
      <c r="L116" s="8">
        <v>1</v>
      </c>
      <c r="M116" s="8">
        <v>1</v>
      </c>
      <c r="N116" s="8">
        <v>1</v>
      </c>
      <c r="O116" s="8">
        <v>1</v>
      </c>
      <c r="P116" s="8">
        <v>1</v>
      </c>
      <c r="Q116" s="8">
        <v>0</v>
      </c>
      <c r="R116" s="8">
        <v>0</v>
      </c>
      <c r="S116" s="8">
        <v>1</v>
      </c>
      <c r="T116" s="10">
        <v>1390.8820000000001</v>
      </c>
      <c r="U116" s="10">
        <v>-3081.9690000000001</v>
      </c>
      <c r="V116" s="10">
        <v>-8580.0619999999999</v>
      </c>
      <c r="W116" s="10">
        <f>IF(RIGHT(C116,2)="12",IF(ISNUMBER(T116),T116,""),IF(COUNT(T116,U116,V116)=3,T116+U116-V116,""))</f>
        <v>6888.9750000000004</v>
      </c>
      <c r="X116" s="10">
        <v>6888.9750000000004</v>
      </c>
      <c r="Y116" s="10">
        <v>5498.0919999999996</v>
      </c>
      <c r="Z116" s="10">
        <v>-2781.9079999999999</v>
      </c>
      <c r="AA116" s="10">
        <v>3049.2460000000001</v>
      </c>
      <c r="AB116" s="10">
        <v>1123.5440000000001</v>
      </c>
      <c r="AC116" s="8">
        <v>1</v>
      </c>
      <c r="AD116" s="8">
        <v>0</v>
      </c>
      <c r="AE116" s="8">
        <v>0</v>
      </c>
      <c r="AF116" s="10">
        <v>1390.8820000000001</v>
      </c>
      <c r="AG116" s="8">
        <f>COUNTIF(Y116:AB116,"&gt;0")</f>
        <v>3</v>
      </c>
      <c r="AH116" s="10">
        <v>4172.79</v>
      </c>
      <c r="AI116" s="10">
        <v>5498.0919999999996</v>
      </c>
      <c r="AJ116" s="8" t="str">
        <f>IF(ISNUMBER(X116),IF(X116&gt;0,"+",IF(X116&lt;0,"−","0")),IF(ISNUMBER(W116),IF(W116&gt;0,"+",IF(W116&lt;0,"−","0")),"yok"))</f>
        <v>+</v>
      </c>
      <c r="AK116" s="10">
        <f>IF(AND(RIGHT(C116,2)&lt;&gt;"12",ISNUMBER(U116),ISNUMBER(V116)),U116-V116,"")</f>
        <v>5498.0929999999998</v>
      </c>
      <c r="AL116" s="11">
        <f>IF(AND(ISNUMBER(AK116),ISNUMBER(V116)),IF(V116&lt;&gt;0,AK116/ABS(V116),""),"")</f>
        <v>0.64079874947290594</v>
      </c>
      <c r="AM116" s="8">
        <f>IF(ISNUMBER(AK116),IF(AK116&gt;1,1,0),"")</f>
        <v>1</v>
      </c>
      <c r="AN116" s="8">
        <f>IF(ISNUMBER(AK116),IF(AK116&gt;0.05*ABS(V116),1,0),"")</f>
        <v>1</v>
      </c>
      <c r="AO116" s="10">
        <v>6888.9740000000002</v>
      </c>
      <c r="AP116" s="10">
        <v>0</v>
      </c>
      <c r="AQ116" s="8" t="s">
        <v>204</v>
      </c>
      <c r="AR116" s="8">
        <v>1</v>
      </c>
      <c r="AS116" s="10">
        <v>-5299.7740000000003</v>
      </c>
      <c r="AT116" s="10">
        <v>-5299.7740000000003</v>
      </c>
      <c r="AU116" s="8" t="s">
        <v>204</v>
      </c>
      <c r="AV116" s="10">
        <v>1390.8820000000001</v>
      </c>
      <c r="AW116" s="11">
        <f>IF(AND(ISNUMBER(AV116),ISNUMBER(AT116)),IF(AT116&lt;&gt;0,AV116/ABS(AT116),""),"")</f>
        <v>0.26244175695039074</v>
      </c>
      <c r="AX116" s="8">
        <v>1</v>
      </c>
      <c r="AY116" s="8">
        <v>0</v>
      </c>
      <c r="AZ116" s="8" t="s">
        <v>300</v>
      </c>
      <c r="BA116" s="8">
        <v>1</v>
      </c>
    </row>
    <row r="117" spans="1:53" x14ac:dyDescent="0.2">
      <c r="A117" s="8" t="s">
        <v>292</v>
      </c>
      <c r="B117" s="8" t="s">
        <v>83</v>
      </c>
      <c r="C117" s="8" t="s">
        <v>290</v>
      </c>
      <c r="D117" s="8">
        <v>1</v>
      </c>
      <c r="E117" s="8">
        <v>1</v>
      </c>
      <c r="F117" s="8">
        <f>SUM(G117:M117)</f>
        <v>1</v>
      </c>
      <c r="G117" s="8">
        <v>0</v>
      </c>
      <c r="H117" s="8">
        <v>0</v>
      </c>
      <c r="I117" s="8">
        <v>1</v>
      </c>
      <c r="J117" s="8">
        <v>0</v>
      </c>
      <c r="K117" s="8">
        <v>0</v>
      </c>
      <c r="L117" s="8">
        <v>0</v>
      </c>
      <c r="M117" s="8">
        <v>0</v>
      </c>
      <c r="N117" s="8">
        <v>1</v>
      </c>
      <c r="O117" s="8">
        <v>1</v>
      </c>
      <c r="P117" s="8">
        <v>1</v>
      </c>
      <c r="Q117" s="8">
        <v>0</v>
      </c>
      <c r="R117" s="8">
        <v>0</v>
      </c>
      <c r="S117" s="8">
        <v>1</v>
      </c>
      <c r="T117" s="10">
        <v>2904.857</v>
      </c>
      <c r="U117" s="10"/>
      <c r="V117" s="10"/>
      <c r="W117" s="10">
        <f>IF(RIGHT(C117,2)="12",IF(ISNUMBER(T117),T117,""),IF(COUNT(T117,U117,V117)=3,T117+U117-V117,""))</f>
        <v>2904.857</v>
      </c>
      <c r="X117" s="10">
        <v>2904.857</v>
      </c>
      <c r="Y117" s="10">
        <v>-2781.9079999999999</v>
      </c>
      <c r="Z117" s="10">
        <v>3049.2460000000001</v>
      </c>
      <c r="AA117" s="10">
        <v>1123.5440000000001</v>
      </c>
      <c r="AB117" s="10">
        <v>1513.9739999999999</v>
      </c>
      <c r="AC117" s="8">
        <v>1</v>
      </c>
      <c r="AD117" s="8">
        <v>0</v>
      </c>
      <c r="AE117" s="8">
        <v>0</v>
      </c>
      <c r="AF117" s="10">
        <v>2904.857</v>
      </c>
      <c r="AG117" s="8">
        <f>COUNTIF(Y117:AB117,"&gt;0")</f>
        <v>3</v>
      </c>
      <c r="AH117" s="10">
        <v>5686.7640000000001</v>
      </c>
      <c r="AI117" s="10">
        <v>0</v>
      </c>
      <c r="AJ117" s="8" t="str">
        <f>IF(ISNUMBER(X117),IF(X117&gt;0,"+",IF(X117&lt;0,"−","0")),IF(ISNUMBER(W117),IF(W117&gt;0,"+",IF(W117&lt;0,"−","0")),"yok"))</f>
        <v>+</v>
      </c>
      <c r="AK117" s="10" t="str">
        <f>IF(AND(RIGHT(C117,2)&lt;&gt;"12",ISNUMBER(U117),ISNUMBER(V117)),U117-V117,"")</f>
        <v/>
      </c>
      <c r="AL117" s="11" t="str">
        <f>IF(AND(ISNUMBER(AK117),ISNUMBER(V117)),IF(V117&lt;&gt;0,AK117/ABS(V117),""),"")</f>
        <v/>
      </c>
      <c r="AM117" s="8" t="str">
        <f>IF(ISNUMBER(AK117),IF(AK117&gt;1,1,0),"")</f>
        <v/>
      </c>
      <c r="AN117" s="8" t="str">
        <f>IF(ISNUMBER(AK117),IF(AK117&gt;0.05*ABS(V117),1,0),"")</f>
        <v/>
      </c>
      <c r="AO117" s="10">
        <v>2904.857</v>
      </c>
      <c r="AP117" s="10">
        <v>0</v>
      </c>
      <c r="AQ117" s="8" t="s">
        <v>204</v>
      </c>
      <c r="AR117" s="8">
        <v>1</v>
      </c>
      <c r="AS117" s="10">
        <v>-2046.8630000000001</v>
      </c>
      <c r="AT117" s="10">
        <v>-2046.8630000000001</v>
      </c>
      <c r="AU117" s="8" t="s">
        <v>204</v>
      </c>
      <c r="AV117" s="10">
        <v>2904.857</v>
      </c>
      <c r="AW117" s="11">
        <f>IF(AND(ISNUMBER(AV117),ISNUMBER(AT117)),IF(AT117&lt;&gt;0,AV117/ABS(AT117),""),"")</f>
        <v>1.4191750986753875</v>
      </c>
      <c r="AX117" s="8">
        <v>1</v>
      </c>
      <c r="AY117" s="8">
        <v>0</v>
      </c>
      <c r="AZ117" s="8" t="s">
        <v>301</v>
      </c>
      <c r="BA117" s="8">
        <v>1</v>
      </c>
    </row>
    <row r="118" spans="1:53" x14ac:dyDescent="0.2">
      <c r="A118" s="8" t="s">
        <v>292</v>
      </c>
      <c r="B118" s="8" t="s">
        <v>83</v>
      </c>
      <c r="C118" s="8" t="s">
        <v>208</v>
      </c>
      <c r="D118" s="8">
        <v>1</v>
      </c>
      <c r="E118" s="8">
        <v>1</v>
      </c>
      <c r="F118" s="8">
        <f>SUM(G118:M118)</f>
        <v>3</v>
      </c>
      <c r="G118" s="8">
        <v>0</v>
      </c>
      <c r="H118" s="8">
        <v>0</v>
      </c>
      <c r="I118" s="8">
        <v>1</v>
      </c>
      <c r="J118" s="8">
        <v>0</v>
      </c>
      <c r="K118" s="8">
        <v>0</v>
      </c>
      <c r="L118" s="8">
        <v>1</v>
      </c>
      <c r="M118" s="8">
        <v>1</v>
      </c>
      <c r="N118" s="8">
        <v>1</v>
      </c>
      <c r="O118" s="8">
        <v>1</v>
      </c>
      <c r="P118" s="8">
        <v>1</v>
      </c>
      <c r="Q118" s="8">
        <v>0</v>
      </c>
      <c r="R118" s="8">
        <v>0</v>
      </c>
      <c r="S118" s="8">
        <v>0</v>
      </c>
      <c r="T118" s="10">
        <v>1035.402</v>
      </c>
      <c r="U118" s="10">
        <v>2904.857</v>
      </c>
      <c r="V118" s="10">
        <v>-2781.9079999999999</v>
      </c>
      <c r="W118" s="10">
        <f>IF(RIGHT(C118,2)="12",IF(ISNUMBER(T118),T118,""),IF(COUNT(T118,U118,V118)=3,T118+U118-V118,""))</f>
        <v>6722.1669999999995</v>
      </c>
      <c r="X118" s="10">
        <v>6722.1670000000004</v>
      </c>
      <c r="Y118" s="10">
        <v>3049.2460000000001</v>
      </c>
      <c r="Z118" s="10">
        <v>1123.5440000000001</v>
      </c>
      <c r="AA118" s="10">
        <v>1513.9739999999999</v>
      </c>
      <c r="AB118" s="10">
        <v>1035.402</v>
      </c>
      <c r="AC118" s="8">
        <v>1</v>
      </c>
      <c r="AD118" s="8">
        <v>1</v>
      </c>
      <c r="AE118" s="8">
        <v>0</v>
      </c>
      <c r="AF118" s="10">
        <v>2904.857</v>
      </c>
      <c r="AG118" s="8">
        <f>COUNTIF(Y118:AB118,"&gt;0")</f>
        <v>4</v>
      </c>
      <c r="AH118" s="10">
        <v>0</v>
      </c>
      <c r="AI118" s="10">
        <v>5686.7640000000001</v>
      </c>
      <c r="AJ118" s="8" t="str">
        <f>IF(ISNUMBER(X118),IF(X118&gt;0,"+",IF(X118&lt;0,"−","0")),IF(ISNUMBER(W118),IF(W118&gt;0,"+",IF(W118&lt;0,"−","0")),"yok"))</f>
        <v>+</v>
      </c>
      <c r="AK118" s="10">
        <f>IF(AND(RIGHT(C118,2)&lt;&gt;"12",ISNUMBER(U118),ISNUMBER(V118)),U118-V118,"")</f>
        <v>5686.7649999999994</v>
      </c>
      <c r="AL118" s="11">
        <f>IF(AND(ISNUMBER(AK118),ISNUMBER(V118)),IF(V118&lt;&gt;0,AK118/ABS(V118),""),"")</f>
        <v>2.0441959259616063</v>
      </c>
      <c r="AM118" s="8">
        <f>IF(ISNUMBER(AK118),IF(AK118&gt;1,1,0),"")</f>
        <v>1</v>
      </c>
      <c r="AN118" s="8">
        <f>IF(ISNUMBER(AK118),IF(AK118&gt;0.05*ABS(V118),1,0),"")</f>
        <v>1</v>
      </c>
      <c r="AO118" s="10">
        <v>6722.1670000000004</v>
      </c>
      <c r="AP118" s="10">
        <v>0</v>
      </c>
      <c r="AQ118" s="8" t="s">
        <v>204</v>
      </c>
      <c r="AR118" s="8">
        <v>1</v>
      </c>
      <c r="AS118" s="10">
        <v>-5809.9440000000004</v>
      </c>
      <c r="AT118" s="10">
        <v>-5809.9440000000004</v>
      </c>
      <c r="AU118" s="8" t="s">
        <v>204</v>
      </c>
      <c r="AV118" s="10">
        <v>2904.857</v>
      </c>
      <c r="AW118" s="11">
        <f>IF(AND(ISNUMBER(AV118),ISNUMBER(AT118)),IF(AT118&lt;&gt;0,AV118/ABS(AT118),""),"")</f>
        <v>0.49998020634966528</v>
      </c>
      <c r="AX118" s="8">
        <v>1</v>
      </c>
      <c r="AY118" s="8">
        <v>0</v>
      </c>
      <c r="AZ118" s="8" t="s">
        <v>302</v>
      </c>
      <c r="BA118" s="8">
        <v>1</v>
      </c>
    </row>
    <row r="119" spans="1:53" x14ac:dyDescent="0.2">
      <c r="A119" s="8" t="s">
        <v>292</v>
      </c>
      <c r="B119" s="8" t="s">
        <v>83</v>
      </c>
      <c r="C119" s="8" t="s">
        <v>210</v>
      </c>
      <c r="D119" s="8">
        <v>1</v>
      </c>
      <c r="E119" s="8">
        <v>1</v>
      </c>
      <c r="F119" s="8">
        <f>SUM(G119:M119)</f>
        <v>3</v>
      </c>
      <c r="G119" s="8">
        <v>0</v>
      </c>
      <c r="H119" s="8">
        <v>0</v>
      </c>
      <c r="I119" s="8">
        <v>1</v>
      </c>
      <c r="J119" s="8">
        <v>0</v>
      </c>
      <c r="K119" s="8">
        <v>0</v>
      </c>
      <c r="L119" s="8">
        <v>1</v>
      </c>
      <c r="M119" s="8">
        <v>1</v>
      </c>
      <c r="N119" s="8">
        <v>1</v>
      </c>
      <c r="O119" s="8">
        <v>1</v>
      </c>
      <c r="P119" s="8">
        <v>1</v>
      </c>
      <c r="Q119" s="8">
        <v>0</v>
      </c>
      <c r="R119" s="8">
        <v>0</v>
      </c>
      <c r="S119" s="8">
        <v>0</v>
      </c>
      <c r="T119" s="10">
        <v>-804.74199999999996</v>
      </c>
      <c r="U119" s="10">
        <v>2904.857</v>
      </c>
      <c r="V119" s="10">
        <v>267.33699999999999</v>
      </c>
      <c r="W119" s="10">
        <f>IF(RIGHT(C119,2)="12",IF(ISNUMBER(T119),T119,""),IF(COUNT(T119,U119,V119)=3,T119+U119-V119,""))</f>
        <v>1832.7779999999998</v>
      </c>
      <c r="X119" s="10">
        <v>1832.7760000000001</v>
      </c>
      <c r="Y119" s="10">
        <v>1123.5440000000001</v>
      </c>
      <c r="Z119" s="10">
        <v>1513.9739999999999</v>
      </c>
      <c r="AA119" s="10">
        <v>1035.402</v>
      </c>
      <c r="AB119" s="10">
        <v>-1840.145</v>
      </c>
      <c r="AC119" s="8">
        <v>0</v>
      </c>
      <c r="AD119" s="8">
        <v>1</v>
      </c>
      <c r="AE119" s="8">
        <v>1</v>
      </c>
      <c r="AF119" s="10">
        <v>2904.857</v>
      </c>
      <c r="AG119" s="8">
        <f>COUNTIF(Y119:AB119,"&gt;0")</f>
        <v>3</v>
      </c>
      <c r="AH119" s="10">
        <v>0</v>
      </c>
      <c r="AI119" s="10">
        <v>2637.518</v>
      </c>
      <c r="AJ119" s="8" t="str">
        <f>IF(ISNUMBER(X119),IF(X119&gt;0,"+",IF(X119&lt;0,"−","0")),IF(ISNUMBER(W119),IF(W119&gt;0,"+",IF(W119&lt;0,"−","0")),"yok"))</f>
        <v>+</v>
      </c>
      <c r="AK119" s="10">
        <f>IF(AND(RIGHT(C119,2)&lt;&gt;"12",ISNUMBER(U119),ISNUMBER(V119)),U119-V119,"")</f>
        <v>2637.52</v>
      </c>
      <c r="AL119" s="11">
        <f>IF(AND(ISNUMBER(AK119),ISNUMBER(V119)),IF(V119&lt;&gt;0,AK119/ABS(V119),""),"")</f>
        <v>9.865899594893337</v>
      </c>
      <c r="AM119" s="8">
        <f>IF(ISNUMBER(AK119),IF(AK119&gt;1,1,0),"")</f>
        <v>1</v>
      </c>
      <c r="AN119" s="8">
        <f>IF(ISNUMBER(AK119),IF(AK119&gt;0.05*ABS(V119),1,0),"")</f>
        <v>1</v>
      </c>
      <c r="AO119" s="10">
        <v>1832.7760000000001</v>
      </c>
      <c r="AP119" s="10">
        <v>0</v>
      </c>
      <c r="AQ119" s="8" t="s">
        <v>204</v>
      </c>
      <c r="AR119" s="8">
        <v>1</v>
      </c>
      <c r="AS119" s="10">
        <v>-391.23899999999998</v>
      </c>
      <c r="AT119" s="10">
        <v>-394.54700000000003</v>
      </c>
      <c r="AU119" s="8" t="s">
        <v>204</v>
      </c>
      <c r="AV119" s="10">
        <v>2904.857</v>
      </c>
      <c r="AW119" s="11">
        <f>IF(AND(ISNUMBER(AV119),ISNUMBER(AT119)),IF(AT119&lt;&gt;0,AV119/ABS(AT119),""),"")</f>
        <v>7.3625119440776379</v>
      </c>
      <c r="AX119" s="8">
        <v>1</v>
      </c>
      <c r="AY119" s="8">
        <v>0</v>
      </c>
      <c r="AZ119" s="8" t="s">
        <v>303</v>
      </c>
      <c r="BA119" s="8">
        <v>1</v>
      </c>
    </row>
    <row r="120" spans="1:53" x14ac:dyDescent="0.2">
      <c r="A120" s="8" t="s">
        <v>304</v>
      </c>
      <c r="B120" s="8" t="s">
        <v>83</v>
      </c>
      <c r="C120" s="8" t="s">
        <v>203</v>
      </c>
      <c r="D120" s="8">
        <v>1</v>
      </c>
      <c r="E120" s="8">
        <v>1</v>
      </c>
      <c r="F120" s="8">
        <f>SUM(G120:M120)</f>
        <v>1</v>
      </c>
      <c r="G120" s="8">
        <v>0</v>
      </c>
      <c r="H120" s="8">
        <v>0</v>
      </c>
      <c r="I120" s="8">
        <v>0</v>
      </c>
      <c r="J120" s="8">
        <v>0</v>
      </c>
      <c r="K120" s="8">
        <v>1</v>
      </c>
      <c r="L120" s="8">
        <v>0</v>
      </c>
      <c r="M120" s="8">
        <v>0</v>
      </c>
      <c r="N120" s="8">
        <v>0</v>
      </c>
      <c r="O120" s="8">
        <v>1</v>
      </c>
      <c r="P120" s="8">
        <v>0</v>
      </c>
      <c r="Q120" s="8">
        <v>0</v>
      </c>
      <c r="R120" s="8">
        <v>0</v>
      </c>
      <c r="S120" s="8">
        <v>0</v>
      </c>
      <c r="T120" s="10">
        <v>-14.944000000000001</v>
      </c>
      <c r="U120" s="10">
        <v>-99.436999999999998</v>
      </c>
      <c r="V120" s="10">
        <v>244.49100000000001</v>
      </c>
      <c r="W120" s="10">
        <f>IF(RIGHT(C120,2)="12",IF(ISNUMBER(T120),T120,""),IF(COUNT(T120,U120,V120)=3,T120+U120-V120,""))</f>
        <v>-358.87200000000001</v>
      </c>
      <c r="X120" s="10">
        <v>-358.87299999999999</v>
      </c>
      <c r="Y120" s="10">
        <v>-317.327</v>
      </c>
      <c r="Z120" s="10">
        <v>-15.278</v>
      </c>
      <c r="AA120" s="10">
        <v>-11.323</v>
      </c>
      <c r="AB120" s="10">
        <v>-14.944000000000001</v>
      </c>
      <c r="AC120" s="8">
        <v>0</v>
      </c>
      <c r="AD120" s="8">
        <v>0</v>
      </c>
      <c r="AE120" s="8">
        <v>1</v>
      </c>
      <c r="AF120" s="10">
        <v>244.49100000000001</v>
      </c>
      <c r="AG120" s="8">
        <f>COUNTIF(Y120:AB120,"&gt;0")</f>
        <v>0</v>
      </c>
      <c r="AH120" s="10">
        <v>0</v>
      </c>
      <c r="AI120" s="10">
        <v>0</v>
      </c>
      <c r="AJ120" s="8" t="str">
        <f>IF(ISNUMBER(X120),IF(X120&gt;0,"+",IF(X120&lt;0,"−","0")),IF(ISNUMBER(W120),IF(W120&gt;0,"+",IF(W120&lt;0,"−","0")),"yok"))</f>
        <v>−</v>
      </c>
      <c r="AK120" s="10">
        <f>IF(AND(RIGHT(C120,2)&lt;&gt;"12",ISNUMBER(U120),ISNUMBER(V120)),U120-V120,"")</f>
        <v>-343.928</v>
      </c>
      <c r="AL120" s="11">
        <f>IF(AND(ISNUMBER(AK120),ISNUMBER(V120)),IF(V120&lt;&gt;0,AK120/ABS(V120),""),"")</f>
        <v>-1.4067102674536076</v>
      </c>
      <c r="AM120" s="8">
        <f>IF(ISNUMBER(AK120),IF(AK120&gt;1,1,0),"")</f>
        <v>0</v>
      </c>
      <c r="AN120" s="8">
        <f>IF(ISNUMBER(AK120),IF(AK120&gt;0.05*ABS(V120),1,0),"")</f>
        <v>0</v>
      </c>
      <c r="AO120" s="10">
        <v>-358.87299999999999</v>
      </c>
      <c r="AP120" s="10">
        <v>358.87299999999999</v>
      </c>
      <c r="AQ120" s="8" t="s">
        <v>204</v>
      </c>
      <c r="AR120" s="8">
        <v>0</v>
      </c>
      <c r="AS120" s="10">
        <v>1251.19</v>
      </c>
      <c r="AT120" s="10">
        <v>870.101</v>
      </c>
      <c r="AU120" s="8" t="s">
        <v>204</v>
      </c>
      <c r="AV120" s="10">
        <v>244.49100000000001</v>
      </c>
      <c r="AW120" s="11">
        <f>IF(AND(ISNUMBER(AV120),ISNUMBER(AT120)),IF(AT120&lt;&gt;0,AV120/ABS(AT120),""),"")</f>
        <v>0.28099151707675318</v>
      </c>
      <c r="AX120" s="8">
        <v>1</v>
      </c>
      <c r="AY120" s="8">
        <v>0</v>
      </c>
      <c r="AZ120" s="8" t="s">
        <v>305</v>
      </c>
      <c r="BA120" s="8">
        <v>0</v>
      </c>
    </row>
    <row r="121" spans="1:53" x14ac:dyDescent="0.2">
      <c r="A121" s="8" t="s">
        <v>306</v>
      </c>
      <c r="B121" s="8" t="s">
        <v>82</v>
      </c>
      <c r="C121" s="8" t="s">
        <v>203</v>
      </c>
      <c r="D121" s="8">
        <v>1</v>
      </c>
      <c r="E121" s="8">
        <v>1</v>
      </c>
      <c r="F121" s="8">
        <f>SUM(G121:M121)</f>
        <v>1</v>
      </c>
      <c r="G121" s="8">
        <v>1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1</v>
      </c>
      <c r="Q121" s="8">
        <v>0</v>
      </c>
      <c r="R121" s="8">
        <v>0</v>
      </c>
      <c r="S121" s="8">
        <v>0</v>
      </c>
      <c r="T121" s="10"/>
      <c r="U121" s="10">
        <v>-0.70499999999999996</v>
      </c>
      <c r="V121" s="10">
        <v>-0.91800000000000004</v>
      </c>
      <c r="W121" s="10" t="str">
        <f>IF(RIGHT(C121,2)="12",IF(ISNUMBER(T121),T121,""),IF(COUNT(T121,U121,V121)=3,T121+U121-V121,""))</f>
        <v/>
      </c>
      <c r="X121" s="10"/>
      <c r="Y121" s="10">
        <v>0.495</v>
      </c>
      <c r="Z121" s="10">
        <v>-0.152</v>
      </c>
      <c r="AA121" s="10">
        <v>-0.128</v>
      </c>
      <c r="AB121" s="10"/>
      <c r="AC121" s="8">
        <v>0</v>
      </c>
      <c r="AD121" s="8">
        <v>0</v>
      </c>
      <c r="AE121" s="8">
        <v>0</v>
      </c>
      <c r="AF121" s="10">
        <v>0</v>
      </c>
      <c r="AG121" s="8">
        <f>COUNTIF(Y121:AB121,"&gt;0")</f>
        <v>1</v>
      </c>
      <c r="AH121" s="10">
        <v>0</v>
      </c>
      <c r="AI121" s="10">
        <v>0.495</v>
      </c>
      <c r="AJ121" s="8" t="str">
        <f>IF(ISNUMBER(X121),IF(X121&gt;0,"+",IF(X121&lt;0,"−","0")),IF(ISNUMBER(W121),IF(W121&gt;0,"+",IF(W121&lt;0,"−","0")),"yok"))</f>
        <v>yok</v>
      </c>
      <c r="AK121" s="10">
        <f>IF(AND(RIGHT(C121,2)&lt;&gt;"12",ISNUMBER(U121),ISNUMBER(V121)),U121-V121,"")</f>
        <v>0.21300000000000008</v>
      </c>
      <c r="AL121" s="11">
        <f>IF(AND(ISNUMBER(AK121),ISNUMBER(V121)),IF(V121&lt;&gt;0,AK121/ABS(V121),""),"")</f>
        <v>0.23202614379084974</v>
      </c>
      <c r="AM121" s="8">
        <f>IF(ISNUMBER(AK121),IF(AK121&gt;1,1,0),"")</f>
        <v>0</v>
      </c>
      <c r="AN121" s="8">
        <f>IF(ISNUMBER(AK121),IF(AK121&gt;0.05*ABS(V121),1,0),"")</f>
        <v>1</v>
      </c>
      <c r="AO121" s="10">
        <v>0.214</v>
      </c>
      <c r="AP121" s="10">
        <v>0</v>
      </c>
      <c r="AQ121" s="8" t="s">
        <v>209</v>
      </c>
      <c r="AR121" s="8">
        <v>1</v>
      </c>
      <c r="AS121" s="10">
        <v>97.034000000000106</v>
      </c>
      <c r="AT121" s="10">
        <v>-246.30199999999999</v>
      </c>
      <c r="AU121" s="8" t="s">
        <v>209</v>
      </c>
      <c r="AV121" s="10">
        <v>0.495</v>
      </c>
      <c r="AW121" s="11">
        <f>IF(AND(ISNUMBER(AV121),ISNUMBER(AT121)),IF(AT121&lt;&gt;0,AV121/ABS(AT121),""),"")</f>
        <v>2.009727895023183E-3</v>
      </c>
      <c r="AX121" s="8">
        <v>0</v>
      </c>
      <c r="AY121" s="8">
        <v>0</v>
      </c>
      <c r="AZ121" s="10"/>
      <c r="BA121" s="8">
        <v>0</v>
      </c>
    </row>
    <row r="122" spans="1:53" x14ac:dyDescent="0.2">
      <c r="A122" s="8" t="s">
        <v>306</v>
      </c>
      <c r="B122" s="8" t="s">
        <v>83</v>
      </c>
      <c r="C122" s="8" t="s">
        <v>203</v>
      </c>
      <c r="D122" s="8">
        <v>1</v>
      </c>
      <c r="E122" s="8">
        <v>1</v>
      </c>
      <c r="F122" s="8">
        <f>SUM(G122:M122)</f>
        <v>1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1</v>
      </c>
      <c r="N122" s="8">
        <v>0</v>
      </c>
      <c r="O122" s="8">
        <v>0</v>
      </c>
      <c r="P122" s="8">
        <v>1</v>
      </c>
      <c r="Q122" s="8">
        <v>0</v>
      </c>
      <c r="R122" s="8">
        <v>0</v>
      </c>
      <c r="S122" s="8">
        <v>0</v>
      </c>
      <c r="T122" s="10">
        <v>-201.23599999999999</v>
      </c>
      <c r="U122" s="10">
        <v>-400.49900000000002</v>
      </c>
      <c r="V122" s="10">
        <v>-258.39999999999998</v>
      </c>
      <c r="W122" s="10">
        <f>IF(RIGHT(C122,2)="12",IF(ISNUMBER(T122),T122,""),IF(COUNT(T122,U122,V122)=3,T122+U122-V122,""))</f>
        <v>-343.33500000000004</v>
      </c>
      <c r="X122" s="10">
        <v>-343.33600000000001</v>
      </c>
      <c r="Y122" s="10">
        <v>-203.88800000000001</v>
      </c>
      <c r="Z122" s="10">
        <v>63.652000000000001</v>
      </c>
      <c r="AA122" s="10">
        <v>-1.863</v>
      </c>
      <c r="AB122" s="10">
        <v>-201.23599999999999</v>
      </c>
      <c r="AC122" s="8">
        <v>0</v>
      </c>
      <c r="AD122" s="8">
        <v>0</v>
      </c>
      <c r="AE122" s="8">
        <v>0</v>
      </c>
      <c r="AF122" s="10">
        <v>0</v>
      </c>
      <c r="AG122" s="8">
        <f>COUNTIF(Y122:AB122,"&gt;0")</f>
        <v>1</v>
      </c>
      <c r="AH122" s="10">
        <v>0</v>
      </c>
      <c r="AI122" s="10">
        <v>63.652000000000001</v>
      </c>
      <c r="AJ122" s="8" t="str">
        <f>IF(ISNUMBER(X122),IF(X122&gt;0,"+",IF(X122&lt;0,"−","0")),IF(ISNUMBER(W122),IF(W122&gt;0,"+",IF(W122&lt;0,"−","0")),"yok"))</f>
        <v>−</v>
      </c>
      <c r="AK122" s="10">
        <f>IF(AND(RIGHT(C122,2)&lt;&gt;"12",ISNUMBER(U122),ISNUMBER(V122)),U122-V122,"")</f>
        <v>-142.09900000000005</v>
      </c>
      <c r="AL122" s="11">
        <f>IF(AND(ISNUMBER(AK122),ISNUMBER(V122)),IF(V122&lt;&gt;0,AK122/ABS(V122),""),"")</f>
        <v>-0.54991873065015506</v>
      </c>
      <c r="AM122" s="8">
        <f>IF(ISNUMBER(AK122),IF(AK122&gt;1,1,0),"")</f>
        <v>0</v>
      </c>
      <c r="AN122" s="8">
        <f>IF(ISNUMBER(AK122),IF(AK122&gt;0.05*ABS(V122),1,0),"")</f>
        <v>0</v>
      </c>
      <c r="AO122" s="10">
        <v>-343.33600000000001</v>
      </c>
      <c r="AP122" s="10">
        <v>343.33600000000001</v>
      </c>
      <c r="AQ122" s="8" t="s">
        <v>204</v>
      </c>
      <c r="AR122" s="8">
        <v>0</v>
      </c>
      <c r="AS122" s="10">
        <v>97.034000000000106</v>
      </c>
      <c r="AT122" s="10">
        <v>-246.30199999999999</v>
      </c>
      <c r="AU122" s="8" t="s">
        <v>209</v>
      </c>
      <c r="AV122" s="10">
        <v>63.652000000000001</v>
      </c>
      <c r="AW122" s="11">
        <f>IF(AND(ISNUMBER(AV122),ISNUMBER(AT122)),IF(AT122&lt;&gt;0,AV122/ABS(AT122),""),"")</f>
        <v>0.25843070701821341</v>
      </c>
      <c r="AX122" s="8">
        <v>0</v>
      </c>
      <c r="AY122" s="8">
        <v>0</v>
      </c>
      <c r="AZ122" s="10"/>
      <c r="BA122" s="8">
        <v>0</v>
      </c>
    </row>
    <row r="123" spans="1:53" x14ac:dyDescent="0.2">
      <c r="A123" s="8" t="s">
        <v>306</v>
      </c>
      <c r="B123" s="8" t="s">
        <v>83</v>
      </c>
      <c r="C123" s="8" t="s">
        <v>205</v>
      </c>
      <c r="D123" s="8">
        <v>1</v>
      </c>
      <c r="E123" s="8">
        <v>1</v>
      </c>
      <c r="F123" s="8">
        <f>SUM(G123:M123)</f>
        <v>2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1</v>
      </c>
      <c r="M123" s="8">
        <v>1</v>
      </c>
      <c r="N123" s="8">
        <v>0</v>
      </c>
      <c r="O123" s="8">
        <v>0</v>
      </c>
      <c r="P123" s="8">
        <v>1</v>
      </c>
      <c r="Q123" s="8">
        <v>0</v>
      </c>
      <c r="R123" s="8">
        <v>0</v>
      </c>
      <c r="S123" s="8">
        <v>0</v>
      </c>
      <c r="T123" s="10">
        <v>-250.02600000000001</v>
      </c>
      <c r="U123" s="10">
        <v>-400.49900000000002</v>
      </c>
      <c r="V123" s="10">
        <v>-462.28800000000001</v>
      </c>
      <c r="W123" s="10">
        <f>IF(RIGHT(C123,2)="12",IF(ISNUMBER(T123),T123,""),IF(COUNT(T123,U123,V123)=3,T123+U123-V123,""))</f>
        <v>-188.23700000000008</v>
      </c>
      <c r="X123" s="10">
        <v>-188.23699999999999</v>
      </c>
      <c r="Y123" s="10">
        <v>63.652000000000001</v>
      </c>
      <c r="Z123" s="10">
        <v>-1.863</v>
      </c>
      <c r="AA123" s="10">
        <v>-201.23599999999999</v>
      </c>
      <c r="AB123" s="10">
        <v>-48.79</v>
      </c>
      <c r="AC123" s="8">
        <v>0</v>
      </c>
      <c r="AD123" s="8">
        <v>0</v>
      </c>
      <c r="AE123" s="8">
        <v>0</v>
      </c>
      <c r="AF123" s="10">
        <v>0</v>
      </c>
      <c r="AG123" s="8">
        <f>COUNTIF(Y123:AB123,"&gt;0")</f>
        <v>1</v>
      </c>
      <c r="AH123" s="10">
        <v>0</v>
      </c>
      <c r="AI123" s="10">
        <v>63.652000000000001</v>
      </c>
      <c r="AJ123" s="8" t="str">
        <f>IF(ISNUMBER(X123),IF(X123&gt;0,"+",IF(X123&lt;0,"−","0")),IF(ISNUMBER(W123),IF(W123&gt;0,"+",IF(W123&lt;0,"−","0")),"yok"))</f>
        <v>−</v>
      </c>
      <c r="AK123" s="10">
        <f>IF(AND(RIGHT(C123,2)&lt;&gt;"12",ISNUMBER(U123),ISNUMBER(V123)),U123-V123,"")</f>
        <v>61.788999999999987</v>
      </c>
      <c r="AL123" s="11">
        <f>IF(AND(ISNUMBER(AK123),ISNUMBER(V123)),IF(V123&lt;&gt;0,AK123/ABS(V123),""),"")</f>
        <v>0.13365910428131378</v>
      </c>
      <c r="AM123" s="8">
        <f>IF(ISNUMBER(AK123),IF(AK123&gt;1,1,0),"")</f>
        <v>1</v>
      </c>
      <c r="AN123" s="8">
        <f>IF(ISNUMBER(AK123),IF(AK123&gt;0.05*ABS(V123),1,0),"")</f>
        <v>1</v>
      </c>
      <c r="AO123" s="10">
        <v>-188.238</v>
      </c>
      <c r="AP123" s="10">
        <v>188.238</v>
      </c>
      <c r="AQ123" s="8" t="s">
        <v>204</v>
      </c>
      <c r="AR123" s="8">
        <v>0</v>
      </c>
      <c r="AS123" s="10">
        <v>-269.029</v>
      </c>
      <c r="AT123" s="10">
        <v>-457.548</v>
      </c>
      <c r="AU123" s="8" t="s">
        <v>209</v>
      </c>
      <c r="AV123" s="10">
        <v>61.789000000000001</v>
      </c>
      <c r="AW123" s="11">
        <f>IF(AND(ISNUMBER(AV123),ISNUMBER(AT123)),IF(AT123&lt;&gt;0,AV123/ABS(AT123),""),"")</f>
        <v>0.13504375497215593</v>
      </c>
      <c r="AX123" s="8">
        <v>0</v>
      </c>
      <c r="AY123" s="8">
        <v>1</v>
      </c>
      <c r="AZ123" s="10"/>
      <c r="BA123" s="8">
        <v>0</v>
      </c>
    </row>
    <row r="124" spans="1:53" x14ac:dyDescent="0.2">
      <c r="A124" s="8" t="s">
        <v>307</v>
      </c>
      <c r="B124" s="8" t="s">
        <v>83</v>
      </c>
      <c r="C124" s="8" t="s">
        <v>203</v>
      </c>
      <c r="D124" s="8">
        <v>1</v>
      </c>
      <c r="E124" s="8">
        <v>1</v>
      </c>
      <c r="F124" s="8">
        <f>SUM(G124:M124)</f>
        <v>1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1</v>
      </c>
      <c r="N124" s="8">
        <v>0</v>
      </c>
      <c r="O124" s="8">
        <v>0</v>
      </c>
      <c r="P124" s="8">
        <v>1</v>
      </c>
      <c r="Q124" s="8">
        <v>0</v>
      </c>
      <c r="R124" s="8">
        <v>0</v>
      </c>
      <c r="S124" s="8">
        <v>0</v>
      </c>
      <c r="T124" s="10">
        <v>-16.213000000000001</v>
      </c>
      <c r="U124" s="10">
        <v>-683.43100000000004</v>
      </c>
      <c r="V124" s="10">
        <v>-58.628999999999998</v>
      </c>
      <c r="W124" s="10">
        <f>IF(RIGHT(C124,2)="12",IF(ISNUMBER(T124),T124,""),IF(COUNT(T124,U124,V124)=3,T124+U124-V124,""))</f>
        <v>-641.01499999999999</v>
      </c>
      <c r="X124" s="10">
        <v>-641.01599999999996</v>
      </c>
      <c r="Y124" s="10">
        <v>-339.49</v>
      </c>
      <c r="Z124" s="10">
        <v>30.306999999999999</v>
      </c>
      <c r="AA124" s="10">
        <v>-315.61900000000003</v>
      </c>
      <c r="AB124" s="10">
        <v>-16.213000000000001</v>
      </c>
      <c r="AC124" s="8">
        <v>0</v>
      </c>
      <c r="AD124" s="8">
        <v>0</v>
      </c>
      <c r="AE124" s="8">
        <v>0</v>
      </c>
      <c r="AF124" s="10">
        <v>0</v>
      </c>
      <c r="AG124" s="8">
        <f>COUNTIF(Y124:AB124,"&gt;0")</f>
        <v>1</v>
      </c>
      <c r="AH124" s="10">
        <v>0</v>
      </c>
      <c r="AI124" s="10">
        <v>30.306999999999999</v>
      </c>
      <c r="AJ124" s="8" t="str">
        <f>IF(ISNUMBER(X124),IF(X124&gt;0,"+",IF(X124&lt;0,"−","0")),IF(ISNUMBER(W124),IF(W124&gt;0,"+",IF(W124&lt;0,"−","0")),"yok"))</f>
        <v>−</v>
      </c>
      <c r="AK124" s="10">
        <f>IF(AND(RIGHT(C124,2)&lt;&gt;"12",ISNUMBER(U124),ISNUMBER(V124)),U124-V124,"")</f>
        <v>-624.80200000000002</v>
      </c>
      <c r="AL124" s="11">
        <f>IF(AND(ISNUMBER(AK124),ISNUMBER(V124)),IF(V124&lt;&gt;0,AK124/ABS(V124),""),"")</f>
        <v>-10.656876289890668</v>
      </c>
      <c r="AM124" s="8">
        <f>IF(ISNUMBER(AK124),IF(AK124&gt;1,1,0),"")</f>
        <v>0</v>
      </c>
      <c r="AN124" s="8">
        <f>IF(ISNUMBER(AK124),IF(AK124&gt;0.05*ABS(V124),1,0),"")</f>
        <v>0</v>
      </c>
      <c r="AO124" s="10">
        <v>-641.01700000000005</v>
      </c>
      <c r="AP124" s="10">
        <v>641.01700000000005</v>
      </c>
      <c r="AQ124" s="8" t="s">
        <v>204</v>
      </c>
      <c r="AR124" s="8">
        <v>0</v>
      </c>
      <c r="AS124" s="10">
        <v>-60.6550000000002</v>
      </c>
      <c r="AT124" s="10">
        <v>-701.67200000000003</v>
      </c>
      <c r="AU124" s="8" t="s">
        <v>204</v>
      </c>
      <c r="AV124" s="10">
        <v>30.306999999999999</v>
      </c>
      <c r="AW124" s="11">
        <f>IF(AND(ISNUMBER(AV124),ISNUMBER(AT124)),IF(AT124&lt;&gt;0,AV124/ABS(AT124),""),"")</f>
        <v>4.319254580487749E-2</v>
      </c>
      <c r="AX124" s="8">
        <v>0</v>
      </c>
      <c r="AY124" s="8">
        <v>0</v>
      </c>
      <c r="AZ124" s="10"/>
      <c r="BA124" s="8">
        <v>0</v>
      </c>
    </row>
    <row r="125" spans="1:53" x14ac:dyDescent="0.2">
      <c r="A125" s="8" t="s">
        <v>307</v>
      </c>
      <c r="B125" s="8" t="s">
        <v>83</v>
      </c>
      <c r="C125" s="8" t="s">
        <v>205</v>
      </c>
      <c r="D125" s="8">
        <v>1</v>
      </c>
      <c r="E125" s="8">
        <v>1</v>
      </c>
      <c r="F125" s="8">
        <f>SUM(G125:M125)</f>
        <v>1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1</v>
      </c>
      <c r="N125" s="8">
        <v>0</v>
      </c>
      <c r="O125" s="8">
        <v>0</v>
      </c>
      <c r="P125" s="8">
        <v>1</v>
      </c>
      <c r="Q125" s="8">
        <v>0</v>
      </c>
      <c r="R125" s="8">
        <v>0</v>
      </c>
      <c r="S125" s="8">
        <v>0</v>
      </c>
      <c r="T125" s="10">
        <v>-15.567</v>
      </c>
      <c r="U125" s="10">
        <v>-683.43100000000004</v>
      </c>
      <c r="V125" s="10">
        <v>-398.11900000000003</v>
      </c>
      <c r="W125" s="10">
        <f>IF(RIGHT(C125,2)="12",IF(ISNUMBER(T125),T125,""),IF(COUNT(T125,U125,V125)=3,T125+U125-V125,""))</f>
        <v>-300.87900000000002</v>
      </c>
      <c r="X125" s="10">
        <v>-300.87900000000002</v>
      </c>
      <c r="Y125" s="10">
        <v>30.306999999999999</v>
      </c>
      <c r="Z125" s="10">
        <v>-315.61900000000003</v>
      </c>
      <c r="AA125" s="10">
        <v>-16.213000000000001</v>
      </c>
      <c r="AB125" s="10">
        <v>0.64600000000000002</v>
      </c>
      <c r="AC125" s="8">
        <v>0</v>
      </c>
      <c r="AD125" s="8">
        <v>0</v>
      </c>
      <c r="AE125" s="8">
        <v>0</v>
      </c>
      <c r="AF125" s="10">
        <v>0</v>
      </c>
      <c r="AG125" s="8">
        <f>COUNTIF(Y125:AB125,"&gt;0")</f>
        <v>2</v>
      </c>
      <c r="AH125" s="10">
        <v>0.64600000000000002</v>
      </c>
      <c r="AI125" s="10">
        <v>30.306999999999999</v>
      </c>
      <c r="AJ125" s="8" t="str">
        <f>IF(ISNUMBER(X125),IF(X125&gt;0,"+",IF(X125&lt;0,"−","0")),IF(ISNUMBER(W125),IF(W125&gt;0,"+",IF(W125&lt;0,"−","0")),"yok"))</f>
        <v>−</v>
      </c>
      <c r="AK125" s="10">
        <f>IF(AND(RIGHT(C125,2)&lt;&gt;"12",ISNUMBER(U125),ISNUMBER(V125)),U125-V125,"")</f>
        <v>-285.31200000000001</v>
      </c>
      <c r="AL125" s="11">
        <f>IF(AND(ISNUMBER(AK125),ISNUMBER(V125)),IF(V125&lt;&gt;0,AK125/ABS(V125),""),"")</f>
        <v>-0.71665004684528999</v>
      </c>
      <c r="AM125" s="8">
        <f>IF(ISNUMBER(AK125),IF(AK125&gt;1,1,0),"")</f>
        <v>0</v>
      </c>
      <c r="AN125" s="8">
        <f>IF(ISNUMBER(AK125),IF(AK125&gt;0.05*ABS(V125),1,0),"")</f>
        <v>0</v>
      </c>
      <c r="AO125" s="10">
        <v>-300.88</v>
      </c>
      <c r="AP125" s="10">
        <v>300.88</v>
      </c>
      <c r="AQ125" s="8" t="s">
        <v>204</v>
      </c>
      <c r="AR125" s="8">
        <v>0</v>
      </c>
      <c r="AS125" s="10">
        <v>-578.00599999999997</v>
      </c>
      <c r="AT125" s="10">
        <v>-878.88599999999997</v>
      </c>
      <c r="AU125" s="8" t="s">
        <v>204</v>
      </c>
      <c r="AV125" s="10">
        <v>30.306999999999999</v>
      </c>
      <c r="AW125" s="11">
        <f>IF(AND(ISNUMBER(AV125),ISNUMBER(AT125)),IF(AT125&lt;&gt;0,AV125/ABS(AT125),""),"")</f>
        <v>3.4483425609237145E-2</v>
      </c>
      <c r="AX125" s="8">
        <v>0</v>
      </c>
      <c r="AY125" s="8">
        <v>0</v>
      </c>
      <c r="AZ125" s="10"/>
      <c r="BA125" s="8">
        <v>0</v>
      </c>
    </row>
    <row r="126" spans="1:53" x14ac:dyDescent="0.2">
      <c r="A126" s="8" t="s">
        <v>308</v>
      </c>
      <c r="B126" s="8" t="s">
        <v>83</v>
      </c>
      <c r="C126" s="8" t="s">
        <v>203</v>
      </c>
      <c r="D126" s="8">
        <v>1</v>
      </c>
      <c r="E126" s="8">
        <v>1</v>
      </c>
      <c r="F126" s="8">
        <f>SUM(G126:M126)</f>
        <v>1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1</v>
      </c>
      <c r="N126" s="8">
        <v>0</v>
      </c>
      <c r="O126" s="8">
        <v>0</v>
      </c>
      <c r="P126" s="8">
        <v>1</v>
      </c>
      <c r="Q126" s="8">
        <v>0</v>
      </c>
      <c r="R126" s="8">
        <v>0</v>
      </c>
      <c r="S126" s="8">
        <v>0</v>
      </c>
      <c r="T126" s="10">
        <v>-9.7319999999999993</v>
      </c>
      <c r="U126" s="10">
        <v>-59.476999999999997</v>
      </c>
      <c r="V126" s="10">
        <v>-40.052999999999997</v>
      </c>
      <c r="W126" s="10">
        <f>IF(RIGHT(C126,2)="12",IF(ISNUMBER(T126),T126,""),IF(COUNT(T126,U126,V126)=3,T126+U126-V126,""))</f>
        <v>-29.156000000000006</v>
      </c>
      <c r="X126" s="10">
        <v>-29.155000000000001</v>
      </c>
      <c r="Y126" s="10">
        <v>-6.8019999999999996</v>
      </c>
      <c r="Z126" s="10">
        <v>2.8559999999999999</v>
      </c>
      <c r="AA126" s="10">
        <v>-15.478</v>
      </c>
      <c r="AB126" s="10">
        <v>-9.7319999999999993</v>
      </c>
      <c r="AC126" s="8">
        <v>0</v>
      </c>
      <c r="AD126" s="8">
        <v>0</v>
      </c>
      <c r="AE126" s="8">
        <v>0</v>
      </c>
      <c r="AF126" s="10">
        <v>0</v>
      </c>
      <c r="AG126" s="8">
        <f>COUNTIF(Y126:AB126,"&gt;0")</f>
        <v>1</v>
      </c>
      <c r="AH126" s="10">
        <v>0</v>
      </c>
      <c r="AI126" s="10">
        <v>2.8559999999999999</v>
      </c>
      <c r="AJ126" s="8" t="str">
        <f>IF(ISNUMBER(X126),IF(X126&gt;0,"+",IF(X126&lt;0,"−","0")),IF(ISNUMBER(W126),IF(W126&gt;0,"+",IF(W126&lt;0,"−","0")),"yok"))</f>
        <v>−</v>
      </c>
      <c r="AK126" s="10">
        <f>IF(AND(RIGHT(C126,2)&lt;&gt;"12",ISNUMBER(U126),ISNUMBER(V126)),U126-V126,"")</f>
        <v>-19.423999999999999</v>
      </c>
      <c r="AL126" s="11">
        <f>IF(AND(ISNUMBER(AK126),ISNUMBER(V126)),IF(V126&lt;&gt;0,AK126/ABS(V126),""),"")</f>
        <v>-0.48495743140339054</v>
      </c>
      <c r="AM126" s="8">
        <f>IF(ISNUMBER(AK126),IF(AK126&gt;1,1,0),"")</f>
        <v>0</v>
      </c>
      <c r="AN126" s="8">
        <f>IF(ISNUMBER(AK126),IF(AK126&gt;0.05*ABS(V126),1,0),"")</f>
        <v>0</v>
      </c>
      <c r="AO126" s="10">
        <v>-29.155999999999999</v>
      </c>
      <c r="AP126" s="10">
        <v>29.155999999999999</v>
      </c>
      <c r="AQ126" s="8" t="s">
        <v>204</v>
      </c>
      <c r="AR126" s="8">
        <v>0</v>
      </c>
      <c r="AS126" s="10">
        <v>581.80200000000002</v>
      </c>
      <c r="AT126" s="10">
        <v>161.06899999999999</v>
      </c>
      <c r="AU126" s="8" t="s">
        <v>204</v>
      </c>
      <c r="AV126" s="10">
        <v>2.8559999999999999</v>
      </c>
      <c r="AW126" s="11">
        <f>IF(AND(ISNUMBER(AV126),ISNUMBER(AT126)),IF(AT126&lt;&gt;0,AV126/ABS(AT126),""),"")</f>
        <v>1.7731531207122415E-2</v>
      </c>
      <c r="AX126" s="8">
        <v>0</v>
      </c>
      <c r="AY126" s="8">
        <v>0</v>
      </c>
      <c r="AZ126" s="10"/>
      <c r="BA126" s="8">
        <v>0</v>
      </c>
    </row>
    <row r="127" spans="1:53" x14ac:dyDescent="0.2">
      <c r="A127" s="8" t="s">
        <v>308</v>
      </c>
      <c r="B127" s="8" t="s">
        <v>83</v>
      </c>
      <c r="C127" s="8" t="s">
        <v>205</v>
      </c>
      <c r="D127" s="8">
        <v>1</v>
      </c>
      <c r="E127" s="8">
        <v>1</v>
      </c>
      <c r="F127" s="8">
        <f>SUM(G127:M127)</f>
        <v>1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1</v>
      </c>
      <c r="N127" s="8">
        <v>0</v>
      </c>
      <c r="O127" s="8">
        <v>0</v>
      </c>
      <c r="P127" s="8">
        <v>1</v>
      </c>
      <c r="Q127" s="8">
        <v>0</v>
      </c>
      <c r="R127" s="8">
        <v>0</v>
      </c>
      <c r="S127" s="8">
        <v>0</v>
      </c>
      <c r="T127" s="10">
        <v>-20.523</v>
      </c>
      <c r="U127" s="10">
        <v>-59.476999999999997</v>
      </c>
      <c r="V127" s="10">
        <v>-46.856000000000002</v>
      </c>
      <c r="W127" s="10">
        <f>IF(RIGHT(C127,2)="12",IF(ISNUMBER(T127),T127,""),IF(COUNT(T127,U127,V127)=3,T127+U127-V127,""))</f>
        <v>-33.143999999999998</v>
      </c>
      <c r="X127" s="10">
        <v>-33.143999999999998</v>
      </c>
      <c r="Y127" s="10">
        <v>2.8559999999999999</v>
      </c>
      <c r="Z127" s="10">
        <v>-15.478</v>
      </c>
      <c r="AA127" s="10">
        <v>-9.7319999999999993</v>
      </c>
      <c r="AB127" s="10">
        <v>-10.791</v>
      </c>
      <c r="AC127" s="8">
        <v>0</v>
      </c>
      <c r="AD127" s="8">
        <v>0</v>
      </c>
      <c r="AE127" s="8">
        <v>0</v>
      </c>
      <c r="AF127" s="10">
        <v>0</v>
      </c>
      <c r="AG127" s="8">
        <f>COUNTIF(Y127:AB127,"&gt;0")</f>
        <v>1</v>
      </c>
      <c r="AH127" s="10">
        <v>0</v>
      </c>
      <c r="AI127" s="10">
        <v>2.8559999999999999</v>
      </c>
      <c r="AJ127" s="8" t="str">
        <f>IF(ISNUMBER(X127),IF(X127&gt;0,"+",IF(X127&lt;0,"−","0")),IF(ISNUMBER(W127),IF(W127&gt;0,"+",IF(W127&lt;0,"−","0")),"yok"))</f>
        <v>−</v>
      </c>
      <c r="AK127" s="10">
        <f>IF(AND(RIGHT(C127,2)&lt;&gt;"12",ISNUMBER(U127),ISNUMBER(V127)),U127-V127,"")</f>
        <v>-12.620999999999995</v>
      </c>
      <c r="AL127" s="11">
        <f>IF(AND(ISNUMBER(AK127),ISNUMBER(V127)),IF(V127&lt;&gt;0,AK127/ABS(V127),""),"")</f>
        <v>-0.26935717944340093</v>
      </c>
      <c r="AM127" s="8">
        <f>IF(ISNUMBER(AK127),IF(AK127&gt;1,1,0),"")</f>
        <v>0</v>
      </c>
      <c r="AN127" s="8">
        <f>IF(ISNUMBER(AK127),IF(AK127&gt;0.05*ABS(V127),1,0),"")</f>
        <v>0</v>
      </c>
      <c r="AO127" s="10">
        <v>-33.145000000000003</v>
      </c>
      <c r="AP127" s="10">
        <v>33.145000000000003</v>
      </c>
      <c r="AQ127" s="8" t="s">
        <v>204</v>
      </c>
      <c r="AR127" s="8">
        <v>0</v>
      </c>
      <c r="AS127" s="10">
        <v>612.78200000000004</v>
      </c>
      <c r="AT127" s="10">
        <v>200.55799999999999</v>
      </c>
      <c r="AU127" s="8" t="s">
        <v>204</v>
      </c>
      <c r="AV127" s="10">
        <v>2.8559999999999999</v>
      </c>
      <c r="AW127" s="11">
        <f>IF(AND(ISNUMBER(AV127),ISNUMBER(AT127)),IF(AT127&lt;&gt;0,AV127/ABS(AT127),""),"")</f>
        <v>1.4240269647682964E-2</v>
      </c>
      <c r="AX127" s="8">
        <v>0</v>
      </c>
      <c r="AY127" s="8">
        <v>0</v>
      </c>
      <c r="AZ127" s="10"/>
      <c r="BA127" s="8">
        <v>0</v>
      </c>
    </row>
    <row r="128" spans="1:53" x14ac:dyDescent="0.2">
      <c r="A128" s="8" t="s">
        <v>309</v>
      </c>
      <c r="B128" s="8" t="s">
        <v>83</v>
      </c>
      <c r="C128" s="8" t="s">
        <v>203</v>
      </c>
      <c r="D128" s="8">
        <v>1</v>
      </c>
      <c r="E128" s="8">
        <v>1</v>
      </c>
      <c r="F128" s="8">
        <f>SUM(G128:M128)</f>
        <v>1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1</v>
      </c>
      <c r="N128" s="8">
        <v>0</v>
      </c>
      <c r="O128" s="8">
        <v>0</v>
      </c>
      <c r="P128" s="8">
        <v>1</v>
      </c>
      <c r="Q128" s="8">
        <v>0</v>
      </c>
      <c r="R128" s="8">
        <v>0</v>
      </c>
      <c r="S128" s="8">
        <v>0</v>
      </c>
      <c r="T128" s="10">
        <v>-11.632999999999999</v>
      </c>
      <c r="U128" s="10">
        <v>-18.324999999999999</v>
      </c>
      <c r="V128" s="10">
        <v>-2.637</v>
      </c>
      <c r="W128" s="10">
        <f>IF(RIGHT(C128,2)="12",IF(ISNUMBER(T128),T128,""),IF(COUNT(T128,U128,V128)=3,T128+U128-V128,""))</f>
        <v>-27.320999999999998</v>
      </c>
      <c r="X128" s="10">
        <v>-27.321000000000002</v>
      </c>
      <c r="Y128" s="10">
        <v>-13.186</v>
      </c>
      <c r="Z128" s="10">
        <v>-4.0730000000000004</v>
      </c>
      <c r="AA128" s="10">
        <v>1.5720000000000001</v>
      </c>
      <c r="AB128" s="10">
        <v>-11.632999999999999</v>
      </c>
      <c r="AC128" s="8">
        <v>0</v>
      </c>
      <c r="AD128" s="8">
        <v>0</v>
      </c>
      <c r="AE128" s="8">
        <v>0</v>
      </c>
      <c r="AF128" s="10">
        <v>0</v>
      </c>
      <c r="AG128" s="8">
        <f>COUNTIF(Y128:AB128,"&gt;0")</f>
        <v>1</v>
      </c>
      <c r="AH128" s="10">
        <v>0</v>
      </c>
      <c r="AI128" s="10">
        <v>1.5720000000000001</v>
      </c>
      <c r="AJ128" s="8" t="str">
        <f>IF(ISNUMBER(X128),IF(X128&gt;0,"+",IF(X128&lt;0,"−","0")),IF(ISNUMBER(W128),IF(W128&gt;0,"+",IF(W128&lt;0,"−","0")),"yok"))</f>
        <v>−</v>
      </c>
      <c r="AK128" s="10">
        <f>IF(AND(RIGHT(C128,2)&lt;&gt;"12",ISNUMBER(U128),ISNUMBER(V128)),U128-V128,"")</f>
        <v>-15.687999999999999</v>
      </c>
      <c r="AL128" s="11">
        <f>IF(AND(ISNUMBER(AK128),ISNUMBER(V128)),IF(V128&lt;&gt;0,AK128/ABS(V128),""),"")</f>
        <v>-5.9491846795601058</v>
      </c>
      <c r="AM128" s="8">
        <f>IF(ISNUMBER(AK128),IF(AK128&gt;1,1,0),"")</f>
        <v>0</v>
      </c>
      <c r="AN128" s="8">
        <f>IF(ISNUMBER(AK128),IF(AK128&gt;0.05*ABS(V128),1,0),"")</f>
        <v>0</v>
      </c>
      <c r="AO128" s="10">
        <v>-27.321000000000002</v>
      </c>
      <c r="AP128" s="10">
        <v>27.321000000000002</v>
      </c>
      <c r="AQ128" s="8" t="s">
        <v>204</v>
      </c>
      <c r="AR128" s="8">
        <v>0</v>
      </c>
      <c r="AS128" s="10">
        <v>12.278</v>
      </c>
      <c r="AT128" s="10"/>
      <c r="AU128" s="8" t="s">
        <v>207</v>
      </c>
      <c r="AV128" s="10">
        <v>1.5720000000000001</v>
      </c>
      <c r="AW128" s="11" t="str">
        <f>IF(AND(ISNUMBER(AV128),ISNUMBER(AT128)),IF(AT128&lt;&gt;0,AV128/ABS(AT128),""),"")</f>
        <v/>
      </c>
      <c r="AX128" s="8">
        <v>0</v>
      </c>
      <c r="AY128" s="8">
        <v>0</v>
      </c>
      <c r="AZ128" s="10"/>
      <c r="BA128" s="8">
        <v>0</v>
      </c>
    </row>
    <row r="129" spans="1:53" x14ac:dyDescent="0.2">
      <c r="A129" s="8" t="s">
        <v>309</v>
      </c>
      <c r="B129" s="8" t="s">
        <v>83</v>
      </c>
      <c r="C129" s="8" t="s">
        <v>205</v>
      </c>
      <c r="D129" s="8">
        <v>1</v>
      </c>
      <c r="E129" s="8">
        <v>1</v>
      </c>
      <c r="F129" s="8">
        <f>SUM(G129:M129)</f>
        <v>1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1</v>
      </c>
      <c r="N129" s="8">
        <v>0</v>
      </c>
      <c r="O129" s="8">
        <v>0</v>
      </c>
      <c r="P129" s="8">
        <v>1</v>
      </c>
      <c r="Q129" s="8">
        <v>0</v>
      </c>
      <c r="R129" s="8">
        <v>0</v>
      </c>
      <c r="S129" s="8">
        <v>0</v>
      </c>
      <c r="T129" s="10">
        <v>-11.798</v>
      </c>
      <c r="U129" s="10">
        <v>-18.324999999999999</v>
      </c>
      <c r="V129" s="10">
        <v>-15.824</v>
      </c>
      <c r="W129" s="10">
        <f>IF(RIGHT(C129,2)="12",IF(ISNUMBER(T129),T129,""),IF(COUNT(T129,U129,V129)=3,T129+U129-V129,""))</f>
        <v>-14.298999999999998</v>
      </c>
      <c r="X129" s="10">
        <v>-14.298999999999999</v>
      </c>
      <c r="Y129" s="10">
        <v>-4.0730000000000004</v>
      </c>
      <c r="Z129" s="10">
        <v>1.5720000000000001</v>
      </c>
      <c r="AA129" s="10">
        <v>-11.632999999999999</v>
      </c>
      <c r="AB129" s="10">
        <v>-0.16400000000000001</v>
      </c>
      <c r="AC129" s="8">
        <v>0</v>
      </c>
      <c r="AD129" s="8">
        <v>0</v>
      </c>
      <c r="AE129" s="8">
        <v>0</v>
      </c>
      <c r="AF129" s="10">
        <v>0</v>
      </c>
      <c r="AG129" s="8">
        <f>COUNTIF(Y129:AB129,"&gt;0")</f>
        <v>1</v>
      </c>
      <c r="AH129" s="10">
        <v>0</v>
      </c>
      <c r="AI129" s="10">
        <v>1.5720000000000001</v>
      </c>
      <c r="AJ129" s="8" t="str">
        <f>IF(ISNUMBER(X129),IF(X129&gt;0,"+",IF(X129&lt;0,"−","0")),IF(ISNUMBER(W129),IF(W129&gt;0,"+",IF(W129&lt;0,"−","0")),"yok"))</f>
        <v>−</v>
      </c>
      <c r="AK129" s="10">
        <f>IF(AND(RIGHT(C129,2)&lt;&gt;"12",ISNUMBER(U129),ISNUMBER(V129)),U129-V129,"")</f>
        <v>-2.5009999999999994</v>
      </c>
      <c r="AL129" s="11">
        <f>IF(AND(ISNUMBER(AK129),ISNUMBER(V129)),IF(V129&lt;&gt;0,AK129/ABS(V129),""),"")</f>
        <v>-0.15805106167846306</v>
      </c>
      <c r="AM129" s="8">
        <f>IF(ISNUMBER(AK129),IF(AK129&gt;1,1,0),"")</f>
        <v>0</v>
      </c>
      <c r="AN129" s="8">
        <f>IF(ISNUMBER(AK129),IF(AK129&gt;0.05*ABS(V129),1,0),"")</f>
        <v>0</v>
      </c>
      <c r="AO129" s="10">
        <v>-14.298999999999999</v>
      </c>
      <c r="AP129" s="10">
        <v>14.298999999999999</v>
      </c>
      <c r="AQ129" s="8" t="s">
        <v>204</v>
      </c>
      <c r="AR129" s="8">
        <v>0</v>
      </c>
      <c r="AS129" s="10">
        <v>-36.390999999999998</v>
      </c>
      <c r="AT129" s="10"/>
      <c r="AU129" s="8" t="s">
        <v>207</v>
      </c>
      <c r="AV129" s="10">
        <v>1.5720000000000001</v>
      </c>
      <c r="AW129" s="11" t="str">
        <f>IF(AND(ISNUMBER(AV129),ISNUMBER(AT129)),IF(AT129&lt;&gt;0,AV129/ABS(AT129),""),"")</f>
        <v/>
      </c>
      <c r="AX129" s="8">
        <v>0</v>
      </c>
      <c r="AY129" s="8">
        <v>0</v>
      </c>
      <c r="AZ129" s="10"/>
      <c r="BA129" s="8">
        <v>0</v>
      </c>
    </row>
    <row r="130" spans="1:53" x14ac:dyDescent="0.2">
      <c r="A130" s="8" t="s">
        <v>309</v>
      </c>
      <c r="B130" s="8" t="s">
        <v>83</v>
      </c>
      <c r="C130" s="8" t="s">
        <v>215</v>
      </c>
      <c r="D130" s="8">
        <v>1</v>
      </c>
      <c r="E130" s="8">
        <v>1</v>
      </c>
      <c r="F130" s="8">
        <f>SUM(G130:M130)</f>
        <v>2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8">
        <v>1</v>
      </c>
      <c r="N130" s="8">
        <v>0</v>
      </c>
      <c r="O130" s="8">
        <v>0</v>
      </c>
      <c r="P130" s="8">
        <v>1</v>
      </c>
      <c r="Q130" s="8">
        <v>0</v>
      </c>
      <c r="R130" s="8">
        <v>0</v>
      </c>
      <c r="S130" s="8">
        <v>0</v>
      </c>
      <c r="T130" s="10">
        <v>-14.888999999999999</v>
      </c>
      <c r="U130" s="10">
        <v>-18.324999999999999</v>
      </c>
      <c r="V130" s="10">
        <v>-19.896999999999998</v>
      </c>
      <c r="W130" s="10">
        <f>IF(RIGHT(C130,2)="12",IF(ISNUMBER(T130),T130,""),IF(COUNT(T130,U130,V130)=3,T130+U130-V130,""))</f>
        <v>-13.317</v>
      </c>
      <c r="X130" s="10">
        <v>-13.317</v>
      </c>
      <c r="Y130" s="10">
        <v>1.5720000000000001</v>
      </c>
      <c r="Z130" s="10">
        <v>-11.632999999999999</v>
      </c>
      <c r="AA130" s="10">
        <v>-0.16400000000000001</v>
      </c>
      <c r="AB130" s="10">
        <v>-3.0910000000000002</v>
      </c>
      <c r="AC130" s="8">
        <v>0</v>
      </c>
      <c r="AD130" s="8">
        <v>0</v>
      </c>
      <c r="AE130" s="8">
        <v>0</v>
      </c>
      <c r="AF130" s="10">
        <v>0</v>
      </c>
      <c r="AG130" s="8">
        <f>COUNTIF(Y130:AB130,"&gt;0")</f>
        <v>1</v>
      </c>
      <c r="AH130" s="10">
        <v>0</v>
      </c>
      <c r="AI130" s="10">
        <v>1.5720000000000001</v>
      </c>
      <c r="AJ130" s="8" t="str">
        <f>IF(ISNUMBER(X130),IF(X130&gt;0,"+",IF(X130&lt;0,"−","0")),IF(ISNUMBER(W130),IF(W130&gt;0,"+",IF(W130&lt;0,"−","0")),"yok"))</f>
        <v>−</v>
      </c>
      <c r="AK130" s="10">
        <f>IF(AND(RIGHT(C130,2)&lt;&gt;"12",ISNUMBER(U130),ISNUMBER(V130)),U130-V130,"")</f>
        <v>1.5719999999999992</v>
      </c>
      <c r="AL130" s="11">
        <f>IF(AND(ISNUMBER(AK130),ISNUMBER(V130)),IF(V130&lt;&gt;0,AK130/ABS(V130),""),"")</f>
        <v>7.900688546011958E-2</v>
      </c>
      <c r="AM130" s="8">
        <f>IF(ISNUMBER(AK130),IF(AK130&gt;1,1,0),"")</f>
        <v>1</v>
      </c>
      <c r="AN130" s="8">
        <f>IF(ISNUMBER(AK130),IF(AK130&gt;0.05*ABS(V130),1,0),"")</f>
        <v>1</v>
      </c>
      <c r="AO130" s="10">
        <v>-13.317</v>
      </c>
      <c r="AP130" s="10">
        <v>13.317</v>
      </c>
      <c r="AQ130" s="8" t="s">
        <v>204</v>
      </c>
      <c r="AR130" s="8">
        <v>0</v>
      </c>
      <c r="AS130" s="10">
        <v>91.819000000000003</v>
      </c>
      <c r="AT130" s="10"/>
      <c r="AU130" s="8" t="s">
        <v>207</v>
      </c>
      <c r="AV130" s="10">
        <v>1.5720000000000001</v>
      </c>
      <c r="AW130" s="11" t="str">
        <f>IF(AND(ISNUMBER(AV130),ISNUMBER(AT130)),IF(AT130&lt;&gt;0,AV130/ABS(AT130),""),"")</f>
        <v/>
      </c>
      <c r="AX130" s="8">
        <v>0</v>
      </c>
      <c r="AY130" s="8">
        <v>1</v>
      </c>
      <c r="AZ130" s="10"/>
      <c r="BA130" s="8">
        <v>0</v>
      </c>
    </row>
    <row r="131" spans="1:53" x14ac:dyDescent="0.2">
      <c r="A131" s="8" t="s">
        <v>310</v>
      </c>
      <c r="B131" s="8" t="s">
        <v>83</v>
      </c>
      <c r="C131" s="8" t="s">
        <v>208</v>
      </c>
      <c r="D131" s="8">
        <v>1</v>
      </c>
      <c r="E131" s="8">
        <v>1</v>
      </c>
      <c r="F131" s="8">
        <f>SUM(G131:M131)</f>
        <v>1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1</v>
      </c>
      <c r="N131" s="8">
        <v>0</v>
      </c>
      <c r="O131" s="8">
        <v>0</v>
      </c>
      <c r="P131" s="8">
        <v>1</v>
      </c>
      <c r="Q131" s="8">
        <v>0</v>
      </c>
      <c r="R131" s="8">
        <v>0</v>
      </c>
      <c r="S131" s="8">
        <v>0</v>
      </c>
      <c r="T131" s="10">
        <v>-708.13800000000003</v>
      </c>
      <c r="U131" s="10">
        <v>-6641.5730000000003</v>
      </c>
      <c r="V131" s="10">
        <v>-1261.625</v>
      </c>
      <c r="W131" s="10">
        <f>IF(RIGHT(C131,2)="12",IF(ISNUMBER(T131),T131,""),IF(COUNT(T131,U131,V131)=3,T131+U131-V131,""))</f>
        <v>-6088.0860000000002</v>
      </c>
      <c r="X131" s="10">
        <v>-6088.0860000000002</v>
      </c>
      <c r="Y131" s="10">
        <v>-3916.7190000000001</v>
      </c>
      <c r="Z131" s="10">
        <v>-3810.68</v>
      </c>
      <c r="AA131" s="10">
        <v>2347.4520000000002</v>
      </c>
      <c r="AB131" s="10">
        <v>-708.13800000000003</v>
      </c>
      <c r="AC131" s="8">
        <v>0</v>
      </c>
      <c r="AD131" s="8">
        <v>0</v>
      </c>
      <c r="AE131" s="8">
        <v>0</v>
      </c>
      <c r="AF131" s="10">
        <v>0</v>
      </c>
      <c r="AG131" s="8">
        <f>COUNTIF(Y131:AB131,"&gt;0")</f>
        <v>1</v>
      </c>
      <c r="AH131" s="10">
        <v>0</v>
      </c>
      <c r="AI131" s="10">
        <v>2347.4520000000002</v>
      </c>
      <c r="AJ131" s="8" t="str">
        <f>IF(ISNUMBER(X131),IF(X131&gt;0,"+",IF(X131&lt;0,"−","0")),IF(ISNUMBER(W131),IF(W131&gt;0,"+",IF(W131&lt;0,"−","0")),"yok"))</f>
        <v>−</v>
      </c>
      <c r="AK131" s="10">
        <f>IF(AND(RIGHT(C131,2)&lt;&gt;"12",ISNUMBER(U131),ISNUMBER(V131)),U131-V131,"")</f>
        <v>-5379.9480000000003</v>
      </c>
      <c r="AL131" s="11">
        <f>IF(AND(ISNUMBER(AK131),ISNUMBER(V131)),IF(V131&lt;&gt;0,AK131/ABS(V131),""),"")</f>
        <v>-4.2643004062221346</v>
      </c>
      <c r="AM131" s="8">
        <f>IF(ISNUMBER(AK131),IF(AK131&gt;1,1,0),"")</f>
        <v>0</v>
      </c>
      <c r="AN131" s="8">
        <f>IF(ISNUMBER(AK131),IF(AK131&gt;0.05*ABS(V131),1,0),"")</f>
        <v>0</v>
      </c>
      <c r="AO131" s="10">
        <v>-6088.0870000000004</v>
      </c>
      <c r="AP131" s="10">
        <v>6088.0870000000004</v>
      </c>
      <c r="AQ131" s="8" t="s">
        <v>204</v>
      </c>
      <c r="AR131" s="8">
        <v>0</v>
      </c>
      <c r="AS131" s="10">
        <v>3657.3110000000001</v>
      </c>
      <c r="AT131" s="10">
        <v>-2532.1149999999998</v>
      </c>
      <c r="AU131" s="8" t="s">
        <v>204</v>
      </c>
      <c r="AV131" s="10">
        <v>2347.4520000000002</v>
      </c>
      <c r="AW131" s="11">
        <f>IF(AND(ISNUMBER(AV131),ISNUMBER(AT131)),IF(AT131&lt;&gt;0,AV131/ABS(AT131),""),"")</f>
        <v>0.92707163774157197</v>
      </c>
      <c r="AX131" s="8">
        <v>0</v>
      </c>
      <c r="AY131" s="8">
        <v>0</v>
      </c>
      <c r="AZ131" s="10"/>
      <c r="BA131" s="8">
        <v>0</v>
      </c>
    </row>
    <row r="132" spans="1:53" x14ac:dyDescent="0.2">
      <c r="A132" s="8" t="s">
        <v>310</v>
      </c>
      <c r="B132" s="8" t="s">
        <v>83</v>
      </c>
      <c r="C132" s="8" t="s">
        <v>210</v>
      </c>
      <c r="D132" s="8">
        <v>1</v>
      </c>
      <c r="E132" s="8">
        <v>1</v>
      </c>
      <c r="F132" s="8">
        <f>SUM(G132:M132)</f>
        <v>1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1</v>
      </c>
      <c r="N132" s="8">
        <v>0</v>
      </c>
      <c r="O132" s="8">
        <v>0</v>
      </c>
      <c r="P132" s="8">
        <v>1</v>
      </c>
      <c r="Q132" s="8">
        <v>0</v>
      </c>
      <c r="R132" s="8">
        <v>0</v>
      </c>
      <c r="S132" s="8">
        <v>0</v>
      </c>
      <c r="T132" s="10">
        <v>-1877.404</v>
      </c>
      <c r="U132" s="10">
        <v>-6641.5730000000003</v>
      </c>
      <c r="V132" s="10">
        <v>-5178.3450000000003</v>
      </c>
      <c r="W132" s="10">
        <f>IF(RIGHT(C132,2)="12",IF(ISNUMBER(T132),T132,""),IF(COUNT(T132,U132,V132)=3,T132+U132-V132,""))</f>
        <v>-3340.6320000000005</v>
      </c>
      <c r="X132" s="10">
        <v>-3340.6329999999998</v>
      </c>
      <c r="Y132" s="10">
        <v>-3810.68</v>
      </c>
      <c r="Z132" s="10">
        <v>2347.4520000000002</v>
      </c>
      <c r="AA132" s="10">
        <v>-708.13800000000003</v>
      </c>
      <c r="AB132" s="10">
        <v>-1169.2650000000001</v>
      </c>
      <c r="AC132" s="8">
        <v>0</v>
      </c>
      <c r="AD132" s="8">
        <v>0</v>
      </c>
      <c r="AE132" s="8">
        <v>0</v>
      </c>
      <c r="AF132" s="10">
        <v>0</v>
      </c>
      <c r="AG132" s="8">
        <f>COUNTIF(Y132:AB132,"&gt;0")</f>
        <v>1</v>
      </c>
      <c r="AH132" s="10">
        <v>0</v>
      </c>
      <c r="AI132" s="10">
        <v>2347.4520000000002</v>
      </c>
      <c r="AJ132" s="8" t="str">
        <f>IF(ISNUMBER(X132),IF(X132&gt;0,"+",IF(X132&lt;0,"−","0")),IF(ISNUMBER(W132),IF(W132&gt;0,"+",IF(W132&lt;0,"−","0")),"yok"))</f>
        <v>−</v>
      </c>
      <c r="AK132" s="10">
        <f>IF(AND(RIGHT(C132,2)&lt;&gt;"12",ISNUMBER(U132),ISNUMBER(V132)),U132-V132,"")</f>
        <v>-1463.2280000000001</v>
      </c>
      <c r="AL132" s="11">
        <f>IF(AND(ISNUMBER(AK132),ISNUMBER(V132)),IF(V132&lt;&gt;0,AK132/ABS(V132),""),"")</f>
        <v>-0.28256672740035665</v>
      </c>
      <c r="AM132" s="8">
        <f>IF(ISNUMBER(AK132),IF(AK132&gt;1,1,0),"")</f>
        <v>0</v>
      </c>
      <c r="AN132" s="8">
        <f>IF(ISNUMBER(AK132),IF(AK132&gt;0.05*ABS(V132),1,0),"")</f>
        <v>0</v>
      </c>
      <c r="AO132" s="10">
        <v>-3340.634</v>
      </c>
      <c r="AP132" s="10">
        <v>3340.634</v>
      </c>
      <c r="AQ132" s="8" t="s">
        <v>204</v>
      </c>
      <c r="AR132" s="8">
        <v>0</v>
      </c>
      <c r="AS132" s="10">
        <v>-59.585999999999999</v>
      </c>
      <c r="AT132" s="10">
        <v>-3489.6750000000002</v>
      </c>
      <c r="AU132" s="8" t="s">
        <v>204</v>
      </c>
      <c r="AV132" s="10">
        <v>2347.4520000000002</v>
      </c>
      <c r="AW132" s="11">
        <f>IF(AND(ISNUMBER(AV132),ISNUMBER(AT132)),IF(AT132&lt;&gt;0,AV132/ABS(AT132),""),"")</f>
        <v>0.67268499215542998</v>
      </c>
      <c r="AX132" s="8">
        <v>0</v>
      </c>
      <c r="AY132" s="8">
        <v>0</v>
      </c>
      <c r="AZ132" s="10"/>
      <c r="BA132" s="8">
        <v>0</v>
      </c>
    </row>
    <row r="133" spans="1:53" x14ac:dyDescent="0.2">
      <c r="A133" s="8" t="s">
        <v>311</v>
      </c>
      <c r="B133" s="8" t="s">
        <v>82</v>
      </c>
      <c r="C133" s="8" t="s">
        <v>215</v>
      </c>
      <c r="D133" s="8">
        <v>1</v>
      </c>
      <c r="E133" s="8">
        <v>1</v>
      </c>
      <c r="F133" s="8">
        <f>SUM(G133:M133)</f>
        <v>1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10">
        <v>-2.278</v>
      </c>
      <c r="U133" s="10"/>
      <c r="V133" s="10">
        <v>-7.0579999999999998</v>
      </c>
      <c r="W133" s="10" t="str">
        <f>IF(RIGHT(C133,2)="12",IF(ISNUMBER(T133),T133,""),IF(COUNT(T133,U133,V133)=3,T133+U133-V133,""))</f>
        <v/>
      </c>
      <c r="X133" s="10"/>
      <c r="Y133" s="10"/>
      <c r="Z133" s="10">
        <v>-0.58299999999999996</v>
      </c>
      <c r="AA133" s="10"/>
      <c r="AB133" s="10"/>
      <c r="AC133" s="8">
        <v>0</v>
      </c>
      <c r="AD133" s="8">
        <v>0</v>
      </c>
      <c r="AE133" s="8">
        <v>0</v>
      </c>
      <c r="AF133" s="10">
        <v>0</v>
      </c>
      <c r="AG133" s="8">
        <f>COUNTIF(Y133:AB133,"&gt;0")</f>
        <v>0</v>
      </c>
      <c r="AH133" s="10">
        <v>0</v>
      </c>
      <c r="AI133" s="10">
        <v>0</v>
      </c>
      <c r="AJ133" s="8" t="str">
        <f>IF(ISNUMBER(X133),IF(X133&gt;0,"+",IF(X133&lt;0,"−","0")),IF(ISNUMBER(W133),IF(W133&gt;0,"+",IF(W133&lt;0,"−","0")),"yok"))</f>
        <v>yok</v>
      </c>
      <c r="AK133" s="10" t="str">
        <f>IF(AND(RIGHT(C133,2)&lt;&gt;"12",ISNUMBER(U133),ISNUMBER(V133)),U133-V133,"")</f>
        <v/>
      </c>
      <c r="AL133" s="11" t="str">
        <f>IF(AND(ISNUMBER(AK133),ISNUMBER(V133)),IF(V133&lt;&gt;0,AK133/ABS(V133),""),"")</f>
        <v/>
      </c>
      <c r="AM133" s="8" t="str">
        <f>IF(ISNUMBER(AK133),IF(AK133&gt;1,1,0),"")</f>
        <v/>
      </c>
      <c r="AN133" s="8" t="str">
        <f>IF(ISNUMBER(AK133),IF(AK133&gt;0.05*ABS(V133),1,0),"")</f>
        <v/>
      </c>
      <c r="AO133" s="10">
        <v>4.78</v>
      </c>
      <c r="AP133" s="10">
        <v>0</v>
      </c>
      <c r="AQ133" s="8" t="s">
        <v>209</v>
      </c>
      <c r="AR133" s="8">
        <v>1</v>
      </c>
      <c r="AS133" s="10">
        <v>-437.09800000000001</v>
      </c>
      <c r="AT133" s="10">
        <v>-465.452</v>
      </c>
      <c r="AU133" s="8" t="s">
        <v>209</v>
      </c>
      <c r="AV133" s="10">
        <v>0</v>
      </c>
      <c r="AW133" s="11">
        <f>IF(AND(ISNUMBER(AV133),ISNUMBER(AT133)),IF(AT133&lt;&gt;0,AV133/ABS(AT133),""),"")</f>
        <v>0</v>
      </c>
      <c r="AX133" s="8">
        <v>0</v>
      </c>
      <c r="AY133" s="8">
        <v>0</v>
      </c>
      <c r="AZ133" s="10"/>
      <c r="BA133" s="8">
        <v>0</v>
      </c>
    </row>
    <row r="134" spans="1:53" x14ac:dyDescent="0.2">
      <c r="A134" s="8" t="s">
        <v>311</v>
      </c>
      <c r="B134" s="8" t="s">
        <v>83</v>
      </c>
      <c r="C134" s="8" t="s">
        <v>203</v>
      </c>
      <c r="D134" s="8">
        <v>1</v>
      </c>
      <c r="E134" s="8">
        <v>1</v>
      </c>
      <c r="F134" s="8">
        <f>SUM(G134:M134)</f>
        <v>2</v>
      </c>
      <c r="G134" s="8">
        <v>0</v>
      </c>
      <c r="H134" s="8">
        <v>0</v>
      </c>
      <c r="I134" s="8">
        <v>1</v>
      </c>
      <c r="J134" s="8">
        <v>0</v>
      </c>
      <c r="K134" s="8">
        <v>0</v>
      </c>
      <c r="L134" s="8">
        <v>0</v>
      </c>
      <c r="M134" s="8">
        <v>1</v>
      </c>
      <c r="N134" s="8">
        <v>1</v>
      </c>
      <c r="O134" s="8">
        <v>1</v>
      </c>
      <c r="P134" s="8">
        <v>1</v>
      </c>
      <c r="Q134" s="8">
        <v>0</v>
      </c>
      <c r="R134" s="8">
        <v>0</v>
      </c>
      <c r="S134" s="8">
        <v>0</v>
      </c>
      <c r="T134" s="10">
        <v>29.58</v>
      </c>
      <c r="U134" s="10">
        <v>-12.903</v>
      </c>
      <c r="V134" s="10">
        <v>-1.6140000000000001</v>
      </c>
      <c r="W134" s="10">
        <f>IF(RIGHT(C134,2)="12",IF(ISNUMBER(T134),T134,""),IF(COUNT(T134,U134,V134)=3,T134+U134-V134,""))</f>
        <v>18.291</v>
      </c>
      <c r="X134" s="10">
        <v>18.291</v>
      </c>
      <c r="Y134" s="10">
        <v>-3.3029999999999999</v>
      </c>
      <c r="Z134" s="10">
        <v>1.7</v>
      </c>
      <c r="AA134" s="10">
        <v>-9.6859999999999999</v>
      </c>
      <c r="AB134" s="10">
        <v>29.58</v>
      </c>
      <c r="AC134" s="8">
        <v>1</v>
      </c>
      <c r="AD134" s="8">
        <v>0</v>
      </c>
      <c r="AE134" s="8">
        <v>0</v>
      </c>
      <c r="AF134" s="10">
        <v>29.58</v>
      </c>
      <c r="AG134" s="8">
        <f>COUNTIF(Y134:AB134,"&gt;0")</f>
        <v>2</v>
      </c>
      <c r="AH134" s="10">
        <v>0</v>
      </c>
      <c r="AI134" s="10">
        <v>1.7</v>
      </c>
      <c r="AJ134" s="8" t="str">
        <f>IF(ISNUMBER(X134),IF(X134&gt;0,"+",IF(X134&lt;0,"−","0")),IF(ISNUMBER(W134),IF(W134&gt;0,"+",IF(W134&lt;0,"−","0")),"yok"))</f>
        <v>+</v>
      </c>
      <c r="AK134" s="10">
        <f>IF(AND(RIGHT(C134,2)&lt;&gt;"12",ISNUMBER(U134),ISNUMBER(V134)),U134-V134,"")</f>
        <v>-11.289</v>
      </c>
      <c r="AL134" s="11">
        <f>IF(AND(ISNUMBER(AK134),ISNUMBER(V134)),IF(V134&lt;&gt;0,AK134/ABS(V134),""),"")</f>
        <v>-6.9944237918215606</v>
      </c>
      <c r="AM134" s="8">
        <f>IF(ISNUMBER(AK134),IF(AK134&gt;1,1,0),"")</f>
        <v>0</v>
      </c>
      <c r="AN134" s="8">
        <f>IF(ISNUMBER(AK134),IF(AK134&gt;0.05*ABS(V134),1,0),"")</f>
        <v>0</v>
      </c>
      <c r="AO134" s="10">
        <v>18.291</v>
      </c>
      <c r="AP134" s="10">
        <v>0</v>
      </c>
      <c r="AQ134" s="8" t="s">
        <v>204</v>
      </c>
      <c r="AR134" s="8">
        <v>1</v>
      </c>
      <c r="AS134" s="10">
        <v>37.895000000000003</v>
      </c>
      <c r="AT134" s="10">
        <v>37.311</v>
      </c>
      <c r="AU134" s="8" t="s">
        <v>209</v>
      </c>
      <c r="AV134" s="10">
        <v>29.58</v>
      </c>
      <c r="AW134" s="11">
        <f>IF(AND(ISNUMBER(AV134),ISNUMBER(AT134)),IF(AT134&lt;&gt;0,AV134/ABS(AT134),""),"")</f>
        <v>0.79279569027900609</v>
      </c>
      <c r="AX134" s="8">
        <v>1</v>
      </c>
      <c r="AY134" s="8">
        <v>0</v>
      </c>
      <c r="AZ134" s="8" t="s">
        <v>312</v>
      </c>
      <c r="BA134" s="8">
        <v>0</v>
      </c>
    </row>
    <row r="135" spans="1:53" x14ac:dyDescent="0.2">
      <c r="A135" s="8" t="s">
        <v>311</v>
      </c>
      <c r="B135" s="8" t="s">
        <v>83</v>
      </c>
      <c r="C135" s="8" t="s">
        <v>205</v>
      </c>
      <c r="D135" s="8">
        <v>1</v>
      </c>
      <c r="E135" s="8">
        <v>1</v>
      </c>
      <c r="F135" s="8">
        <f>SUM(G135:M135)</f>
        <v>1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1</v>
      </c>
      <c r="N135" s="8">
        <v>0</v>
      </c>
      <c r="O135" s="8">
        <v>0</v>
      </c>
      <c r="P135" s="8">
        <v>1</v>
      </c>
      <c r="Q135" s="8">
        <v>0</v>
      </c>
      <c r="R135" s="8">
        <v>0</v>
      </c>
      <c r="S135" s="8">
        <v>0</v>
      </c>
      <c r="T135" s="10">
        <v>-0.29599999999999999</v>
      </c>
      <c r="U135" s="10">
        <v>-12.903</v>
      </c>
      <c r="V135" s="10">
        <v>-4.9169999999999998</v>
      </c>
      <c r="W135" s="10">
        <f>IF(RIGHT(C135,2)="12",IF(ISNUMBER(T135),T135,""),IF(COUNT(T135,U135,V135)=3,T135+U135-V135,""))</f>
        <v>-8.282</v>
      </c>
      <c r="X135" s="10">
        <v>-8.2810000000000006</v>
      </c>
      <c r="Y135" s="10">
        <v>1.7</v>
      </c>
      <c r="Z135" s="10">
        <v>-9.6859999999999999</v>
      </c>
      <c r="AA135" s="10">
        <v>29.58</v>
      </c>
      <c r="AB135" s="10">
        <v>-29.876000000000001</v>
      </c>
      <c r="AC135" s="8">
        <v>0</v>
      </c>
      <c r="AD135" s="8">
        <v>0</v>
      </c>
      <c r="AE135" s="8">
        <v>0</v>
      </c>
      <c r="AF135" s="10">
        <v>0</v>
      </c>
      <c r="AG135" s="8">
        <f>COUNTIF(Y135:AB135,"&gt;0")</f>
        <v>2</v>
      </c>
      <c r="AH135" s="10">
        <v>0</v>
      </c>
      <c r="AI135" s="10">
        <v>1.7</v>
      </c>
      <c r="AJ135" s="8" t="str">
        <f>IF(ISNUMBER(X135),IF(X135&gt;0,"+",IF(X135&lt;0,"−","0")),IF(ISNUMBER(W135),IF(W135&gt;0,"+",IF(W135&lt;0,"−","0")),"yok"))</f>
        <v>−</v>
      </c>
      <c r="AK135" s="10">
        <f>IF(AND(RIGHT(C135,2)&lt;&gt;"12",ISNUMBER(U135),ISNUMBER(V135)),U135-V135,"")</f>
        <v>-7.9860000000000007</v>
      </c>
      <c r="AL135" s="11">
        <f>IF(AND(ISNUMBER(AK135),ISNUMBER(V135)),IF(V135&lt;&gt;0,AK135/ABS(V135),""),"")</f>
        <v>-1.6241610738255035</v>
      </c>
      <c r="AM135" s="8">
        <f>IF(ISNUMBER(AK135),IF(AK135&gt;1,1,0),"")</f>
        <v>0</v>
      </c>
      <c r="AN135" s="8">
        <f>IF(ISNUMBER(AK135),IF(AK135&gt;0.05*ABS(V135),1,0),"")</f>
        <v>0</v>
      </c>
      <c r="AO135" s="10">
        <v>-8.2810000000000006</v>
      </c>
      <c r="AP135" s="10">
        <v>8.2810000000000006</v>
      </c>
      <c r="AQ135" s="8" t="s">
        <v>204</v>
      </c>
      <c r="AR135" s="8">
        <v>0</v>
      </c>
      <c r="AS135" s="10">
        <v>-408.24400000000003</v>
      </c>
      <c r="AT135" s="10"/>
      <c r="AU135" s="8" t="s">
        <v>207</v>
      </c>
      <c r="AV135" s="10">
        <v>29.58</v>
      </c>
      <c r="AW135" s="11" t="str">
        <f>IF(AND(ISNUMBER(AV135),ISNUMBER(AT135)),IF(AT135&lt;&gt;0,AV135/ABS(AT135),""),"")</f>
        <v/>
      </c>
      <c r="AX135" s="8">
        <v>0</v>
      </c>
      <c r="AY135" s="8">
        <v>0</v>
      </c>
      <c r="AZ135" s="10"/>
      <c r="BA135" s="8">
        <v>0</v>
      </c>
    </row>
    <row r="136" spans="1:53" x14ac:dyDescent="0.2">
      <c r="A136" s="8" t="s">
        <v>311</v>
      </c>
      <c r="B136" s="8" t="s">
        <v>83</v>
      </c>
      <c r="C136" s="8" t="s">
        <v>208</v>
      </c>
      <c r="D136" s="8">
        <v>1</v>
      </c>
      <c r="E136" s="8">
        <v>1</v>
      </c>
      <c r="F136" s="8">
        <f>SUM(G136:M136)</f>
        <v>1</v>
      </c>
      <c r="G136" s="8">
        <v>0</v>
      </c>
      <c r="H136" s="8">
        <v>0</v>
      </c>
      <c r="I136" s="8">
        <v>1</v>
      </c>
      <c r="J136" s="8">
        <v>0</v>
      </c>
      <c r="K136" s="8">
        <v>0</v>
      </c>
      <c r="L136" s="8">
        <v>0</v>
      </c>
      <c r="M136" s="8">
        <v>0</v>
      </c>
      <c r="N136" s="8">
        <v>1</v>
      </c>
      <c r="O136" s="8">
        <v>1</v>
      </c>
      <c r="P136" s="8">
        <v>1</v>
      </c>
      <c r="Q136" s="8">
        <v>0</v>
      </c>
      <c r="R136" s="8">
        <v>0</v>
      </c>
      <c r="S136" s="8">
        <v>0</v>
      </c>
      <c r="T136" s="10">
        <v>53.755000000000003</v>
      </c>
      <c r="U136" s="10">
        <v>-19.132999999999999</v>
      </c>
      <c r="V136" s="10">
        <v>29.58</v>
      </c>
      <c r="W136" s="10">
        <f>IF(RIGHT(C136,2)="12",IF(ISNUMBER(T136),T136,""),IF(COUNT(T136,U136,V136)=3,T136+U136-V136,""))</f>
        <v>5.0420000000000016</v>
      </c>
      <c r="X136" s="10">
        <v>5.0419999999999998</v>
      </c>
      <c r="Y136" s="10">
        <v>-29.876000000000001</v>
      </c>
      <c r="Z136" s="10">
        <v>-18.372</v>
      </c>
      <c r="AA136" s="10">
        <v>-0.46500000000000002</v>
      </c>
      <c r="AB136" s="10">
        <v>53.755000000000003</v>
      </c>
      <c r="AC136" s="8">
        <v>1</v>
      </c>
      <c r="AD136" s="8">
        <v>0</v>
      </c>
      <c r="AE136" s="8">
        <v>1</v>
      </c>
      <c r="AF136" s="10">
        <v>53.755000000000003</v>
      </c>
      <c r="AG136" s="8">
        <f>COUNTIF(Y136:AB136,"&gt;0")</f>
        <v>1</v>
      </c>
      <c r="AH136" s="10">
        <v>0</v>
      </c>
      <c r="AI136" s="10">
        <v>0</v>
      </c>
      <c r="AJ136" s="8" t="str">
        <f>IF(ISNUMBER(X136),IF(X136&gt;0,"+",IF(X136&lt;0,"−","0")),IF(ISNUMBER(W136),IF(W136&gt;0,"+",IF(W136&lt;0,"−","0")),"yok"))</f>
        <v>+</v>
      </c>
      <c r="AK136" s="10">
        <f>IF(AND(RIGHT(C136,2)&lt;&gt;"12",ISNUMBER(U136),ISNUMBER(V136)),U136-V136,"")</f>
        <v>-48.712999999999994</v>
      </c>
      <c r="AL136" s="11">
        <f>IF(AND(ISNUMBER(AK136),ISNUMBER(V136)),IF(V136&lt;&gt;0,AK136/ABS(V136),""),"")</f>
        <v>-1.6468221771467206</v>
      </c>
      <c r="AM136" s="8">
        <f>IF(ISNUMBER(AK136),IF(AK136&gt;1,1,0),"")</f>
        <v>0</v>
      </c>
      <c r="AN136" s="8">
        <f>IF(ISNUMBER(AK136),IF(AK136&gt;0.05*ABS(V136),1,0),"")</f>
        <v>0</v>
      </c>
      <c r="AO136" s="10">
        <v>5.0430000000000099</v>
      </c>
      <c r="AP136" s="10">
        <v>0</v>
      </c>
      <c r="AQ136" s="8" t="s">
        <v>204</v>
      </c>
      <c r="AR136" s="8">
        <v>1</v>
      </c>
      <c r="AS136" s="10">
        <v>-655.77300000000002</v>
      </c>
      <c r="AT136" s="10">
        <v>-657.75475900000004</v>
      </c>
      <c r="AU136" s="8" t="s">
        <v>209</v>
      </c>
      <c r="AV136" s="10">
        <v>53.755000000000003</v>
      </c>
      <c r="AW136" s="11">
        <f>IF(AND(ISNUMBER(AV136),ISNUMBER(AT136)),IF(AT136&lt;&gt;0,AV136/ABS(AT136),""),"")</f>
        <v>8.1724988325017955E-2</v>
      </c>
      <c r="AX136" s="8">
        <v>1</v>
      </c>
      <c r="AY136" s="8">
        <v>0</v>
      </c>
      <c r="AZ136" s="8" t="s">
        <v>313</v>
      </c>
      <c r="BA136" s="8">
        <v>0</v>
      </c>
    </row>
    <row r="137" spans="1:53" x14ac:dyDescent="0.2">
      <c r="A137" s="8" t="s">
        <v>314</v>
      </c>
      <c r="B137" s="8" t="s">
        <v>83</v>
      </c>
      <c r="C137" s="8" t="s">
        <v>203</v>
      </c>
      <c r="D137" s="8">
        <v>1</v>
      </c>
      <c r="E137" s="8">
        <v>1</v>
      </c>
      <c r="F137" s="8">
        <f>SUM(G137:M137)</f>
        <v>1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1</v>
      </c>
      <c r="N137" s="8">
        <v>0</v>
      </c>
      <c r="O137" s="8">
        <v>0</v>
      </c>
      <c r="P137" s="8">
        <v>1</v>
      </c>
      <c r="Q137" s="8">
        <v>0</v>
      </c>
      <c r="R137" s="8">
        <v>0</v>
      </c>
      <c r="S137" s="8">
        <v>0</v>
      </c>
      <c r="T137" s="10">
        <v>-3.8809999999999998</v>
      </c>
      <c r="U137" s="10">
        <v>-23.015000000000001</v>
      </c>
      <c r="V137" s="10">
        <v>-13.422000000000001</v>
      </c>
      <c r="W137" s="10">
        <f>IF(RIGHT(C137,2)="12",IF(ISNUMBER(T137),T137,""),IF(COUNT(T137,U137,V137)=3,T137+U137-V137,""))</f>
        <v>-13.474</v>
      </c>
      <c r="X137" s="10">
        <v>-13.474</v>
      </c>
      <c r="Y137" s="10">
        <v>-16.372</v>
      </c>
      <c r="Z137" s="10">
        <v>12.768000000000001</v>
      </c>
      <c r="AA137" s="10">
        <v>-5.9889999999999999</v>
      </c>
      <c r="AB137" s="10">
        <v>-3.8809999999999998</v>
      </c>
      <c r="AC137" s="8">
        <v>0</v>
      </c>
      <c r="AD137" s="8">
        <v>0</v>
      </c>
      <c r="AE137" s="8">
        <v>0</v>
      </c>
      <c r="AF137" s="10">
        <v>0</v>
      </c>
      <c r="AG137" s="8">
        <f>COUNTIF(Y137:AB137,"&gt;0")</f>
        <v>1</v>
      </c>
      <c r="AH137" s="10">
        <v>0</v>
      </c>
      <c r="AI137" s="10">
        <v>12.768000000000001</v>
      </c>
      <c r="AJ137" s="8" t="str">
        <f>IF(ISNUMBER(X137),IF(X137&gt;0,"+",IF(X137&lt;0,"−","0")),IF(ISNUMBER(W137),IF(W137&gt;0,"+",IF(W137&lt;0,"−","0")),"yok"))</f>
        <v>−</v>
      </c>
      <c r="AK137" s="10">
        <f>IF(AND(RIGHT(C137,2)&lt;&gt;"12",ISNUMBER(U137),ISNUMBER(V137)),U137-V137,"")</f>
        <v>-9.593</v>
      </c>
      <c r="AL137" s="11">
        <f>IF(AND(ISNUMBER(AK137),ISNUMBER(V137)),IF(V137&lt;&gt;0,AK137/ABS(V137),""),"")</f>
        <v>-0.71472209804798092</v>
      </c>
      <c r="AM137" s="8">
        <f>IF(ISNUMBER(AK137),IF(AK137&gt;1,1,0),"")</f>
        <v>0</v>
      </c>
      <c r="AN137" s="8">
        <f>IF(ISNUMBER(AK137),IF(AK137&gt;0.05*ABS(V137),1,0),"")</f>
        <v>0</v>
      </c>
      <c r="AO137" s="10">
        <v>-13.474</v>
      </c>
      <c r="AP137" s="10">
        <v>13.474</v>
      </c>
      <c r="AQ137" s="8" t="s">
        <v>204</v>
      </c>
      <c r="AR137" s="8">
        <v>0</v>
      </c>
      <c r="AS137" s="10">
        <v>-779.97</v>
      </c>
      <c r="AT137" s="10">
        <v>-793.44399999999996</v>
      </c>
      <c r="AU137" s="8" t="s">
        <v>204</v>
      </c>
      <c r="AV137" s="10">
        <v>12.768000000000001</v>
      </c>
      <c r="AW137" s="11">
        <f>IF(AND(ISNUMBER(AV137),ISNUMBER(AT137)),IF(AT137&lt;&gt;0,AV137/ABS(AT137),""),"")</f>
        <v>1.6091872898402408E-2</v>
      </c>
      <c r="AX137" s="8">
        <v>0</v>
      </c>
      <c r="AY137" s="8">
        <v>0</v>
      </c>
      <c r="AZ137" s="10"/>
      <c r="BA137" s="8">
        <v>0</v>
      </c>
    </row>
    <row r="138" spans="1:53" x14ac:dyDescent="0.2">
      <c r="A138" s="8" t="s">
        <v>314</v>
      </c>
      <c r="B138" s="8" t="s">
        <v>83</v>
      </c>
      <c r="C138" s="8" t="s">
        <v>205</v>
      </c>
      <c r="D138" s="8">
        <v>1</v>
      </c>
      <c r="E138" s="8">
        <v>1</v>
      </c>
      <c r="F138" s="8">
        <f>SUM(G138:M138)</f>
        <v>2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1</v>
      </c>
      <c r="M138" s="8">
        <v>1</v>
      </c>
      <c r="N138" s="8">
        <v>0</v>
      </c>
      <c r="O138" s="8">
        <v>0</v>
      </c>
      <c r="P138" s="8">
        <v>1</v>
      </c>
      <c r="Q138" s="8">
        <v>0</v>
      </c>
      <c r="R138" s="8">
        <v>0</v>
      </c>
      <c r="S138" s="8">
        <v>0</v>
      </c>
      <c r="T138" s="10">
        <v>-53.337000000000003</v>
      </c>
      <c r="U138" s="10">
        <v>-23.015000000000001</v>
      </c>
      <c r="V138" s="10">
        <v>-29.794</v>
      </c>
      <c r="W138" s="10">
        <f>IF(RIGHT(C138,2)="12",IF(ISNUMBER(T138),T138,""),IF(COUNT(T138,U138,V138)=3,T138+U138-V138,""))</f>
        <v>-46.558000000000007</v>
      </c>
      <c r="X138" s="10">
        <v>-46.558</v>
      </c>
      <c r="Y138" s="10">
        <v>12.768000000000001</v>
      </c>
      <c r="Z138" s="10">
        <v>-5.9889999999999999</v>
      </c>
      <c r="AA138" s="10">
        <v>-3.8809999999999998</v>
      </c>
      <c r="AB138" s="10">
        <v>-49.456000000000003</v>
      </c>
      <c r="AC138" s="8">
        <v>0</v>
      </c>
      <c r="AD138" s="8">
        <v>0</v>
      </c>
      <c r="AE138" s="8">
        <v>0</v>
      </c>
      <c r="AF138" s="10">
        <v>0</v>
      </c>
      <c r="AG138" s="8">
        <f>COUNTIF(Y138:AB138,"&gt;0")</f>
        <v>1</v>
      </c>
      <c r="AH138" s="10">
        <v>0</v>
      </c>
      <c r="AI138" s="10">
        <v>12.768000000000001</v>
      </c>
      <c r="AJ138" s="8" t="str">
        <f>IF(ISNUMBER(X138),IF(X138&gt;0,"+",IF(X138&lt;0,"−","0")),IF(ISNUMBER(W138),IF(W138&gt;0,"+",IF(W138&lt;0,"−","0")),"yok"))</f>
        <v>−</v>
      </c>
      <c r="AK138" s="10">
        <f>IF(AND(RIGHT(C138,2)&lt;&gt;"12",ISNUMBER(U138),ISNUMBER(V138)),U138-V138,"")</f>
        <v>6.7789999999999999</v>
      </c>
      <c r="AL138" s="11">
        <f>IF(AND(ISNUMBER(AK138),ISNUMBER(V138)),IF(V138&lt;&gt;0,AK138/ABS(V138),""),"")</f>
        <v>0.22752903269114585</v>
      </c>
      <c r="AM138" s="8">
        <f>IF(ISNUMBER(AK138),IF(AK138&gt;1,1,0),"")</f>
        <v>1</v>
      </c>
      <c r="AN138" s="8">
        <f>IF(ISNUMBER(AK138),IF(AK138&gt;0.05*ABS(V138),1,0),"")</f>
        <v>1</v>
      </c>
      <c r="AO138" s="10">
        <v>-46.558999999999997</v>
      </c>
      <c r="AP138" s="10">
        <v>46.558999999999997</v>
      </c>
      <c r="AQ138" s="8" t="s">
        <v>204</v>
      </c>
      <c r="AR138" s="8">
        <v>0</v>
      </c>
      <c r="AS138" s="10">
        <v>-519.97400000000005</v>
      </c>
      <c r="AT138" s="10">
        <v>-566.53300000000002</v>
      </c>
      <c r="AU138" s="8" t="s">
        <v>204</v>
      </c>
      <c r="AV138" s="10">
        <v>6.7789999999999999</v>
      </c>
      <c r="AW138" s="11">
        <f>IF(AND(ISNUMBER(AV138),ISNUMBER(AT138)),IF(AT138&lt;&gt;0,AV138/ABS(AT138),""),"")</f>
        <v>1.1965763688964279E-2</v>
      </c>
      <c r="AX138" s="8">
        <v>0</v>
      </c>
      <c r="AY138" s="8">
        <v>1</v>
      </c>
      <c r="AZ138" s="10"/>
      <c r="BA138" s="8">
        <v>0</v>
      </c>
    </row>
    <row r="139" spans="1:53" x14ac:dyDescent="0.2">
      <c r="A139" s="8" t="s">
        <v>315</v>
      </c>
      <c r="B139" s="8" t="s">
        <v>82</v>
      </c>
      <c r="C139" s="8" t="s">
        <v>215</v>
      </c>
      <c r="D139" s="8">
        <v>1</v>
      </c>
      <c r="E139" s="8">
        <v>1</v>
      </c>
      <c r="F139" s="8">
        <f>SUM(G139:M139)</f>
        <v>1</v>
      </c>
      <c r="G139" s="8">
        <v>1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1</v>
      </c>
      <c r="Q139" s="8">
        <v>0</v>
      </c>
      <c r="R139" s="8">
        <v>1</v>
      </c>
      <c r="S139" s="8">
        <v>0</v>
      </c>
      <c r="T139" s="10"/>
      <c r="U139" s="10">
        <v>-3.0310000000000001</v>
      </c>
      <c r="V139" s="10">
        <v>-5.3339999999999996</v>
      </c>
      <c r="W139" s="10" t="str">
        <f>IF(RIGHT(C139,2)="12",IF(ISNUMBER(T139),T139,""),IF(COUNT(T139,U139,V139)=3,T139+U139-V139,""))</f>
        <v/>
      </c>
      <c r="X139" s="10"/>
      <c r="Y139" s="10">
        <v>2.3029999999999999</v>
      </c>
      <c r="Z139" s="10"/>
      <c r="AA139" s="10"/>
      <c r="AB139" s="10"/>
      <c r="AC139" s="8">
        <v>0</v>
      </c>
      <c r="AD139" s="8">
        <v>0</v>
      </c>
      <c r="AE139" s="8">
        <v>0</v>
      </c>
      <c r="AF139" s="10">
        <v>0</v>
      </c>
      <c r="AG139" s="8">
        <f>COUNTIF(Y139:AB139,"&gt;0")</f>
        <v>1</v>
      </c>
      <c r="AH139" s="10">
        <v>0</v>
      </c>
      <c r="AI139" s="10">
        <v>2.3029999999999999</v>
      </c>
      <c r="AJ139" s="8" t="str">
        <f>IF(ISNUMBER(X139),IF(X139&gt;0,"+",IF(X139&lt;0,"−","0")),IF(ISNUMBER(W139),IF(W139&gt;0,"+",IF(W139&lt;0,"−","0")),"yok"))</f>
        <v>yok</v>
      </c>
      <c r="AK139" s="10">
        <f>IF(AND(RIGHT(C139,2)&lt;&gt;"12",ISNUMBER(U139),ISNUMBER(V139)),U139-V139,"")</f>
        <v>2.3029999999999995</v>
      </c>
      <c r="AL139" s="11">
        <f>IF(AND(ISNUMBER(AK139),ISNUMBER(V139)),IF(V139&lt;&gt;0,AK139/ABS(V139),""),"")</f>
        <v>0.43175853018372695</v>
      </c>
      <c r="AM139" s="8">
        <f>IF(ISNUMBER(AK139),IF(AK139&gt;1,1,0),"")</f>
        <v>1</v>
      </c>
      <c r="AN139" s="8">
        <f>IF(ISNUMBER(AK139),IF(AK139&gt;0.05*ABS(V139),1,0),"")</f>
        <v>1</v>
      </c>
      <c r="AO139" s="10">
        <v>2.3029999999999999</v>
      </c>
      <c r="AP139" s="10">
        <v>0</v>
      </c>
      <c r="AQ139" s="8" t="s">
        <v>209</v>
      </c>
      <c r="AR139" s="8">
        <v>1</v>
      </c>
      <c r="AS139" s="10">
        <v>-87.894999999999996</v>
      </c>
      <c r="AT139" s="10">
        <v>-89.025000000000006</v>
      </c>
      <c r="AU139" s="8" t="s">
        <v>209</v>
      </c>
      <c r="AV139" s="10">
        <v>2.3029999999999999</v>
      </c>
      <c r="AW139" s="11">
        <f>IF(AND(ISNUMBER(AV139),ISNUMBER(AT139)),IF(AT139&lt;&gt;0,AV139/ABS(AT139),""),"")</f>
        <v>2.586913788261724E-2</v>
      </c>
      <c r="AX139" s="8">
        <v>0</v>
      </c>
      <c r="AY139" s="8">
        <v>0</v>
      </c>
      <c r="AZ139" s="10"/>
      <c r="BA139" s="8">
        <v>0</v>
      </c>
    </row>
    <row r="140" spans="1:53" x14ac:dyDescent="0.2">
      <c r="A140" s="8" t="s">
        <v>316</v>
      </c>
      <c r="B140" s="8" t="s">
        <v>83</v>
      </c>
      <c r="C140" s="8" t="s">
        <v>208</v>
      </c>
      <c r="D140" s="8">
        <v>1</v>
      </c>
      <c r="E140" s="8">
        <v>1</v>
      </c>
      <c r="F140" s="8">
        <f>SUM(G140:M140)</f>
        <v>1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1</v>
      </c>
      <c r="N140" s="8">
        <v>0</v>
      </c>
      <c r="O140" s="8">
        <v>0</v>
      </c>
      <c r="P140" s="8">
        <v>1</v>
      </c>
      <c r="Q140" s="8">
        <v>0</v>
      </c>
      <c r="R140" s="8">
        <v>0</v>
      </c>
      <c r="S140" s="8">
        <v>0</v>
      </c>
      <c r="T140" s="10">
        <v>-6.2949999999999999</v>
      </c>
      <c r="U140" s="10">
        <v>-61.506999999999998</v>
      </c>
      <c r="V140" s="10">
        <v>-7.0190000000000001</v>
      </c>
      <c r="W140" s="10">
        <f>IF(RIGHT(C140,2)="12",IF(ISNUMBER(T140),T140,""),IF(COUNT(T140,U140,V140)=3,T140+U140-V140,""))</f>
        <v>-60.782999999999994</v>
      </c>
      <c r="X140" s="10">
        <v>-60.783000000000001</v>
      </c>
      <c r="Y140" s="10">
        <v>-31.998999999999999</v>
      </c>
      <c r="Z140" s="10">
        <v>17.72</v>
      </c>
      <c r="AA140" s="10">
        <v>-40.209000000000003</v>
      </c>
      <c r="AB140" s="10">
        <v>-6.2949999999999999</v>
      </c>
      <c r="AC140" s="8">
        <v>0</v>
      </c>
      <c r="AD140" s="8">
        <v>0</v>
      </c>
      <c r="AE140" s="8">
        <v>0</v>
      </c>
      <c r="AF140" s="10">
        <v>0</v>
      </c>
      <c r="AG140" s="8">
        <f>COUNTIF(Y140:AB140,"&gt;0")</f>
        <v>1</v>
      </c>
      <c r="AH140" s="10">
        <v>0</v>
      </c>
      <c r="AI140" s="10">
        <v>17.72</v>
      </c>
      <c r="AJ140" s="8" t="str">
        <f>IF(ISNUMBER(X140),IF(X140&gt;0,"+",IF(X140&lt;0,"−","0")),IF(ISNUMBER(W140),IF(W140&gt;0,"+",IF(W140&lt;0,"−","0")),"yok"))</f>
        <v>−</v>
      </c>
      <c r="AK140" s="10">
        <f>IF(AND(RIGHT(C140,2)&lt;&gt;"12",ISNUMBER(U140),ISNUMBER(V140)),U140-V140,"")</f>
        <v>-54.488</v>
      </c>
      <c r="AL140" s="11">
        <f>IF(AND(ISNUMBER(AK140),ISNUMBER(V140)),IF(V140&lt;&gt;0,AK140/ABS(V140),""),"")</f>
        <v>-7.7629291921926198</v>
      </c>
      <c r="AM140" s="8">
        <f>IF(ISNUMBER(AK140),IF(AK140&gt;1,1,0),"")</f>
        <v>0</v>
      </c>
      <c r="AN140" s="8">
        <f>IF(ISNUMBER(AK140),IF(AK140&gt;0.05*ABS(V140),1,0),"")</f>
        <v>0</v>
      </c>
      <c r="AO140" s="10">
        <v>-60.783999999999999</v>
      </c>
      <c r="AP140" s="10">
        <v>60.783999999999999</v>
      </c>
      <c r="AQ140" s="8" t="s">
        <v>204</v>
      </c>
      <c r="AR140" s="8">
        <v>0</v>
      </c>
      <c r="AS140" s="10">
        <v>659.23599999999999</v>
      </c>
      <c r="AT140" s="10"/>
      <c r="AU140" s="8" t="s">
        <v>207</v>
      </c>
      <c r="AV140" s="10">
        <v>17.72</v>
      </c>
      <c r="AW140" s="11" t="str">
        <f>IF(AND(ISNUMBER(AV140),ISNUMBER(AT140)),IF(AT140&lt;&gt;0,AV140/ABS(AT140),""),"")</f>
        <v/>
      </c>
      <c r="AX140" s="8">
        <v>0</v>
      </c>
      <c r="AY140" s="8">
        <v>0</v>
      </c>
      <c r="AZ140" s="10"/>
      <c r="BA140" s="8">
        <v>0</v>
      </c>
    </row>
    <row r="141" spans="1:53" x14ac:dyDescent="0.2">
      <c r="A141" s="8" t="s">
        <v>316</v>
      </c>
      <c r="B141" s="8" t="s">
        <v>83</v>
      </c>
      <c r="C141" s="8" t="s">
        <v>210</v>
      </c>
      <c r="D141" s="8">
        <v>1</v>
      </c>
      <c r="E141" s="8">
        <v>1</v>
      </c>
      <c r="F141" s="8">
        <f>SUM(G141:M141)</f>
        <v>1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1</v>
      </c>
      <c r="N141" s="8">
        <v>0</v>
      </c>
      <c r="O141" s="8">
        <v>0</v>
      </c>
      <c r="P141" s="8">
        <v>1</v>
      </c>
      <c r="Q141" s="8">
        <v>0</v>
      </c>
      <c r="R141" s="8">
        <v>0</v>
      </c>
      <c r="S141" s="8">
        <v>0</v>
      </c>
      <c r="T141" s="10">
        <v>-25.797000000000001</v>
      </c>
      <c r="U141" s="10">
        <v>-61.506999999999998</v>
      </c>
      <c r="V141" s="10">
        <v>-39.018000000000001</v>
      </c>
      <c r="W141" s="10">
        <f>IF(RIGHT(C141,2)="12",IF(ISNUMBER(T141),T141,""),IF(COUNT(T141,U141,V141)=3,T141+U141-V141,""))</f>
        <v>-48.286000000000001</v>
      </c>
      <c r="X141" s="10">
        <v>-48.286000000000001</v>
      </c>
      <c r="Y141" s="10">
        <v>17.72</v>
      </c>
      <c r="Z141" s="10">
        <v>-40.209000000000003</v>
      </c>
      <c r="AA141" s="10">
        <v>-6.2949999999999999</v>
      </c>
      <c r="AB141" s="10">
        <v>-19.501000000000001</v>
      </c>
      <c r="AC141" s="8">
        <v>0</v>
      </c>
      <c r="AD141" s="8">
        <v>0</v>
      </c>
      <c r="AE141" s="8">
        <v>0</v>
      </c>
      <c r="AF141" s="10">
        <v>0</v>
      </c>
      <c r="AG141" s="8">
        <f>COUNTIF(Y141:AB141,"&gt;0")</f>
        <v>1</v>
      </c>
      <c r="AH141" s="10">
        <v>0</v>
      </c>
      <c r="AI141" s="10">
        <v>17.72</v>
      </c>
      <c r="AJ141" s="8" t="str">
        <f>IF(ISNUMBER(X141),IF(X141&gt;0,"+",IF(X141&lt;0,"−","0")),IF(ISNUMBER(W141),IF(W141&gt;0,"+",IF(W141&lt;0,"−","0")),"yok"))</f>
        <v>−</v>
      </c>
      <c r="AK141" s="10">
        <f>IF(AND(RIGHT(C141,2)&lt;&gt;"12",ISNUMBER(U141),ISNUMBER(V141)),U141-V141,"")</f>
        <v>-22.488999999999997</v>
      </c>
      <c r="AL141" s="11">
        <f>IF(AND(ISNUMBER(AK141),ISNUMBER(V141)),IF(V141&lt;&gt;0,AK141/ABS(V141),""),"")</f>
        <v>-0.57637500640729911</v>
      </c>
      <c r="AM141" s="8">
        <f>IF(ISNUMBER(AK141),IF(AK141&gt;1,1,0),"")</f>
        <v>0</v>
      </c>
      <c r="AN141" s="8">
        <f>IF(ISNUMBER(AK141),IF(AK141&gt;0.05*ABS(V141),1,0),"")</f>
        <v>0</v>
      </c>
      <c r="AO141" s="10">
        <v>-48.286000000000001</v>
      </c>
      <c r="AP141" s="10">
        <v>48.286000000000001</v>
      </c>
      <c r="AQ141" s="8" t="s">
        <v>204</v>
      </c>
      <c r="AR141" s="8">
        <v>0</v>
      </c>
      <c r="AS141" s="10">
        <v>742.63</v>
      </c>
      <c r="AT141" s="10"/>
      <c r="AU141" s="8" t="s">
        <v>207</v>
      </c>
      <c r="AV141" s="10">
        <v>17.72</v>
      </c>
      <c r="AW141" s="11" t="str">
        <f>IF(AND(ISNUMBER(AV141),ISNUMBER(AT141)),IF(AT141&lt;&gt;0,AV141/ABS(AT141),""),"")</f>
        <v/>
      </c>
      <c r="AX141" s="8">
        <v>0</v>
      </c>
      <c r="AY141" s="8">
        <v>0</v>
      </c>
      <c r="AZ141" s="10"/>
      <c r="BA141" s="8">
        <v>0</v>
      </c>
    </row>
    <row r="142" spans="1:53" x14ac:dyDescent="0.2">
      <c r="A142" s="8" t="s">
        <v>317</v>
      </c>
      <c r="B142" s="8" t="s">
        <v>82</v>
      </c>
      <c r="C142" s="8" t="s">
        <v>208</v>
      </c>
      <c r="D142" s="8">
        <v>1</v>
      </c>
      <c r="E142" s="8">
        <v>1</v>
      </c>
      <c r="F142" s="8">
        <f>SUM(G142:M142)</f>
        <v>1</v>
      </c>
      <c r="G142" s="8">
        <v>0</v>
      </c>
      <c r="H142" s="8">
        <v>0</v>
      </c>
      <c r="I142" s="8">
        <v>0</v>
      </c>
      <c r="J142" s="8">
        <v>1</v>
      </c>
      <c r="K142" s="8">
        <v>0</v>
      </c>
      <c r="L142" s="8">
        <v>0</v>
      </c>
      <c r="M142" s="8">
        <v>0</v>
      </c>
      <c r="N142" s="8">
        <v>0</v>
      </c>
      <c r="O142" s="8">
        <v>1</v>
      </c>
      <c r="P142" s="8">
        <v>1</v>
      </c>
      <c r="Q142" s="8">
        <v>0</v>
      </c>
      <c r="R142" s="8">
        <v>0</v>
      </c>
      <c r="S142" s="8">
        <v>0</v>
      </c>
      <c r="T142" s="10">
        <v>34.475999999999999</v>
      </c>
      <c r="U142" s="10">
        <v>-352.43200000000002</v>
      </c>
      <c r="V142" s="10">
        <v>-109.34399999999999</v>
      </c>
      <c r="W142" s="10">
        <f>IF(RIGHT(C142,2)="12",IF(ISNUMBER(T142),T142,""),IF(COUNT(T142,U142,V142)=3,T142+U142-V142,""))</f>
        <v>-208.61200000000002</v>
      </c>
      <c r="X142" s="10">
        <v>-208.61099999999999</v>
      </c>
      <c r="Y142" s="10">
        <v>-21.61</v>
      </c>
      <c r="Z142" s="10">
        <v>-129.875</v>
      </c>
      <c r="AA142" s="10">
        <v>-91.602000000000004</v>
      </c>
      <c r="AB142" s="10">
        <v>34.475999999999999</v>
      </c>
      <c r="AC142" s="8">
        <v>1</v>
      </c>
      <c r="AD142" s="8">
        <v>0</v>
      </c>
      <c r="AE142" s="8">
        <v>0</v>
      </c>
      <c r="AF142" s="10">
        <v>34.475999999999999</v>
      </c>
      <c r="AG142" s="8">
        <f>COUNTIF(Y142:AB142,"&gt;0")</f>
        <v>1</v>
      </c>
      <c r="AH142" s="10">
        <v>0</v>
      </c>
      <c r="AI142" s="10">
        <v>0</v>
      </c>
      <c r="AJ142" s="8" t="str">
        <f>IF(ISNUMBER(X142),IF(X142&gt;0,"+",IF(X142&lt;0,"−","0")),IF(ISNUMBER(W142),IF(W142&gt;0,"+",IF(W142&lt;0,"−","0")),"yok"))</f>
        <v>−</v>
      </c>
      <c r="AK142" s="10">
        <f>IF(AND(RIGHT(C142,2)&lt;&gt;"12",ISNUMBER(U142),ISNUMBER(V142)),U142-V142,"")</f>
        <v>-243.08800000000002</v>
      </c>
      <c r="AL142" s="11">
        <f>IF(AND(ISNUMBER(AK142),ISNUMBER(V142)),IF(V142&lt;&gt;0,AK142/ABS(V142),""),"")</f>
        <v>-2.2231489610769684</v>
      </c>
      <c r="AM142" s="8">
        <f>IF(ISNUMBER(AK142),IF(AK142&gt;1,1,0),"")</f>
        <v>0</v>
      </c>
      <c r="AN142" s="8">
        <f>IF(ISNUMBER(AK142),IF(AK142&gt;0.05*ABS(V142),1,0),"")</f>
        <v>0</v>
      </c>
      <c r="AO142" s="10">
        <v>-208.61199999999999</v>
      </c>
      <c r="AP142" s="10">
        <v>208.61199999999999</v>
      </c>
      <c r="AQ142" s="8" t="s">
        <v>204</v>
      </c>
      <c r="AR142" s="8">
        <v>0</v>
      </c>
      <c r="AS142" s="10">
        <v>1016.7140000000001</v>
      </c>
      <c r="AT142" s="10">
        <v>735.577</v>
      </c>
      <c r="AU142" s="8" t="s">
        <v>204</v>
      </c>
      <c r="AV142" s="10">
        <v>34.475999999999999</v>
      </c>
      <c r="AW142" s="11">
        <f>IF(AND(ISNUMBER(AV142),ISNUMBER(AT142)),IF(AT142&lt;&gt;0,AV142/ABS(AT142),""),"")</f>
        <v>4.6869328431965653E-2</v>
      </c>
      <c r="AX142" s="8">
        <v>1</v>
      </c>
      <c r="AY142" s="8">
        <v>0</v>
      </c>
      <c r="AZ142" s="8" t="s">
        <v>318</v>
      </c>
      <c r="BA142" s="8">
        <v>0</v>
      </c>
    </row>
    <row r="143" spans="1:53" x14ac:dyDescent="0.2">
      <c r="A143" s="8" t="s">
        <v>317</v>
      </c>
      <c r="B143" s="8" t="s">
        <v>82</v>
      </c>
      <c r="C143" s="8" t="s">
        <v>210</v>
      </c>
      <c r="D143" s="8">
        <v>1</v>
      </c>
      <c r="E143" s="8">
        <v>1</v>
      </c>
      <c r="F143" s="8">
        <f>SUM(G143:M143)</f>
        <v>1</v>
      </c>
      <c r="G143" s="8">
        <v>0</v>
      </c>
      <c r="H143" s="8">
        <v>0</v>
      </c>
      <c r="I143" s="8">
        <v>0</v>
      </c>
      <c r="J143" s="8">
        <v>1</v>
      </c>
      <c r="K143" s="8">
        <v>0</v>
      </c>
      <c r="L143" s="8">
        <v>0</v>
      </c>
      <c r="M143" s="8">
        <v>0</v>
      </c>
      <c r="N143" s="8">
        <v>0</v>
      </c>
      <c r="O143" s="8">
        <v>1</v>
      </c>
      <c r="P143" s="8">
        <v>1</v>
      </c>
      <c r="Q143" s="8">
        <v>0</v>
      </c>
      <c r="R143" s="8">
        <v>0</v>
      </c>
      <c r="S143" s="8">
        <v>1</v>
      </c>
      <c r="T143" s="10">
        <v>53.67</v>
      </c>
      <c r="U143" s="10">
        <v>-352.43200000000002</v>
      </c>
      <c r="V143" s="10">
        <v>-130.95400000000001</v>
      </c>
      <c r="W143" s="10">
        <f>IF(RIGHT(C143,2)="12",IF(ISNUMBER(T143),T143,""),IF(COUNT(T143,U143,V143)=3,T143+U143-V143,""))</f>
        <v>-167.80799999999999</v>
      </c>
      <c r="X143" s="10">
        <v>-167.80600000000001</v>
      </c>
      <c r="Y143" s="10">
        <v>-129.875</v>
      </c>
      <c r="Z143" s="10">
        <v>-91.602000000000004</v>
      </c>
      <c r="AA143" s="10">
        <v>34.475999999999999</v>
      </c>
      <c r="AB143" s="10">
        <v>19.193999999999999</v>
      </c>
      <c r="AC143" s="8">
        <v>1</v>
      </c>
      <c r="AD143" s="8">
        <v>0</v>
      </c>
      <c r="AE143" s="8">
        <v>0</v>
      </c>
      <c r="AF143" s="10">
        <v>53.67</v>
      </c>
      <c r="AG143" s="8">
        <f>COUNTIF(Y143:AB143,"&gt;0")</f>
        <v>2</v>
      </c>
      <c r="AH143" s="10">
        <v>19.193999999999999</v>
      </c>
      <c r="AI143" s="10">
        <v>0</v>
      </c>
      <c r="AJ143" s="8" t="str">
        <f>IF(ISNUMBER(X143),IF(X143&gt;0,"+",IF(X143&lt;0,"−","0")),IF(ISNUMBER(W143),IF(W143&gt;0,"+",IF(W143&lt;0,"−","0")),"yok"))</f>
        <v>−</v>
      </c>
      <c r="AK143" s="10">
        <f>IF(AND(RIGHT(C143,2)&lt;&gt;"12",ISNUMBER(U143),ISNUMBER(V143)),U143-V143,"")</f>
        <v>-221.47800000000001</v>
      </c>
      <c r="AL143" s="11">
        <f>IF(AND(ISNUMBER(AK143),ISNUMBER(V143)),IF(V143&lt;&gt;0,AK143/ABS(V143),""),"")</f>
        <v>-1.6912656352612367</v>
      </c>
      <c r="AM143" s="8">
        <f>IF(ISNUMBER(AK143),IF(AK143&gt;1,1,0),"")</f>
        <v>0</v>
      </c>
      <c r="AN143" s="8">
        <f>IF(ISNUMBER(AK143),IF(AK143&gt;0.05*ABS(V143),1,0),"")</f>
        <v>0</v>
      </c>
      <c r="AO143" s="10">
        <v>-167.80699999999999</v>
      </c>
      <c r="AP143" s="10">
        <v>167.80699999999999</v>
      </c>
      <c r="AQ143" s="8" t="s">
        <v>204</v>
      </c>
      <c r="AR143" s="8">
        <v>0</v>
      </c>
      <c r="AS143" s="10">
        <v>1233.5550000000001</v>
      </c>
      <c r="AT143" s="10">
        <v>102.205</v>
      </c>
      <c r="AU143" s="8" t="s">
        <v>204</v>
      </c>
      <c r="AV143" s="10">
        <v>53.67</v>
      </c>
      <c r="AW143" s="11">
        <f>IF(AND(ISNUMBER(AV143),ISNUMBER(AT143)),IF(AT143&lt;&gt;0,AV143/ABS(AT143),""),"")</f>
        <v>0.52512108018198722</v>
      </c>
      <c r="AX143" s="8">
        <v>1</v>
      </c>
      <c r="AY143" s="8">
        <v>0</v>
      </c>
      <c r="AZ143" s="8" t="s">
        <v>319</v>
      </c>
      <c r="BA143" s="8">
        <v>0</v>
      </c>
    </row>
    <row r="144" spans="1:53" x14ac:dyDescent="0.2">
      <c r="A144" s="8" t="s">
        <v>317</v>
      </c>
      <c r="B144" s="8" t="s">
        <v>83</v>
      </c>
      <c r="C144" s="8" t="s">
        <v>205</v>
      </c>
      <c r="D144" s="8">
        <v>1</v>
      </c>
      <c r="E144" s="8">
        <v>1</v>
      </c>
      <c r="F144" s="8">
        <f>SUM(G144:M144)</f>
        <v>1</v>
      </c>
      <c r="G144" s="8">
        <v>0</v>
      </c>
      <c r="H144" s="8">
        <v>0</v>
      </c>
      <c r="I144" s="8">
        <v>0</v>
      </c>
      <c r="J144" s="8">
        <v>0</v>
      </c>
      <c r="K144" s="8">
        <v>1</v>
      </c>
      <c r="L144" s="8">
        <v>0</v>
      </c>
      <c r="M144" s="8">
        <v>0</v>
      </c>
      <c r="N144" s="8">
        <v>0</v>
      </c>
      <c r="O144" s="8">
        <v>1</v>
      </c>
      <c r="P144" s="8">
        <v>1</v>
      </c>
      <c r="Q144" s="8">
        <v>0</v>
      </c>
      <c r="R144" s="8">
        <v>0</v>
      </c>
      <c r="S144" s="8">
        <v>1</v>
      </c>
      <c r="T144" s="10">
        <v>416.61099999999999</v>
      </c>
      <c r="U144" s="10">
        <v>-1368.8710000000001</v>
      </c>
      <c r="V144" s="10">
        <v>-654.94500000000005</v>
      </c>
      <c r="W144" s="10">
        <f>IF(RIGHT(C144,2)="12",IF(ISNUMBER(T144),T144,""),IF(COUNT(T144,U144,V144)=3,T144+U144-V144,""))</f>
        <v>-297.31500000000005</v>
      </c>
      <c r="X144" s="10">
        <v>-297.31299999999999</v>
      </c>
      <c r="Y144" s="10">
        <v>-455.12400000000002</v>
      </c>
      <c r="Z144" s="10">
        <v>-258.8</v>
      </c>
      <c r="AA144" s="10">
        <v>-406.166</v>
      </c>
      <c r="AB144" s="10">
        <v>822.77700000000004</v>
      </c>
      <c r="AC144" s="8">
        <v>1</v>
      </c>
      <c r="AD144" s="8">
        <v>0</v>
      </c>
      <c r="AE144" s="8">
        <v>0</v>
      </c>
      <c r="AF144" s="10">
        <v>416.61099999999999</v>
      </c>
      <c r="AG144" s="8">
        <f>COUNTIF(Y144:AB144,"&gt;0")</f>
        <v>1</v>
      </c>
      <c r="AH144" s="10">
        <v>822.77700000000004</v>
      </c>
      <c r="AI144" s="10">
        <v>0</v>
      </c>
      <c r="AJ144" s="8" t="str">
        <f>IF(ISNUMBER(X144),IF(X144&gt;0,"+",IF(X144&lt;0,"−","0")),IF(ISNUMBER(W144),IF(W144&gt;0,"+",IF(W144&lt;0,"−","0")),"yok"))</f>
        <v>−</v>
      </c>
      <c r="AK144" s="10">
        <f>IF(AND(RIGHT(C144,2)&lt;&gt;"12",ISNUMBER(U144),ISNUMBER(V144)),U144-V144,"")</f>
        <v>-713.92600000000004</v>
      </c>
      <c r="AL144" s="11">
        <f>IF(AND(ISNUMBER(AK144),ISNUMBER(V144)),IF(V144&lt;&gt;0,AK144/ABS(V144),""),"")</f>
        <v>-1.090054890105276</v>
      </c>
      <c r="AM144" s="8">
        <f>IF(ISNUMBER(AK144),IF(AK144&gt;1,1,0),"")</f>
        <v>0</v>
      </c>
      <c r="AN144" s="8">
        <f>IF(ISNUMBER(AK144),IF(AK144&gt;0.05*ABS(V144),1,0),"")</f>
        <v>0</v>
      </c>
      <c r="AO144" s="10">
        <v>-297.31400000000002</v>
      </c>
      <c r="AP144" s="10">
        <v>297.31400000000002</v>
      </c>
      <c r="AQ144" s="8" t="s">
        <v>204</v>
      </c>
      <c r="AR144" s="8">
        <v>0</v>
      </c>
      <c r="AS144" s="10">
        <v>-444.21800000000002</v>
      </c>
      <c r="AT144" s="10">
        <v>-1012.875</v>
      </c>
      <c r="AU144" s="8" t="s">
        <v>212</v>
      </c>
      <c r="AV144" s="10">
        <v>416.61099999999999</v>
      </c>
      <c r="AW144" s="11">
        <f>IF(AND(ISNUMBER(AV144),ISNUMBER(AT144)),IF(AT144&lt;&gt;0,AV144/ABS(AT144),""),"")</f>
        <v>0.41131531531531529</v>
      </c>
      <c r="AX144" s="8">
        <v>1</v>
      </c>
      <c r="AY144" s="8">
        <v>0</v>
      </c>
      <c r="AZ144" s="8" t="s">
        <v>320</v>
      </c>
      <c r="BA144" s="8">
        <v>0</v>
      </c>
    </row>
    <row r="145" spans="1:53" x14ac:dyDescent="0.2">
      <c r="A145" s="8" t="s">
        <v>317</v>
      </c>
      <c r="B145" s="8" t="s">
        <v>83</v>
      </c>
      <c r="C145" s="8" t="s">
        <v>208</v>
      </c>
      <c r="D145" s="8">
        <v>1</v>
      </c>
      <c r="E145" s="8">
        <v>1</v>
      </c>
      <c r="F145" s="8">
        <f>SUM(G145:M145)</f>
        <v>1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1</v>
      </c>
      <c r="N145" s="8">
        <v>0</v>
      </c>
      <c r="O145" s="8">
        <v>0</v>
      </c>
      <c r="P145" s="8">
        <v>1</v>
      </c>
      <c r="Q145" s="8">
        <v>0</v>
      </c>
      <c r="R145" s="8">
        <v>0</v>
      </c>
      <c r="S145" s="8">
        <v>0</v>
      </c>
      <c r="T145" s="10">
        <v>-38.765999999999998</v>
      </c>
      <c r="U145" s="10">
        <v>-439.92500000000001</v>
      </c>
      <c r="V145" s="10">
        <v>-406.166</v>
      </c>
      <c r="W145" s="10">
        <f>IF(RIGHT(C145,2)="12",IF(ISNUMBER(T145),T145,""),IF(COUNT(T145,U145,V145)=3,T145+U145-V145,""))</f>
        <v>-72.525000000000034</v>
      </c>
      <c r="X145" s="10">
        <v>-72.525000000000006</v>
      </c>
      <c r="Y145" s="10">
        <v>822.77700000000004</v>
      </c>
      <c r="Z145" s="10">
        <v>-859.51400000000001</v>
      </c>
      <c r="AA145" s="10">
        <v>2.9769999999999999</v>
      </c>
      <c r="AB145" s="10">
        <v>-38.765999999999998</v>
      </c>
      <c r="AC145" s="8">
        <v>0</v>
      </c>
      <c r="AD145" s="8">
        <v>0</v>
      </c>
      <c r="AE145" s="8">
        <v>0</v>
      </c>
      <c r="AF145" s="10">
        <v>0</v>
      </c>
      <c r="AG145" s="8">
        <f>COUNTIF(Y145:AB145,"&gt;0")</f>
        <v>2</v>
      </c>
      <c r="AH145" s="10">
        <v>0</v>
      </c>
      <c r="AI145" s="10">
        <v>825.75400000000002</v>
      </c>
      <c r="AJ145" s="8" t="str">
        <f>IF(ISNUMBER(X145),IF(X145&gt;0,"+",IF(X145&lt;0,"−","0")),IF(ISNUMBER(W145),IF(W145&gt;0,"+",IF(W145&lt;0,"−","0")),"yok"))</f>
        <v>−</v>
      </c>
      <c r="AK145" s="10">
        <f>IF(AND(RIGHT(C145,2)&lt;&gt;"12",ISNUMBER(U145),ISNUMBER(V145)),U145-V145,"")</f>
        <v>-33.759000000000015</v>
      </c>
      <c r="AL145" s="11">
        <f>IF(AND(ISNUMBER(AK145),ISNUMBER(V145)),IF(V145&lt;&gt;0,AK145/ABS(V145),""),"")</f>
        <v>-8.3116262808802355E-2</v>
      </c>
      <c r="AM145" s="8">
        <f>IF(ISNUMBER(AK145),IF(AK145&gt;1,1,0),"")</f>
        <v>0</v>
      </c>
      <c r="AN145" s="8">
        <f>IF(ISNUMBER(AK145),IF(AK145&gt;0.05*ABS(V145),1,0),"")</f>
        <v>0</v>
      </c>
      <c r="AO145" s="10">
        <v>-72.525000000000006</v>
      </c>
      <c r="AP145" s="10">
        <v>72.525000000000006</v>
      </c>
      <c r="AQ145" s="8" t="s">
        <v>204</v>
      </c>
      <c r="AR145" s="8">
        <v>0</v>
      </c>
      <c r="AS145" s="10">
        <v>1016.7140000000001</v>
      </c>
      <c r="AT145" s="10">
        <v>735.577</v>
      </c>
      <c r="AU145" s="8" t="s">
        <v>204</v>
      </c>
      <c r="AV145" s="10">
        <v>822.77700000000004</v>
      </c>
      <c r="AW145" s="11">
        <f>IF(AND(ISNUMBER(AV145),ISNUMBER(AT145)),IF(AT145&lt;&gt;0,AV145/ABS(AT145),""),"")</f>
        <v>1.1185463928317498</v>
      </c>
      <c r="AX145" s="8">
        <v>0</v>
      </c>
      <c r="AY145" s="8">
        <v>0</v>
      </c>
      <c r="AZ145" s="10"/>
      <c r="BA145" s="8">
        <v>0</v>
      </c>
    </row>
    <row r="146" spans="1:53" x14ac:dyDescent="0.2">
      <c r="A146" s="8" t="s">
        <v>317</v>
      </c>
      <c r="B146" s="8" t="s">
        <v>83</v>
      </c>
      <c r="C146" s="8" t="s">
        <v>210</v>
      </c>
      <c r="D146" s="8">
        <v>1</v>
      </c>
      <c r="E146" s="8">
        <v>1</v>
      </c>
      <c r="F146" s="8">
        <f>SUM(G146:M146)</f>
        <v>1</v>
      </c>
      <c r="G146" s="8">
        <v>0</v>
      </c>
      <c r="H146" s="8">
        <v>0</v>
      </c>
      <c r="I146" s="8">
        <v>0</v>
      </c>
      <c r="J146" s="8">
        <v>0</v>
      </c>
      <c r="K146" s="8">
        <v>1</v>
      </c>
      <c r="L146" s="8">
        <v>0</v>
      </c>
      <c r="M146" s="8">
        <v>0</v>
      </c>
      <c r="N146" s="8">
        <v>0</v>
      </c>
      <c r="O146" s="8">
        <v>1</v>
      </c>
      <c r="P146" s="8">
        <v>1</v>
      </c>
      <c r="Q146" s="8">
        <v>0</v>
      </c>
      <c r="R146" s="8">
        <v>0</v>
      </c>
      <c r="S146" s="8">
        <v>0</v>
      </c>
      <c r="T146" s="10">
        <v>-107.00700000000001</v>
      </c>
      <c r="U146" s="10">
        <v>-439.92500000000001</v>
      </c>
      <c r="V146" s="10">
        <v>416.61099999999999</v>
      </c>
      <c r="W146" s="10">
        <f>IF(RIGHT(C146,2)="12",IF(ISNUMBER(T146),T146,""),IF(COUNT(T146,U146,V146)=3,T146+U146-V146,""))</f>
        <v>-963.54300000000001</v>
      </c>
      <c r="X146" s="10">
        <v>-963.54399999999998</v>
      </c>
      <c r="Y146" s="10">
        <v>-859.51400000000001</v>
      </c>
      <c r="Z146" s="10">
        <v>2.9769999999999999</v>
      </c>
      <c r="AA146" s="10">
        <v>-38.765999999999998</v>
      </c>
      <c r="AB146" s="10">
        <v>-68.241</v>
      </c>
      <c r="AC146" s="8">
        <v>0</v>
      </c>
      <c r="AD146" s="8">
        <v>0</v>
      </c>
      <c r="AE146" s="8">
        <v>1</v>
      </c>
      <c r="AF146" s="10">
        <v>416.61099999999999</v>
      </c>
      <c r="AG146" s="8">
        <f>COUNTIF(Y146:AB146,"&gt;0")</f>
        <v>1</v>
      </c>
      <c r="AH146" s="10">
        <v>0</v>
      </c>
      <c r="AI146" s="10">
        <v>2.9769999999999999</v>
      </c>
      <c r="AJ146" s="8" t="str">
        <f>IF(ISNUMBER(X146),IF(X146&gt;0,"+",IF(X146&lt;0,"−","0")),IF(ISNUMBER(W146),IF(W146&gt;0,"+",IF(W146&lt;0,"−","0")),"yok"))</f>
        <v>−</v>
      </c>
      <c r="AK146" s="10">
        <f>IF(AND(RIGHT(C146,2)&lt;&gt;"12",ISNUMBER(U146),ISNUMBER(V146)),U146-V146,"")</f>
        <v>-856.53600000000006</v>
      </c>
      <c r="AL146" s="11">
        <f>IF(AND(ISNUMBER(AK146),ISNUMBER(V146)),IF(V146&lt;&gt;0,AK146/ABS(V146),""),"")</f>
        <v>-2.0559610763998073</v>
      </c>
      <c r="AM146" s="8">
        <f>IF(ISNUMBER(AK146),IF(AK146&gt;1,1,0),"")</f>
        <v>0</v>
      </c>
      <c r="AN146" s="8">
        <f>IF(ISNUMBER(AK146),IF(AK146&gt;0.05*ABS(V146),1,0),"")</f>
        <v>0</v>
      </c>
      <c r="AO146" s="10">
        <v>-963.54300000000001</v>
      </c>
      <c r="AP146" s="10">
        <v>963.54300000000001</v>
      </c>
      <c r="AQ146" s="8" t="s">
        <v>204</v>
      </c>
      <c r="AR146" s="8">
        <v>0</v>
      </c>
      <c r="AS146" s="10">
        <v>1233.5550000000001</v>
      </c>
      <c r="AT146" s="10">
        <v>102.205</v>
      </c>
      <c r="AU146" s="8" t="s">
        <v>204</v>
      </c>
      <c r="AV146" s="10">
        <v>416.61099999999999</v>
      </c>
      <c r="AW146" s="11">
        <f>IF(AND(ISNUMBER(AV146),ISNUMBER(AT146)),IF(AT146&lt;&gt;0,AV146/ABS(AT146),""),"")</f>
        <v>4.0762291473019907</v>
      </c>
      <c r="AX146" s="8">
        <v>1</v>
      </c>
      <c r="AY146" s="8">
        <v>0</v>
      </c>
      <c r="AZ146" s="8" t="s">
        <v>321</v>
      </c>
      <c r="BA146" s="8">
        <v>0</v>
      </c>
    </row>
    <row r="147" spans="1:53" x14ac:dyDescent="0.2">
      <c r="A147" s="8" t="s">
        <v>322</v>
      </c>
      <c r="B147" s="8" t="s">
        <v>83</v>
      </c>
      <c r="C147" s="8" t="s">
        <v>208</v>
      </c>
      <c r="D147" s="8">
        <v>1</v>
      </c>
      <c r="E147" s="8">
        <v>1</v>
      </c>
      <c r="F147" s="8">
        <f>SUM(G147:M147)</f>
        <v>1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1</v>
      </c>
      <c r="N147" s="8">
        <v>0</v>
      </c>
      <c r="O147" s="8">
        <v>0</v>
      </c>
      <c r="P147" s="8">
        <v>1</v>
      </c>
      <c r="Q147" s="8">
        <v>0</v>
      </c>
      <c r="R147" s="8">
        <v>0</v>
      </c>
      <c r="S147" s="8">
        <v>0</v>
      </c>
      <c r="T147" s="10"/>
      <c r="U147" s="10">
        <v>-34.319000000000003</v>
      </c>
      <c r="V147" s="10">
        <v>-1.887</v>
      </c>
      <c r="W147" s="10" t="str">
        <f>IF(RIGHT(C147,2)="12",IF(ISNUMBER(T147),T147,""),IF(COUNT(T147,U147,V147)=3,T147+U147-V147,""))</f>
        <v/>
      </c>
      <c r="X147" s="10"/>
      <c r="Y147" s="10">
        <v>-16.715</v>
      </c>
      <c r="Z147" s="10">
        <v>14.407</v>
      </c>
      <c r="AA147" s="10">
        <v>-30.123999999999999</v>
      </c>
      <c r="AB147" s="10"/>
      <c r="AC147" s="8">
        <v>0</v>
      </c>
      <c r="AD147" s="8">
        <v>0</v>
      </c>
      <c r="AE147" s="8">
        <v>0</v>
      </c>
      <c r="AF147" s="10">
        <v>0</v>
      </c>
      <c r="AG147" s="8">
        <f>COUNTIF(Y147:AB147,"&gt;0")</f>
        <v>1</v>
      </c>
      <c r="AH147" s="10">
        <v>0</v>
      </c>
      <c r="AI147" s="10">
        <v>14.407</v>
      </c>
      <c r="AJ147" s="8" t="str">
        <f>IF(ISNUMBER(X147),IF(X147&gt;0,"+",IF(X147&lt;0,"−","0")),IF(ISNUMBER(W147),IF(W147&gt;0,"+",IF(W147&lt;0,"−","0")),"yok"))</f>
        <v>yok</v>
      </c>
      <c r="AK147" s="10">
        <f>IF(AND(RIGHT(C147,2)&lt;&gt;"12",ISNUMBER(U147),ISNUMBER(V147)),U147-V147,"")</f>
        <v>-32.432000000000002</v>
      </c>
      <c r="AL147" s="11">
        <f>IF(AND(ISNUMBER(AK147),ISNUMBER(V147)),IF(V147&lt;&gt;0,AK147/ABS(V147),""),"")</f>
        <v>-17.187069422363543</v>
      </c>
      <c r="AM147" s="8">
        <f>IF(ISNUMBER(AK147),IF(AK147&gt;1,1,0),"")</f>
        <v>0</v>
      </c>
      <c r="AN147" s="8">
        <f>IF(ISNUMBER(AK147),IF(AK147&gt;0.05*ABS(V147),1,0),"")</f>
        <v>0</v>
      </c>
      <c r="AO147" s="10"/>
      <c r="AP147" s="10"/>
      <c r="AQ147" s="8" t="s">
        <v>207</v>
      </c>
      <c r="AR147" s="8">
        <v>0</v>
      </c>
      <c r="AS147" s="10">
        <v>359.774</v>
      </c>
      <c r="AT147" s="10"/>
      <c r="AU147" s="8" t="s">
        <v>207</v>
      </c>
      <c r="AV147" s="10">
        <v>14.407</v>
      </c>
      <c r="AW147" s="11" t="str">
        <f>IF(AND(ISNUMBER(AV147),ISNUMBER(AT147)),IF(AT147&lt;&gt;0,AV147/ABS(AT147),""),"")</f>
        <v/>
      </c>
      <c r="AX147" s="8">
        <v>0</v>
      </c>
      <c r="AY147" s="8">
        <v>0</v>
      </c>
      <c r="AZ147" s="10"/>
      <c r="BA147" s="8">
        <v>0</v>
      </c>
    </row>
    <row r="148" spans="1:53" x14ac:dyDescent="0.2">
      <c r="A148" s="8" t="s">
        <v>322</v>
      </c>
      <c r="B148" s="8" t="s">
        <v>83</v>
      </c>
      <c r="C148" s="8" t="s">
        <v>210</v>
      </c>
      <c r="D148" s="8">
        <v>1</v>
      </c>
      <c r="E148" s="8">
        <v>1</v>
      </c>
      <c r="F148" s="8">
        <f>SUM(G148:M148)</f>
        <v>1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1</v>
      </c>
      <c r="N148" s="8">
        <v>0</v>
      </c>
      <c r="O148" s="8">
        <v>0</v>
      </c>
      <c r="P148" s="8">
        <v>1</v>
      </c>
      <c r="Q148" s="8">
        <v>0</v>
      </c>
      <c r="R148" s="8">
        <v>0</v>
      </c>
      <c r="S148" s="8">
        <v>0</v>
      </c>
      <c r="T148" s="10">
        <v>-1.141</v>
      </c>
      <c r="U148" s="10">
        <v>-34.319000000000003</v>
      </c>
      <c r="V148" s="10">
        <v>-18.603000000000002</v>
      </c>
      <c r="W148" s="10">
        <f>IF(RIGHT(C148,2)="12",IF(ISNUMBER(T148),T148,""),IF(COUNT(T148,U148,V148)=3,T148+U148-V148,""))</f>
        <v>-16.856999999999999</v>
      </c>
      <c r="X148" s="10">
        <v>-16.856999999999999</v>
      </c>
      <c r="Y148" s="10">
        <v>14.407</v>
      </c>
      <c r="Z148" s="10">
        <v>-30.123999999999999</v>
      </c>
      <c r="AA148" s="10"/>
      <c r="AB148" s="10"/>
      <c r="AC148" s="8">
        <v>0</v>
      </c>
      <c r="AD148" s="8">
        <v>0</v>
      </c>
      <c r="AE148" s="8">
        <v>0</v>
      </c>
      <c r="AF148" s="10">
        <v>0</v>
      </c>
      <c r="AG148" s="8">
        <f>COUNTIF(Y148:AB148,"&gt;0")</f>
        <v>1</v>
      </c>
      <c r="AH148" s="10">
        <v>0</v>
      </c>
      <c r="AI148" s="10">
        <v>14.407</v>
      </c>
      <c r="AJ148" s="8" t="str">
        <f>IF(ISNUMBER(X148),IF(X148&gt;0,"+",IF(X148&lt;0,"−","0")),IF(ISNUMBER(W148),IF(W148&gt;0,"+",IF(W148&lt;0,"−","0")),"yok"))</f>
        <v>−</v>
      </c>
      <c r="AK148" s="10">
        <f>IF(AND(RIGHT(C148,2)&lt;&gt;"12",ISNUMBER(U148),ISNUMBER(V148)),U148-V148,"")</f>
        <v>-15.716000000000001</v>
      </c>
      <c r="AL148" s="11">
        <f>IF(AND(ISNUMBER(AK148),ISNUMBER(V148)),IF(V148&lt;&gt;0,AK148/ABS(V148),""),"")</f>
        <v>-0.84480997688544857</v>
      </c>
      <c r="AM148" s="8">
        <f>IF(ISNUMBER(AK148),IF(AK148&gt;1,1,0),"")</f>
        <v>0</v>
      </c>
      <c r="AN148" s="8">
        <f>IF(ISNUMBER(AK148),IF(AK148&gt;0.05*ABS(V148),1,0),"")</f>
        <v>0</v>
      </c>
      <c r="AO148" s="10"/>
      <c r="AP148" s="10"/>
      <c r="AQ148" s="8" t="s">
        <v>207</v>
      </c>
      <c r="AR148" s="8">
        <v>0</v>
      </c>
      <c r="AS148" s="10">
        <v>678.57600000000002</v>
      </c>
      <c r="AT148" s="10"/>
      <c r="AU148" s="8" t="s">
        <v>207</v>
      </c>
      <c r="AV148" s="10">
        <v>14.407</v>
      </c>
      <c r="AW148" s="11" t="str">
        <f>IF(AND(ISNUMBER(AV148),ISNUMBER(AT148)),IF(AT148&lt;&gt;0,AV148/ABS(AT148),""),"")</f>
        <v/>
      </c>
      <c r="AX148" s="8">
        <v>0</v>
      </c>
      <c r="AY148" s="8">
        <v>0</v>
      </c>
      <c r="AZ148" s="10"/>
      <c r="BA148" s="8">
        <v>0</v>
      </c>
    </row>
    <row r="149" spans="1:53" x14ac:dyDescent="0.2">
      <c r="A149" s="8" t="s">
        <v>323</v>
      </c>
      <c r="B149" s="8" t="s">
        <v>83</v>
      </c>
      <c r="C149" s="8" t="s">
        <v>205</v>
      </c>
      <c r="D149" s="8">
        <v>1</v>
      </c>
      <c r="E149" s="8">
        <v>1</v>
      </c>
      <c r="F149" s="8">
        <f>SUM(G149:M149)</f>
        <v>1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1</v>
      </c>
      <c r="M149" s="8">
        <v>0</v>
      </c>
      <c r="N149" s="8">
        <v>0</v>
      </c>
      <c r="O149" s="8">
        <v>0</v>
      </c>
      <c r="P149" s="8">
        <v>1</v>
      </c>
      <c r="Q149" s="8">
        <v>0</v>
      </c>
      <c r="R149" s="8">
        <v>0</v>
      </c>
      <c r="S149" s="8">
        <v>0</v>
      </c>
      <c r="T149" s="10">
        <v>-51.494</v>
      </c>
      <c r="U149" s="10">
        <v>0</v>
      </c>
      <c r="V149" s="10">
        <v>-22.369</v>
      </c>
      <c r="W149" s="10">
        <f>IF(RIGHT(C149,2)="12",IF(ISNUMBER(T149),T149,""),IF(COUNT(T149,U149,V149)=3,T149+U149-V149,""))</f>
        <v>-29.125</v>
      </c>
      <c r="X149" s="10">
        <v>-29.125</v>
      </c>
      <c r="Y149" s="10">
        <v>-8.7609999999999992</v>
      </c>
      <c r="Z149" s="10">
        <v>31.131</v>
      </c>
      <c r="AA149" s="10">
        <v>-3.81</v>
      </c>
      <c r="AB149" s="10">
        <v>-47.683999999999997</v>
      </c>
      <c r="AC149" s="8">
        <v>0</v>
      </c>
      <c r="AD149" s="8">
        <v>0</v>
      </c>
      <c r="AE149" s="8">
        <v>0</v>
      </c>
      <c r="AF149" s="10">
        <v>0</v>
      </c>
      <c r="AG149" s="8">
        <f>COUNTIF(Y149:AB149,"&gt;0")</f>
        <v>1</v>
      </c>
      <c r="AH149" s="10">
        <v>0</v>
      </c>
      <c r="AI149" s="10">
        <v>31.131</v>
      </c>
      <c r="AJ149" s="8" t="str">
        <f>IF(ISNUMBER(X149),IF(X149&gt;0,"+",IF(X149&lt;0,"−","0")),IF(ISNUMBER(W149),IF(W149&gt;0,"+",IF(W149&lt;0,"−","0")),"yok"))</f>
        <v>−</v>
      </c>
      <c r="AK149" s="10">
        <f>IF(AND(RIGHT(C149,2)&lt;&gt;"12",ISNUMBER(U149),ISNUMBER(V149)),U149-V149,"")</f>
        <v>22.369</v>
      </c>
      <c r="AL149" s="11">
        <f>IF(AND(ISNUMBER(AK149),ISNUMBER(V149)),IF(V149&lt;&gt;0,AK149/ABS(V149),""),"")</f>
        <v>1</v>
      </c>
      <c r="AM149" s="8">
        <f>IF(ISNUMBER(AK149),IF(AK149&gt;1,1,0),"")</f>
        <v>1</v>
      </c>
      <c r="AN149" s="8">
        <f>IF(ISNUMBER(AK149),IF(AK149&gt;0.05*ABS(V149),1,0),"")</f>
        <v>1</v>
      </c>
      <c r="AO149" s="10">
        <v>-29.125</v>
      </c>
      <c r="AP149" s="10">
        <v>29.125</v>
      </c>
      <c r="AQ149" s="8" t="s">
        <v>204</v>
      </c>
      <c r="AR149" s="8">
        <v>0</v>
      </c>
      <c r="AS149" s="10">
        <v>-106.03700000000001</v>
      </c>
      <c r="AT149" s="10">
        <v>-135.16200000000001</v>
      </c>
      <c r="AU149" s="8" t="s">
        <v>212</v>
      </c>
      <c r="AV149" s="10">
        <v>22.369</v>
      </c>
      <c r="AW149" s="11">
        <f>IF(AND(ISNUMBER(AV149),ISNUMBER(AT149)),IF(AT149&lt;&gt;0,AV149/ABS(AT149),""),"")</f>
        <v>0.16549769905742737</v>
      </c>
      <c r="AX149" s="8">
        <v>0</v>
      </c>
      <c r="AY149" s="8">
        <v>1</v>
      </c>
      <c r="AZ149" s="10"/>
      <c r="BA149" s="8">
        <v>0</v>
      </c>
    </row>
    <row r="150" spans="1:53" x14ac:dyDescent="0.2">
      <c r="A150" s="8" t="s">
        <v>323</v>
      </c>
      <c r="B150" s="8" t="s">
        <v>83</v>
      </c>
      <c r="C150" s="8" t="s">
        <v>215</v>
      </c>
      <c r="D150" s="8">
        <v>1</v>
      </c>
      <c r="E150" s="8">
        <v>1</v>
      </c>
      <c r="F150" s="8">
        <f>SUM(G150:M150)</f>
        <v>1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1</v>
      </c>
      <c r="M150" s="8">
        <v>0</v>
      </c>
      <c r="N150" s="8">
        <v>0</v>
      </c>
      <c r="O150" s="8">
        <v>0</v>
      </c>
      <c r="P150" s="8">
        <v>1</v>
      </c>
      <c r="Q150" s="8">
        <v>0</v>
      </c>
      <c r="R150" s="8">
        <v>0</v>
      </c>
      <c r="S150" s="8">
        <v>0</v>
      </c>
      <c r="T150" s="10">
        <v>-87.55</v>
      </c>
      <c r="U150" s="10">
        <v>0</v>
      </c>
      <c r="V150" s="10">
        <v>-31.131</v>
      </c>
      <c r="W150" s="10">
        <f>IF(RIGHT(C150,2)="12",IF(ISNUMBER(T150),T150,""),IF(COUNT(T150,U150,V150)=3,T150+U150-V150,""))</f>
        <v>-56.418999999999997</v>
      </c>
      <c r="X150" s="10">
        <v>-56.418999999999997</v>
      </c>
      <c r="Y150" s="10">
        <v>31.131</v>
      </c>
      <c r="Z150" s="10">
        <v>-3.81</v>
      </c>
      <c r="AA150" s="10">
        <v>-47.683999999999997</v>
      </c>
      <c r="AB150" s="10">
        <v>-36.055</v>
      </c>
      <c r="AC150" s="8">
        <v>0</v>
      </c>
      <c r="AD150" s="8">
        <v>0</v>
      </c>
      <c r="AE150" s="8">
        <v>0</v>
      </c>
      <c r="AF150" s="10">
        <v>0</v>
      </c>
      <c r="AG150" s="8">
        <f>COUNTIF(Y150:AB150,"&gt;0")</f>
        <v>1</v>
      </c>
      <c r="AH150" s="10">
        <v>0</v>
      </c>
      <c r="AI150" s="10">
        <v>31.131</v>
      </c>
      <c r="AJ150" s="8" t="str">
        <f>IF(ISNUMBER(X150),IF(X150&gt;0,"+",IF(X150&lt;0,"−","0")),IF(ISNUMBER(W150),IF(W150&gt;0,"+",IF(W150&lt;0,"−","0")),"yok"))</f>
        <v>−</v>
      </c>
      <c r="AK150" s="10">
        <f>IF(AND(RIGHT(C150,2)&lt;&gt;"12",ISNUMBER(U150),ISNUMBER(V150)),U150-V150,"")</f>
        <v>31.131</v>
      </c>
      <c r="AL150" s="11">
        <f>IF(AND(ISNUMBER(AK150),ISNUMBER(V150)),IF(V150&lt;&gt;0,AK150/ABS(V150),""),"")</f>
        <v>1</v>
      </c>
      <c r="AM150" s="8">
        <f>IF(ISNUMBER(AK150),IF(AK150&gt;1,1,0),"")</f>
        <v>1</v>
      </c>
      <c r="AN150" s="8">
        <f>IF(ISNUMBER(AK150),IF(AK150&gt;0.05*ABS(V150),1,0),"")</f>
        <v>1</v>
      </c>
      <c r="AO150" s="10">
        <v>-56.418999999999997</v>
      </c>
      <c r="AP150" s="10">
        <v>56.418999999999997</v>
      </c>
      <c r="AQ150" s="8" t="s">
        <v>204</v>
      </c>
      <c r="AR150" s="8">
        <v>0</v>
      </c>
      <c r="AS150" s="10">
        <v>-525.69000000000005</v>
      </c>
      <c r="AT150" s="10">
        <v>-582.10900000000004</v>
      </c>
      <c r="AU150" s="8" t="s">
        <v>212</v>
      </c>
      <c r="AV150" s="10">
        <v>31.131</v>
      </c>
      <c r="AW150" s="11">
        <f>IF(AND(ISNUMBER(AV150),ISNUMBER(AT150)),IF(AT150&lt;&gt;0,AV150/ABS(AT150),""),"")</f>
        <v>5.3479674768814774E-2</v>
      </c>
      <c r="AX150" s="8">
        <v>0</v>
      </c>
      <c r="AY150" s="8">
        <v>1</v>
      </c>
      <c r="AZ150" s="10"/>
      <c r="BA150" s="8">
        <v>0</v>
      </c>
    </row>
    <row r="151" spans="1:53" x14ac:dyDescent="0.2">
      <c r="A151" s="8" t="s">
        <v>324</v>
      </c>
      <c r="B151" s="8" t="s">
        <v>82</v>
      </c>
      <c r="C151" s="8" t="s">
        <v>205</v>
      </c>
      <c r="D151" s="8">
        <v>1</v>
      </c>
      <c r="E151" s="8">
        <v>1</v>
      </c>
      <c r="F151" s="8">
        <f>SUM(G151:M151)</f>
        <v>1</v>
      </c>
      <c r="G151" s="8">
        <v>0</v>
      </c>
      <c r="H151" s="8">
        <v>1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1</v>
      </c>
      <c r="Q151" s="8">
        <v>1</v>
      </c>
      <c r="R151" s="8">
        <v>1</v>
      </c>
      <c r="S151" s="8">
        <v>0</v>
      </c>
      <c r="T151" s="10">
        <v>-775.10199999999998</v>
      </c>
      <c r="U151" s="10">
        <v>-451.28399999999999</v>
      </c>
      <c r="V151" s="10">
        <v>-907.39</v>
      </c>
      <c r="W151" s="10">
        <f>IF(RIGHT(C151,2)="12",IF(ISNUMBER(T151),T151,""),IF(COUNT(T151,U151,V151)=3,T151+U151-V151,""))</f>
        <v>-318.99599999999998</v>
      </c>
      <c r="X151" s="10">
        <v>-318.99599999999998</v>
      </c>
      <c r="Y151" s="10">
        <v>106.15300000000001</v>
      </c>
      <c r="Z151" s="10">
        <v>349.952</v>
      </c>
      <c r="AA151" s="10">
        <v>-327.37299999999999</v>
      </c>
      <c r="AB151" s="10">
        <v>-447.72800000000001</v>
      </c>
      <c r="AC151" s="8">
        <v>0</v>
      </c>
      <c r="AD151" s="8">
        <v>0</v>
      </c>
      <c r="AE151" s="8">
        <v>0</v>
      </c>
      <c r="AF151" s="10">
        <v>0</v>
      </c>
      <c r="AG151" s="8">
        <f>COUNTIF(Y151:AB151,"&gt;0")</f>
        <v>2</v>
      </c>
      <c r="AH151" s="10">
        <v>0</v>
      </c>
      <c r="AI151" s="10">
        <v>456.10500000000002</v>
      </c>
      <c r="AJ151" s="8" t="str">
        <f>IF(ISNUMBER(X151),IF(X151&gt;0,"+",IF(X151&lt;0,"−","0")),IF(ISNUMBER(W151),IF(W151&gt;0,"+",IF(W151&lt;0,"−","0")),"yok"))</f>
        <v>−</v>
      </c>
      <c r="AK151" s="10">
        <f>IF(AND(RIGHT(C151,2)&lt;&gt;"12",ISNUMBER(U151),ISNUMBER(V151)),U151-V151,"")</f>
        <v>456.10599999999999</v>
      </c>
      <c r="AL151" s="11">
        <f>IF(AND(ISNUMBER(AK151),ISNUMBER(V151)),IF(V151&lt;&gt;0,AK151/ABS(V151),""),"")</f>
        <v>0.50265707138055304</v>
      </c>
      <c r="AM151" s="8">
        <f>IF(ISNUMBER(AK151),IF(AK151&gt;1,1,0),"")</f>
        <v>1</v>
      </c>
      <c r="AN151" s="8">
        <f>IF(ISNUMBER(AK151),IF(AK151&gt;0.05*ABS(V151),1,0),"")</f>
        <v>1</v>
      </c>
      <c r="AO151" s="10">
        <v>-318.99599999999998</v>
      </c>
      <c r="AP151" s="10">
        <v>318.99599999999998</v>
      </c>
      <c r="AQ151" s="8" t="s">
        <v>204</v>
      </c>
      <c r="AR151" s="8">
        <v>0</v>
      </c>
      <c r="AS151" s="10">
        <v>23033.022000000001</v>
      </c>
      <c r="AT151" s="10"/>
      <c r="AU151" s="8" t="s">
        <v>207</v>
      </c>
      <c r="AV151" s="10">
        <v>456.10599999999999</v>
      </c>
      <c r="AW151" s="11" t="str">
        <f>IF(AND(ISNUMBER(AV151),ISNUMBER(AT151)),IF(AT151&lt;&gt;0,AV151/ABS(AT151),""),"")</f>
        <v/>
      </c>
      <c r="AX151" s="8">
        <v>0</v>
      </c>
      <c r="AY151" s="8">
        <v>1</v>
      </c>
      <c r="AZ151" s="10"/>
      <c r="BA151" s="8">
        <v>0</v>
      </c>
    </row>
    <row r="152" spans="1:53" x14ac:dyDescent="0.2">
      <c r="A152" s="8" t="s">
        <v>324</v>
      </c>
      <c r="B152" s="8" t="s">
        <v>82</v>
      </c>
      <c r="C152" s="8" t="s">
        <v>215</v>
      </c>
      <c r="D152" s="8">
        <v>1</v>
      </c>
      <c r="E152" s="8">
        <v>1</v>
      </c>
      <c r="F152" s="8">
        <f>SUM(G152:M152)</f>
        <v>1</v>
      </c>
      <c r="G152" s="8">
        <v>0</v>
      </c>
      <c r="H152" s="8">
        <v>1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1</v>
      </c>
      <c r="Q152" s="8">
        <v>1</v>
      </c>
      <c r="R152" s="8">
        <v>1</v>
      </c>
      <c r="S152" s="8">
        <v>0</v>
      </c>
      <c r="T152" s="10">
        <v>-796.19399999999996</v>
      </c>
      <c r="U152" s="10">
        <v>-451.28399999999999</v>
      </c>
      <c r="V152" s="10">
        <v>-801.23599999999999</v>
      </c>
      <c r="W152" s="10">
        <f>IF(RIGHT(C152,2)="12",IF(ISNUMBER(T152),T152,""),IF(COUNT(T152,U152,V152)=3,T152+U152-V152,""))</f>
        <v>-446.24200000000008</v>
      </c>
      <c r="X152" s="10">
        <v>-446.24200000000002</v>
      </c>
      <c r="Y152" s="10">
        <v>349.952</v>
      </c>
      <c r="Z152" s="10">
        <v>-327.37299999999999</v>
      </c>
      <c r="AA152" s="10">
        <v>-447.72800000000001</v>
      </c>
      <c r="AB152" s="10">
        <v>-21.091999999999999</v>
      </c>
      <c r="AC152" s="8">
        <v>0</v>
      </c>
      <c r="AD152" s="8">
        <v>0</v>
      </c>
      <c r="AE152" s="8">
        <v>0</v>
      </c>
      <c r="AF152" s="10">
        <v>0</v>
      </c>
      <c r="AG152" s="8">
        <f>COUNTIF(Y152:AB152,"&gt;0")</f>
        <v>1</v>
      </c>
      <c r="AH152" s="10">
        <v>0</v>
      </c>
      <c r="AI152" s="10">
        <v>349.952</v>
      </c>
      <c r="AJ152" s="8" t="str">
        <f>IF(ISNUMBER(X152),IF(X152&gt;0,"+",IF(X152&lt;0,"−","0")),IF(ISNUMBER(W152),IF(W152&gt;0,"+",IF(W152&lt;0,"−","0")),"yok"))</f>
        <v>−</v>
      </c>
      <c r="AK152" s="10">
        <f>IF(AND(RIGHT(C152,2)&lt;&gt;"12",ISNUMBER(U152),ISNUMBER(V152)),U152-V152,"")</f>
        <v>349.952</v>
      </c>
      <c r="AL152" s="11">
        <f>IF(AND(ISNUMBER(AK152),ISNUMBER(V152)),IF(V152&lt;&gt;0,AK152/ABS(V152),""),"")</f>
        <v>0.43676519776944622</v>
      </c>
      <c r="AM152" s="8">
        <f>IF(ISNUMBER(AK152),IF(AK152&gt;1,1,0),"")</f>
        <v>1</v>
      </c>
      <c r="AN152" s="8">
        <f>IF(ISNUMBER(AK152),IF(AK152&gt;0.05*ABS(V152),1,0),"")</f>
        <v>1</v>
      </c>
      <c r="AO152" s="10">
        <v>-446.24200000000002</v>
      </c>
      <c r="AP152" s="10">
        <v>446.24200000000002</v>
      </c>
      <c r="AQ152" s="8" t="s">
        <v>204</v>
      </c>
      <c r="AR152" s="8">
        <v>0</v>
      </c>
      <c r="AS152" s="10">
        <v>25422.044000000002</v>
      </c>
      <c r="AT152" s="10"/>
      <c r="AU152" s="8" t="s">
        <v>207</v>
      </c>
      <c r="AV152" s="10">
        <v>349.952</v>
      </c>
      <c r="AW152" s="11" t="str">
        <f>IF(AND(ISNUMBER(AV152),ISNUMBER(AT152)),IF(AT152&lt;&gt;0,AV152/ABS(AT152),""),"")</f>
        <v/>
      </c>
      <c r="AX152" s="8">
        <v>0</v>
      </c>
      <c r="AY152" s="8">
        <v>1</v>
      </c>
      <c r="AZ152" s="10"/>
      <c r="BA152" s="8">
        <v>0</v>
      </c>
    </row>
    <row r="153" spans="1:53" x14ac:dyDescent="0.2">
      <c r="A153" s="8" t="s">
        <v>325</v>
      </c>
      <c r="B153" s="8" t="s">
        <v>83</v>
      </c>
      <c r="C153" s="8" t="s">
        <v>208</v>
      </c>
      <c r="D153" s="8">
        <v>1</v>
      </c>
      <c r="E153" s="8">
        <v>1</v>
      </c>
      <c r="F153" s="8">
        <f>SUM(G153:M153)</f>
        <v>1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1</v>
      </c>
      <c r="N153" s="8">
        <v>0</v>
      </c>
      <c r="O153" s="8">
        <v>0</v>
      </c>
      <c r="P153" s="8">
        <v>1</v>
      </c>
      <c r="Q153" s="8">
        <v>0</v>
      </c>
      <c r="R153" s="8">
        <v>0</v>
      </c>
      <c r="S153" s="8">
        <v>0</v>
      </c>
      <c r="T153" s="10">
        <v>-62.335999999999999</v>
      </c>
      <c r="U153" s="10">
        <v>-196.01</v>
      </c>
      <c r="V153" s="10">
        <v>-88.727000000000004</v>
      </c>
      <c r="W153" s="10">
        <f>IF(RIGHT(C153,2)="12",IF(ISNUMBER(T153),T153,""),IF(COUNT(T153,U153,V153)=3,T153+U153-V153,""))</f>
        <v>-169.619</v>
      </c>
      <c r="X153" s="10">
        <v>-169.619</v>
      </c>
      <c r="Y153" s="10">
        <v>-29.582999999999998</v>
      </c>
      <c r="Z153" s="10">
        <v>12.1</v>
      </c>
      <c r="AA153" s="10">
        <v>-89.8</v>
      </c>
      <c r="AB153" s="10">
        <v>-62.335999999999999</v>
      </c>
      <c r="AC153" s="8">
        <v>0</v>
      </c>
      <c r="AD153" s="8">
        <v>0</v>
      </c>
      <c r="AE153" s="8">
        <v>0</v>
      </c>
      <c r="AF153" s="10">
        <v>0</v>
      </c>
      <c r="AG153" s="8">
        <f>COUNTIF(Y153:AB153,"&gt;0")</f>
        <v>1</v>
      </c>
      <c r="AH153" s="10">
        <v>0</v>
      </c>
      <c r="AI153" s="10">
        <v>12.1</v>
      </c>
      <c r="AJ153" s="8" t="str">
        <f>IF(ISNUMBER(X153),IF(X153&gt;0,"+",IF(X153&lt;0,"−","0")),IF(ISNUMBER(W153),IF(W153&gt;0,"+",IF(W153&lt;0,"−","0")),"yok"))</f>
        <v>−</v>
      </c>
      <c r="AK153" s="10">
        <f>IF(AND(RIGHT(C153,2)&lt;&gt;"12",ISNUMBER(U153),ISNUMBER(V153)),U153-V153,"")</f>
        <v>-107.28299999999999</v>
      </c>
      <c r="AL153" s="11">
        <f>IF(AND(ISNUMBER(AK153),ISNUMBER(V153)),IF(V153&lt;&gt;0,AK153/ABS(V153),""),"")</f>
        <v>-1.2091358887373627</v>
      </c>
      <c r="AM153" s="8">
        <f>IF(ISNUMBER(AK153),IF(AK153&gt;1,1,0),"")</f>
        <v>0</v>
      </c>
      <c r="AN153" s="8">
        <f>IF(ISNUMBER(AK153),IF(AK153&gt;0.05*ABS(V153),1,0),"")</f>
        <v>0</v>
      </c>
      <c r="AO153" s="10">
        <v>-169.62</v>
      </c>
      <c r="AP153" s="10">
        <v>169.62</v>
      </c>
      <c r="AQ153" s="8" t="s">
        <v>204</v>
      </c>
      <c r="AR153" s="8">
        <v>0</v>
      </c>
      <c r="AS153" s="10">
        <v>-307.52199999999999</v>
      </c>
      <c r="AT153" s="10">
        <v>-477.142</v>
      </c>
      <c r="AU153" s="8" t="s">
        <v>204</v>
      </c>
      <c r="AV153" s="10">
        <v>12.1</v>
      </c>
      <c r="AW153" s="11">
        <f>IF(AND(ISNUMBER(AV153),ISNUMBER(AT153)),IF(AT153&lt;&gt;0,AV153/ABS(AT153),""),"")</f>
        <v>2.535932699280298E-2</v>
      </c>
      <c r="AX153" s="8">
        <v>0</v>
      </c>
      <c r="AY153" s="8">
        <v>0</v>
      </c>
      <c r="AZ153" s="10"/>
      <c r="BA153" s="8">
        <v>0</v>
      </c>
    </row>
    <row r="154" spans="1:53" x14ac:dyDescent="0.2">
      <c r="A154" s="8" t="s">
        <v>325</v>
      </c>
      <c r="B154" s="8" t="s">
        <v>83</v>
      </c>
      <c r="C154" s="8" t="s">
        <v>210</v>
      </c>
      <c r="D154" s="8">
        <v>1</v>
      </c>
      <c r="E154" s="8">
        <v>1</v>
      </c>
      <c r="F154" s="8">
        <f>SUM(G154:M154)</f>
        <v>1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1</v>
      </c>
      <c r="N154" s="8">
        <v>0</v>
      </c>
      <c r="O154" s="8">
        <v>0</v>
      </c>
      <c r="P154" s="8">
        <v>1</v>
      </c>
      <c r="Q154" s="8">
        <v>0</v>
      </c>
      <c r="R154" s="8">
        <v>0</v>
      </c>
      <c r="S154" s="8">
        <v>0</v>
      </c>
      <c r="T154" s="10">
        <v>-100.143</v>
      </c>
      <c r="U154" s="10">
        <v>-196.01</v>
      </c>
      <c r="V154" s="10">
        <v>-118.31</v>
      </c>
      <c r="W154" s="10">
        <f>IF(RIGHT(C154,2)="12",IF(ISNUMBER(T154),T154,""),IF(COUNT(T154,U154,V154)=3,T154+U154-V154,""))</f>
        <v>-177.84300000000002</v>
      </c>
      <c r="X154" s="10">
        <v>-177.84399999999999</v>
      </c>
      <c r="Y154" s="10">
        <v>12.1</v>
      </c>
      <c r="Z154" s="10">
        <v>-89.8</v>
      </c>
      <c r="AA154" s="10">
        <v>-62.335999999999999</v>
      </c>
      <c r="AB154" s="10">
        <v>-37.807000000000002</v>
      </c>
      <c r="AC154" s="8">
        <v>0</v>
      </c>
      <c r="AD154" s="8">
        <v>0</v>
      </c>
      <c r="AE154" s="8">
        <v>0</v>
      </c>
      <c r="AF154" s="10">
        <v>0</v>
      </c>
      <c r="AG154" s="8">
        <f>COUNTIF(Y154:AB154,"&gt;0")</f>
        <v>1</v>
      </c>
      <c r="AH154" s="10">
        <v>0</v>
      </c>
      <c r="AI154" s="10">
        <v>12.1</v>
      </c>
      <c r="AJ154" s="8" t="str">
        <f>IF(ISNUMBER(X154),IF(X154&gt;0,"+",IF(X154&lt;0,"−","0")),IF(ISNUMBER(W154),IF(W154&gt;0,"+",IF(W154&lt;0,"−","0")),"yok"))</f>
        <v>−</v>
      </c>
      <c r="AK154" s="10">
        <f>IF(AND(RIGHT(C154,2)&lt;&gt;"12",ISNUMBER(U154),ISNUMBER(V154)),U154-V154,"")</f>
        <v>-77.699999999999989</v>
      </c>
      <c r="AL154" s="11">
        <f>IF(AND(ISNUMBER(AK154),ISNUMBER(V154)),IF(V154&lt;&gt;0,AK154/ABS(V154),""),"")</f>
        <v>-0.65674921815569254</v>
      </c>
      <c r="AM154" s="8">
        <f>IF(ISNUMBER(AK154),IF(AK154&gt;1,1,0),"")</f>
        <v>0</v>
      </c>
      <c r="AN154" s="8">
        <f>IF(ISNUMBER(AK154),IF(AK154&gt;0.05*ABS(V154),1,0),"")</f>
        <v>0</v>
      </c>
      <c r="AO154" s="10">
        <v>-177.845</v>
      </c>
      <c r="AP154" s="10">
        <v>177.845</v>
      </c>
      <c r="AQ154" s="8" t="s">
        <v>204</v>
      </c>
      <c r="AR154" s="8">
        <v>0</v>
      </c>
      <c r="AS154" s="10">
        <v>-239.46899999999999</v>
      </c>
      <c r="AT154" s="10">
        <v>-417.31400000000002</v>
      </c>
      <c r="AU154" s="8" t="s">
        <v>204</v>
      </c>
      <c r="AV154" s="10">
        <v>12.1</v>
      </c>
      <c r="AW154" s="11">
        <f>IF(AND(ISNUMBER(AV154),ISNUMBER(AT154)),IF(AT154&lt;&gt;0,AV154/ABS(AT154),""),"")</f>
        <v>2.8994953440335092E-2</v>
      </c>
      <c r="AX154" s="8">
        <v>0</v>
      </c>
      <c r="AY154" s="8">
        <v>0</v>
      </c>
      <c r="AZ154" s="10"/>
      <c r="BA154" s="8">
        <v>0</v>
      </c>
    </row>
    <row r="155" spans="1:53" x14ac:dyDescent="0.2">
      <c r="A155" s="8" t="s">
        <v>326</v>
      </c>
      <c r="B155" s="8" t="s">
        <v>82</v>
      </c>
      <c r="C155" s="8" t="s">
        <v>203</v>
      </c>
      <c r="D155" s="8">
        <v>1</v>
      </c>
      <c r="E155" s="8">
        <v>1</v>
      </c>
      <c r="F155" s="8">
        <f>SUM(G155:M155)</f>
        <v>1</v>
      </c>
      <c r="G155" s="8">
        <v>0</v>
      </c>
      <c r="H155" s="8">
        <v>0</v>
      </c>
      <c r="I155" s="8">
        <v>0</v>
      </c>
      <c r="J155" s="8">
        <v>1</v>
      </c>
      <c r="K155" s="8">
        <v>0</v>
      </c>
      <c r="L155" s="8">
        <v>0</v>
      </c>
      <c r="M155" s="8">
        <v>0</v>
      </c>
      <c r="N155" s="8">
        <v>0</v>
      </c>
      <c r="O155" s="8">
        <v>1</v>
      </c>
      <c r="P155" s="8">
        <v>1</v>
      </c>
      <c r="Q155" s="8">
        <v>0</v>
      </c>
      <c r="R155" s="8">
        <v>0</v>
      </c>
      <c r="S155" s="8">
        <v>0</v>
      </c>
      <c r="T155" s="10">
        <v>26.288</v>
      </c>
      <c r="U155" s="10">
        <v>-225.66</v>
      </c>
      <c r="V155" s="10">
        <v>-15.904</v>
      </c>
      <c r="W155" s="10">
        <f>IF(RIGHT(C155,2)="12",IF(ISNUMBER(T155),T155,""),IF(COUNT(T155,U155,V155)=3,T155+U155-V155,""))</f>
        <v>-183.46799999999999</v>
      </c>
      <c r="X155" s="10">
        <v>-183.46600000000001</v>
      </c>
      <c r="Y155" s="10">
        <v>-48.991999999999997</v>
      </c>
      <c r="Z155" s="10">
        <v>-23.356999999999999</v>
      </c>
      <c r="AA155" s="10">
        <v>-137.405</v>
      </c>
      <c r="AB155" s="10">
        <v>26.288</v>
      </c>
      <c r="AC155" s="8">
        <v>1</v>
      </c>
      <c r="AD155" s="8">
        <v>0</v>
      </c>
      <c r="AE155" s="8">
        <v>0</v>
      </c>
      <c r="AF155" s="10">
        <v>26.288</v>
      </c>
      <c r="AG155" s="8">
        <f>COUNTIF(Y155:AB155,"&gt;0")</f>
        <v>1</v>
      </c>
      <c r="AH155" s="10">
        <v>0</v>
      </c>
      <c r="AI155" s="10">
        <v>0</v>
      </c>
      <c r="AJ155" s="8" t="str">
        <f>IF(ISNUMBER(X155),IF(X155&gt;0,"+",IF(X155&lt;0,"−","0")),IF(ISNUMBER(W155),IF(W155&gt;0,"+",IF(W155&lt;0,"−","0")),"yok"))</f>
        <v>−</v>
      </c>
      <c r="AK155" s="10">
        <f>IF(AND(RIGHT(C155,2)&lt;&gt;"12",ISNUMBER(U155),ISNUMBER(V155)),U155-V155,"")</f>
        <v>-209.756</v>
      </c>
      <c r="AL155" s="11">
        <f>IF(AND(ISNUMBER(AK155),ISNUMBER(V155)),IF(V155&lt;&gt;0,AK155/ABS(V155),""),"")</f>
        <v>-13.188883299798793</v>
      </c>
      <c r="AM155" s="8">
        <f>IF(ISNUMBER(AK155),IF(AK155&gt;1,1,0),"")</f>
        <v>0</v>
      </c>
      <c r="AN155" s="8">
        <f>IF(ISNUMBER(AK155),IF(AK155&gt;0.05*ABS(V155),1,0),"")</f>
        <v>0</v>
      </c>
      <c r="AO155" s="10">
        <v>-183.46600000000001</v>
      </c>
      <c r="AP155" s="10">
        <v>183.46600000000001</v>
      </c>
      <c r="AQ155" s="8" t="s">
        <v>204</v>
      </c>
      <c r="AR155" s="8">
        <v>0</v>
      </c>
      <c r="AS155" s="10">
        <v>1884.4059999999999</v>
      </c>
      <c r="AT155" s="10">
        <v>1482.6379999999999</v>
      </c>
      <c r="AU155" s="8" t="s">
        <v>204</v>
      </c>
      <c r="AV155" s="10">
        <v>26.288</v>
      </c>
      <c r="AW155" s="11">
        <f>IF(AND(ISNUMBER(AV155),ISNUMBER(AT155)),IF(AT155&lt;&gt;0,AV155/ABS(AT155),""),"")</f>
        <v>1.7730558639398156E-2</v>
      </c>
      <c r="AX155" s="8">
        <v>1</v>
      </c>
      <c r="AY155" s="8">
        <v>0</v>
      </c>
      <c r="AZ155" s="8" t="s">
        <v>327</v>
      </c>
      <c r="BA155" s="8">
        <v>1</v>
      </c>
    </row>
    <row r="156" spans="1:53" x14ac:dyDescent="0.2">
      <c r="A156" s="8" t="s">
        <v>326</v>
      </c>
      <c r="B156" s="8" t="s">
        <v>82</v>
      </c>
      <c r="C156" s="8" t="s">
        <v>208</v>
      </c>
      <c r="D156" s="8">
        <v>1</v>
      </c>
      <c r="E156" s="8">
        <v>1</v>
      </c>
      <c r="F156" s="8">
        <f>SUM(G156:M156)</f>
        <v>1</v>
      </c>
      <c r="G156" s="8">
        <v>0</v>
      </c>
      <c r="H156" s="8">
        <v>0</v>
      </c>
      <c r="I156" s="8">
        <v>0</v>
      </c>
      <c r="J156" s="8">
        <v>1</v>
      </c>
      <c r="K156" s="8">
        <v>0</v>
      </c>
      <c r="L156" s="8">
        <v>0</v>
      </c>
      <c r="M156" s="8">
        <v>0</v>
      </c>
      <c r="N156" s="8">
        <v>0</v>
      </c>
      <c r="O156" s="8">
        <v>1</v>
      </c>
      <c r="P156" s="8">
        <v>0</v>
      </c>
      <c r="Q156" s="8">
        <v>0</v>
      </c>
      <c r="R156" s="8">
        <v>0</v>
      </c>
      <c r="S156" s="8">
        <v>0</v>
      </c>
      <c r="T156" s="10">
        <v>-40.000999999999998</v>
      </c>
      <c r="U156" s="10">
        <v>-115.92400000000001</v>
      </c>
      <c r="V156" s="10">
        <v>26.288</v>
      </c>
      <c r="W156" s="10">
        <f>IF(RIGHT(C156,2)="12",IF(ISNUMBER(T156),T156,""),IF(COUNT(T156,U156,V156)=3,T156+U156-V156,""))</f>
        <v>-182.21300000000002</v>
      </c>
      <c r="X156" s="10">
        <v>-182.214</v>
      </c>
      <c r="Y156" s="10">
        <v>-79.831000000000003</v>
      </c>
      <c r="Z156" s="10">
        <v>-36.22</v>
      </c>
      <c r="AA156" s="10">
        <v>-26.161000000000001</v>
      </c>
      <c r="AB156" s="10">
        <v>-40.000999999999998</v>
      </c>
      <c r="AC156" s="8">
        <v>0</v>
      </c>
      <c r="AD156" s="8">
        <v>0</v>
      </c>
      <c r="AE156" s="8">
        <v>1</v>
      </c>
      <c r="AF156" s="10">
        <v>26.288</v>
      </c>
      <c r="AG156" s="8">
        <f>COUNTIF(Y156:AB156,"&gt;0")</f>
        <v>0</v>
      </c>
      <c r="AH156" s="10">
        <v>0</v>
      </c>
      <c r="AI156" s="10">
        <v>0</v>
      </c>
      <c r="AJ156" s="8" t="str">
        <f>IF(ISNUMBER(X156),IF(X156&gt;0,"+",IF(X156&lt;0,"−","0")),IF(ISNUMBER(W156),IF(W156&gt;0,"+",IF(W156&lt;0,"−","0")),"yok"))</f>
        <v>−</v>
      </c>
      <c r="AK156" s="10">
        <f>IF(AND(RIGHT(C156,2)&lt;&gt;"12",ISNUMBER(U156),ISNUMBER(V156)),U156-V156,"")</f>
        <v>-142.21200000000002</v>
      </c>
      <c r="AL156" s="11">
        <f>IF(AND(ISNUMBER(AK156),ISNUMBER(V156)),IF(V156&lt;&gt;0,AK156/ABS(V156),""),"")</f>
        <v>-5.409768715763847</v>
      </c>
      <c r="AM156" s="8">
        <f>IF(ISNUMBER(AK156),IF(AK156&gt;1,1,0),"")</f>
        <v>0</v>
      </c>
      <c r="AN156" s="8">
        <f>IF(ISNUMBER(AK156),IF(AK156&gt;0.05*ABS(V156),1,0),"")</f>
        <v>0</v>
      </c>
      <c r="AO156" s="10">
        <v>-182.215</v>
      </c>
      <c r="AP156" s="10">
        <v>182.215</v>
      </c>
      <c r="AQ156" s="8" t="s">
        <v>204</v>
      </c>
      <c r="AR156" s="8">
        <v>0</v>
      </c>
      <c r="AS156" s="10">
        <v>2480.8519999999999</v>
      </c>
      <c r="AT156" s="10">
        <v>1847.838</v>
      </c>
      <c r="AU156" s="8" t="s">
        <v>204</v>
      </c>
      <c r="AV156" s="10">
        <v>26.288</v>
      </c>
      <c r="AW156" s="11">
        <f>IF(AND(ISNUMBER(AV156),ISNUMBER(AT156)),IF(AT156&lt;&gt;0,AV156/ABS(AT156),""),"")</f>
        <v>1.4226355340673805E-2</v>
      </c>
      <c r="AX156" s="8">
        <v>1</v>
      </c>
      <c r="AY156" s="8">
        <v>0</v>
      </c>
      <c r="AZ156" s="8" t="s">
        <v>328</v>
      </c>
      <c r="BA156" s="8">
        <v>0</v>
      </c>
    </row>
    <row r="157" spans="1:53" x14ac:dyDescent="0.2">
      <c r="A157" s="8" t="s">
        <v>326</v>
      </c>
      <c r="B157" s="8" t="s">
        <v>83</v>
      </c>
      <c r="C157" s="8" t="s">
        <v>203</v>
      </c>
      <c r="D157" s="8">
        <v>1</v>
      </c>
      <c r="E157" s="8">
        <v>1</v>
      </c>
      <c r="F157" s="8">
        <f>SUM(G157:M157)</f>
        <v>1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1</v>
      </c>
      <c r="N157" s="8">
        <v>0</v>
      </c>
      <c r="O157" s="8">
        <v>0</v>
      </c>
      <c r="P157" s="8">
        <v>1</v>
      </c>
      <c r="Q157" s="8">
        <v>0</v>
      </c>
      <c r="R157" s="8">
        <v>0</v>
      </c>
      <c r="S157" s="8">
        <v>0</v>
      </c>
      <c r="T157" s="10">
        <v>-167.27799999999999</v>
      </c>
      <c r="U157" s="10">
        <v>-258.51600000000002</v>
      </c>
      <c r="V157" s="10">
        <v>-207.49199999999999</v>
      </c>
      <c r="W157" s="10">
        <f>IF(RIGHT(C157,2)="12",IF(ISNUMBER(T157),T157,""),IF(COUNT(T157,U157,V157)=3,T157+U157-V157,""))</f>
        <v>-218.30199999999999</v>
      </c>
      <c r="X157" s="10">
        <v>-218.30199999999999</v>
      </c>
      <c r="Y157" s="10">
        <v>-241.95699999999999</v>
      </c>
      <c r="Z157" s="10">
        <v>-184.81299999999999</v>
      </c>
      <c r="AA157" s="10">
        <v>375.74700000000001</v>
      </c>
      <c r="AB157" s="10">
        <v>-167.27799999999999</v>
      </c>
      <c r="AC157" s="8">
        <v>0</v>
      </c>
      <c r="AD157" s="8">
        <v>0</v>
      </c>
      <c r="AE157" s="8">
        <v>0</v>
      </c>
      <c r="AF157" s="10">
        <v>0</v>
      </c>
      <c r="AG157" s="8">
        <f>COUNTIF(Y157:AB157,"&gt;0")</f>
        <v>1</v>
      </c>
      <c r="AH157" s="10">
        <v>0</v>
      </c>
      <c r="AI157" s="10">
        <v>375.74700000000001</v>
      </c>
      <c r="AJ157" s="8" t="str">
        <f>IF(ISNUMBER(X157),IF(X157&gt;0,"+",IF(X157&lt;0,"−","0")),IF(ISNUMBER(W157),IF(W157&gt;0,"+",IF(W157&lt;0,"−","0")),"yok"))</f>
        <v>−</v>
      </c>
      <c r="AK157" s="10">
        <f>IF(AND(RIGHT(C157,2)&lt;&gt;"12",ISNUMBER(U157),ISNUMBER(V157)),U157-V157,"")</f>
        <v>-51.024000000000029</v>
      </c>
      <c r="AL157" s="11">
        <f>IF(AND(ISNUMBER(AK157),ISNUMBER(V157)),IF(V157&lt;&gt;0,AK157/ABS(V157),""),"")</f>
        <v>-0.24590827598172474</v>
      </c>
      <c r="AM157" s="8">
        <f>IF(ISNUMBER(AK157),IF(AK157&gt;1,1,0),"")</f>
        <v>0</v>
      </c>
      <c r="AN157" s="8">
        <f>IF(ISNUMBER(AK157),IF(AK157&gt;0.05*ABS(V157),1,0),"")</f>
        <v>0</v>
      </c>
      <c r="AO157" s="10">
        <v>-218.30199999999999</v>
      </c>
      <c r="AP157" s="10">
        <v>218.30199999999999</v>
      </c>
      <c r="AQ157" s="8" t="s">
        <v>204</v>
      </c>
      <c r="AR157" s="8">
        <v>0</v>
      </c>
      <c r="AS157" s="10">
        <v>1884.4059999999999</v>
      </c>
      <c r="AT157" s="10">
        <v>1482.6379999999999</v>
      </c>
      <c r="AU157" s="8" t="s">
        <v>204</v>
      </c>
      <c r="AV157" s="10">
        <v>375.74700000000001</v>
      </c>
      <c r="AW157" s="11">
        <f>IF(AND(ISNUMBER(AV157),ISNUMBER(AT157)),IF(AT157&lt;&gt;0,AV157/ABS(AT157),""),"")</f>
        <v>0.25343138379024416</v>
      </c>
      <c r="AX157" s="8">
        <v>0</v>
      </c>
      <c r="AY157" s="8">
        <v>0</v>
      </c>
      <c r="AZ157" s="10"/>
      <c r="BA157" s="8">
        <v>0</v>
      </c>
    </row>
    <row r="158" spans="1:53" x14ac:dyDescent="0.2">
      <c r="A158" s="8" t="s">
        <v>326</v>
      </c>
      <c r="B158" s="8" t="s">
        <v>83</v>
      </c>
      <c r="C158" s="8" t="s">
        <v>205</v>
      </c>
      <c r="D158" s="8">
        <v>1</v>
      </c>
      <c r="E158" s="8">
        <v>1</v>
      </c>
      <c r="F158" s="8">
        <f>SUM(G158:M158)</f>
        <v>2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1</v>
      </c>
      <c r="M158" s="8">
        <v>1</v>
      </c>
      <c r="N158" s="8">
        <v>0</v>
      </c>
      <c r="O158" s="8">
        <v>0</v>
      </c>
      <c r="P158" s="8">
        <v>1</v>
      </c>
      <c r="Q158" s="8">
        <v>0</v>
      </c>
      <c r="R158" s="8">
        <v>0</v>
      </c>
      <c r="S158" s="8">
        <v>0</v>
      </c>
      <c r="T158" s="10">
        <v>-251.97</v>
      </c>
      <c r="U158" s="10">
        <v>-258.51600000000002</v>
      </c>
      <c r="V158" s="10">
        <v>-449.45</v>
      </c>
      <c r="W158" s="10">
        <f>IF(RIGHT(C158,2)="12",IF(ISNUMBER(T158),T158,""),IF(COUNT(T158,U158,V158)=3,T158+U158-V158,""))</f>
        <v>-61.036000000000001</v>
      </c>
      <c r="X158" s="10">
        <v>-61.036000000000001</v>
      </c>
      <c r="Y158" s="10">
        <v>-184.81299999999999</v>
      </c>
      <c r="Z158" s="10">
        <v>375.74700000000001</v>
      </c>
      <c r="AA158" s="10">
        <v>-167.27799999999999</v>
      </c>
      <c r="AB158" s="10">
        <v>-84.691000000000003</v>
      </c>
      <c r="AC158" s="8">
        <v>0</v>
      </c>
      <c r="AD158" s="8">
        <v>0</v>
      </c>
      <c r="AE158" s="8">
        <v>0</v>
      </c>
      <c r="AF158" s="10">
        <v>0</v>
      </c>
      <c r="AG158" s="8">
        <f>COUNTIF(Y158:AB158,"&gt;0")</f>
        <v>1</v>
      </c>
      <c r="AH158" s="10">
        <v>0</v>
      </c>
      <c r="AI158" s="10">
        <v>375.74700000000001</v>
      </c>
      <c r="AJ158" s="8" t="str">
        <f>IF(ISNUMBER(X158),IF(X158&gt;0,"+",IF(X158&lt;0,"−","0")),IF(ISNUMBER(W158),IF(W158&gt;0,"+",IF(W158&lt;0,"−","0")),"yok"))</f>
        <v>−</v>
      </c>
      <c r="AK158" s="10">
        <f>IF(AND(RIGHT(C158,2)&lt;&gt;"12",ISNUMBER(U158),ISNUMBER(V158)),U158-V158,"")</f>
        <v>190.93399999999997</v>
      </c>
      <c r="AL158" s="11">
        <f>IF(AND(ISNUMBER(AK158),ISNUMBER(V158)),IF(V158&lt;&gt;0,AK158/ABS(V158),""),"")</f>
        <v>0.42481699855378791</v>
      </c>
      <c r="AM158" s="8">
        <f>IF(ISNUMBER(AK158),IF(AK158&gt;1,1,0),"")</f>
        <v>1</v>
      </c>
      <c r="AN158" s="8">
        <f>IF(ISNUMBER(AK158),IF(AK158&gt;0.05*ABS(V158),1,0),"")</f>
        <v>1</v>
      </c>
      <c r="AO158" s="10">
        <v>-61.036000000000001</v>
      </c>
      <c r="AP158" s="10">
        <v>61.036000000000001</v>
      </c>
      <c r="AQ158" s="8" t="s">
        <v>204</v>
      </c>
      <c r="AR158" s="8">
        <v>0</v>
      </c>
      <c r="AS158" s="10">
        <v>2800.2150000000001</v>
      </c>
      <c r="AT158" s="10">
        <v>2524.873</v>
      </c>
      <c r="AU158" s="8" t="s">
        <v>204</v>
      </c>
      <c r="AV158" s="10">
        <v>190.934</v>
      </c>
      <c r="AW158" s="11">
        <f>IF(AND(ISNUMBER(AV158),ISNUMBER(AT158)),IF(AT158&lt;&gt;0,AV158/ABS(AT158),""),"")</f>
        <v>7.5621229265788806E-2</v>
      </c>
      <c r="AX158" s="8">
        <v>0</v>
      </c>
      <c r="AY158" s="8">
        <v>1</v>
      </c>
      <c r="AZ158" s="10"/>
      <c r="BA158" s="8">
        <v>0</v>
      </c>
    </row>
    <row r="159" spans="1:53" x14ac:dyDescent="0.2">
      <c r="A159" s="8" t="s">
        <v>326</v>
      </c>
      <c r="B159" s="8" t="s">
        <v>83</v>
      </c>
      <c r="C159" s="8" t="s">
        <v>215</v>
      </c>
      <c r="D159" s="8">
        <v>1</v>
      </c>
      <c r="E159" s="8">
        <v>1</v>
      </c>
      <c r="F159" s="8">
        <f>SUM(G159:M159)</f>
        <v>2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1</v>
      </c>
      <c r="M159" s="8">
        <v>1</v>
      </c>
      <c r="N159" s="8">
        <v>0</v>
      </c>
      <c r="O159" s="8">
        <v>0</v>
      </c>
      <c r="P159" s="8">
        <v>1</v>
      </c>
      <c r="Q159" s="8">
        <v>0</v>
      </c>
      <c r="R159" s="8">
        <v>0</v>
      </c>
      <c r="S159" s="8">
        <v>0</v>
      </c>
      <c r="T159" s="10">
        <v>-606.29499999999996</v>
      </c>
      <c r="U159" s="10">
        <v>-258.51600000000002</v>
      </c>
      <c r="V159" s="10">
        <v>-634.26300000000003</v>
      </c>
      <c r="W159" s="10">
        <f>IF(RIGHT(C159,2)="12",IF(ISNUMBER(T159),T159,""),IF(COUNT(T159,U159,V159)=3,T159+U159-V159,""))</f>
        <v>-230.54799999999989</v>
      </c>
      <c r="X159" s="10">
        <v>-230.547</v>
      </c>
      <c r="Y159" s="10">
        <v>375.74700000000001</v>
      </c>
      <c r="Z159" s="10">
        <v>-167.27799999999999</v>
      </c>
      <c r="AA159" s="10">
        <v>-84.691000000000003</v>
      </c>
      <c r="AB159" s="10">
        <v>-354.32400000000001</v>
      </c>
      <c r="AC159" s="8">
        <v>0</v>
      </c>
      <c r="AD159" s="8">
        <v>0</v>
      </c>
      <c r="AE159" s="8">
        <v>0</v>
      </c>
      <c r="AF159" s="10">
        <v>0</v>
      </c>
      <c r="AG159" s="8">
        <f>COUNTIF(Y159:AB159,"&gt;0")</f>
        <v>1</v>
      </c>
      <c r="AH159" s="10">
        <v>0</v>
      </c>
      <c r="AI159" s="10">
        <v>375.74700000000001</v>
      </c>
      <c r="AJ159" s="8" t="str">
        <f>IF(ISNUMBER(X159),IF(X159&gt;0,"+",IF(X159&lt;0,"−","0")),IF(ISNUMBER(W159),IF(W159&gt;0,"+",IF(W159&lt;0,"−","0")),"yok"))</f>
        <v>−</v>
      </c>
      <c r="AK159" s="10">
        <f>IF(AND(RIGHT(C159,2)&lt;&gt;"12",ISNUMBER(U159),ISNUMBER(V159)),U159-V159,"")</f>
        <v>375.74700000000001</v>
      </c>
      <c r="AL159" s="11">
        <f>IF(AND(ISNUMBER(AK159),ISNUMBER(V159)),IF(V159&lt;&gt;0,AK159/ABS(V159),""),"")</f>
        <v>0.59241513378519639</v>
      </c>
      <c r="AM159" s="8">
        <f>IF(ISNUMBER(AK159),IF(AK159&gt;1,1,0),"")</f>
        <v>1</v>
      </c>
      <c r="AN159" s="8">
        <f>IF(ISNUMBER(AK159),IF(AK159&gt;0.05*ABS(V159),1,0),"")</f>
        <v>1</v>
      </c>
      <c r="AO159" s="10">
        <v>-230.547</v>
      </c>
      <c r="AP159" s="10">
        <v>230.547</v>
      </c>
      <c r="AQ159" s="8" t="s">
        <v>204</v>
      </c>
      <c r="AR159" s="8">
        <v>0</v>
      </c>
      <c r="AS159" s="10">
        <v>3058.2820000000002</v>
      </c>
      <c r="AT159" s="10">
        <v>2600.567</v>
      </c>
      <c r="AU159" s="8" t="s">
        <v>204</v>
      </c>
      <c r="AV159" s="10">
        <v>375.74700000000001</v>
      </c>
      <c r="AW159" s="11">
        <f>IF(AND(ISNUMBER(AV159),ISNUMBER(AT159)),IF(AT159&lt;&gt;0,AV159/ABS(AT159),""),"")</f>
        <v>0.14448656773695889</v>
      </c>
      <c r="AX159" s="8">
        <v>0</v>
      </c>
      <c r="AY159" s="8">
        <v>1</v>
      </c>
      <c r="AZ159" s="10"/>
      <c r="BA159" s="8">
        <v>0</v>
      </c>
    </row>
    <row r="160" spans="1:53" x14ac:dyDescent="0.2">
      <c r="A160" s="8" t="s">
        <v>326</v>
      </c>
      <c r="B160" s="8" t="s">
        <v>83</v>
      </c>
      <c r="C160" s="8" t="s">
        <v>208</v>
      </c>
      <c r="D160" s="8">
        <v>1</v>
      </c>
      <c r="E160" s="8">
        <v>1</v>
      </c>
      <c r="F160" s="8">
        <f>SUM(G160:M160)</f>
        <v>1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1</v>
      </c>
      <c r="N160" s="8">
        <v>0</v>
      </c>
      <c r="O160" s="8">
        <v>0</v>
      </c>
      <c r="P160" s="8">
        <v>1</v>
      </c>
      <c r="Q160" s="8">
        <v>0</v>
      </c>
      <c r="R160" s="8">
        <v>0</v>
      </c>
      <c r="S160" s="8">
        <v>0</v>
      </c>
      <c r="T160" s="10">
        <v>-58.927</v>
      </c>
      <c r="U160" s="10">
        <v>-559.15</v>
      </c>
      <c r="V160" s="10">
        <v>-167.27799999999999</v>
      </c>
      <c r="W160" s="10">
        <f>IF(RIGHT(C160,2)="12",IF(ISNUMBER(T160),T160,""),IF(COUNT(T160,U160,V160)=3,T160+U160-V160,""))</f>
        <v>-450.79899999999998</v>
      </c>
      <c r="X160" s="10">
        <v>-450.79899999999998</v>
      </c>
      <c r="Y160" s="10">
        <v>-84.691000000000003</v>
      </c>
      <c r="Z160" s="10">
        <v>-354.32400000000001</v>
      </c>
      <c r="AA160" s="10">
        <v>47.145000000000003</v>
      </c>
      <c r="AB160" s="10">
        <v>-58.927</v>
      </c>
      <c r="AC160" s="8">
        <v>0</v>
      </c>
      <c r="AD160" s="8">
        <v>0</v>
      </c>
      <c r="AE160" s="8">
        <v>0</v>
      </c>
      <c r="AF160" s="10">
        <v>0</v>
      </c>
      <c r="AG160" s="8">
        <f>COUNTIF(Y160:AB160,"&gt;0")</f>
        <v>1</v>
      </c>
      <c r="AH160" s="10">
        <v>0</v>
      </c>
      <c r="AI160" s="10">
        <v>47.145000000000003</v>
      </c>
      <c r="AJ160" s="8" t="str">
        <f>IF(ISNUMBER(X160),IF(X160&gt;0,"+",IF(X160&lt;0,"−","0")),IF(ISNUMBER(W160),IF(W160&gt;0,"+",IF(W160&lt;0,"−","0")),"yok"))</f>
        <v>−</v>
      </c>
      <c r="AK160" s="10">
        <f>IF(AND(RIGHT(C160,2)&lt;&gt;"12",ISNUMBER(U160),ISNUMBER(V160)),U160-V160,"")</f>
        <v>-391.87199999999996</v>
      </c>
      <c r="AL160" s="11">
        <f>IF(AND(ISNUMBER(AK160),ISNUMBER(V160)),IF(V160&lt;&gt;0,AK160/ABS(V160),""),"")</f>
        <v>-2.3426391994165399</v>
      </c>
      <c r="AM160" s="8">
        <f>IF(ISNUMBER(AK160),IF(AK160&gt;1,1,0),"")</f>
        <v>0</v>
      </c>
      <c r="AN160" s="8">
        <f>IF(ISNUMBER(AK160),IF(AK160&gt;0.05*ABS(V160),1,0),"")</f>
        <v>0</v>
      </c>
      <c r="AO160" s="10">
        <v>-450.79899999999998</v>
      </c>
      <c r="AP160" s="10">
        <v>450.79899999999998</v>
      </c>
      <c r="AQ160" s="8" t="s">
        <v>204</v>
      </c>
      <c r="AR160" s="8">
        <v>0</v>
      </c>
      <c r="AS160" s="10">
        <v>2480.8519999999999</v>
      </c>
      <c r="AT160" s="10">
        <v>1847.838</v>
      </c>
      <c r="AU160" s="8" t="s">
        <v>204</v>
      </c>
      <c r="AV160" s="10">
        <v>47.145000000000003</v>
      </c>
      <c r="AW160" s="11">
        <f>IF(AND(ISNUMBER(AV160),ISNUMBER(AT160)),IF(AT160&lt;&gt;0,AV160/ABS(AT160),""),"")</f>
        <v>2.5513600218200948E-2</v>
      </c>
      <c r="AX160" s="8">
        <v>0</v>
      </c>
      <c r="AY160" s="8">
        <v>0</v>
      </c>
      <c r="AZ160" s="10"/>
      <c r="BA160" s="8">
        <v>0</v>
      </c>
    </row>
    <row r="161" spans="1:53" x14ac:dyDescent="0.2">
      <c r="A161" s="8" t="s">
        <v>326</v>
      </c>
      <c r="B161" s="8" t="s">
        <v>83</v>
      </c>
      <c r="C161" s="8" t="s">
        <v>210</v>
      </c>
      <c r="D161" s="8">
        <v>1</v>
      </c>
      <c r="E161" s="8">
        <v>1</v>
      </c>
      <c r="F161" s="8">
        <f>SUM(G161:M161)</f>
        <v>1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1</v>
      </c>
      <c r="N161" s="8">
        <v>0</v>
      </c>
      <c r="O161" s="8">
        <v>0</v>
      </c>
      <c r="P161" s="8">
        <v>1</v>
      </c>
      <c r="Q161" s="8">
        <v>0</v>
      </c>
      <c r="R161" s="8">
        <v>0</v>
      </c>
      <c r="S161" s="8">
        <v>0</v>
      </c>
      <c r="T161" s="10">
        <v>-138.91399999999999</v>
      </c>
      <c r="U161" s="10">
        <v>-559.15</v>
      </c>
      <c r="V161" s="10">
        <v>-251.97</v>
      </c>
      <c r="W161" s="10">
        <f>IF(RIGHT(C161,2)="12",IF(ISNUMBER(T161),T161,""),IF(COUNT(T161,U161,V161)=3,T161+U161-V161,""))</f>
        <v>-446.09399999999994</v>
      </c>
      <c r="X161" s="10">
        <v>-446.09300000000002</v>
      </c>
      <c r="Y161" s="10">
        <v>-354.32400000000001</v>
      </c>
      <c r="Z161" s="10">
        <v>47.145000000000003</v>
      </c>
      <c r="AA161" s="10">
        <v>-58.927</v>
      </c>
      <c r="AB161" s="10">
        <v>-79.986000000000004</v>
      </c>
      <c r="AC161" s="8">
        <v>0</v>
      </c>
      <c r="AD161" s="8">
        <v>0</v>
      </c>
      <c r="AE161" s="8">
        <v>0</v>
      </c>
      <c r="AF161" s="10">
        <v>0</v>
      </c>
      <c r="AG161" s="8">
        <f>COUNTIF(Y161:AB161,"&gt;0")</f>
        <v>1</v>
      </c>
      <c r="AH161" s="10">
        <v>0</v>
      </c>
      <c r="AI161" s="10">
        <v>47.145000000000003</v>
      </c>
      <c r="AJ161" s="8" t="str">
        <f>IF(ISNUMBER(X161),IF(X161&gt;0,"+",IF(X161&lt;0,"−","0")),IF(ISNUMBER(W161),IF(W161&gt;0,"+",IF(W161&lt;0,"−","0")),"yok"))</f>
        <v>−</v>
      </c>
      <c r="AK161" s="10">
        <f>IF(AND(RIGHT(C161,2)&lt;&gt;"12",ISNUMBER(U161),ISNUMBER(V161)),U161-V161,"")</f>
        <v>-307.17999999999995</v>
      </c>
      <c r="AL161" s="11">
        <f>IF(AND(ISNUMBER(AK161),ISNUMBER(V161)),IF(V161&lt;&gt;0,AK161/ABS(V161),""),"")</f>
        <v>-1.2191133865142674</v>
      </c>
      <c r="AM161" s="8">
        <f>IF(ISNUMBER(AK161),IF(AK161&gt;1,1,0),"")</f>
        <v>0</v>
      </c>
      <c r="AN161" s="8">
        <f>IF(ISNUMBER(AK161),IF(AK161&gt;0.05*ABS(V161),1,0),"")</f>
        <v>0</v>
      </c>
      <c r="AO161" s="10">
        <v>-446.09300000000002</v>
      </c>
      <c r="AP161" s="10">
        <v>446.09300000000002</v>
      </c>
      <c r="AQ161" s="8" t="s">
        <v>204</v>
      </c>
      <c r="AR161" s="8">
        <v>0</v>
      </c>
      <c r="AS161" s="10">
        <v>1200.5899999999999</v>
      </c>
      <c r="AT161" s="10">
        <v>645.57799999999997</v>
      </c>
      <c r="AU161" s="8" t="s">
        <v>204</v>
      </c>
      <c r="AV161" s="10">
        <v>47.145000000000003</v>
      </c>
      <c r="AW161" s="11">
        <f>IF(AND(ISNUMBER(AV161),ISNUMBER(AT161)),IF(AT161&lt;&gt;0,AV161/ABS(AT161),""),"")</f>
        <v>7.3027581485118773E-2</v>
      </c>
      <c r="AX161" s="8">
        <v>0</v>
      </c>
      <c r="AY161" s="8">
        <v>0</v>
      </c>
      <c r="AZ161" s="10"/>
      <c r="BA161" s="8">
        <v>0</v>
      </c>
    </row>
    <row r="162" spans="1:53" x14ac:dyDescent="0.2">
      <c r="A162" s="8" t="s">
        <v>329</v>
      </c>
      <c r="B162" s="8" t="s">
        <v>83</v>
      </c>
      <c r="C162" s="8" t="s">
        <v>203</v>
      </c>
      <c r="D162" s="8">
        <v>1</v>
      </c>
      <c r="E162" s="8">
        <v>1</v>
      </c>
      <c r="F162" s="8">
        <f>SUM(G162:M162)</f>
        <v>1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1</v>
      </c>
      <c r="N162" s="8">
        <v>0</v>
      </c>
      <c r="O162" s="8">
        <v>0</v>
      </c>
      <c r="P162" s="8">
        <v>1</v>
      </c>
      <c r="Q162" s="8">
        <v>0</v>
      </c>
      <c r="R162" s="8">
        <v>0</v>
      </c>
      <c r="S162" s="8">
        <v>0</v>
      </c>
      <c r="T162" s="10">
        <v>-100.367</v>
      </c>
      <c r="U162" s="10">
        <v>-725.19200000000001</v>
      </c>
      <c r="V162" s="10">
        <v>-569.37300000000005</v>
      </c>
      <c r="W162" s="10">
        <f>IF(RIGHT(C162,2)="12",IF(ISNUMBER(T162),T162,""),IF(COUNT(T162,U162,V162)=3,T162+U162-V162,""))</f>
        <v>-256.18599999999992</v>
      </c>
      <c r="X162" s="10">
        <v>-256.18700000000001</v>
      </c>
      <c r="Y162" s="10">
        <v>63.39</v>
      </c>
      <c r="Z162" s="10">
        <v>-209.06</v>
      </c>
      <c r="AA162" s="10">
        <v>-10.148999999999999</v>
      </c>
      <c r="AB162" s="10">
        <v>-100.367</v>
      </c>
      <c r="AC162" s="8">
        <v>0</v>
      </c>
      <c r="AD162" s="8">
        <v>0</v>
      </c>
      <c r="AE162" s="8">
        <v>0</v>
      </c>
      <c r="AF162" s="10">
        <v>0</v>
      </c>
      <c r="AG162" s="8">
        <f>COUNTIF(Y162:AB162,"&gt;0")</f>
        <v>1</v>
      </c>
      <c r="AH162" s="10">
        <v>0</v>
      </c>
      <c r="AI162" s="10">
        <v>63.39</v>
      </c>
      <c r="AJ162" s="8" t="str">
        <f>IF(ISNUMBER(X162),IF(X162&gt;0,"+",IF(X162&lt;0,"−","0")),IF(ISNUMBER(W162),IF(W162&gt;0,"+",IF(W162&lt;0,"−","0")),"yok"))</f>
        <v>−</v>
      </c>
      <c r="AK162" s="10">
        <f>IF(AND(RIGHT(C162,2)&lt;&gt;"12",ISNUMBER(U162),ISNUMBER(V162)),U162-V162,"")</f>
        <v>-155.81899999999996</v>
      </c>
      <c r="AL162" s="11">
        <f>IF(AND(ISNUMBER(AK162),ISNUMBER(V162)),IF(V162&lt;&gt;0,AK162/ABS(V162),""),"")</f>
        <v>-0.27366770113791827</v>
      </c>
      <c r="AM162" s="8">
        <f>IF(ISNUMBER(AK162),IF(AK162&gt;1,1,0),"")</f>
        <v>0</v>
      </c>
      <c r="AN162" s="8">
        <f>IF(ISNUMBER(AK162),IF(AK162&gt;0.05*ABS(V162),1,0),"")</f>
        <v>0</v>
      </c>
      <c r="AO162" s="10">
        <v>-256.18799999999999</v>
      </c>
      <c r="AP162" s="10">
        <v>256.18799999999999</v>
      </c>
      <c r="AQ162" s="8" t="s">
        <v>204</v>
      </c>
      <c r="AR162" s="8">
        <v>0</v>
      </c>
      <c r="AS162" s="10">
        <v>2272.2150000000001</v>
      </c>
      <c r="AT162" s="10"/>
      <c r="AU162" s="8" t="s">
        <v>207</v>
      </c>
      <c r="AV162" s="10">
        <v>63.39</v>
      </c>
      <c r="AW162" s="11" t="str">
        <f>IF(AND(ISNUMBER(AV162),ISNUMBER(AT162)),IF(AT162&lt;&gt;0,AV162/ABS(AT162),""),"")</f>
        <v/>
      </c>
      <c r="AX162" s="8">
        <v>0</v>
      </c>
      <c r="AY162" s="8">
        <v>0</v>
      </c>
      <c r="AZ162" s="10"/>
      <c r="BA162" s="8">
        <v>0</v>
      </c>
    </row>
    <row r="163" spans="1:53" x14ac:dyDescent="0.2">
      <c r="A163" s="8" t="s">
        <v>330</v>
      </c>
      <c r="B163" s="8" t="s">
        <v>83</v>
      </c>
      <c r="C163" s="8" t="s">
        <v>203</v>
      </c>
      <c r="D163" s="8">
        <v>1</v>
      </c>
      <c r="E163" s="8">
        <v>1</v>
      </c>
      <c r="F163" s="8">
        <f>SUM(G163:M163)</f>
        <v>1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1</v>
      </c>
      <c r="N163" s="8">
        <v>0</v>
      </c>
      <c r="O163" s="8">
        <v>0</v>
      </c>
      <c r="P163" s="8">
        <v>1</v>
      </c>
      <c r="Q163" s="8">
        <v>0</v>
      </c>
      <c r="R163" s="8">
        <v>0</v>
      </c>
      <c r="S163" s="8">
        <v>0</v>
      </c>
      <c r="T163" s="10">
        <v>-75.506</v>
      </c>
      <c r="U163" s="10">
        <v>-1029.3779999999999</v>
      </c>
      <c r="V163" s="10"/>
      <c r="W163" s="10" t="str">
        <f>IF(RIGHT(C163,2)="12",IF(ISNUMBER(T163),T163,""),IF(COUNT(T163,U163,V163)=3,T163+U163-V163,""))</f>
        <v/>
      </c>
      <c r="X163" s="10"/>
      <c r="Y163" s="10"/>
      <c r="Z163" s="10">
        <v>-1280.76</v>
      </c>
      <c r="AA163" s="10">
        <v>253.285</v>
      </c>
      <c r="AB163" s="10">
        <v>-75.506</v>
      </c>
      <c r="AC163" s="8">
        <v>0</v>
      </c>
      <c r="AD163" s="8">
        <v>0</v>
      </c>
      <c r="AE163" s="8">
        <v>0</v>
      </c>
      <c r="AF163" s="10">
        <v>0</v>
      </c>
      <c r="AG163" s="8">
        <f>COUNTIF(Y163:AB163,"&gt;0")</f>
        <v>1</v>
      </c>
      <c r="AH163" s="10">
        <v>0</v>
      </c>
      <c r="AI163" s="10">
        <v>253.285</v>
      </c>
      <c r="AJ163" s="8" t="str">
        <f>IF(ISNUMBER(X163),IF(X163&gt;0,"+",IF(X163&lt;0,"−","0")),IF(ISNUMBER(W163),IF(W163&gt;0,"+",IF(W163&lt;0,"−","0")),"yok"))</f>
        <v>yok</v>
      </c>
      <c r="AK163" s="10" t="str">
        <f>IF(AND(RIGHT(C163,2)&lt;&gt;"12",ISNUMBER(U163),ISNUMBER(V163)),U163-V163,"")</f>
        <v/>
      </c>
      <c r="AL163" s="11" t="str">
        <f>IF(AND(ISNUMBER(AK163),ISNUMBER(V163)),IF(V163&lt;&gt;0,AK163/ABS(V163),""),"")</f>
        <v/>
      </c>
      <c r="AM163" s="8" t="str">
        <f>IF(ISNUMBER(AK163),IF(AK163&gt;1,1,0),"")</f>
        <v/>
      </c>
      <c r="AN163" s="8" t="str">
        <f>IF(ISNUMBER(AK163),IF(AK163&gt;0.05*ABS(V163),1,0),"")</f>
        <v/>
      </c>
      <c r="AO163" s="10"/>
      <c r="AP163" s="10"/>
      <c r="AQ163" s="8" t="s">
        <v>207</v>
      </c>
      <c r="AR163" s="8">
        <v>0</v>
      </c>
      <c r="AS163" s="10"/>
      <c r="AT163" s="10"/>
      <c r="AU163" s="8" t="s">
        <v>207</v>
      </c>
      <c r="AV163" s="10">
        <v>253.285</v>
      </c>
      <c r="AW163" s="11" t="str">
        <f>IF(AND(ISNUMBER(AV163),ISNUMBER(AT163)),IF(AT163&lt;&gt;0,AV163/ABS(AT163),""),"")</f>
        <v/>
      </c>
      <c r="AX163" s="8">
        <v>0</v>
      </c>
      <c r="AY163" s="8">
        <v>0</v>
      </c>
      <c r="AZ163" s="10"/>
      <c r="BA163" s="8">
        <v>0</v>
      </c>
    </row>
    <row r="164" spans="1:53" x14ac:dyDescent="0.2">
      <c r="A164" s="8" t="s">
        <v>330</v>
      </c>
      <c r="B164" s="8" t="s">
        <v>83</v>
      </c>
      <c r="C164" s="8" t="s">
        <v>205</v>
      </c>
      <c r="D164" s="8">
        <v>1</v>
      </c>
      <c r="E164" s="8">
        <v>1</v>
      </c>
      <c r="F164" s="8">
        <f>SUM(G164:M164)</f>
        <v>1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1</v>
      </c>
      <c r="N164" s="8">
        <v>0</v>
      </c>
      <c r="O164" s="8">
        <v>0</v>
      </c>
      <c r="P164" s="8">
        <v>1</v>
      </c>
      <c r="Q164" s="8">
        <v>0</v>
      </c>
      <c r="R164" s="8">
        <v>0</v>
      </c>
      <c r="S164" s="8">
        <v>1</v>
      </c>
      <c r="T164" s="10">
        <v>-73.745000000000005</v>
      </c>
      <c r="U164" s="10">
        <v>-1029.3779999999999</v>
      </c>
      <c r="V164" s="10">
        <v>-1.9039999999999999</v>
      </c>
      <c r="W164" s="10">
        <f>IF(RIGHT(C164,2)="12",IF(ISNUMBER(T164),T164,""),IF(COUNT(T164,U164,V164)=3,T164+U164-V164,""))</f>
        <v>-1101.2190000000001</v>
      </c>
      <c r="X164" s="10">
        <v>-1101.22</v>
      </c>
      <c r="Y164" s="10">
        <v>-1280.76</v>
      </c>
      <c r="Z164" s="10">
        <v>253.285</v>
      </c>
      <c r="AA164" s="10">
        <v>-75.506</v>
      </c>
      <c r="AB164" s="10">
        <v>1.76</v>
      </c>
      <c r="AC164" s="8">
        <v>0</v>
      </c>
      <c r="AD164" s="8">
        <v>0</v>
      </c>
      <c r="AE164" s="8">
        <v>0</v>
      </c>
      <c r="AF164" s="10">
        <v>0</v>
      </c>
      <c r="AG164" s="8">
        <f>COUNTIF(Y164:AB164,"&gt;0")</f>
        <v>2</v>
      </c>
      <c r="AH164" s="10">
        <v>1.76</v>
      </c>
      <c r="AI164" s="10">
        <v>253.285</v>
      </c>
      <c r="AJ164" s="8" t="str">
        <f>IF(ISNUMBER(X164),IF(X164&gt;0,"+",IF(X164&lt;0,"−","0")),IF(ISNUMBER(W164),IF(W164&gt;0,"+",IF(W164&lt;0,"−","0")),"yok"))</f>
        <v>−</v>
      </c>
      <c r="AK164" s="10">
        <f>IF(AND(RIGHT(C164,2)&lt;&gt;"12",ISNUMBER(U164),ISNUMBER(V164)),U164-V164,"")</f>
        <v>-1027.4739999999999</v>
      </c>
      <c r="AL164" s="11">
        <f>IF(AND(ISNUMBER(AK164),ISNUMBER(V164)),IF(V164&lt;&gt;0,AK164/ABS(V164),""),"")</f>
        <v>-539.63970588235293</v>
      </c>
      <c r="AM164" s="8">
        <f>IF(ISNUMBER(AK164),IF(AK164&gt;1,1,0),"")</f>
        <v>0</v>
      </c>
      <c r="AN164" s="8">
        <f>IF(ISNUMBER(AK164),IF(AK164&gt;0.05*ABS(V164),1,0),"")</f>
        <v>0</v>
      </c>
      <c r="AO164" s="10">
        <v>-1101.221</v>
      </c>
      <c r="AP164" s="10">
        <v>1101.221</v>
      </c>
      <c r="AQ164" s="8" t="s">
        <v>204</v>
      </c>
      <c r="AR164" s="8">
        <v>0</v>
      </c>
      <c r="AS164" s="10">
        <v>1942.9010000000001</v>
      </c>
      <c r="AT164" s="10"/>
      <c r="AU164" s="8" t="s">
        <v>207</v>
      </c>
      <c r="AV164" s="10">
        <v>253.285</v>
      </c>
      <c r="AW164" s="11" t="str">
        <f>IF(AND(ISNUMBER(AV164),ISNUMBER(AT164)),IF(AT164&lt;&gt;0,AV164/ABS(AT164),""),"")</f>
        <v/>
      </c>
      <c r="AX164" s="8">
        <v>0</v>
      </c>
      <c r="AY164" s="8">
        <v>0</v>
      </c>
      <c r="AZ164" s="10"/>
      <c r="BA164" s="8">
        <v>0</v>
      </c>
    </row>
    <row r="165" spans="1:53" x14ac:dyDescent="0.2">
      <c r="A165" s="8" t="s">
        <v>330</v>
      </c>
      <c r="B165" s="8" t="s">
        <v>83</v>
      </c>
      <c r="C165" s="8" t="s">
        <v>215</v>
      </c>
      <c r="D165" s="8">
        <v>1</v>
      </c>
      <c r="E165" s="8">
        <v>1</v>
      </c>
      <c r="F165" s="8">
        <f>SUM(G165:M165)</f>
        <v>2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1</v>
      </c>
      <c r="M165" s="8">
        <v>1</v>
      </c>
      <c r="N165" s="8">
        <v>0</v>
      </c>
      <c r="O165" s="8">
        <v>0</v>
      </c>
      <c r="P165" s="8">
        <v>1</v>
      </c>
      <c r="Q165" s="8">
        <v>0</v>
      </c>
      <c r="R165" s="8">
        <v>0</v>
      </c>
      <c r="S165" s="8">
        <v>1</v>
      </c>
      <c r="T165" s="10">
        <v>-761.98699999999997</v>
      </c>
      <c r="U165" s="10">
        <v>-1029.3779999999999</v>
      </c>
      <c r="V165" s="10">
        <v>-1282.664</v>
      </c>
      <c r="W165" s="10">
        <f>IF(RIGHT(C165,2)="12",IF(ISNUMBER(T165),T165,""),IF(COUNT(T165,U165,V165)=3,T165+U165-V165,""))</f>
        <v>-508.70099999999979</v>
      </c>
      <c r="X165" s="10">
        <v>-508.70100000000002</v>
      </c>
      <c r="Y165" s="10">
        <v>253.285</v>
      </c>
      <c r="Z165" s="10">
        <v>-75.506</v>
      </c>
      <c r="AA165" s="10">
        <v>1.76</v>
      </c>
      <c r="AB165" s="10">
        <v>-688.24099999999999</v>
      </c>
      <c r="AC165" s="8">
        <v>0</v>
      </c>
      <c r="AD165" s="8">
        <v>0</v>
      </c>
      <c r="AE165" s="8">
        <v>0</v>
      </c>
      <c r="AF165" s="10">
        <v>0</v>
      </c>
      <c r="AG165" s="8">
        <f>COUNTIF(Y165:AB165,"&gt;0")</f>
        <v>2</v>
      </c>
      <c r="AH165" s="10">
        <v>1.76</v>
      </c>
      <c r="AI165" s="10">
        <v>253.285</v>
      </c>
      <c r="AJ165" s="8" t="str">
        <f>IF(ISNUMBER(X165),IF(X165&gt;0,"+",IF(X165&lt;0,"−","0")),IF(ISNUMBER(W165),IF(W165&gt;0,"+",IF(W165&lt;0,"−","0")),"yok"))</f>
        <v>−</v>
      </c>
      <c r="AK165" s="10">
        <f>IF(AND(RIGHT(C165,2)&lt;&gt;"12",ISNUMBER(U165),ISNUMBER(V165)),U165-V165,"")</f>
        <v>253.28600000000006</v>
      </c>
      <c r="AL165" s="11">
        <f>IF(AND(ISNUMBER(AK165),ISNUMBER(V165)),IF(V165&lt;&gt;0,AK165/ABS(V165),""),"")</f>
        <v>0.19746870575614506</v>
      </c>
      <c r="AM165" s="8">
        <f>IF(ISNUMBER(AK165),IF(AK165&gt;1,1,0),"")</f>
        <v>1</v>
      </c>
      <c r="AN165" s="8">
        <f>IF(ISNUMBER(AK165),IF(AK165&gt;0.05*ABS(V165),1,0),"")</f>
        <v>1</v>
      </c>
      <c r="AO165" s="10">
        <v>-508.702</v>
      </c>
      <c r="AP165" s="10">
        <v>508.702</v>
      </c>
      <c r="AQ165" s="8" t="s">
        <v>204</v>
      </c>
      <c r="AR165" s="8">
        <v>0</v>
      </c>
      <c r="AS165" s="10">
        <v>1915.7850000000001</v>
      </c>
      <c r="AT165" s="10"/>
      <c r="AU165" s="8" t="s">
        <v>207</v>
      </c>
      <c r="AV165" s="10">
        <v>253.286</v>
      </c>
      <c r="AW165" s="11" t="str">
        <f>IF(AND(ISNUMBER(AV165),ISNUMBER(AT165)),IF(AT165&lt;&gt;0,AV165/ABS(AT165),""),"")</f>
        <v/>
      </c>
      <c r="AX165" s="8">
        <v>0</v>
      </c>
      <c r="AY165" s="8">
        <v>1</v>
      </c>
      <c r="AZ165" s="10"/>
      <c r="BA165" s="8">
        <v>0</v>
      </c>
    </row>
    <row r="166" spans="1:53" x14ac:dyDescent="0.2">
      <c r="A166" s="8" t="s">
        <v>330</v>
      </c>
      <c r="B166" s="8" t="s">
        <v>83</v>
      </c>
      <c r="C166" s="8" t="s">
        <v>208</v>
      </c>
      <c r="D166" s="8">
        <v>1</v>
      </c>
      <c r="E166" s="8">
        <v>1</v>
      </c>
      <c r="F166" s="8">
        <f>SUM(G166:M166)</f>
        <v>1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1</v>
      </c>
      <c r="N166" s="8">
        <v>0</v>
      </c>
      <c r="O166" s="8">
        <v>0</v>
      </c>
      <c r="P166" s="8">
        <v>1</v>
      </c>
      <c r="Q166" s="8">
        <v>0</v>
      </c>
      <c r="R166" s="8">
        <v>0</v>
      </c>
      <c r="S166" s="8">
        <v>0</v>
      </c>
      <c r="T166" s="10">
        <v>-87.442999999999998</v>
      </c>
      <c r="U166" s="10">
        <v>-243.80699999999999</v>
      </c>
      <c r="V166" s="10">
        <v>-75.506</v>
      </c>
      <c r="W166" s="10">
        <f>IF(RIGHT(C166,2)="12",IF(ISNUMBER(T166),T166,""),IF(COUNT(T166,U166,V166)=3,T166+U166-V166,""))</f>
        <v>-255.744</v>
      </c>
      <c r="X166" s="10">
        <v>-255.74299999999999</v>
      </c>
      <c r="Y166" s="10">
        <v>1.76</v>
      </c>
      <c r="Z166" s="10">
        <v>-688.24099999999999</v>
      </c>
      <c r="AA166" s="10">
        <v>518.17999999999995</v>
      </c>
      <c r="AB166" s="10">
        <v>-87.442999999999998</v>
      </c>
      <c r="AC166" s="8">
        <v>0</v>
      </c>
      <c r="AD166" s="8">
        <v>0</v>
      </c>
      <c r="AE166" s="8">
        <v>0</v>
      </c>
      <c r="AF166" s="10">
        <v>0</v>
      </c>
      <c r="AG166" s="8">
        <f>COUNTIF(Y166:AB166,"&gt;0")</f>
        <v>2</v>
      </c>
      <c r="AH166" s="10">
        <v>0</v>
      </c>
      <c r="AI166" s="10">
        <v>519.94000000000005</v>
      </c>
      <c r="AJ166" s="8" t="str">
        <f>IF(ISNUMBER(X166),IF(X166&gt;0,"+",IF(X166&lt;0,"−","0")),IF(ISNUMBER(W166),IF(W166&gt;0,"+",IF(W166&lt;0,"−","0")),"yok"))</f>
        <v>−</v>
      </c>
      <c r="AK166" s="10">
        <f>IF(AND(RIGHT(C166,2)&lt;&gt;"12",ISNUMBER(U166),ISNUMBER(V166)),U166-V166,"")</f>
        <v>-168.30099999999999</v>
      </c>
      <c r="AL166" s="11">
        <f>IF(AND(ISNUMBER(AK166),ISNUMBER(V166)),IF(V166&lt;&gt;0,AK166/ABS(V166),""),"")</f>
        <v>-2.2289751807803353</v>
      </c>
      <c r="AM166" s="8">
        <f>IF(ISNUMBER(AK166),IF(AK166&gt;1,1,0),"")</f>
        <v>0</v>
      </c>
      <c r="AN166" s="8">
        <f>IF(ISNUMBER(AK166),IF(AK166&gt;0.05*ABS(V166),1,0),"")</f>
        <v>0</v>
      </c>
      <c r="AO166" s="10">
        <v>-255.74299999999999</v>
      </c>
      <c r="AP166" s="10">
        <v>255.74299999999999</v>
      </c>
      <c r="AQ166" s="8" t="s">
        <v>204</v>
      </c>
      <c r="AR166" s="8">
        <v>0</v>
      </c>
      <c r="AS166" s="10">
        <v>5493.3739999999998</v>
      </c>
      <c r="AT166" s="10">
        <v>5119.0003930000003</v>
      </c>
      <c r="AU166" s="8" t="s">
        <v>209</v>
      </c>
      <c r="AV166" s="10">
        <v>518.17999999999995</v>
      </c>
      <c r="AW166" s="11">
        <f>IF(AND(ISNUMBER(AV166),ISNUMBER(AT166)),IF(AT166&lt;&gt;0,AV166/ABS(AT166),""),"")</f>
        <v>0.10122679433832189</v>
      </c>
      <c r="AX166" s="8">
        <v>0</v>
      </c>
      <c r="AY166" s="8">
        <v>0</v>
      </c>
      <c r="AZ166" s="10"/>
      <c r="BA166" s="8">
        <v>0</v>
      </c>
    </row>
    <row r="167" spans="1:53" x14ac:dyDescent="0.2">
      <c r="A167" s="8" t="s">
        <v>330</v>
      </c>
      <c r="B167" s="8" t="s">
        <v>83</v>
      </c>
      <c r="C167" s="8" t="s">
        <v>210</v>
      </c>
      <c r="D167" s="8">
        <v>1</v>
      </c>
      <c r="E167" s="8">
        <v>1</v>
      </c>
      <c r="F167" s="8">
        <f>SUM(G167:M167)</f>
        <v>1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1</v>
      </c>
      <c r="N167" s="8">
        <v>0</v>
      </c>
      <c r="O167" s="8">
        <v>0</v>
      </c>
      <c r="P167" s="8">
        <v>1</v>
      </c>
      <c r="Q167" s="8">
        <v>0</v>
      </c>
      <c r="R167" s="8">
        <v>0</v>
      </c>
      <c r="S167" s="8">
        <v>0</v>
      </c>
      <c r="T167" s="10">
        <v>-149.52699999999999</v>
      </c>
      <c r="U167" s="10">
        <v>-243.80699999999999</v>
      </c>
      <c r="V167" s="10">
        <v>-73.745000000000005</v>
      </c>
      <c r="W167" s="10">
        <f>IF(RIGHT(C167,2)="12",IF(ISNUMBER(T167),T167,""),IF(COUNT(T167,U167,V167)=3,T167+U167-V167,""))</f>
        <v>-319.58899999999994</v>
      </c>
      <c r="X167" s="10">
        <v>-319.58800000000002</v>
      </c>
      <c r="Y167" s="10">
        <v>-688.24099999999999</v>
      </c>
      <c r="Z167" s="10">
        <v>518.17999999999995</v>
      </c>
      <c r="AA167" s="10">
        <v>-87.442999999999998</v>
      </c>
      <c r="AB167" s="10">
        <v>-62.084000000000003</v>
      </c>
      <c r="AC167" s="8">
        <v>0</v>
      </c>
      <c r="AD167" s="8">
        <v>0</v>
      </c>
      <c r="AE167" s="8">
        <v>0</v>
      </c>
      <c r="AF167" s="10">
        <v>0</v>
      </c>
      <c r="AG167" s="8">
        <f>COUNTIF(Y167:AB167,"&gt;0")</f>
        <v>1</v>
      </c>
      <c r="AH167" s="10">
        <v>0</v>
      </c>
      <c r="AI167" s="10">
        <v>518.17999999999995</v>
      </c>
      <c r="AJ167" s="8" t="str">
        <f>IF(ISNUMBER(X167),IF(X167&gt;0,"+",IF(X167&lt;0,"−","0")),IF(ISNUMBER(W167),IF(W167&gt;0,"+",IF(W167&lt;0,"−","0")),"yok"))</f>
        <v>−</v>
      </c>
      <c r="AK167" s="10">
        <f>IF(AND(RIGHT(C167,2)&lt;&gt;"12",ISNUMBER(U167),ISNUMBER(V167)),U167-V167,"")</f>
        <v>-170.06199999999998</v>
      </c>
      <c r="AL167" s="11">
        <f>IF(AND(ISNUMBER(AK167),ISNUMBER(V167)),IF(V167&lt;&gt;0,AK167/ABS(V167),""),"")</f>
        <v>-2.3060817682554746</v>
      </c>
      <c r="AM167" s="8">
        <f>IF(ISNUMBER(AK167),IF(AK167&gt;1,1,0),"")</f>
        <v>0</v>
      </c>
      <c r="AN167" s="8">
        <f>IF(ISNUMBER(AK167),IF(AK167&gt;0.05*ABS(V167),1,0),"")</f>
        <v>0</v>
      </c>
      <c r="AO167" s="10">
        <v>-319.589</v>
      </c>
      <c r="AP167" s="10">
        <v>319.589</v>
      </c>
      <c r="AQ167" s="8" t="s">
        <v>204</v>
      </c>
      <c r="AR167" s="8">
        <v>0</v>
      </c>
      <c r="AS167" s="10">
        <v>3516.703</v>
      </c>
      <c r="AT167" s="10">
        <v>3094.854104</v>
      </c>
      <c r="AU167" s="8" t="s">
        <v>209</v>
      </c>
      <c r="AV167" s="10">
        <v>518.17999999999995</v>
      </c>
      <c r="AW167" s="11">
        <f>IF(AND(ISNUMBER(AV167),ISNUMBER(AT167)),IF(AT167&lt;&gt;0,AV167/ABS(AT167),""),"")</f>
        <v>0.16743277149325678</v>
      </c>
      <c r="AX167" s="8">
        <v>0</v>
      </c>
      <c r="AY167" s="8">
        <v>0</v>
      </c>
      <c r="AZ167" s="10"/>
      <c r="BA167" s="8">
        <v>0</v>
      </c>
    </row>
    <row r="168" spans="1:53" x14ac:dyDescent="0.2">
      <c r="A168" s="8" t="s">
        <v>331</v>
      </c>
      <c r="B168" s="8" t="s">
        <v>83</v>
      </c>
      <c r="C168" s="8" t="s">
        <v>208</v>
      </c>
      <c r="D168" s="8">
        <v>1</v>
      </c>
      <c r="E168" s="8">
        <v>1</v>
      </c>
      <c r="F168" s="8">
        <f>SUM(G168:M168)</f>
        <v>1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1</v>
      </c>
      <c r="N168" s="8">
        <v>0</v>
      </c>
      <c r="O168" s="8">
        <v>0</v>
      </c>
      <c r="P168" s="8">
        <v>1</v>
      </c>
      <c r="Q168" s="8">
        <v>0</v>
      </c>
      <c r="R168" s="8">
        <v>0</v>
      </c>
      <c r="S168" s="8">
        <v>0</v>
      </c>
      <c r="T168" s="10">
        <v>-90.673000000000002</v>
      </c>
      <c r="U168" s="10">
        <v>-485.10599999999999</v>
      </c>
      <c r="V168" s="10">
        <v>-139.13900000000001</v>
      </c>
      <c r="W168" s="10">
        <f>IF(RIGHT(C168,2)="12",IF(ISNUMBER(T168),T168,""),IF(COUNT(T168,U168,V168)=3,T168+U168-V168,""))</f>
        <v>-436.64</v>
      </c>
      <c r="X168" s="10">
        <v>-436.63900000000001</v>
      </c>
      <c r="Y168" s="10">
        <v>-159.322</v>
      </c>
      <c r="Z168" s="10">
        <v>-244.768</v>
      </c>
      <c r="AA168" s="10">
        <v>58.124000000000002</v>
      </c>
      <c r="AB168" s="10">
        <v>-90.673000000000002</v>
      </c>
      <c r="AC168" s="8">
        <v>0</v>
      </c>
      <c r="AD168" s="8">
        <v>0</v>
      </c>
      <c r="AE168" s="8">
        <v>0</v>
      </c>
      <c r="AF168" s="10">
        <v>0</v>
      </c>
      <c r="AG168" s="8">
        <f>COUNTIF(Y168:AB168,"&gt;0")</f>
        <v>1</v>
      </c>
      <c r="AH168" s="10">
        <v>0</v>
      </c>
      <c r="AI168" s="10">
        <v>58.124000000000002</v>
      </c>
      <c r="AJ168" s="8" t="str">
        <f>IF(ISNUMBER(X168),IF(X168&gt;0,"+",IF(X168&lt;0,"−","0")),IF(ISNUMBER(W168),IF(W168&gt;0,"+",IF(W168&lt;0,"−","0")),"yok"))</f>
        <v>−</v>
      </c>
      <c r="AK168" s="10">
        <f>IF(AND(RIGHT(C168,2)&lt;&gt;"12",ISNUMBER(U168),ISNUMBER(V168)),U168-V168,"")</f>
        <v>-345.96699999999998</v>
      </c>
      <c r="AL168" s="11">
        <f>IF(AND(ISNUMBER(AK168),ISNUMBER(V168)),IF(V168&lt;&gt;0,AK168/ABS(V168),""),"")</f>
        <v>-2.4864847382832993</v>
      </c>
      <c r="AM168" s="8">
        <f>IF(ISNUMBER(AK168),IF(AK168&gt;1,1,0),"")</f>
        <v>0</v>
      </c>
      <c r="AN168" s="8">
        <f>IF(ISNUMBER(AK168),IF(AK168&gt;0.05*ABS(V168),1,0),"")</f>
        <v>0</v>
      </c>
      <c r="AO168" s="10">
        <v>-436.64</v>
      </c>
      <c r="AP168" s="10">
        <v>436.64</v>
      </c>
      <c r="AQ168" s="8" t="s">
        <v>204</v>
      </c>
      <c r="AR168" s="8">
        <v>0</v>
      </c>
      <c r="AS168" s="10">
        <v>1064.9290000000001</v>
      </c>
      <c r="AT168" s="10">
        <v>628.28899999999999</v>
      </c>
      <c r="AU168" s="8" t="s">
        <v>212</v>
      </c>
      <c r="AV168" s="10">
        <v>58.124000000000002</v>
      </c>
      <c r="AW168" s="11">
        <f>IF(AND(ISNUMBER(AV168),ISNUMBER(AT168)),IF(AT168&lt;&gt;0,AV168/ABS(AT168),""),"")</f>
        <v>9.2511567129139619E-2</v>
      </c>
      <c r="AX168" s="8">
        <v>0</v>
      </c>
      <c r="AY168" s="8">
        <v>0</v>
      </c>
      <c r="AZ168" s="10"/>
      <c r="BA168" s="8">
        <v>0</v>
      </c>
    </row>
    <row r="169" spans="1:53" x14ac:dyDescent="0.2">
      <c r="A169" s="8" t="s">
        <v>331</v>
      </c>
      <c r="B169" s="8" t="s">
        <v>83</v>
      </c>
      <c r="C169" s="8" t="s">
        <v>210</v>
      </c>
      <c r="D169" s="8">
        <v>1</v>
      </c>
      <c r="E169" s="8">
        <v>1</v>
      </c>
      <c r="F169" s="8">
        <f>SUM(G169:M169)</f>
        <v>1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1</v>
      </c>
      <c r="N169" s="8">
        <v>0</v>
      </c>
      <c r="O169" s="8">
        <v>0</v>
      </c>
      <c r="P169" s="8">
        <v>1</v>
      </c>
      <c r="Q169" s="8">
        <v>0</v>
      </c>
      <c r="R169" s="8">
        <v>0</v>
      </c>
      <c r="S169" s="8">
        <v>0</v>
      </c>
      <c r="T169" s="10">
        <v>-166.94900000000001</v>
      </c>
      <c r="U169" s="10">
        <v>-485.10599999999999</v>
      </c>
      <c r="V169" s="10">
        <v>-298.46199999999999</v>
      </c>
      <c r="W169" s="10">
        <f>IF(RIGHT(C169,2)="12",IF(ISNUMBER(T169),T169,""),IF(COUNT(T169,U169,V169)=3,T169+U169-V169,""))</f>
        <v>-353.59300000000007</v>
      </c>
      <c r="X169" s="10">
        <v>-353.59300000000002</v>
      </c>
      <c r="Y169" s="10">
        <v>-244.768</v>
      </c>
      <c r="Z169" s="10">
        <v>58.124000000000002</v>
      </c>
      <c r="AA169" s="10">
        <v>-90.673000000000002</v>
      </c>
      <c r="AB169" s="10">
        <v>-76.275000000000006</v>
      </c>
      <c r="AC169" s="8">
        <v>0</v>
      </c>
      <c r="AD169" s="8">
        <v>0</v>
      </c>
      <c r="AE169" s="8">
        <v>0</v>
      </c>
      <c r="AF169" s="10">
        <v>0</v>
      </c>
      <c r="AG169" s="8">
        <f>COUNTIF(Y169:AB169,"&gt;0")</f>
        <v>1</v>
      </c>
      <c r="AH169" s="10">
        <v>0</v>
      </c>
      <c r="AI169" s="10">
        <v>58.124000000000002</v>
      </c>
      <c r="AJ169" s="8" t="str">
        <f>IF(ISNUMBER(X169),IF(X169&gt;0,"+",IF(X169&lt;0,"−","0")),IF(ISNUMBER(W169),IF(W169&gt;0,"+",IF(W169&lt;0,"−","0")),"yok"))</f>
        <v>−</v>
      </c>
      <c r="AK169" s="10">
        <f>IF(AND(RIGHT(C169,2)&lt;&gt;"12",ISNUMBER(U169),ISNUMBER(V169)),U169-V169,"")</f>
        <v>-186.64400000000001</v>
      </c>
      <c r="AL169" s="11">
        <f>IF(AND(ISNUMBER(AK169),ISNUMBER(V169)),IF(V169&lt;&gt;0,AK169/ABS(V169),""),"")</f>
        <v>-0.62535264120725587</v>
      </c>
      <c r="AM169" s="8">
        <f>IF(ISNUMBER(AK169),IF(AK169&gt;1,1,0),"")</f>
        <v>0</v>
      </c>
      <c r="AN169" s="8">
        <f>IF(ISNUMBER(AK169),IF(AK169&gt;0.05*ABS(V169),1,0),"")</f>
        <v>0</v>
      </c>
      <c r="AO169" s="10">
        <v>-353.59300000000002</v>
      </c>
      <c r="AP169" s="10">
        <v>353.59300000000002</v>
      </c>
      <c r="AQ169" s="8" t="s">
        <v>204</v>
      </c>
      <c r="AR169" s="8">
        <v>0</v>
      </c>
      <c r="AS169" s="10">
        <v>628.27200000000005</v>
      </c>
      <c r="AT169" s="10">
        <v>274.67899999999997</v>
      </c>
      <c r="AU169" s="8" t="s">
        <v>212</v>
      </c>
      <c r="AV169" s="10">
        <v>58.124000000000002</v>
      </c>
      <c r="AW169" s="11">
        <f>IF(AND(ISNUMBER(AV169),ISNUMBER(AT169)),IF(AT169&lt;&gt;0,AV169/ABS(AT169),""),"")</f>
        <v>0.21160700308359942</v>
      </c>
      <c r="AX169" s="8">
        <v>0</v>
      </c>
      <c r="AY169" s="8">
        <v>0</v>
      </c>
      <c r="AZ169" s="10"/>
      <c r="BA169" s="8">
        <v>0</v>
      </c>
    </row>
    <row r="170" spans="1:53" x14ac:dyDescent="0.2">
      <c r="A170" s="8" t="s">
        <v>332</v>
      </c>
      <c r="B170" s="8" t="s">
        <v>83</v>
      </c>
      <c r="C170" s="8" t="s">
        <v>203</v>
      </c>
      <c r="D170" s="8">
        <v>1</v>
      </c>
      <c r="E170" s="8">
        <v>1</v>
      </c>
      <c r="F170" s="8">
        <f>SUM(G170:M170)</f>
        <v>1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1</v>
      </c>
      <c r="N170" s="8">
        <v>0</v>
      </c>
      <c r="O170" s="8">
        <v>0</v>
      </c>
      <c r="P170" s="8">
        <v>1</v>
      </c>
      <c r="Q170" s="8">
        <v>0</v>
      </c>
      <c r="R170" s="8">
        <v>0</v>
      </c>
      <c r="S170" s="8">
        <v>0</v>
      </c>
      <c r="T170" s="10">
        <v>-28.137</v>
      </c>
      <c r="U170" s="10">
        <v>-531.36099999999999</v>
      </c>
      <c r="V170" s="10">
        <v>-448.07400000000001</v>
      </c>
      <c r="W170" s="10">
        <f>IF(RIGHT(C170,2)="12",IF(ISNUMBER(T170),T170,""),IF(COUNT(T170,U170,V170)=3,T170+U170-V170,""))</f>
        <v>-111.42400000000004</v>
      </c>
      <c r="X170" s="10">
        <v>-111.42400000000001</v>
      </c>
      <c r="Y170" s="10">
        <v>191.428</v>
      </c>
      <c r="Z170" s="10">
        <v>-166.46</v>
      </c>
      <c r="AA170" s="10">
        <v>-108.254</v>
      </c>
      <c r="AB170" s="10">
        <v>-28.137</v>
      </c>
      <c r="AC170" s="8">
        <v>0</v>
      </c>
      <c r="AD170" s="8">
        <v>0</v>
      </c>
      <c r="AE170" s="8">
        <v>0</v>
      </c>
      <c r="AF170" s="10">
        <v>0</v>
      </c>
      <c r="AG170" s="8">
        <f>COUNTIF(Y170:AB170,"&gt;0")</f>
        <v>1</v>
      </c>
      <c r="AH170" s="10">
        <v>0</v>
      </c>
      <c r="AI170" s="10">
        <v>191.428</v>
      </c>
      <c r="AJ170" s="8" t="str">
        <f>IF(ISNUMBER(X170),IF(X170&gt;0,"+",IF(X170&lt;0,"−","0")),IF(ISNUMBER(W170),IF(W170&gt;0,"+",IF(W170&lt;0,"−","0")),"yok"))</f>
        <v>−</v>
      </c>
      <c r="AK170" s="10">
        <f>IF(AND(RIGHT(C170,2)&lt;&gt;"12",ISNUMBER(U170),ISNUMBER(V170)),U170-V170,"")</f>
        <v>-83.286999999999978</v>
      </c>
      <c r="AL170" s="11">
        <f>IF(AND(ISNUMBER(AK170),ISNUMBER(V170)),IF(V170&lt;&gt;0,AK170/ABS(V170),""),"")</f>
        <v>-0.18587777911684225</v>
      </c>
      <c r="AM170" s="8">
        <f>IF(ISNUMBER(AK170),IF(AK170&gt;1,1,0),"")</f>
        <v>0</v>
      </c>
      <c r="AN170" s="8">
        <f>IF(ISNUMBER(AK170),IF(AK170&gt;0.05*ABS(V170),1,0),"")</f>
        <v>0</v>
      </c>
      <c r="AO170" s="10">
        <v>-111.42400000000001</v>
      </c>
      <c r="AP170" s="10">
        <v>111.42400000000001</v>
      </c>
      <c r="AQ170" s="8" t="s">
        <v>204</v>
      </c>
      <c r="AR170" s="8">
        <v>0</v>
      </c>
      <c r="AS170" s="10">
        <v>3933.7629999999999</v>
      </c>
      <c r="AT170" s="10">
        <v>3696.8139999999999</v>
      </c>
      <c r="AU170" s="8" t="s">
        <v>204</v>
      </c>
      <c r="AV170" s="10">
        <v>191.428</v>
      </c>
      <c r="AW170" s="11">
        <f>IF(AND(ISNUMBER(AV170),ISNUMBER(AT170)),IF(AT170&lt;&gt;0,AV170/ABS(AT170),""),"")</f>
        <v>5.1781885699415768E-2</v>
      </c>
      <c r="AX170" s="8">
        <v>0</v>
      </c>
      <c r="AY170" s="8">
        <v>0</v>
      </c>
      <c r="AZ170" s="10"/>
      <c r="BA170" s="8">
        <v>0</v>
      </c>
    </row>
    <row r="171" spans="1:53" x14ac:dyDescent="0.2">
      <c r="A171" s="8" t="s">
        <v>333</v>
      </c>
      <c r="B171" s="8" t="s">
        <v>82</v>
      </c>
      <c r="C171" s="8" t="s">
        <v>203</v>
      </c>
      <c r="D171" s="8">
        <v>1</v>
      </c>
      <c r="E171" s="8">
        <v>1</v>
      </c>
      <c r="F171" s="8">
        <f>SUM(G171:M171)</f>
        <v>1</v>
      </c>
      <c r="G171" s="8">
        <v>0</v>
      </c>
      <c r="H171" s="8">
        <v>0</v>
      </c>
      <c r="I171" s="8">
        <v>0</v>
      </c>
      <c r="J171" s="8">
        <v>1</v>
      </c>
      <c r="K171" s="8">
        <v>0</v>
      </c>
      <c r="L171" s="8">
        <v>0</v>
      </c>
      <c r="M171" s="8">
        <v>0</v>
      </c>
      <c r="N171" s="8">
        <v>0</v>
      </c>
      <c r="O171" s="8">
        <v>1</v>
      </c>
      <c r="P171" s="8">
        <v>1</v>
      </c>
      <c r="Q171" s="8">
        <v>0</v>
      </c>
      <c r="R171" s="8">
        <v>1</v>
      </c>
      <c r="S171" s="8">
        <v>0</v>
      </c>
      <c r="T171" s="10">
        <v>0</v>
      </c>
      <c r="U171" s="10">
        <v>-41.3</v>
      </c>
      <c r="V171" s="10">
        <v>94.233000000000004</v>
      </c>
      <c r="W171" s="10">
        <f>IF(RIGHT(C171,2)="12",IF(ISNUMBER(T171),T171,""),IF(COUNT(T171,U171,V171)=3,T171+U171-V171,""))</f>
        <v>-135.53300000000002</v>
      </c>
      <c r="X171" s="10">
        <v>-135.53399999999999</v>
      </c>
      <c r="Y171" s="10">
        <v>-127.34399999999999</v>
      </c>
      <c r="Z171" s="10">
        <v>2.7109999999999999</v>
      </c>
      <c r="AA171" s="10">
        <v>-10.901</v>
      </c>
      <c r="AB171" s="10">
        <v>0</v>
      </c>
      <c r="AC171" s="8">
        <v>0</v>
      </c>
      <c r="AD171" s="8">
        <v>0</v>
      </c>
      <c r="AE171" s="8">
        <v>1</v>
      </c>
      <c r="AF171" s="10">
        <v>94.233000000000004</v>
      </c>
      <c r="AG171" s="8">
        <f>COUNTIF(Y171:AB171,"&gt;0")</f>
        <v>1</v>
      </c>
      <c r="AH171" s="10">
        <v>0</v>
      </c>
      <c r="AI171" s="10">
        <v>2.7109999999999999</v>
      </c>
      <c r="AJ171" s="8" t="str">
        <f>IF(ISNUMBER(X171),IF(X171&gt;0,"+",IF(X171&lt;0,"−","0")),IF(ISNUMBER(W171),IF(W171&gt;0,"+",IF(W171&lt;0,"−","0")),"yok"))</f>
        <v>−</v>
      </c>
      <c r="AK171" s="10">
        <f>IF(AND(RIGHT(C171,2)&lt;&gt;"12",ISNUMBER(U171),ISNUMBER(V171)),U171-V171,"")</f>
        <v>-135.53300000000002</v>
      </c>
      <c r="AL171" s="11">
        <f>IF(AND(ISNUMBER(AK171),ISNUMBER(V171)),IF(V171&lt;&gt;0,AK171/ABS(V171),""),"")</f>
        <v>-1.4382753387878981</v>
      </c>
      <c r="AM171" s="8">
        <f>IF(ISNUMBER(AK171),IF(AK171&gt;1,1,0),"")</f>
        <v>0</v>
      </c>
      <c r="AN171" s="8">
        <f>IF(ISNUMBER(AK171),IF(AK171&gt;0.05*ABS(V171),1,0),"")</f>
        <v>0</v>
      </c>
      <c r="AO171" s="10">
        <v>-135.535</v>
      </c>
      <c r="AP171" s="10">
        <v>135.535</v>
      </c>
      <c r="AQ171" s="8" t="s">
        <v>204</v>
      </c>
      <c r="AR171" s="8">
        <v>0</v>
      </c>
      <c r="AS171" s="10">
        <v>472.16300000000001</v>
      </c>
      <c r="AT171" s="10">
        <v>-1123.8789999999999</v>
      </c>
      <c r="AU171" s="8" t="s">
        <v>204</v>
      </c>
      <c r="AV171" s="10">
        <v>94.233000000000004</v>
      </c>
      <c r="AW171" s="11">
        <f>IF(AND(ISNUMBER(AV171),ISNUMBER(AT171)),IF(AT171&lt;&gt;0,AV171/ABS(AT171),""),"")</f>
        <v>8.3846214761553517E-2</v>
      </c>
      <c r="AX171" s="8">
        <v>1</v>
      </c>
      <c r="AY171" s="8">
        <v>0</v>
      </c>
      <c r="AZ171" s="8" t="s">
        <v>334</v>
      </c>
      <c r="BA171" s="8">
        <v>0</v>
      </c>
    </row>
    <row r="172" spans="1:53" x14ac:dyDescent="0.2">
      <c r="A172" s="8" t="s">
        <v>335</v>
      </c>
      <c r="B172" s="8" t="s">
        <v>83</v>
      </c>
      <c r="C172" s="8" t="s">
        <v>208</v>
      </c>
      <c r="D172" s="8">
        <v>1</v>
      </c>
      <c r="E172" s="8">
        <v>1</v>
      </c>
      <c r="F172" s="8">
        <f>SUM(G172:M172)</f>
        <v>1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1</v>
      </c>
      <c r="N172" s="8">
        <v>0</v>
      </c>
      <c r="O172" s="8">
        <v>0</v>
      </c>
      <c r="P172" s="8">
        <v>1</v>
      </c>
      <c r="Q172" s="8">
        <v>0</v>
      </c>
      <c r="R172" s="8">
        <v>0</v>
      </c>
      <c r="S172" s="8">
        <v>0</v>
      </c>
      <c r="T172" s="10">
        <v>-153.036</v>
      </c>
      <c r="U172" s="10">
        <v>-914.74099999999999</v>
      </c>
      <c r="V172" s="10">
        <v>-114.14</v>
      </c>
      <c r="W172" s="10">
        <f>IF(RIGHT(C172,2)="12",IF(ISNUMBER(T172),T172,""),IF(COUNT(T172,U172,V172)=3,T172+U172-V172,""))</f>
        <v>-953.63700000000006</v>
      </c>
      <c r="X172" s="10">
        <v>-953.63699999999994</v>
      </c>
      <c r="Y172" s="10">
        <v>7.3730000000000002</v>
      </c>
      <c r="Z172" s="10"/>
      <c r="AA172" s="10"/>
      <c r="AB172" s="10">
        <v>-153.036</v>
      </c>
      <c r="AC172" s="8">
        <v>0</v>
      </c>
      <c r="AD172" s="8">
        <v>0</v>
      </c>
      <c r="AE172" s="8">
        <v>0</v>
      </c>
      <c r="AF172" s="10">
        <v>0</v>
      </c>
      <c r="AG172" s="8">
        <f>COUNTIF(Y172:AB172,"&gt;0")</f>
        <v>1</v>
      </c>
      <c r="AH172" s="10">
        <v>0</v>
      </c>
      <c r="AI172" s="10">
        <v>7.3730000000000002</v>
      </c>
      <c r="AJ172" s="8" t="str">
        <f>IF(ISNUMBER(X172),IF(X172&gt;0,"+",IF(X172&lt;0,"−","0")),IF(ISNUMBER(W172),IF(W172&gt;0,"+",IF(W172&lt;0,"−","0")),"yok"))</f>
        <v>−</v>
      </c>
      <c r="AK172" s="10">
        <f>IF(AND(RIGHT(C172,2)&lt;&gt;"12",ISNUMBER(U172),ISNUMBER(V172)),U172-V172,"")</f>
        <v>-800.601</v>
      </c>
      <c r="AL172" s="11">
        <f>IF(AND(ISNUMBER(AK172),ISNUMBER(V172)),IF(V172&lt;&gt;0,AK172/ABS(V172),""),"")</f>
        <v>-7.0142018573681444</v>
      </c>
      <c r="AM172" s="8">
        <f>IF(ISNUMBER(AK172),IF(AK172&gt;1,1,0),"")</f>
        <v>0</v>
      </c>
      <c r="AN172" s="8">
        <f>IF(ISNUMBER(AK172),IF(AK172&gt;0.05*ABS(V172),1,0),"")</f>
        <v>0</v>
      </c>
      <c r="AO172" s="10">
        <v>-953.63699999999994</v>
      </c>
      <c r="AP172" s="10">
        <v>953.63699999999994</v>
      </c>
      <c r="AQ172" s="8" t="s">
        <v>209</v>
      </c>
      <c r="AR172" s="8">
        <v>0</v>
      </c>
      <c r="AS172" s="10">
        <v>-908.15700000000004</v>
      </c>
      <c r="AT172" s="10">
        <v>-1861.7940000000001</v>
      </c>
      <c r="AU172" s="8" t="s">
        <v>209</v>
      </c>
      <c r="AV172" s="10">
        <v>7.3730000000000002</v>
      </c>
      <c r="AW172" s="11">
        <f>IF(AND(ISNUMBER(AV172),ISNUMBER(AT172)),IF(AT172&lt;&gt;0,AV172/ABS(AT172),""),"")</f>
        <v>3.9601588575320359E-3</v>
      </c>
      <c r="AX172" s="8">
        <v>0</v>
      </c>
      <c r="AY172" s="8">
        <v>0</v>
      </c>
      <c r="AZ172" s="10"/>
      <c r="BA172" s="8">
        <v>0</v>
      </c>
    </row>
    <row r="173" spans="1:53" x14ac:dyDescent="0.2">
      <c r="A173" s="8" t="s">
        <v>336</v>
      </c>
      <c r="B173" s="8" t="s">
        <v>83</v>
      </c>
      <c r="C173" s="8" t="s">
        <v>208</v>
      </c>
      <c r="D173" s="8">
        <v>1</v>
      </c>
      <c r="E173" s="8">
        <v>1</v>
      </c>
      <c r="F173" s="8">
        <f>SUM(G173:M173)</f>
        <v>1</v>
      </c>
      <c r="G173" s="8">
        <v>0</v>
      </c>
      <c r="H173" s="8">
        <v>0</v>
      </c>
      <c r="I173" s="8">
        <v>0</v>
      </c>
      <c r="J173" s="8">
        <v>0</v>
      </c>
      <c r="K173" s="8">
        <v>1</v>
      </c>
      <c r="L173" s="8">
        <v>0</v>
      </c>
      <c r="M173" s="8">
        <v>0</v>
      </c>
      <c r="N173" s="8">
        <v>0</v>
      </c>
      <c r="O173" s="8">
        <v>1</v>
      </c>
      <c r="P173" s="8">
        <v>0</v>
      </c>
      <c r="Q173" s="8">
        <v>0</v>
      </c>
      <c r="R173" s="8">
        <v>0</v>
      </c>
      <c r="S173" s="8">
        <v>0</v>
      </c>
      <c r="T173" s="10">
        <v>-831.37900000000002</v>
      </c>
      <c r="U173" s="10">
        <v>-8278.0069999999996</v>
      </c>
      <c r="V173" s="10">
        <v>1501.326</v>
      </c>
      <c r="W173" s="10">
        <f>IF(RIGHT(C173,2)="12",IF(ISNUMBER(T173),T173,""),IF(COUNT(T173,U173,V173)=3,T173+U173-V173,""))</f>
        <v>-10610.712</v>
      </c>
      <c r="X173" s="10">
        <v>-10610.713</v>
      </c>
      <c r="Y173" s="10">
        <v>-3791.2809999999999</v>
      </c>
      <c r="Z173" s="10"/>
      <c r="AA173" s="10"/>
      <c r="AB173" s="10">
        <v>-831.37900000000002</v>
      </c>
      <c r="AC173" s="8">
        <v>0</v>
      </c>
      <c r="AD173" s="8">
        <v>0</v>
      </c>
      <c r="AE173" s="8">
        <v>1</v>
      </c>
      <c r="AF173" s="10">
        <v>1501.326</v>
      </c>
      <c r="AG173" s="8">
        <f>COUNTIF(Y173:AB173,"&gt;0")</f>
        <v>0</v>
      </c>
      <c r="AH173" s="10">
        <v>0</v>
      </c>
      <c r="AI173" s="10">
        <v>0</v>
      </c>
      <c r="AJ173" s="8" t="str">
        <f>IF(ISNUMBER(X173),IF(X173&gt;0,"+",IF(X173&lt;0,"−","0")),IF(ISNUMBER(W173),IF(W173&gt;0,"+",IF(W173&lt;0,"−","0")),"yok"))</f>
        <v>−</v>
      </c>
      <c r="AK173" s="10">
        <f>IF(AND(RIGHT(C173,2)&lt;&gt;"12",ISNUMBER(U173),ISNUMBER(V173)),U173-V173,"")</f>
        <v>-9779.3329999999987</v>
      </c>
      <c r="AL173" s="11">
        <f>IF(AND(ISNUMBER(AK173),ISNUMBER(V173)),IF(V173&lt;&gt;0,AK173/ABS(V173),""),"")</f>
        <v>-6.5137971366645209</v>
      </c>
      <c r="AM173" s="8">
        <f>IF(ISNUMBER(AK173),IF(AK173&gt;1,1,0),"")</f>
        <v>0</v>
      </c>
      <c r="AN173" s="8">
        <f>IF(ISNUMBER(AK173),IF(AK173&gt;0.05*ABS(V173),1,0),"")</f>
        <v>0</v>
      </c>
      <c r="AO173" s="10"/>
      <c r="AP173" s="10"/>
      <c r="AQ173" s="8" t="s">
        <v>207</v>
      </c>
      <c r="AR173" s="8">
        <v>0</v>
      </c>
      <c r="AS173" s="10"/>
      <c r="AT173" s="10"/>
      <c r="AU173" s="8" t="s">
        <v>207</v>
      </c>
      <c r="AV173" s="10">
        <v>1501.326</v>
      </c>
      <c r="AW173" s="11" t="str">
        <f>IF(AND(ISNUMBER(AV173),ISNUMBER(AT173)),IF(AT173&lt;&gt;0,AV173/ABS(AT173),""),"")</f>
        <v/>
      </c>
      <c r="AX173" s="8">
        <v>1</v>
      </c>
      <c r="AY173" s="8">
        <v>0</v>
      </c>
      <c r="AZ173" s="8" t="s">
        <v>337</v>
      </c>
      <c r="BA173" s="8">
        <v>0</v>
      </c>
    </row>
    <row r="174" spans="1:53" x14ac:dyDescent="0.2">
      <c r="A174" s="8" t="s">
        <v>338</v>
      </c>
      <c r="B174" s="8" t="s">
        <v>82</v>
      </c>
      <c r="C174" s="8" t="s">
        <v>208</v>
      </c>
      <c r="D174" s="8">
        <v>1</v>
      </c>
      <c r="E174" s="8">
        <v>1</v>
      </c>
      <c r="F174" s="8">
        <f>SUM(G174:M174)</f>
        <v>1</v>
      </c>
      <c r="G174" s="8">
        <v>0</v>
      </c>
      <c r="H174" s="8">
        <v>0</v>
      </c>
      <c r="I174" s="8">
        <v>0</v>
      </c>
      <c r="J174" s="8">
        <v>1</v>
      </c>
      <c r="K174" s="8">
        <v>0</v>
      </c>
      <c r="L174" s="8">
        <v>0</v>
      </c>
      <c r="M174" s="8">
        <v>0</v>
      </c>
      <c r="N174" s="8">
        <v>0</v>
      </c>
      <c r="O174" s="8">
        <v>1</v>
      </c>
      <c r="P174" s="8">
        <v>1</v>
      </c>
      <c r="Q174" s="8">
        <v>0</v>
      </c>
      <c r="R174" s="8">
        <v>0</v>
      </c>
      <c r="S174" s="8">
        <v>0</v>
      </c>
      <c r="T174" s="10">
        <v>6.0419999999999998</v>
      </c>
      <c r="U174" s="10">
        <v>-15.585000000000001</v>
      </c>
      <c r="V174" s="10">
        <v>0</v>
      </c>
      <c r="W174" s="10">
        <f>IF(RIGHT(C174,2)="12",IF(ISNUMBER(T174),T174,""),IF(COUNT(T174,U174,V174)=3,T174+U174-V174,""))</f>
        <v>-9.543000000000001</v>
      </c>
      <c r="X174" s="10">
        <v>-9.5419999999999998</v>
      </c>
      <c r="Y174" s="10"/>
      <c r="Z174" s="10"/>
      <c r="AA174" s="10"/>
      <c r="AB174" s="10">
        <v>6.0419999999999998</v>
      </c>
      <c r="AC174" s="8">
        <v>1</v>
      </c>
      <c r="AD174" s="8">
        <v>0</v>
      </c>
      <c r="AE174" s="8">
        <v>0</v>
      </c>
      <c r="AF174" s="10">
        <v>6.0419999999999998</v>
      </c>
      <c r="AG174" s="8">
        <f>COUNTIF(Y174:AB174,"&gt;0")</f>
        <v>1</v>
      </c>
      <c r="AH174" s="10">
        <v>0</v>
      </c>
      <c r="AI174" s="10">
        <v>0</v>
      </c>
      <c r="AJ174" s="8" t="str">
        <f>IF(ISNUMBER(X174),IF(X174&gt;0,"+",IF(X174&lt;0,"−","0")),IF(ISNUMBER(W174),IF(W174&gt;0,"+",IF(W174&lt;0,"−","0")),"yok"))</f>
        <v>−</v>
      </c>
      <c r="AK174" s="10">
        <f>IF(AND(RIGHT(C174,2)&lt;&gt;"12",ISNUMBER(U174),ISNUMBER(V174)),U174-V174,"")</f>
        <v>-15.585000000000001</v>
      </c>
      <c r="AL174" s="11" t="str">
        <f>IF(AND(ISNUMBER(AK174),ISNUMBER(V174)),IF(V174&lt;&gt;0,AK174/ABS(V174),""),"")</f>
        <v/>
      </c>
      <c r="AM174" s="8">
        <f>IF(ISNUMBER(AK174),IF(AK174&gt;1,1,0),"")</f>
        <v>0</v>
      </c>
      <c r="AN174" s="8">
        <f>IF(ISNUMBER(AK174),IF(AK174&gt;0.05*ABS(V174),1,0),"")</f>
        <v>0</v>
      </c>
      <c r="AO174" s="10"/>
      <c r="AP174" s="10"/>
      <c r="AQ174" s="8" t="s">
        <v>207</v>
      </c>
      <c r="AR174" s="8">
        <v>0</v>
      </c>
      <c r="AS174" s="10">
        <v>-586.98900000000003</v>
      </c>
      <c r="AT174" s="10"/>
      <c r="AU174" s="8" t="s">
        <v>207</v>
      </c>
      <c r="AV174" s="10">
        <v>6.0419999999999998</v>
      </c>
      <c r="AW174" s="11" t="str">
        <f>IF(AND(ISNUMBER(AV174),ISNUMBER(AT174)),IF(AT174&lt;&gt;0,AV174/ABS(AT174),""),"")</f>
        <v/>
      </c>
      <c r="AX174" s="8">
        <v>1</v>
      </c>
      <c r="AY174" s="8">
        <v>0</v>
      </c>
      <c r="AZ174" s="8" t="s">
        <v>339</v>
      </c>
      <c r="BA174" s="8">
        <v>0</v>
      </c>
    </row>
    <row r="175" spans="1:53" x14ac:dyDescent="0.2">
      <c r="A175" s="8" t="s">
        <v>338</v>
      </c>
      <c r="B175" s="8" t="s">
        <v>83</v>
      </c>
      <c r="C175" s="8" t="s">
        <v>203</v>
      </c>
      <c r="D175" s="8">
        <v>1</v>
      </c>
      <c r="E175" s="8">
        <v>1</v>
      </c>
      <c r="F175" s="8">
        <f>SUM(G175:M175)</f>
        <v>1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1</v>
      </c>
      <c r="N175" s="8">
        <v>0</v>
      </c>
      <c r="O175" s="8">
        <v>0</v>
      </c>
      <c r="P175" s="8">
        <v>1</v>
      </c>
      <c r="Q175" s="8">
        <v>0</v>
      </c>
      <c r="R175" s="8">
        <v>0</v>
      </c>
      <c r="S175" s="8">
        <v>0</v>
      </c>
      <c r="T175" s="10">
        <v>-32.686999999999998</v>
      </c>
      <c r="U175" s="10">
        <v>-345.94600000000003</v>
      </c>
      <c r="V175" s="10">
        <v>-139.70699999999999</v>
      </c>
      <c r="W175" s="10">
        <f>IF(RIGHT(C175,2)="12",IF(ISNUMBER(T175),T175,""),IF(COUNT(T175,U175,V175)=3,T175+U175-V175,""))</f>
        <v>-238.92600000000004</v>
      </c>
      <c r="X175" s="10">
        <v>-238.92500000000001</v>
      </c>
      <c r="Y175" s="10">
        <v>-217.13200000000001</v>
      </c>
      <c r="Z175" s="10">
        <v>40.341000000000001</v>
      </c>
      <c r="AA175" s="10">
        <v>-29.446999999999999</v>
      </c>
      <c r="AB175" s="10">
        <v>-32.686999999999998</v>
      </c>
      <c r="AC175" s="8">
        <v>0</v>
      </c>
      <c r="AD175" s="8">
        <v>0</v>
      </c>
      <c r="AE175" s="8">
        <v>0</v>
      </c>
      <c r="AF175" s="10">
        <v>0</v>
      </c>
      <c r="AG175" s="8">
        <f>COUNTIF(Y175:AB175,"&gt;0")</f>
        <v>1</v>
      </c>
      <c r="AH175" s="10">
        <v>0</v>
      </c>
      <c r="AI175" s="10">
        <v>40.341000000000001</v>
      </c>
      <c r="AJ175" s="8" t="str">
        <f>IF(ISNUMBER(X175),IF(X175&gt;0,"+",IF(X175&lt;0,"−","0")),IF(ISNUMBER(W175),IF(W175&gt;0,"+",IF(W175&lt;0,"−","0")),"yok"))</f>
        <v>−</v>
      </c>
      <c r="AK175" s="10">
        <f>IF(AND(RIGHT(C175,2)&lt;&gt;"12",ISNUMBER(U175),ISNUMBER(V175)),U175-V175,"")</f>
        <v>-206.23900000000003</v>
      </c>
      <c r="AL175" s="11">
        <f>IF(AND(ISNUMBER(AK175),ISNUMBER(V175)),IF(V175&lt;&gt;0,AK175/ABS(V175),""),"")</f>
        <v>-1.4762252428296365</v>
      </c>
      <c r="AM175" s="8">
        <f>IF(ISNUMBER(AK175),IF(AK175&gt;1,1,0),"")</f>
        <v>0</v>
      </c>
      <c r="AN175" s="8">
        <f>IF(ISNUMBER(AK175),IF(AK175&gt;0.05*ABS(V175),1,0),"")</f>
        <v>0</v>
      </c>
      <c r="AO175" s="10">
        <v>-238.92500000000001</v>
      </c>
      <c r="AP175" s="10">
        <v>238.92500000000001</v>
      </c>
      <c r="AQ175" s="8" t="s">
        <v>204</v>
      </c>
      <c r="AR175" s="8">
        <v>0</v>
      </c>
      <c r="AS175" s="10">
        <v>311.65899999999999</v>
      </c>
      <c r="AT175" s="10">
        <v>72.733999999999995</v>
      </c>
      <c r="AU175" s="8" t="s">
        <v>209</v>
      </c>
      <c r="AV175" s="10">
        <v>40.341000000000001</v>
      </c>
      <c r="AW175" s="11">
        <f>IF(AND(ISNUMBER(AV175),ISNUMBER(AT175)),IF(AT175&lt;&gt;0,AV175/ABS(AT175),""),"")</f>
        <v>0.55463744603624165</v>
      </c>
      <c r="AX175" s="8">
        <v>0</v>
      </c>
      <c r="AY175" s="8">
        <v>0</v>
      </c>
      <c r="AZ175" s="10"/>
      <c r="BA175" s="8">
        <v>0</v>
      </c>
    </row>
    <row r="176" spans="1:53" x14ac:dyDescent="0.2">
      <c r="A176" s="8" t="s">
        <v>338</v>
      </c>
      <c r="B176" s="8" t="s">
        <v>83</v>
      </c>
      <c r="C176" s="8" t="s">
        <v>205</v>
      </c>
      <c r="D176" s="8">
        <v>1</v>
      </c>
      <c r="E176" s="8">
        <v>1</v>
      </c>
      <c r="F176" s="8">
        <f>SUM(G176:M176)</f>
        <v>1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1</v>
      </c>
      <c r="N176" s="8">
        <v>0</v>
      </c>
      <c r="O176" s="8">
        <v>0</v>
      </c>
      <c r="P176" s="8">
        <v>1</v>
      </c>
      <c r="Q176" s="8">
        <v>0</v>
      </c>
      <c r="R176" s="8">
        <v>0</v>
      </c>
      <c r="S176" s="8">
        <v>0</v>
      </c>
      <c r="T176" s="10">
        <v>-42.392000000000003</v>
      </c>
      <c r="U176" s="10">
        <v>-345.94600000000003</v>
      </c>
      <c r="V176" s="10">
        <v>-356.84</v>
      </c>
      <c r="W176" s="10">
        <f>IF(RIGHT(C176,2)="12",IF(ISNUMBER(T176),T176,""),IF(COUNT(T176,U176,V176)=3,T176+U176-V176,""))</f>
        <v>-31.498000000000047</v>
      </c>
      <c r="X176" s="10">
        <v>-31.498000000000001</v>
      </c>
      <c r="Y176" s="10">
        <v>40.341000000000001</v>
      </c>
      <c r="Z176" s="10">
        <v>-29.446999999999999</v>
      </c>
      <c r="AA176" s="10">
        <v>-32.686999999999998</v>
      </c>
      <c r="AB176" s="10">
        <v>-9.7050000000000001</v>
      </c>
      <c r="AC176" s="8">
        <v>0</v>
      </c>
      <c r="AD176" s="8">
        <v>0</v>
      </c>
      <c r="AE176" s="8">
        <v>0</v>
      </c>
      <c r="AF176" s="10">
        <v>0</v>
      </c>
      <c r="AG176" s="8">
        <f>COUNTIF(Y176:AB176,"&gt;0")</f>
        <v>1</v>
      </c>
      <c r="AH176" s="10">
        <v>0</v>
      </c>
      <c r="AI176" s="10">
        <v>40.341000000000001</v>
      </c>
      <c r="AJ176" s="8" t="str">
        <f>IF(ISNUMBER(X176),IF(X176&gt;0,"+",IF(X176&lt;0,"−","0")),IF(ISNUMBER(W176),IF(W176&gt;0,"+",IF(W176&lt;0,"−","0")),"yok"))</f>
        <v>−</v>
      </c>
      <c r="AK176" s="10">
        <f>IF(AND(RIGHT(C176,2)&lt;&gt;"12",ISNUMBER(U176),ISNUMBER(V176)),U176-V176,"")</f>
        <v>10.893999999999949</v>
      </c>
      <c r="AL176" s="11">
        <f>IF(AND(ISNUMBER(AK176),ISNUMBER(V176)),IF(V176&lt;&gt;0,AK176/ABS(V176),""),"")</f>
        <v>3.0529088667189636E-2</v>
      </c>
      <c r="AM176" s="8">
        <f>IF(ISNUMBER(AK176),IF(AK176&gt;1,1,0),"")</f>
        <v>1</v>
      </c>
      <c r="AN176" s="8">
        <f>IF(ISNUMBER(AK176),IF(AK176&gt;0.05*ABS(V176),1,0),"")</f>
        <v>0</v>
      </c>
      <c r="AO176" s="10">
        <v>-31.499000000000098</v>
      </c>
      <c r="AP176" s="10">
        <v>31.499000000000098</v>
      </c>
      <c r="AQ176" s="8" t="s">
        <v>204</v>
      </c>
      <c r="AR176" s="8">
        <v>0</v>
      </c>
      <c r="AS176" s="10">
        <v>-218.239</v>
      </c>
      <c r="AT176" s="10">
        <v>-249.738</v>
      </c>
      <c r="AU176" s="8" t="s">
        <v>209</v>
      </c>
      <c r="AV176" s="10">
        <v>10.894</v>
      </c>
      <c r="AW176" s="11">
        <f>IF(AND(ISNUMBER(AV176),ISNUMBER(AT176)),IF(AT176&lt;&gt;0,AV176/ABS(AT176),""),"")</f>
        <v>4.3621715557904686E-2</v>
      </c>
      <c r="AX176" s="8">
        <v>0</v>
      </c>
      <c r="AY176" s="8">
        <v>0</v>
      </c>
      <c r="AZ176" s="10"/>
      <c r="BA176" s="8">
        <v>0</v>
      </c>
    </row>
    <row r="177" spans="1:53" x14ac:dyDescent="0.2">
      <c r="A177" s="8" t="s">
        <v>340</v>
      </c>
      <c r="B177" s="8" t="s">
        <v>83</v>
      </c>
      <c r="C177" s="8" t="s">
        <v>203</v>
      </c>
      <c r="D177" s="8">
        <v>1</v>
      </c>
      <c r="E177" s="8">
        <v>1</v>
      </c>
      <c r="F177" s="8">
        <f>SUM(G177:M177)</f>
        <v>1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1</v>
      </c>
      <c r="N177" s="8">
        <v>0</v>
      </c>
      <c r="O177" s="8">
        <v>0</v>
      </c>
      <c r="P177" s="8">
        <v>1</v>
      </c>
      <c r="Q177" s="8">
        <v>0</v>
      </c>
      <c r="R177" s="8">
        <v>0</v>
      </c>
      <c r="S177" s="8">
        <v>0</v>
      </c>
      <c r="T177" s="10">
        <v>-28.219000000000001</v>
      </c>
      <c r="U177" s="10">
        <v>-235.01400000000001</v>
      </c>
      <c r="V177" s="10">
        <v>-54.093000000000004</v>
      </c>
      <c r="W177" s="10">
        <f>IF(RIGHT(C177,2)="12",IF(ISNUMBER(T177),T177,""),IF(COUNT(T177,U177,V177)=3,T177+U177-V177,""))</f>
        <v>-209.14</v>
      </c>
      <c r="X177" s="10">
        <v>-209.14</v>
      </c>
      <c r="Y177" s="10">
        <v>-38.408999999999999</v>
      </c>
      <c r="Z177" s="10">
        <v>47.869</v>
      </c>
      <c r="AA177" s="10">
        <v>-190.38</v>
      </c>
      <c r="AB177" s="10">
        <v>-28.219000000000001</v>
      </c>
      <c r="AC177" s="8">
        <v>0</v>
      </c>
      <c r="AD177" s="8">
        <v>0</v>
      </c>
      <c r="AE177" s="8">
        <v>0</v>
      </c>
      <c r="AF177" s="10">
        <v>0</v>
      </c>
      <c r="AG177" s="8">
        <f>COUNTIF(Y177:AB177,"&gt;0")</f>
        <v>1</v>
      </c>
      <c r="AH177" s="10">
        <v>0</v>
      </c>
      <c r="AI177" s="10">
        <v>47.869</v>
      </c>
      <c r="AJ177" s="8" t="str">
        <f>IF(ISNUMBER(X177),IF(X177&gt;0,"+",IF(X177&lt;0,"−","0")),IF(ISNUMBER(W177),IF(W177&gt;0,"+",IF(W177&lt;0,"−","0")),"yok"))</f>
        <v>−</v>
      </c>
      <c r="AK177" s="10">
        <f>IF(AND(RIGHT(C177,2)&lt;&gt;"12",ISNUMBER(U177),ISNUMBER(V177)),U177-V177,"")</f>
        <v>-180.92099999999999</v>
      </c>
      <c r="AL177" s="11">
        <f>IF(AND(ISNUMBER(AK177),ISNUMBER(V177)),IF(V177&lt;&gt;0,AK177/ABS(V177),""),"")</f>
        <v>-3.344628695025234</v>
      </c>
      <c r="AM177" s="8">
        <f>IF(ISNUMBER(AK177),IF(AK177&gt;1,1,0),"")</f>
        <v>0</v>
      </c>
      <c r="AN177" s="8">
        <f>IF(ISNUMBER(AK177),IF(AK177&gt;0.05*ABS(V177),1,0),"")</f>
        <v>0</v>
      </c>
      <c r="AO177" s="10">
        <v>-209.14099999999999</v>
      </c>
      <c r="AP177" s="10">
        <v>209.14099999999999</v>
      </c>
      <c r="AQ177" s="8" t="s">
        <v>204</v>
      </c>
      <c r="AR177" s="8">
        <v>0</v>
      </c>
      <c r="AS177" s="10">
        <v>465.71199999999999</v>
      </c>
      <c r="AT177" s="10">
        <v>256.57100000000003</v>
      </c>
      <c r="AU177" s="8" t="s">
        <v>204</v>
      </c>
      <c r="AV177" s="10">
        <v>47.869</v>
      </c>
      <c r="AW177" s="11">
        <f>IF(AND(ISNUMBER(AV177),ISNUMBER(AT177)),IF(AT177&lt;&gt;0,AV177/ABS(AT177),""),"")</f>
        <v>0.18657213792673372</v>
      </c>
      <c r="AX177" s="8">
        <v>0</v>
      </c>
      <c r="AY177" s="8">
        <v>0</v>
      </c>
      <c r="AZ177" s="10"/>
      <c r="BA177" s="8">
        <v>0</v>
      </c>
    </row>
    <row r="178" spans="1:53" x14ac:dyDescent="0.2">
      <c r="A178" s="8" t="s">
        <v>340</v>
      </c>
      <c r="B178" s="8" t="s">
        <v>83</v>
      </c>
      <c r="C178" s="8" t="s">
        <v>205</v>
      </c>
      <c r="D178" s="8">
        <v>1</v>
      </c>
      <c r="E178" s="8">
        <v>1</v>
      </c>
      <c r="F178" s="8">
        <f>SUM(G178:M178)</f>
        <v>1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1</v>
      </c>
      <c r="N178" s="8">
        <v>0</v>
      </c>
      <c r="O178" s="8">
        <v>0</v>
      </c>
      <c r="P178" s="8">
        <v>1</v>
      </c>
      <c r="Q178" s="8">
        <v>0</v>
      </c>
      <c r="R178" s="8">
        <v>0</v>
      </c>
      <c r="S178" s="8">
        <v>0</v>
      </c>
      <c r="T178" s="10">
        <v>-42.935000000000002</v>
      </c>
      <c r="U178" s="10">
        <v>-235.01400000000001</v>
      </c>
      <c r="V178" s="10">
        <v>-92.503</v>
      </c>
      <c r="W178" s="10">
        <f>IF(RIGHT(C178,2)="12",IF(ISNUMBER(T178),T178,""),IF(COUNT(T178,U178,V178)=3,T178+U178-V178,""))</f>
        <v>-185.44600000000003</v>
      </c>
      <c r="X178" s="10">
        <v>-185.446</v>
      </c>
      <c r="Y178" s="10">
        <v>47.869</v>
      </c>
      <c r="Z178" s="10">
        <v>-190.38</v>
      </c>
      <c r="AA178" s="10">
        <v>-28.219000000000001</v>
      </c>
      <c r="AB178" s="10">
        <v>-14.715</v>
      </c>
      <c r="AC178" s="8">
        <v>0</v>
      </c>
      <c r="AD178" s="8">
        <v>0</v>
      </c>
      <c r="AE178" s="8">
        <v>0</v>
      </c>
      <c r="AF178" s="10">
        <v>0</v>
      </c>
      <c r="AG178" s="8">
        <f>COUNTIF(Y178:AB178,"&gt;0")</f>
        <v>1</v>
      </c>
      <c r="AH178" s="10">
        <v>0</v>
      </c>
      <c r="AI178" s="10">
        <v>47.869</v>
      </c>
      <c r="AJ178" s="8" t="str">
        <f>IF(ISNUMBER(X178),IF(X178&gt;0,"+",IF(X178&lt;0,"−","0")),IF(ISNUMBER(W178),IF(W178&gt;0,"+",IF(W178&lt;0,"−","0")),"yok"))</f>
        <v>−</v>
      </c>
      <c r="AK178" s="10">
        <f>IF(AND(RIGHT(C178,2)&lt;&gt;"12",ISNUMBER(U178),ISNUMBER(V178)),U178-V178,"")</f>
        <v>-142.51100000000002</v>
      </c>
      <c r="AL178" s="11">
        <f>IF(AND(ISNUMBER(AK178),ISNUMBER(V178)),IF(V178&lt;&gt;0,AK178/ABS(V178),""),"")</f>
        <v>-1.540609493746149</v>
      </c>
      <c r="AM178" s="8">
        <f>IF(ISNUMBER(AK178),IF(AK178&gt;1,1,0),"")</f>
        <v>0</v>
      </c>
      <c r="AN178" s="8">
        <f>IF(ISNUMBER(AK178),IF(AK178&gt;0.05*ABS(V178),1,0),"")</f>
        <v>0</v>
      </c>
      <c r="AO178" s="10">
        <v>-185.446</v>
      </c>
      <c r="AP178" s="10">
        <v>185.446</v>
      </c>
      <c r="AQ178" s="8" t="s">
        <v>204</v>
      </c>
      <c r="AR178" s="8">
        <v>0</v>
      </c>
      <c r="AS178" s="10">
        <v>723.125</v>
      </c>
      <c r="AT178" s="10">
        <v>537.67899999999997</v>
      </c>
      <c r="AU178" s="8" t="s">
        <v>204</v>
      </c>
      <c r="AV178" s="10">
        <v>47.869</v>
      </c>
      <c r="AW178" s="11">
        <f>IF(AND(ISNUMBER(AV178),ISNUMBER(AT178)),IF(AT178&lt;&gt;0,AV178/ABS(AT178),""),"")</f>
        <v>8.902895593839448E-2</v>
      </c>
      <c r="AX178" s="8">
        <v>0</v>
      </c>
      <c r="AY178" s="8">
        <v>0</v>
      </c>
      <c r="AZ178" s="10"/>
      <c r="BA178" s="8">
        <v>0</v>
      </c>
    </row>
    <row r="179" spans="1:53" x14ac:dyDescent="0.2">
      <c r="A179" s="8" t="s">
        <v>341</v>
      </c>
      <c r="B179" s="8" t="s">
        <v>82</v>
      </c>
      <c r="C179" s="8" t="s">
        <v>210</v>
      </c>
      <c r="D179" s="8">
        <v>1</v>
      </c>
      <c r="E179" s="8">
        <v>1</v>
      </c>
      <c r="F179" s="8">
        <f>SUM(G179:M179)</f>
        <v>1</v>
      </c>
      <c r="G179" s="8">
        <v>0</v>
      </c>
      <c r="H179" s="8">
        <v>0</v>
      </c>
      <c r="I179" s="8">
        <v>0</v>
      </c>
      <c r="J179" s="8">
        <v>1</v>
      </c>
      <c r="K179" s="8">
        <v>0</v>
      </c>
      <c r="L179" s="8">
        <v>0</v>
      </c>
      <c r="M179" s="8">
        <v>0</v>
      </c>
      <c r="N179" s="8">
        <v>0</v>
      </c>
      <c r="O179" s="8">
        <v>1</v>
      </c>
      <c r="P179" s="8">
        <v>1</v>
      </c>
      <c r="Q179" s="8">
        <v>0</v>
      </c>
      <c r="R179" s="8">
        <v>0</v>
      </c>
      <c r="S179" s="8">
        <v>1</v>
      </c>
      <c r="T179" s="10">
        <v>3.4039999999999999</v>
      </c>
      <c r="U179" s="10">
        <v>-26.207999999999998</v>
      </c>
      <c r="V179" s="10">
        <v>-14.307</v>
      </c>
      <c r="W179" s="10">
        <f>IF(RIGHT(C179,2)="12",IF(ISNUMBER(T179),T179,""),IF(COUNT(T179,U179,V179)=3,T179+U179-V179,""))</f>
        <v>-8.4969999999999981</v>
      </c>
      <c r="X179" s="10">
        <v>-8.4960000000000004</v>
      </c>
      <c r="Y179" s="10"/>
      <c r="Z179" s="10"/>
      <c r="AA179" s="10">
        <v>-7.0259999999999998</v>
      </c>
      <c r="AB179" s="10">
        <v>10.43</v>
      </c>
      <c r="AC179" s="8">
        <v>1</v>
      </c>
      <c r="AD179" s="8">
        <v>0</v>
      </c>
      <c r="AE179" s="8">
        <v>0</v>
      </c>
      <c r="AF179" s="10">
        <v>3.4039999999999999</v>
      </c>
      <c r="AG179" s="8">
        <f>COUNTIF(Y179:AB179,"&gt;0")</f>
        <v>1</v>
      </c>
      <c r="AH179" s="10">
        <v>10.43</v>
      </c>
      <c r="AI179" s="10">
        <v>0</v>
      </c>
      <c r="AJ179" s="8" t="str">
        <f>IF(ISNUMBER(X179),IF(X179&gt;0,"+",IF(X179&lt;0,"−","0")),IF(ISNUMBER(W179),IF(W179&gt;0,"+",IF(W179&lt;0,"−","0")),"yok"))</f>
        <v>−</v>
      </c>
      <c r="AK179" s="10">
        <f>IF(AND(RIGHT(C179,2)&lt;&gt;"12",ISNUMBER(U179),ISNUMBER(V179)),U179-V179,"")</f>
        <v>-11.900999999999998</v>
      </c>
      <c r="AL179" s="11">
        <f>IF(AND(ISNUMBER(AK179),ISNUMBER(V179)),IF(V179&lt;&gt;0,AK179/ABS(V179),""),"")</f>
        <v>-0.83183057244705372</v>
      </c>
      <c r="AM179" s="8">
        <f>IF(ISNUMBER(AK179),IF(AK179&gt;1,1,0),"")</f>
        <v>0</v>
      </c>
      <c r="AN179" s="8">
        <f>IF(ISNUMBER(AK179),IF(AK179&gt;0.05*ABS(V179),1,0),"")</f>
        <v>0</v>
      </c>
      <c r="AO179" s="10"/>
      <c r="AP179" s="10"/>
      <c r="AQ179" s="8" t="s">
        <v>207</v>
      </c>
      <c r="AR179" s="8">
        <v>0</v>
      </c>
      <c r="AS179" s="10">
        <v>22.018999999999998</v>
      </c>
      <c r="AT179" s="10"/>
      <c r="AU179" s="8" t="s">
        <v>207</v>
      </c>
      <c r="AV179" s="10">
        <v>3.4039999999999999</v>
      </c>
      <c r="AW179" s="11" t="str">
        <f>IF(AND(ISNUMBER(AV179),ISNUMBER(AT179)),IF(AT179&lt;&gt;0,AV179/ABS(AT179),""),"")</f>
        <v/>
      </c>
      <c r="AX179" s="8">
        <v>1</v>
      </c>
      <c r="AY179" s="8">
        <v>0</v>
      </c>
      <c r="AZ179" s="8" t="s">
        <v>342</v>
      </c>
      <c r="BA179" s="8">
        <v>0</v>
      </c>
    </row>
    <row r="180" spans="1:53" x14ac:dyDescent="0.2">
      <c r="A180" s="8" t="s">
        <v>343</v>
      </c>
      <c r="B180" s="8" t="s">
        <v>82</v>
      </c>
      <c r="C180" s="8" t="s">
        <v>210</v>
      </c>
      <c r="D180" s="8">
        <v>1</v>
      </c>
      <c r="E180" s="8">
        <v>1</v>
      </c>
      <c r="F180" s="8">
        <f>SUM(G180:M180)</f>
        <v>1</v>
      </c>
      <c r="G180" s="8">
        <v>0</v>
      </c>
      <c r="H180" s="8">
        <v>1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8">
        <v>1</v>
      </c>
      <c r="R180" s="8">
        <v>1</v>
      </c>
      <c r="S180" s="8">
        <v>0</v>
      </c>
      <c r="T180" s="10">
        <v>-23.960999999999999</v>
      </c>
      <c r="U180" s="10">
        <v>-24.483000000000001</v>
      </c>
      <c r="V180" s="10">
        <v>-27.579000000000001</v>
      </c>
      <c r="W180" s="10">
        <f>IF(RIGHT(C180,2)="12",IF(ISNUMBER(T180),T180,""),IF(COUNT(T180,U180,V180)=3,T180+U180-V180,""))</f>
        <v>-20.865000000000002</v>
      </c>
      <c r="X180" s="10">
        <v>-20.864999999999998</v>
      </c>
      <c r="Y180" s="10">
        <v>-10.901</v>
      </c>
      <c r="Z180" s="10">
        <v>13.997</v>
      </c>
      <c r="AA180" s="10">
        <v>-11.17</v>
      </c>
      <c r="AB180" s="10">
        <v>-12.791</v>
      </c>
      <c r="AC180" s="8">
        <v>0</v>
      </c>
      <c r="AD180" s="8">
        <v>0</v>
      </c>
      <c r="AE180" s="8">
        <v>0</v>
      </c>
      <c r="AF180" s="10">
        <v>0</v>
      </c>
      <c r="AG180" s="8">
        <f>COUNTIF(Y180:AB180,"&gt;0")</f>
        <v>1</v>
      </c>
      <c r="AH180" s="10">
        <v>0</v>
      </c>
      <c r="AI180" s="10">
        <v>13.997</v>
      </c>
      <c r="AJ180" s="8" t="str">
        <f>IF(ISNUMBER(X180),IF(X180&gt;0,"+",IF(X180&lt;0,"−","0")),IF(ISNUMBER(W180),IF(W180&gt;0,"+",IF(W180&lt;0,"−","0")),"yok"))</f>
        <v>−</v>
      </c>
      <c r="AK180" s="10">
        <f>IF(AND(RIGHT(C180,2)&lt;&gt;"12",ISNUMBER(U180),ISNUMBER(V180)),U180-V180,"")</f>
        <v>3.0960000000000001</v>
      </c>
      <c r="AL180" s="11">
        <f>IF(AND(ISNUMBER(AK180),ISNUMBER(V180)),IF(V180&lt;&gt;0,AK180/ABS(V180),""),"")</f>
        <v>0.11225932774937453</v>
      </c>
      <c r="AM180" s="8">
        <f>IF(ISNUMBER(AK180),IF(AK180&gt;1,1,0),"")</f>
        <v>1</v>
      </c>
      <c r="AN180" s="8">
        <f>IF(ISNUMBER(AK180),IF(AK180&gt;0.05*ABS(V180),1,0),"")</f>
        <v>1</v>
      </c>
      <c r="AO180" s="10">
        <v>-20.866</v>
      </c>
      <c r="AP180" s="10">
        <v>20.866</v>
      </c>
      <c r="AQ180" s="8" t="s">
        <v>204</v>
      </c>
      <c r="AR180" s="8">
        <v>0</v>
      </c>
      <c r="AS180" s="10">
        <v>7.7340000000000702</v>
      </c>
      <c r="AT180" s="10">
        <v>-162.089</v>
      </c>
      <c r="AU180" s="8" t="s">
        <v>212</v>
      </c>
      <c r="AV180" s="10">
        <v>3.0960000000000001</v>
      </c>
      <c r="AW180" s="11">
        <f>IF(AND(ISNUMBER(AV180),ISNUMBER(AT180)),IF(AT180&lt;&gt;0,AV180/ABS(AT180),""),"")</f>
        <v>1.9100617561956704E-2</v>
      </c>
      <c r="AX180" s="8">
        <v>0</v>
      </c>
      <c r="AY180" s="8">
        <v>1</v>
      </c>
      <c r="AZ180" s="10"/>
      <c r="BA180" s="8">
        <v>0</v>
      </c>
    </row>
    <row r="181" spans="1:53" x14ac:dyDescent="0.2">
      <c r="A181" s="8" t="s">
        <v>343</v>
      </c>
      <c r="B181" s="8" t="s">
        <v>83</v>
      </c>
      <c r="C181" s="8" t="s">
        <v>208</v>
      </c>
      <c r="D181" s="8">
        <v>1</v>
      </c>
      <c r="E181" s="8">
        <v>1</v>
      </c>
      <c r="F181" s="8">
        <f>SUM(G181:M181)</f>
        <v>1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1</v>
      </c>
      <c r="N181" s="8">
        <v>0</v>
      </c>
      <c r="O181" s="8">
        <v>0</v>
      </c>
      <c r="P181" s="8">
        <v>1</v>
      </c>
      <c r="Q181" s="8">
        <v>0</v>
      </c>
      <c r="R181" s="8">
        <v>0</v>
      </c>
      <c r="S181" s="8">
        <v>0</v>
      </c>
      <c r="T181" s="10">
        <v>-0.77900000000000003</v>
      </c>
      <c r="U181" s="10">
        <v>-466.89600000000002</v>
      </c>
      <c r="V181" s="10">
        <v>-8.7810000000000006</v>
      </c>
      <c r="W181" s="10">
        <f>IF(RIGHT(C181,2)="12",IF(ISNUMBER(T181),T181,""),IF(COUNT(T181,U181,V181)=3,T181+U181-V181,""))</f>
        <v>-458.89400000000001</v>
      </c>
      <c r="X181" s="10">
        <v>-458.89499999999998</v>
      </c>
      <c r="Y181" s="10">
        <v>-353.49099999999999</v>
      </c>
      <c r="Z181" s="10">
        <v>28.588999999999999</v>
      </c>
      <c r="AA181" s="10">
        <v>-133.21199999999999</v>
      </c>
      <c r="AB181" s="10">
        <v>-0.77900000000000003</v>
      </c>
      <c r="AC181" s="8">
        <v>0</v>
      </c>
      <c r="AD181" s="8">
        <v>0</v>
      </c>
      <c r="AE181" s="8">
        <v>0</v>
      </c>
      <c r="AF181" s="10">
        <v>0</v>
      </c>
      <c r="AG181" s="8">
        <f>COUNTIF(Y181:AB181,"&gt;0")</f>
        <v>1</v>
      </c>
      <c r="AH181" s="10">
        <v>0</v>
      </c>
      <c r="AI181" s="10">
        <v>28.588999999999999</v>
      </c>
      <c r="AJ181" s="8" t="str">
        <f>IF(ISNUMBER(X181),IF(X181&gt;0,"+",IF(X181&lt;0,"−","0")),IF(ISNUMBER(W181),IF(W181&gt;0,"+",IF(W181&lt;0,"−","0")),"yok"))</f>
        <v>−</v>
      </c>
      <c r="AK181" s="10">
        <f>IF(AND(RIGHT(C181,2)&lt;&gt;"12",ISNUMBER(U181),ISNUMBER(V181)),U181-V181,"")</f>
        <v>-458.11500000000001</v>
      </c>
      <c r="AL181" s="11">
        <f>IF(AND(ISNUMBER(AK181),ISNUMBER(V181)),IF(V181&lt;&gt;0,AK181/ABS(V181),""),"")</f>
        <v>-52.1711650153741</v>
      </c>
      <c r="AM181" s="8">
        <f>IF(ISNUMBER(AK181),IF(AK181&gt;1,1,0),"")</f>
        <v>0</v>
      </c>
      <c r="AN181" s="8">
        <f>IF(ISNUMBER(AK181),IF(AK181&gt;0.05*ABS(V181),1,0),"")</f>
        <v>0</v>
      </c>
      <c r="AO181" s="10">
        <v>-458.89499999999998</v>
      </c>
      <c r="AP181" s="10">
        <v>458.89499999999998</v>
      </c>
      <c r="AQ181" s="8" t="s">
        <v>204</v>
      </c>
      <c r="AR181" s="8">
        <v>0</v>
      </c>
      <c r="AS181" s="10">
        <v>-467.13400000000001</v>
      </c>
      <c r="AT181" s="10">
        <v>-957.70600000000002</v>
      </c>
      <c r="AU181" s="8" t="s">
        <v>204</v>
      </c>
      <c r="AV181" s="10">
        <v>28.588999999999999</v>
      </c>
      <c r="AW181" s="11">
        <f>IF(AND(ISNUMBER(AV181),ISNUMBER(AT181)),IF(AT181&lt;&gt;0,AV181/ABS(AT181),""),"")</f>
        <v>2.9851541078368515E-2</v>
      </c>
      <c r="AX181" s="8">
        <v>0</v>
      </c>
      <c r="AY181" s="8">
        <v>0</v>
      </c>
      <c r="AZ181" s="10"/>
      <c r="BA181" s="8">
        <v>0</v>
      </c>
    </row>
    <row r="182" spans="1:53" x14ac:dyDescent="0.2">
      <c r="A182" s="8" t="s">
        <v>343</v>
      </c>
      <c r="B182" s="8" t="s">
        <v>83</v>
      </c>
      <c r="C182" s="8" t="s">
        <v>210</v>
      </c>
      <c r="D182" s="8">
        <v>1</v>
      </c>
      <c r="E182" s="8">
        <v>1</v>
      </c>
      <c r="F182" s="8">
        <f>SUM(G182:M182)</f>
        <v>1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1</v>
      </c>
      <c r="N182" s="8">
        <v>0</v>
      </c>
      <c r="O182" s="8">
        <v>0</v>
      </c>
      <c r="P182" s="8">
        <v>1</v>
      </c>
      <c r="Q182" s="8">
        <v>0</v>
      </c>
      <c r="R182" s="8">
        <v>0</v>
      </c>
      <c r="S182" s="8">
        <v>0</v>
      </c>
      <c r="T182" s="10">
        <v>-44.332000000000001</v>
      </c>
      <c r="U182" s="10">
        <v>-466.89600000000002</v>
      </c>
      <c r="V182" s="10">
        <v>-362.27300000000002</v>
      </c>
      <c r="W182" s="10">
        <f>IF(RIGHT(C182,2)="12",IF(ISNUMBER(T182),T182,""),IF(COUNT(T182,U182,V182)=3,T182+U182-V182,""))</f>
        <v>-148.95499999999998</v>
      </c>
      <c r="X182" s="10">
        <v>-148.95599999999999</v>
      </c>
      <c r="Y182" s="10">
        <v>28.588999999999999</v>
      </c>
      <c r="Z182" s="10">
        <v>-133.21199999999999</v>
      </c>
      <c r="AA182" s="10">
        <v>-0.77900000000000003</v>
      </c>
      <c r="AB182" s="10">
        <v>-43.552</v>
      </c>
      <c r="AC182" s="8">
        <v>0</v>
      </c>
      <c r="AD182" s="8">
        <v>0</v>
      </c>
      <c r="AE182" s="8">
        <v>0</v>
      </c>
      <c r="AF182" s="10">
        <v>0</v>
      </c>
      <c r="AG182" s="8">
        <f>COUNTIF(Y182:AB182,"&gt;0")</f>
        <v>1</v>
      </c>
      <c r="AH182" s="10">
        <v>0</v>
      </c>
      <c r="AI182" s="10">
        <v>28.588999999999999</v>
      </c>
      <c r="AJ182" s="8" t="str">
        <f>IF(ISNUMBER(X182),IF(X182&gt;0,"+",IF(X182&lt;0,"−","0")),IF(ISNUMBER(W182),IF(W182&gt;0,"+",IF(W182&lt;0,"−","0")),"yok"))</f>
        <v>−</v>
      </c>
      <c r="AK182" s="10">
        <f>IF(AND(RIGHT(C182,2)&lt;&gt;"12",ISNUMBER(U182),ISNUMBER(V182)),U182-V182,"")</f>
        <v>-104.62299999999999</v>
      </c>
      <c r="AL182" s="11">
        <f>IF(AND(ISNUMBER(AK182),ISNUMBER(V182)),IF(V182&lt;&gt;0,AK182/ABS(V182),""),"")</f>
        <v>-0.28879601847225705</v>
      </c>
      <c r="AM182" s="8">
        <f>IF(ISNUMBER(AK182),IF(AK182&gt;1,1,0),"")</f>
        <v>0</v>
      </c>
      <c r="AN182" s="8">
        <f>IF(ISNUMBER(AK182),IF(AK182&gt;0.05*ABS(V182),1,0),"")</f>
        <v>0</v>
      </c>
      <c r="AO182" s="10">
        <v>-148.95699999999999</v>
      </c>
      <c r="AP182" s="10">
        <v>148.95699999999999</v>
      </c>
      <c r="AQ182" s="8" t="s">
        <v>204</v>
      </c>
      <c r="AR182" s="8">
        <v>0</v>
      </c>
      <c r="AS182" s="10">
        <v>7.7340000000000702</v>
      </c>
      <c r="AT182" s="10">
        <v>-162.089</v>
      </c>
      <c r="AU182" s="8" t="s">
        <v>212</v>
      </c>
      <c r="AV182" s="10">
        <v>28.588999999999999</v>
      </c>
      <c r="AW182" s="11">
        <f>IF(AND(ISNUMBER(AV182),ISNUMBER(AT182)),IF(AT182&lt;&gt;0,AV182/ABS(AT182),""),"")</f>
        <v>0.17637840939237084</v>
      </c>
      <c r="AX182" s="8">
        <v>0</v>
      </c>
      <c r="AY182" s="8">
        <v>0</v>
      </c>
      <c r="AZ182" s="10"/>
      <c r="BA182" s="8">
        <v>0</v>
      </c>
    </row>
    <row r="183" spans="1:53" x14ac:dyDescent="0.2">
      <c r="A183" s="8" t="s">
        <v>344</v>
      </c>
      <c r="B183" s="8" t="s">
        <v>84</v>
      </c>
      <c r="C183" s="8" t="s">
        <v>203</v>
      </c>
      <c r="D183" s="8">
        <v>1</v>
      </c>
      <c r="E183" s="8">
        <v>1</v>
      </c>
      <c r="F183" s="8">
        <f>SUM(G183:M183)</f>
        <v>1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1</v>
      </c>
      <c r="N183" s="8">
        <v>0</v>
      </c>
      <c r="O183" s="8">
        <v>0</v>
      </c>
      <c r="P183" s="8">
        <v>1</v>
      </c>
      <c r="Q183" s="8">
        <v>0</v>
      </c>
      <c r="R183" s="8">
        <v>0</v>
      </c>
      <c r="S183" s="8">
        <v>0</v>
      </c>
      <c r="T183" s="10">
        <v>0</v>
      </c>
      <c r="U183" s="10">
        <v>-97.510999999999996</v>
      </c>
      <c r="V183" s="10">
        <v>-5.0640000000000001</v>
      </c>
      <c r="W183" s="10">
        <f>IF(RIGHT(C183,2)="12",IF(ISNUMBER(T183),T183,""),IF(COUNT(T183,U183,V183)=3,T183+U183-V183,""))</f>
        <v>-92.447000000000003</v>
      </c>
      <c r="X183" s="10">
        <v>-92.447000000000003</v>
      </c>
      <c r="Y183" s="10">
        <v>-0.83299999999999996</v>
      </c>
      <c r="Z183" s="10">
        <v>-97.222999999999999</v>
      </c>
      <c r="AA183" s="10">
        <v>5.609</v>
      </c>
      <c r="AB183" s="10">
        <v>0</v>
      </c>
      <c r="AC183" s="8">
        <v>0</v>
      </c>
      <c r="AD183" s="8">
        <v>0</v>
      </c>
      <c r="AE183" s="8">
        <v>0</v>
      </c>
      <c r="AF183" s="10">
        <v>0</v>
      </c>
      <c r="AG183" s="8">
        <f>COUNTIF(Y183:AB183,"&gt;0")</f>
        <v>1</v>
      </c>
      <c r="AH183" s="10">
        <v>0</v>
      </c>
      <c r="AI183" s="10">
        <v>5.609</v>
      </c>
      <c r="AJ183" s="8" t="str">
        <f>IF(ISNUMBER(X183),IF(X183&gt;0,"+",IF(X183&lt;0,"−","0")),IF(ISNUMBER(W183),IF(W183&gt;0,"+",IF(W183&lt;0,"−","0")),"yok"))</f>
        <v>−</v>
      </c>
      <c r="AK183" s="10">
        <f>IF(AND(RIGHT(C183,2)&lt;&gt;"12",ISNUMBER(U183),ISNUMBER(V183)),U183-V183,"")</f>
        <v>-92.447000000000003</v>
      </c>
      <c r="AL183" s="11">
        <f>IF(AND(ISNUMBER(AK183),ISNUMBER(V183)),IF(V183&lt;&gt;0,AK183/ABS(V183),""),"")</f>
        <v>-18.255726698262244</v>
      </c>
      <c r="AM183" s="8">
        <f>IF(ISNUMBER(AK183),IF(AK183&gt;1,1,0),"")</f>
        <v>0</v>
      </c>
      <c r="AN183" s="8">
        <f>IF(ISNUMBER(AK183),IF(AK183&gt;0.05*ABS(V183),1,0),"")</f>
        <v>0</v>
      </c>
      <c r="AO183" s="10">
        <v>-92.447000000000003</v>
      </c>
      <c r="AP183" s="10">
        <v>92.447000000000003</v>
      </c>
      <c r="AQ183" s="8" t="s">
        <v>204</v>
      </c>
      <c r="AR183" s="8">
        <v>0</v>
      </c>
      <c r="AS183" s="10">
        <v>12893.035</v>
      </c>
      <c r="AT183" s="10">
        <v>4347.1850000000004</v>
      </c>
      <c r="AU183" s="8" t="s">
        <v>204</v>
      </c>
      <c r="AV183" s="10">
        <v>5.609</v>
      </c>
      <c r="AW183" s="11">
        <f>IF(AND(ISNUMBER(AV183),ISNUMBER(AT183)),IF(AT183&lt;&gt;0,AV183/ABS(AT183),""),"")</f>
        <v>1.2902602488736963E-3</v>
      </c>
      <c r="AX183" s="8">
        <v>0</v>
      </c>
      <c r="AY183" s="8">
        <v>0</v>
      </c>
      <c r="AZ183" s="10"/>
      <c r="BA183" s="8">
        <v>0</v>
      </c>
    </row>
    <row r="184" spans="1:53" x14ac:dyDescent="0.2">
      <c r="A184" s="8" t="s">
        <v>344</v>
      </c>
      <c r="B184" s="8" t="s">
        <v>84</v>
      </c>
      <c r="C184" s="8" t="s">
        <v>205</v>
      </c>
      <c r="D184" s="8">
        <v>1</v>
      </c>
      <c r="E184" s="8">
        <v>1</v>
      </c>
      <c r="F184" s="8">
        <f>SUM(G184:M184)</f>
        <v>1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1</v>
      </c>
      <c r="N184" s="8">
        <v>0</v>
      </c>
      <c r="O184" s="8">
        <v>0</v>
      </c>
      <c r="P184" s="8">
        <v>1</v>
      </c>
      <c r="Q184" s="8">
        <v>0</v>
      </c>
      <c r="R184" s="8">
        <v>0</v>
      </c>
      <c r="S184" s="8">
        <v>0</v>
      </c>
      <c r="T184" s="10">
        <v>-6.359</v>
      </c>
      <c r="U184" s="10">
        <v>-97.510999999999996</v>
      </c>
      <c r="V184" s="10">
        <v>-5.8970000000000002</v>
      </c>
      <c r="W184" s="10">
        <f>IF(RIGHT(C184,2)="12",IF(ISNUMBER(T184),T184,""),IF(COUNT(T184,U184,V184)=3,T184+U184-V184,""))</f>
        <v>-97.972999999999985</v>
      </c>
      <c r="X184" s="10">
        <v>-97.972999999999999</v>
      </c>
      <c r="Y184" s="10">
        <v>-97.222999999999999</v>
      </c>
      <c r="Z184" s="10">
        <v>5.609</v>
      </c>
      <c r="AA184" s="10">
        <v>0</v>
      </c>
      <c r="AB184" s="10">
        <v>-6.359</v>
      </c>
      <c r="AC184" s="8">
        <v>0</v>
      </c>
      <c r="AD184" s="8">
        <v>0</v>
      </c>
      <c r="AE184" s="8">
        <v>0</v>
      </c>
      <c r="AF184" s="10">
        <v>0</v>
      </c>
      <c r="AG184" s="8">
        <f>COUNTIF(Y184:AB184,"&gt;0")</f>
        <v>1</v>
      </c>
      <c r="AH184" s="10">
        <v>0</v>
      </c>
      <c r="AI184" s="10">
        <v>5.609</v>
      </c>
      <c r="AJ184" s="8" t="str">
        <f>IF(ISNUMBER(X184),IF(X184&gt;0,"+",IF(X184&lt;0,"−","0")),IF(ISNUMBER(W184),IF(W184&gt;0,"+",IF(W184&lt;0,"−","0")),"yok"))</f>
        <v>−</v>
      </c>
      <c r="AK184" s="10">
        <f>IF(AND(RIGHT(C184,2)&lt;&gt;"12",ISNUMBER(U184),ISNUMBER(V184)),U184-V184,"")</f>
        <v>-91.61399999999999</v>
      </c>
      <c r="AL184" s="11">
        <f>IF(AND(ISNUMBER(AK184),ISNUMBER(V184)),IF(V184&lt;&gt;0,AK184/ABS(V184),""),"")</f>
        <v>-15.53569611666949</v>
      </c>
      <c r="AM184" s="8">
        <f>IF(ISNUMBER(AK184),IF(AK184&gt;1,1,0),"")</f>
        <v>0</v>
      </c>
      <c r="AN184" s="8">
        <f>IF(ISNUMBER(AK184),IF(AK184&gt;0.05*ABS(V184),1,0),"")</f>
        <v>0</v>
      </c>
      <c r="AO184" s="10">
        <v>-97.972999999999999</v>
      </c>
      <c r="AP184" s="10">
        <v>97.972999999999999</v>
      </c>
      <c r="AQ184" s="8" t="s">
        <v>204</v>
      </c>
      <c r="AR184" s="8">
        <v>0</v>
      </c>
      <c r="AS184" s="10">
        <v>17963.667000000001</v>
      </c>
      <c r="AT184" s="10">
        <v>9939.9689999999991</v>
      </c>
      <c r="AU184" s="8" t="s">
        <v>204</v>
      </c>
      <c r="AV184" s="10">
        <v>5.609</v>
      </c>
      <c r="AW184" s="11">
        <f>IF(AND(ISNUMBER(AV184),ISNUMBER(AT184)),IF(AT184&lt;&gt;0,AV184/ABS(AT184),""),"")</f>
        <v>5.642874741359858E-4</v>
      </c>
      <c r="AX184" s="8">
        <v>0</v>
      </c>
      <c r="AY184" s="8">
        <v>0</v>
      </c>
      <c r="AZ184" s="10"/>
      <c r="BA184" s="8">
        <v>0</v>
      </c>
    </row>
    <row r="185" spans="1:53" x14ac:dyDescent="0.2">
      <c r="A185" s="8" t="s">
        <v>344</v>
      </c>
      <c r="B185" s="8" t="s">
        <v>84</v>
      </c>
      <c r="C185" s="8" t="s">
        <v>215</v>
      </c>
      <c r="D185" s="8">
        <v>1</v>
      </c>
      <c r="E185" s="8">
        <v>1</v>
      </c>
      <c r="F185" s="8">
        <f>SUM(G185:M185)</f>
        <v>2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1</v>
      </c>
      <c r="M185" s="8">
        <v>1</v>
      </c>
      <c r="N185" s="8">
        <v>0</v>
      </c>
      <c r="O185" s="8">
        <v>0</v>
      </c>
      <c r="P185" s="8">
        <v>1</v>
      </c>
      <c r="Q185" s="8">
        <v>0</v>
      </c>
      <c r="R185" s="8">
        <v>0</v>
      </c>
      <c r="S185" s="8">
        <v>0</v>
      </c>
      <c r="T185" s="10">
        <v>-6.359</v>
      </c>
      <c r="U185" s="10">
        <v>-97.510999999999996</v>
      </c>
      <c r="V185" s="10">
        <v>-103.12</v>
      </c>
      <c r="W185" s="10">
        <f>IF(RIGHT(C185,2)="12",IF(ISNUMBER(T185),T185,""),IF(COUNT(T185,U185,V185)=3,T185+U185-V185,""))</f>
        <v>-0.74999999999998579</v>
      </c>
      <c r="X185" s="10">
        <v>-0.75</v>
      </c>
      <c r="Y185" s="10">
        <v>5.609</v>
      </c>
      <c r="Z185" s="10">
        <v>0</v>
      </c>
      <c r="AA185" s="10">
        <v>-6.359</v>
      </c>
      <c r="AB185" s="10">
        <v>0</v>
      </c>
      <c r="AC185" s="8">
        <v>0</v>
      </c>
      <c r="AD185" s="8">
        <v>0</v>
      </c>
      <c r="AE185" s="8">
        <v>0</v>
      </c>
      <c r="AF185" s="10">
        <v>0</v>
      </c>
      <c r="AG185" s="8">
        <f>COUNTIF(Y185:AB185,"&gt;0")</f>
        <v>1</v>
      </c>
      <c r="AH185" s="10">
        <v>0</v>
      </c>
      <c r="AI185" s="10">
        <v>5.609</v>
      </c>
      <c r="AJ185" s="8" t="str">
        <f>IF(ISNUMBER(X185),IF(X185&gt;0,"+",IF(X185&lt;0,"−","0")),IF(ISNUMBER(W185),IF(W185&gt;0,"+",IF(W185&lt;0,"−","0")),"yok"))</f>
        <v>−</v>
      </c>
      <c r="AK185" s="10">
        <f>IF(AND(RIGHT(C185,2)&lt;&gt;"12",ISNUMBER(U185),ISNUMBER(V185)),U185-V185,"")</f>
        <v>5.6090000000000089</v>
      </c>
      <c r="AL185" s="11">
        <f>IF(AND(ISNUMBER(AK185),ISNUMBER(V185)),IF(V185&lt;&gt;0,AK185/ABS(V185),""),"")</f>
        <v>5.4392940263770451E-2</v>
      </c>
      <c r="AM185" s="8">
        <f>IF(ISNUMBER(AK185),IF(AK185&gt;1,1,0),"")</f>
        <v>1</v>
      </c>
      <c r="AN185" s="8">
        <f>IF(ISNUMBER(AK185),IF(AK185&gt;0.05*ABS(V185),1,0),"")</f>
        <v>1</v>
      </c>
      <c r="AO185" s="10">
        <v>-0.74999999999998601</v>
      </c>
      <c r="AP185" s="10">
        <v>0.74999999999998601</v>
      </c>
      <c r="AQ185" s="8" t="s">
        <v>204</v>
      </c>
      <c r="AR185" s="8">
        <v>0</v>
      </c>
      <c r="AS185" s="10">
        <v>23863.271000000001</v>
      </c>
      <c r="AT185" s="10">
        <v>14263.74</v>
      </c>
      <c r="AU185" s="8" t="s">
        <v>204</v>
      </c>
      <c r="AV185" s="10">
        <v>5.6090000000000098</v>
      </c>
      <c r="AW185" s="11">
        <f>IF(AND(ISNUMBER(AV185),ISNUMBER(AT185)),IF(AT185&lt;&gt;0,AV185/ABS(AT185),""),"")</f>
        <v>3.9323487388300753E-4</v>
      </c>
      <c r="AX185" s="8">
        <v>0</v>
      </c>
      <c r="AY185" s="8">
        <v>1</v>
      </c>
      <c r="AZ185" s="10"/>
      <c r="BA185" s="8">
        <v>0</v>
      </c>
    </row>
    <row r="186" spans="1:53" x14ac:dyDescent="0.2">
      <c r="A186" s="8" t="s">
        <v>345</v>
      </c>
      <c r="B186" s="8" t="s">
        <v>84</v>
      </c>
      <c r="C186" s="8" t="s">
        <v>208</v>
      </c>
      <c r="D186" s="8">
        <v>1</v>
      </c>
      <c r="E186" s="8">
        <v>1</v>
      </c>
      <c r="F186" s="8">
        <f>SUM(G186:M186)</f>
        <v>1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1</v>
      </c>
      <c r="N186" s="8">
        <v>0</v>
      </c>
      <c r="O186" s="8">
        <v>1</v>
      </c>
      <c r="P186" s="8">
        <v>1</v>
      </c>
      <c r="Q186" s="8">
        <v>0</v>
      </c>
      <c r="R186" s="8">
        <v>0</v>
      </c>
      <c r="S186" s="8">
        <v>0</v>
      </c>
      <c r="T186" s="10">
        <v>0</v>
      </c>
      <c r="U186" s="10"/>
      <c r="V186" s="10">
        <v>7.84</v>
      </c>
      <c r="W186" s="10" t="str">
        <f>IF(RIGHT(C186,2)="12",IF(ISNUMBER(T186),T186,""),IF(COUNT(T186,U186,V186)=3,T186+U186-V186,""))</f>
        <v/>
      </c>
      <c r="X186" s="10"/>
      <c r="Y186" s="10">
        <v>32.234999999999999</v>
      </c>
      <c r="Z186" s="10">
        <v>0</v>
      </c>
      <c r="AA186" s="10"/>
      <c r="AB186" s="10">
        <v>0</v>
      </c>
      <c r="AC186" s="8">
        <v>0</v>
      </c>
      <c r="AD186" s="8">
        <v>0</v>
      </c>
      <c r="AE186" s="8">
        <v>1</v>
      </c>
      <c r="AF186" s="10">
        <v>7.84</v>
      </c>
      <c r="AG186" s="8">
        <f>COUNTIF(Y186:AB186,"&gt;0")</f>
        <v>1</v>
      </c>
      <c r="AH186" s="10">
        <v>0</v>
      </c>
      <c r="AI186" s="10">
        <v>32.234999999999999</v>
      </c>
      <c r="AJ186" s="8" t="str">
        <f>IF(ISNUMBER(X186),IF(X186&gt;0,"+",IF(X186&lt;0,"−","0")),IF(ISNUMBER(W186),IF(W186&gt;0,"+",IF(W186&lt;0,"−","0")),"yok"))</f>
        <v>yok</v>
      </c>
      <c r="AK186" s="10" t="str">
        <f>IF(AND(RIGHT(C186,2)&lt;&gt;"12",ISNUMBER(U186),ISNUMBER(V186)),U186-V186,"")</f>
        <v/>
      </c>
      <c r="AL186" s="11" t="str">
        <f>IF(AND(ISNUMBER(AK186),ISNUMBER(V186)),IF(V186&lt;&gt;0,AK186/ABS(V186),""),"")</f>
        <v/>
      </c>
      <c r="AM186" s="8" t="str">
        <f>IF(ISNUMBER(AK186),IF(AK186&gt;1,1,0),"")</f>
        <v/>
      </c>
      <c r="AN186" s="8" t="str">
        <f>IF(ISNUMBER(AK186),IF(AK186&gt;0.05*ABS(V186),1,0),"")</f>
        <v/>
      </c>
      <c r="AO186" s="10"/>
      <c r="AP186" s="10"/>
      <c r="AQ186" s="8" t="s">
        <v>207</v>
      </c>
      <c r="AR186" s="8">
        <v>0</v>
      </c>
      <c r="AS186" s="10">
        <v>-100.83199999999999</v>
      </c>
      <c r="AT186" s="10"/>
      <c r="AU186" s="8" t="s">
        <v>207</v>
      </c>
      <c r="AV186" s="10">
        <v>7.84</v>
      </c>
      <c r="AW186" s="11" t="str">
        <f>IF(AND(ISNUMBER(AV186),ISNUMBER(AT186)),IF(AT186&lt;&gt;0,AV186/ABS(AT186),""),"")</f>
        <v/>
      </c>
      <c r="AX186" s="8">
        <v>1</v>
      </c>
      <c r="AY186" s="8">
        <v>0</v>
      </c>
      <c r="AZ186" s="8" t="s">
        <v>346</v>
      </c>
      <c r="BA186" s="8">
        <v>0</v>
      </c>
    </row>
    <row r="187" spans="1:53" x14ac:dyDescent="0.2">
      <c r="A187" s="8" t="s">
        <v>347</v>
      </c>
      <c r="B187" s="8" t="s">
        <v>83</v>
      </c>
      <c r="C187" s="8" t="s">
        <v>203</v>
      </c>
      <c r="D187" s="8">
        <v>1</v>
      </c>
      <c r="E187" s="8">
        <v>1</v>
      </c>
      <c r="F187" s="8">
        <f>SUM(G187:M187)</f>
        <v>3</v>
      </c>
      <c r="G187" s="8">
        <v>0</v>
      </c>
      <c r="H187" s="8">
        <v>0</v>
      </c>
      <c r="I187" s="8">
        <v>1</v>
      </c>
      <c r="J187" s="8">
        <v>0</v>
      </c>
      <c r="K187" s="8">
        <v>0</v>
      </c>
      <c r="L187" s="8">
        <v>1</v>
      </c>
      <c r="M187" s="8">
        <v>1</v>
      </c>
      <c r="N187" s="8">
        <v>1</v>
      </c>
      <c r="O187" s="8">
        <v>0</v>
      </c>
      <c r="P187" s="8">
        <v>1</v>
      </c>
      <c r="Q187" s="8">
        <v>0</v>
      </c>
      <c r="R187" s="8">
        <v>0</v>
      </c>
      <c r="S187" s="8">
        <v>0</v>
      </c>
      <c r="T187" s="10">
        <v>-3.548</v>
      </c>
      <c r="U187" s="10">
        <v>-66.337999999999994</v>
      </c>
      <c r="V187" s="10">
        <v>-145.53899999999999</v>
      </c>
      <c r="W187" s="10">
        <f>IF(RIGHT(C187,2)="12",IF(ISNUMBER(T187),T187,""),IF(COUNT(T187,U187,V187)=3,T187+U187-V187,""))</f>
        <v>75.652999999999992</v>
      </c>
      <c r="X187" s="10">
        <v>75.652000000000001</v>
      </c>
      <c r="Y187" s="10">
        <v>-9.1430000000000007</v>
      </c>
      <c r="Z187" s="10">
        <v>-7.8490000000000002</v>
      </c>
      <c r="AA187" s="10">
        <v>96.194000000000003</v>
      </c>
      <c r="AB187" s="10">
        <v>-3.548</v>
      </c>
      <c r="AC187" s="8">
        <v>0</v>
      </c>
      <c r="AD187" s="8">
        <v>0</v>
      </c>
      <c r="AE187" s="8">
        <v>0</v>
      </c>
      <c r="AF187" s="10">
        <v>0</v>
      </c>
      <c r="AG187" s="8">
        <f>COUNTIF(Y187:AB187,"&gt;0")</f>
        <v>1</v>
      </c>
      <c r="AH187" s="10">
        <v>0</v>
      </c>
      <c r="AI187" s="10">
        <v>96.194000000000003</v>
      </c>
      <c r="AJ187" s="8" t="str">
        <f>IF(ISNUMBER(X187),IF(X187&gt;0,"+",IF(X187&lt;0,"−","0")),IF(ISNUMBER(W187),IF(W187&gt;0,"+",IF(W187&lt;0,"−","0")),"yok"))</f>
        <v>+</v>
      </c>
      <c r="AK187" s="10">
        <f>IF(AND(RIGHT(C187,2)&lt;&gt;"12",ISNUMBER(U187),ISNUMBER(V187)),U187-V187,"")</f>
        <v>79.200999999999993</v>
      </c>
      <c r="AL187" s="11">
        <f>IF(AND(ISNUMBER(AK187),ISNUMBER(V187)),IF(V187&lt;&gt;0,AK187/ABS(V187),""),"")</f>
        <v>0.54419090415627425</v>
      </c>
      <c r="AM187" s="8">
        <f>IF(ISNUMBER(AK187),IF(AK187&gt;1,1,0),"")</f>
        <v>1</v>
      </c>
      <c r="AN187" s="8">
        <f>IF(ISNUMBER(AK187),IF(AK187&gt;0.05*ABS(V187),1,0),"")</f>
        <v>1</v>
      </c>
      <c r="AO187" s="10">
        <v>75.653000000000006</v>
      </c>
      <c r="AP187" s="10">
        <v>0</v>
      </c>
      <c r="AQ187" s="8" t="s">
        <v>204</v>
      </c>
      <c r="AR187" s="8">
        <v>1</v>
      </c>
      <c r="AS187" s="10">
        <v>-131.75399999999999</v>
      </c>
      <c r="AT187" s="10">
        <v>-192.50800000000001</v>
      </c>
      <c r="AU187" s="8" t="s">
        <v>209</v>
      </c>
      <c r="AV187" s="10">
        <v>79.200999999999993</v>
      </c>
      <c r="AW187" s="11">
        <f>IF(AND(ISNUMBER(AV187),ISNUMBER(AT187)),IF(AT187&lt;&gt;0,AV187/ABS(AT187),""),"")</f>
        <v>0.41141666839819641</v>
      </c>
      <c r="AX187" s="8">
        <v>0</v>
      </c>
      <c r="AY187" s="8">
        <v>1</v>
      </c>
      <c r="AZ187" s="10"/>
      <c r="BA187" s="8">
        <v>0</v>
      </c>
    </row>
    <row r="188" spans="1:53" x14ac:dyDescent="0.2">
      <c r="A188" s="8" t="s">
        <v>347</v>
      </c>
      <c r="B188" s="8" t="s">
        <v>83</v>
      </c>
      <c r="C188" s="8" t="s">
        <v>205</v>
      </c>
      <c r="D188" s="8">
        <v>1</v>
      </c>
      <c r="E188" s="8">
        <v>1</v>
      </c>
      <c r="F188" s="8">
        <f>SUM(G188:M188)</f>
        <v>2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1</v>
      </c>
      <c r="M188" s="8">
        <v>1</v>
      </c>
      <c r="N188" s="8">
        <v>1</v>
      </c>
      <c r="O188" s="8">
        <v>0</v>
      </c>
      <c r="P188" s="8">
        <v>1</v>
      </c>
      <c r="Q188" s="8">
        <v>0</v>
      </c>
      <c r="R188" s="8">
        <v>0</v>
      </c>
      <c r="S188" s="8">
        <v>0</v>
      </c>
      <c r="T188" s="10">
        <v>-8.0619999999999994</v>
      </c>
      <c r="U188" s="10">
        <v>-66.337999999999994</v>
      </c>
      <c r="V188" s="10">
        <v>-154.68299999999999</v>
      </c>
      <c r="W188" s="10">
        <f>IF(RIGHT(C188,2)="12",IF(ISNUMBER(T188),T188,""),IF(COUNT(T188,U188,V188)=3,T188+U188-V188,""))</f>
        <v>80.283000000000001</v>
      </c>
      <c r="X188" s="10">
        <v>80.281999999999996</v>
      </c>
      <c r="Y188" s="10">
        <v>-7.8490000000000002</v>
      </c>
      <c r="Z188" s="10">
        <v>96.194000000000003</v>
      </c>
      <c r="AA188" s="10">
        <v>-3.548</v>
      </c>
      <c r="AB188" s="10">
        <v>-4.5129999999999999</v>
      </c>
      <c r="AC188" s="8">
        <v>0</v>
      </c>
      <c r="AD188" s="8">
        <v>0</v>
      </c>
      <c r="AE188" s="8">
        <v>0</v>
      </c>
      <c r="AF188" s="10">
        <v>0</v>
      </c>
      <c r="AG188" s="8">
        <f>COUNTIF(Y188:AB188,"&gt;0")</f>
        <v>1</v>
      </c>
      <c r="AH188" s="10">
        <v>0</v>
      </c>
      <c r="AI188" s="10">
        <v>96.194000000000003</v>
      </c>
      <c r="AJ188" s="8" t="str">
        <f>IF(ISNUMBER(X188),IF(X188&gt;0,"+",IF(X188&lt;0,"−","0")),IF(ISNUMBER(W188),IF(W188&gt;0,"+",IF(W188&lt;0,"−","0")),"yok"))</f>
        <v>+</v>
      </c>
      <c r="AK188" s="10">
        <f>IF(AND(RIGHT(C188,2)&lt;&gt;"12",ISNUMBER(U188),ISNUMBER(V188)),U188-V188,"")</f>
        <v>88.344999999999999</v>
      </c>
      <c r="AL188" s="11">
        <f>IF(AND(ISNUMBER(AK188),ISNUMBER(V188)),IF(V188&lt;&gt;0,AK188/ABS(V188),""),"")</f>
        <v>0.57113580677902553</v>
      </c>
      <c r="AM188" s="8">
        <f>IF(ISNUMBER(AK188),IF(AK188&gt;1,1,0),"")</f>
        <v>1</v>
      </c>
      <c r="AN188" s="8">
        <f>IF(ISNUMBER(AK188),IF(AK188&gt;0.05*ABS(V188),1,0),"")</f>
        <v>1</v>
      </c>
      <c r="AO188" s="10">
        <v>80.283000000000001</v>
      </c>
      <c r="AP188" s="10">
        <v>80.283000000000001</v>
      </c>
      <c r="AQ188" s="8" t="s">
        <v>204</v>
      </c>
      <c r="AR188" s="8">
        <v>0</v>
      </c>
      <c r="AS188" s="10">
        <v>-90.322000000000003</v>
      </c>
      <c r="AT188" s="10"/>
      <c r="AU188" s="8" t="s">
        <v>207</v>
      </c>
      <c r="AV188" s="10">
        <v>88.344999999999999</v>
      </c>
      <c r="AW188" s="11" t="str">
        <f>IF(AND(ISNUMBER(AV188),ISNUMBER(AT188)),IF(AT188&lt;&gt;0,AV188/ABS(AT188),""),"")</f>
        <v/>
      </c>
      <c r="AX188" s="8">
        <v>0</v>
      </c>
      <c r="AY188" s="8">
        <v>1</v>
      </c>
      <c r="AZ188" s="10"/>
      <c r="BA188" s="8">
        <v>0</v>
      </c>
    </row>
    <row r="189" spans="1:53" x14ac:dyDescent="0.2">
      <c r="A189" s="8" t="s">
        <v>347</v>
      </c>
      <c r="B189" s="8" t="s">
        <v>83</v>
      </c>
      <c r="C189" s="8" t="s">
        <v>215</v>
      </c>
      <c r="D189" s="8">
        <v>1</v>
      </c>
      <c r="E189" s="8">
        <v>1</v>
      </c>
      <c r="F189" s="8">
        <f>SUM(G189:M189)</f>
        <v>2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1</v>
      </c>
      <c r="M189" s="8">
        <v>1</v>
      </c>
      <c r="N189" s="8">
        <v>1</v>
      </c>
      <c r="O189" s="8">
        <v>0</v>
      </c>
      <c r="P189" s="8">
        <v>1</v>
      </c>
      <c r="Q189" s="8">
        <v>0</v>
      </c>
      <c r="R189" s="8">
        <v>0</v>
      </c>
      <c r="S189" s="8">
        <v>0</v>
      </c>
      <c r="T189" s="10">
        <v>-61.825000000000003</v>
      </c>
      <c r="U189" s="10">
        <v>-66.337999999999994</v>
      </c>
      <c r="V189" s="10">
        <v>-162.53200000000001</v>
      </c>
      <c r="W189" s="10">
        <f>IF(RIGHT(C189,2)="12",IF(ISNUMBER(T189),T189,""),IF(COUNT(T189,U189,V189)=3,T189+U189-V189,""))</f>
        <v>34.369</v>
      </c>
      <c r="X189" s="10">
        <v>34.368000000000002</v>
      </c>
      <c r="Y189" s="10">
        <v>96.194000000000003</v>
      </c>
      <c r="Z189" s="10">
        <v>-3.548</v>
      </c>
      <c r="AA189" s="10">
        <v>-4.5129999999999999</v>
      </c>
      <c r="AB189" s="10">
        <v>-53.762999999999998</v>
      </c>
      <c r="AC189" s="8">
        <v>0</v>
      </c>
      <c r="AD189" s="8">
        <v>0</v>
      </c>
      <c r="AE189" s="8">
        <v>0</v>
      </c>
      <c r="AF189" s="10">
        <v>0</v>
      </c>
      <c r="AG189" s="8">
        <f>COUNTIF(Y189:AB189,"&gt;0")</f>
        <v>1</v>
      </c>
      <c r="AH189" s="10">
        <v>0</v>
      </c>
      <c r="AI189" s="10">
        <v>96.194000000000003</v>
      </c>
      <c r="AJ189" s="8" t="str">
        <f>IF(ISNUMBER(X189),IF(X189&gt;0,"+",IF(X189&lt;0,"−","0")),IF(ISNUMBER(W189),IF(W189&gt;0,"+",IF(W189&lt;0,"−","0")),"yok"))</f>
        <v>+</v>
      </c>
      <c r="AK189" s="10">
        <f>IF(AND(RIGHT(C189,2)&lt;&gt;"12",ISNUMBER(U189),ISNUMBER(V189)),U189-V189,"")</f>
        <v>96.194000000000017</v>
      </c>
      <c r="AL189" s="11">
        <f>IF(AND(ISNUMBER(AK189),ISNUMBER(V189)),IF(V189&lt;&gt;0,AK189/ABS(V189),""),"")</f>
        <v>0.59184652868358234</v>
      </c>
      <c r="AM189" s="8">
        <f>IF(ISNUMBER(AK189),IF(AK189&gt;1,1,0),"")</f>
        <v>1</v>
      </c>
      <c r="AN189" s="8">
        <f>IF(ISNUMBER(AK189),IF(AK189&gt;0.05*ABS(V189),1,0),"")</f>
        <v>1</v>
      </c>
      <c r="AO189" s="10">
        <v>34.369999999999997</v>
      </c>
      <c r="AP189" s="10">
        <v>34.369999999999997</v>
      </c>
      <c r="AQ189" s="8" t="s">
        <v>204</v>
      </c>
      <c r="AR189" s="8">
        <v>0</v>
      </c>
      <c r="AS189" s="10">
        <v>-226.708</v>
      </c>
      <c r="AT189" s="10"/>
      <c r="AU189" s="8" t="s">
        <v>207</v>
      </c>
      <c r="AV189" s="10">
        <v>96.194000000000003</v>
      </c>
      <c r="AW189" s="11" t="str">
        <f>IF(AND(ISNUMBER(AV189),ISNUMBER(AT189)),IF(AT189&lt;&gt;0,AV189/ABS(AT189),""),"")</f>
        <v/>
      </c>
      <c r="AX189" s="8">
        <v>0</v>
      </c>
      <c r="AY189" s="8">
        <v>1</v>
      </c>
      <c r="AZ189" s="10"/>
      <c r="BA189" s="8">
        <v>0</v>
      </c>
    </row>
    <row r="190" spans="1:53" x14ac:dyDescent="0.2">
      <c r="A190" s="8" t="s">
        <v>348</v>
      </c>
      <c r="B190" s="8" t="s">
        <v>83</v>
      </c>
      <c r="C190" s="8" t="s">
        <v>208</v>
      </c>
      <c r="D190" s="8">
        <v>1</v>
      </c>
      <c r="E190" s="8">
        <v>1</v>
      </c>
      <c r="F190" s="8">
        <f>SUM(G190:M190)</f>
        <v>1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1</v>
      </c>
      <c r="N190" s="8">
        <v>0</v>
      </c>
      <c r="O190" s="8">
        <v>0</v>
      </c>
      <c r="P190" s="8">
        <v>1</v>
      </c>
      <c r="Q190" s="8">
        <v>0</v>
      </c>
      <c r="R190" s="8">
        <v>0</v>
      </c>
      <c r="S190" s="8">
        <v>0</v>
      </c>
      <c r="T190" s="10">
        <v>-2852.8319999999999</v>
      </c>
      <c r="U190" s="10">
        <v>-15338.376</v>
      </c>
      <c r="V190" s="10">
        <v>-11233.376</v>
      </c>
      <c r="W190" s="10">
        <f>IF(RIGHT(C190,2)="12",IF(ISNUMBER(T190),T190,""),IF(COUNT(T190,U190,V190)=3,T190+U190-V190,""))</f>
        <v>-6957.8319999999985</v>
      </c>
      <c r="X190" s="10">
        <v>-6957.8320000000003</v>
      </c>
      <c r="Y190" s="10">
        <v>3544.9920000000002</v>
      </c>
      <c r="Z190" s="10">
        <v>-3289.1979999999999</v>
      </c>
      <c r="AA190" s="10">
        <v>-4360.7939999999999</v>
      </c>
      <c r="AB190" s="10">
        <v>-2852.8319999999999</v>
      </c>
      <c r="AC190" s="8">
        <v>0</v>
      </c>
      <c r="AD190" s="8">
        <v>0</v>
      </c>
      <c r="AE190" s="8">
        <v>0</v>
      </c>
      <c r="AF190" s="10">
        <v>0</v>
      </c>
      <c r="AG190" s="8">
        <f>COUNTIF(Y190:AB190,"&gt;0")</f>
        <v>1</v>
      </c>
      <c r="AH190" s="10">
        <v>0</v>
      </c>
      <c r="AI190" s="10">
        <v>3544.9920000000002</v>
      </c>
      <c r="AJ190" s="8" t="str">
        <f>IF(ISNUMBER(X190),IF(X190&gt;0,"+",IF(X190&lt;0,"−","0")),IF(ISNUMBER(W190),IF(W190&gt;0,"+",IF(W190&lt;0,"−","0")),"yok"))</f>
        <v>−</v>
      </c>
      <c r="AK190" s="10">
        <f>IF(AND(RIGHT(C190,2)&lt;&gt;"12",ISNUMBER(U190),ISNUMBER(V190)),U190-V190,"")</f>
        <v>-4105</v>
      </c>
      <c r="AL190" s="11">
        <f>IF(AND(ISNUMBER(AK190),ISNUMBER(V190)),IF(V190&lt;&gt;0,AK190/ABS(V190),""),"")</f>
        <v>-0.36542887908318922</v>
      </c>
      <c r="AM190" s="8">
        <f>IF(ISNUMBER(AK190),IF(AK190&gt;1,1,0),"")</f>
        <v>0</v>
      </c>
      <c r="AN190" s="8">
        <f>IF(ISNUMBER(AK190),IF(AK190&gt;0.05*ABS(V190),1,0),"")</f>
        <v>0</v>
      </c>
      <c r="AO190" s="10">
        <v>-6957.8320000000003</v>
      </c>
      <c r="AP190" s="10">
        <v>6957.8320000000003</v>
      </c>
      <c r="AQ190" s="8" t="s">
        <v>204</v>
      </c>
      <c r="AR190" s="8">
        <v>0</v>
      </c>
      <c r="AS190" s="10">
        <v>64040.025000000001</v>
      </c>
      <c r="AT190" s="10">
        <v>56570.379000000001</v>
      </c>
      <c r="AU190" s="8" t="s">
        <v>209</v>
      </c>
      <c r="AV190" s="10">
        <v>3544.9920000000002</v>
      </c>
      <c r="AW190" s="11">
        <f>IF(AND(ISNUMBER(AV190),ISNUMBER(AT190)),IF(AT190&lt;&gt;0,AV190/ABS(AT190),""),"")</f>
        <v>6.2665162628661203E-2</v>
      </c>
      <c r="AX190" s="8">
        <v>0</v>
      </c>
      <c r="AY190" s="8">
        <v>0</v>
      </c>
      <c r="AZ190" s="10"/>
      <c r="BA190" s="8">
        <v>0</v>
      </c>
    </row>
    <row r="191" spans="1:53" x14ac:dyDescent="0.2">
      <c r="A191" s="8" t="s">
        <v>349</v>
      </c>
      <c r="B191" s="8" t="s">
        <v>83</v>
      </c>
      <c r="C191" s="8" t="s">
        <v>208</v>
      </c>
      <c r="D191" s="8">
        <v>1</v>
      </c>
      <c r="E191" s="8">
        <v>1</v>
      </c>
      <c r="F191" s="8">
        <f>SUM(G191:M191)</f>
        <v>1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1</v>
      </c>
      <c r="N191" s="8">
        <v>0</v>
      </c>
      <c r="O191" s="8">
        <v>0</v>
      </c>
      <c r="P191" s="8">
        <v>1</v>
      </c>
      <c r="Q191" s="8">
        <v>0</v>
      </c>
      <c r="R191" s="8">
        <v>0</v>
      </c>
      <c r="S191" s="8">
        <v>0</v>
      </c>
      <c r="T191" s="10">
        <v>-11.225</v>
      </c>
      <c r="U191" s="10">
        <v>-60.887999999999998</v>
      </c>
      <c r="V191" s="10">
        <v>-24.754000000000001</v>
      </c>
      <c r="W191" s="10">
        <f>IF(RIGHT(C191,2)="12",IF(ISNUMBER(T191),T191,""),IF(COUNT(T191,U191,V191)=3,T191+U191-V191,""))</f>
        <v>-47.358999999999995</v>
      </c>
      <c r="X191" s="10">
        <v>-47.36</v>
      </c>
      <c r="Y191" s="10">
        <v>4.923</v>
      </c>
      <c r="Z191" s="10">
        <v>-15.74</v>
      </c>
      <c r="AA191" s="10">
        <v>-25.317</v>
      </c>
      <c r="AB191" s="10">
        <v>-11.225</v>
      </c>
      <c r="AC191" s="8">
        <v>0</v>
      </c>
      <c r="AD191" s="8">
        <v>0</v>
      </c>
      <c r="AE191" s="8">
        <v>0</v>
      </c>
      <c r="AF191" s="10">
        <v>0</v>
      </c>
      <c r="AG191" s="8">
        <f>COUNTIF(Y191:AB191,"&gt;0")</f>
        <v>1</v>
      </c>
      <c r="AH191" s="10">
        <v>0</v>
      </c>
      <c r="AI191" s="10">
        <v>4.923</v>
      </c>
      <c r="AJ191" s="8" t="str">
        <f>IF(ISNUMBER(X191),IF(X191&gt;0,"+",IF(X191&lt;0,"−","0")),IF(ISNUMBER(W191),IF(W191&gt;0,"+",IF(W191&lt;0,"−","0")),"yok"))</f>
        <v>−</v>
      </c>
      <c r="AK191" s="10">
        <f>IF(AND(RIGHT(C191,2)&lt;&gt;"12",ISNUMBER(U191),ISNUMBER(V191)),U191-V191,"")</f>
        <v>-36.134</v>
      </c>
      <c r="AL191" s="11">
        <f>IF(AND(ISNUMBER(AK191),ISNUMBER(V191)),IF(V191&lt;&gt;0,AK191/ABS(V191),""),"")</f>
        <v>-1.4597236810212491</v>
      </c>
      <c r="AM191" s="8">
        <f>IF(ISNUMBER(AK191),IF(AK191&gt;1,1,0),"")</f>
        <v>0</v>
      </c>
      <c r="AN191" s="8">
        <f>IF(ISNUMBER(AK191),IF(AK191&gt;0.05*ABS(V191),1,0),"")</f>
        <v>0</v>
      </c>
      <c r="AO191" s="10">
        <v>-47.360999999999997</v>
      </c>
      <c r="AP191" s="10">
        <v>47.360999999999997</v>
      </c>
      <c r="AQ191" s="8" t="s">
        <v>204</v>
      </c>
      <c r="AR191" s="8">
        <v>0</v>
      </c>
      <c r="AS191" s="10">
        <v>-137.482</v>
      </c>
      <c r="AT191" s="10">
        <v>-184.84299999999999</v>
      </c>
      <c r="AU191" s="8" t="s">
        <v>204</v>
      </c>
      <c r="AV191" s="10">
        <v>4.923</v>
      </c>
      <c r="AW191" s="11">
        <f>IF(AND(ISNUMBER(AV191),ISNUMBER(AT191)),IF(AT191&lt;&gt;0,AV191/ABS(AT191),""),"")</f>
        <v>2.6633413220949673E-2</v>
      </c>
      <c r="AX191" s="8">
        <v>0</v>
      </c>
      <c r="AY191" s="8">
        <v>0</v>
      </c>
      <c r="AZ191" s="10"/>
      <c r="BA191" s="8">
        <v>0</v>
      </c>
    </row>
    <row r="192" spans="1:53" x14ac:dyDescent="0.2">
      <c r="A192" s="8" t="s">
        <v>350</v>
      </c>
      <c r="B192" s="8" t="s">
        <v>84</v>
      </c>
      <c r="C192" s="8" t="s">
        <v>290</v>
      </c>
      <c r="D192" s="8">
        <v>1</v>
      </c>
      <c r="E192" s="8">
        <v>1</v>
      </c>
      <c r="F192" s="8">
        <f>SUM(G192:M192)</f>
        <v>1</v>
      </c>
      <c r="G192" s="8">
        <v>0</v>
      </c>
      <c r="H192" s="8">
        <v>0</v>
      </c>
      <c r="I192" s="8">
        <v>1</v>
      </c>
      <c r="J192" s="8">
        <v>0</v>
      </c>
      <c r="K192" s="8">
        <v>0</v>
      </c>
      <c r="L192" s="8">
        <v>0</v>
      </c>
      <c r="M192" s="8">
        <v>0</v>
      </c>
      <c r="N192" s="8">
        <v>1</v>
      </c>
      <c r="O192" s="8">
        <v>1</v>
      </c>
      <c r="P192" s="8">
        <v>1</v>
      </c>
      <c r="Q192" s="8">
        <v>0</v>
      </c>
      <c r="R192" s="8">
        <v>0</v>
      </c>
      <c r="S192" s="8">
        <v>1</v>
      </c>
      <c r="T192" s="10">
        <v>44.814</v>
      </c>
      <c r="U192" s="10"/>
      <c r="V192" s="10"/>
      <c r="W192" s="10">
        <f>IF(RIGHT(C192,2)="12",IF(ISNUMBER(T192),T192,""),IF(COUNT(T192,U192,V192)=3,T192+U192-V192,""))</f>
        <v>44.814</v>
      </c>
      <c r="X192" s="10">
        <v>44.814</v>
      </c>
      <c r="Y192" s="10"/>
      <c r="Z192" s="10"/>
      <c r="AA192" s="10"/>
      <c r="AB192" s="10">
        <v>70.677999999999997</v>
      </c>
      <c r="AC192" s="8">
        <v>1</v>
      </c>
      <c r="AD192" s="8">
        <v>0</v>
      </c>
      <c r="AE192" s="8">
        <v>0</v>
      </c>
      <c r="AF192" s="10">
        <v>44.814</v>
      </c>
      <c r="AG192" s="8">
        <f>COUNTIF(Y192:AB192,"&gt;0")</f>
        <v>1</v>
      </c>
      <c r="AH192" s="10">
        <v>70.677999999999997</v>
      </c>
      <c r="AI192" s="10">
        <v>0</v>
      </c>
      <c r="AJ192" s="8" t="str">
        <f>IF(ISNUMBER(X192),IF(X192&gt;0,"+",IF(X192&lt;0,"−","0")),IF(ISNUMBER(W192),IF(W192&gt;0,"+",IF(W192&lt;0,"−","0")),"yok"))</f>
        <v>+</v>
      </c>
      <c r="AK192" s="10" t="str">
        <f>IF(AND(RIGHT(C192,2)&lt;&gt;"12",ISNUMBER(U192),ISNUMBER(V192)),U192-V192,"")</f>
        <v/>
      </c>
      <c r="AL192" s="11" t="str">
        <f>IF(AND(ISNUMBER(AK192),ISNUMBER(V192)),IF(V192&lt;&gt;0,AK192/ABS(V192),""),"")</f>
        <v/>
      </c>
      <c r="AM192" s="8" t="str">
        <f>IF(ISNUMBER(AK192),IF(AK192&gt;1,1,0),"")</f>
        <v/>
      </c>
      <c r="AN192" s="8" t="str">
        <f>IF(ISNUMBER(AK192),IF(AK192&gt;0.05*ABS(V192),1,0),"")</f>
        <v/>
      </c>
      <c r="AO192" s="10">
        <v>44.814999999999998</v>
      </c>
      <c r="AP192" s="10">
        <v>0</v>
      </c>
      <c r="AQ192" s="8" t="s">
        <v>209</v>
      </c>
      <c r="AR192" s="8">
        <v>1</v>
      </c>
      <c r="AS192" s="10">
        <v>-3704.4969999999998</v>
      </c>
      <c r="AT192" s="10">
        <v>-3704.4969999999998</v>
      </c>
      <c r="AU192" s="8" t="s">
        <v>209</v>
      </c>
      <c r="AV192" s="10">
        <v>44.814</v>
      </c>
      <c r="AW192" s="11">
        <f>IF(AND(ISNUMBER(AV192),ISNUMBER(AT192)),IF(AT192&lt;&gt;0,AV192/ABS(AT192),""),"")</f>
        <v>1.2097188903108843E-2</v>
      </c>
      <c r="AX192" s="8">
        <v>1</v>
      </c>
      <c r="AY192" s="8">
        <v>0</v>
      </c>
      <c r="AZ192" s="8" t="s">
        <v>351</v>
      </c>
      <c r="BA192" s="8">
        <v>0</v>
      </c>
    </row>
    <row r="193" spans="1:53" x14ac:dyDescent="0.2">
      <c r="A193" s="8" t="s">
        <v>350</v>
      </c>
      <c r="B193" s="8" t="s">
        <v>84</v>
      </c>
      <c r="C193" s="8" t="s">
        <v>208</v>
      </c>
      <c r="D193" s="8">
        <v>1</v>
      </c>
      <c r="E193" s="8">
        <v>1</v>
      </c>
      <c r="F193" s="8">
        <f>SUM(G193:M193)</f>
        <v>2</v>
      </c>
      <c r="G193" s="8">
        <v>0</v>
      </c>
      <c r="H193" s="8">
        <v>0</v>
      </c>
      <c r="I193" s="8">
        <v>1</v>
      </c>
      <c r="J193" s="8">
        <v>0</v>
      </c>
      <c r="K193" s="8">
        <v>0</v>
      </c>
      <c r="L193" s="8">
        <v>0</v>
      </c>
      <c r="M193" s="8">
        <v>1</v>
      </c>
      <c r="N193" s="8">
        <v>0</v>
      </c>
      <c r="O193" s="8">
        <v>1</v>
      </c>
      <c r="P193" s="8">
        <v>1</v>
      </c>
      <c r="Q193" s="8">
        <v>0</v>
      </c>
      <c r="R193" s="8">
        <v>0</v>
      </c>
      <c r="S193" s="8">
        <v>0</v>
      </c>
      <c r="T193" s="10"/>
      <c r="U193" s="10">
        <v>44.814</v>
      </c>
      <c r="V193" s="10"/>
      <c r="W193" s="10" t="str">
        <f>IF(RIGHT(C193,2)="12",IF(ISNUMBER(T193),T193,""),IF(COUNT(T193,U193,V193)=3,T193+U193-V193,""))</f>
        <v/>
      </c>
      <c r="X193" s="10"/>
      <c r="Y193" s="10"/>
      <c r="Z193" s="10"/>
      <c r="AA193" s="10">
        <v>70.677999999999997</v>
      </c>
      <c r="AB193" s="10"/>
      <c r="AC193" s="8">
        <v>0</v>
      </c>
      <c r="AD193" s="8">
        <v>1</v>
      </c>
      <c r="AE193" s="8">
        <v>0</v>
      </c>
      <c r="AF193" s="10">
        <v>44.814</v>
      </c>
      <c r="AG193" s="8">
        <f>COUNTIF(Y193:AB193,"&gt;0")</f>
        <v>1</v>
      </c>
      <c r="AH193" s="10">
        <v>0</v>
      </c>
      <c r="AI193" s="10">
        <v>70.677999999999997</v>
      </c>
      <c r="AJ193" s="8" t="str">
        <f>IF(ISNUMBER(X193),IF(X193&gt;0,"+",IF(X193&lt;0,"−","0")),IF(ISNUMBER(W193),IF(W193&gt;0,"+",IF(W193&lt;0,"−","0")),"yok"))</f>
        <v>yok</v>
      </c>
      <c r="AK193" s="10" t="str">
        <f>IF(AND(RIGHT(C193,2)&lt;&gt;"12",ISNUMBER(U193),ISNUMBER(V193)),U193-V193,"")</f>
        <v/>
      </c>
      <c r="AL193" s="11" t="str">
        <f>IF(AND(ISNUMBER(AK193),ISNUMBER(V193)),IF(V193&lt;&gt;0,AK193/ABS(V193),""),"")</f>
        <v/>
      </c>
      <c r="AM193" s="8" t="str">
        <f>IF(ISNUMBER(AK193),IF(AK193&gt;1,1,0),"")</f>
        <v/>
      </c>
      <c r="AN193" s="8" t="str">
        <f>IF(ISNUMBER(AK193),IF(AK193&gt;0.05*ABS(V193),1,0),"")</f>
        <v/>
      </c>
      <c r="AO193" s="10">
        <v>44.814999999999998</v>
      </c>
      <c r="AP193" s="10">
        <v>0</v>
      </c>
      <c r="AQ193" s="8" t="s">
        <v>209</v>
      </c>
      <c r="AR193" s="8">
        <v>1</v>
      </c>
      <c r="AS193" s="10">
        <v>-3690.319</v>
      </c>
      <c r="AT193" s="10">
        <v>-3690.319</v>
      </c>
      <c r="AU193" s="8" t="s">
        <v>209</v>
      </c>
      <c r="AV193" s="10">
        <v>44.814</v>
      </c>
      <c r="AW193" s="11">
        <f>IF(AND(ISNUMBER(AV193),ISNUMBER(AT193)),IF(AT193&lt;&gt;0,AV193/ABS(AT193),""),"")</f>
        <v>1.2143665628906336E-2</v>
      </c>
      <c r="AX193" s="8">
        <v>1</v>
      </c>
      <c r="AY193" s="8">
        <v>0</v>
      </c>
      <c r="AZ193" s="8" t="s">
        <v>352</v>
      </c>
      <c r="BA193" s="8">
        <v>0</v>
      </c>
    </row>
    <row r="194" spans="1:53" x14ac:dyDescent="0.2">
      <c r="A194" s="8" t="s">
        <v>350</v>
      </c>
      <c r="B194" s="8" t="s">
        <v>84</v>
      </c>
      <c r="C194" s="8" t="s">
        <v>210</v>
      </c>
      <c r="D194" s="8">
        <v>1</v>
      </c>
      <c r="E194" s="8">
        <v>1</v>
      </c>
      <c r="F194" s="8">
        <f>SUM(G194:M194)</f>
        <v>2</v>
      </c>
      <c r="G194" s="8">
        <v>0</v>
      </c>
      <c r="H194" s="8">
        <v>0</v>
      </c>
      <c r="I194" s="8">
        <v>1</v>
      </c>
      <c r="J194" s="8">
        <v>0</v>
      </c>
      <c r="K194" s="8">
        <v>0</v>
      </c>
      <c r="L194" s="8">
        <v>0</v>
      </c>
      <c r="M194" s="8">
        <v>1</v>
      </c>
      <c r="N194" s="8">
        <v>0</v>
      </c>
      <c r="O194" s="8">
        <v>1</v>
      </c>
      <c r="P194" s="8">
        <v>1</v>
      </c>
      <c r="Q194" s="8">
        <v>0</v>
      </c>
      <c r="R194" s="8">
        <v>0</v>
      </c>
      <c r="S194" s="8">
        <v>0</v>
      </c>
      <c r="T194" s="10"/>
      <c r="U194" s="10">
        <v>44.814</v>
      </c>
      <c r="V194" s="10"/>
      <c r="W194" s="10" t="str">
        <f>IF(RIGHT(C194,2)="12",IF(ISNUMBER(T194),T194,""),IF(COUNT(T194,U194,V194)=3,T194+U194-V194,""))</f>
        <v/>
      </c>
      <c r="X194" s="10"/>
      <c r="Y194" s="10"/>
      <c r="Z194" s="10">
        <v>70.677999999999997</v>
      </c>
      <c r="AA194" s="10"/>
      <c r="AB194" s="10"/>
      <c r="AC194" s="8">
        <v>0</v>
      </c>
      <c r="AD194" s="8">
        <v>1</v>
      </c>
      <c r="AE194" s="8">
        <v>0</v>
      </c>
      <c r="AF194" s="10">
        <v>44.814</v>
      </c>
      <c r="AG194" s="8">
        <f>COUNTIF(Y194:AB194,"&gt;0")</f>
        <v>1</v>
      </c>
      <c r="AH194" s="10">
        <v>0</v>
      </c>
      <c r="AI194" s="10">
        <v>70.677999999999997</v>
      </c>
      <c r="AJ194" s="8" t="str">
        <f>IF(ISNUMBER(X194),IF(X194&gt;0,"+",IF(X194&lt;0,"−","0")),IF(ISNUMBER(W194),IF(W194&gt;0,"+",IF(W194&lt;0,"−","0")),"yok"))</f>
        <v>yok</v>
      </c>
      <c r="AK194" s="10" t="str">
        <f>IF(AND(RIGHT(C194,2)&lt;&gt;"12",ISNUMBER(U194),ISNUMBER(V194)),U194-V194,"")</f>
        <v/>
      </c>
      <c r="AL194" s="11" t="str">
        <f>IF(AND(ISNUMBER(AK194),ISNUMBER(V194)),IF(V194&lt;&gt;0,AK194/ABS(V194),""),"")</f>
        <v/>
      </c>
      <c r="AM194" s="8" t="str">
        <f>IF(ISNUMBER(AK194),IF(AK194&gt;1,1,0),"")</f>
        <v/>
      </c>
      <c r="AN194" s="8" t="str">
        <f>IF(ISNUMBER(AK194),IF(AK194&gt;0.05*ABS(V194),1,0),"")</f>
        <v/>
      </c>
      <c r="AO194" s="10">
        <v>44.814999999999998</v>
      </c>
      <c r="AP194" s="10">
        <v>0</v>
      </c>
      <c r="AQ194" s="8" t="s">
        <v>209</v>
      </c>
      <c r="AR194" s="8">
        <v>1</v>
      </c>
      <c r="AS194" s="10">
        <v>-3653.08</v>
      </c>
      <c r="AT194" s="10">
        <v>-3653.08</v>
      </c>
      <c r="AU194" s="8" t="s">
        <v>209</v>
      </c>
      <c r="AV194" s="10">
        <v>44.814</v>
      </c>
      <c r="AW194" s="11">
        <f>IF(AND(ISNUMBER(AV194),ISNUMBER(AT194)),IF(AT194&lt;&gt;0,AV194/ABS(AT194),""),"")</f>
        <v>1.22674565024582E-2</v>
      </c>
      <c r="AX194" s="8">
        <v>1</v>
      </c>
      <c r="AY194" s="8">
        <v>0</v>
      </c>
      <c r="AZ194" s="8" t="s">
        <v>352</v>
      </c>
      <c r="BA194" s="8">
        <v>0</v>
      </c>
    </row>
    <row r="195" spans="1:53" x14ac:dyDescent="0.2">
      <c r="A195" s="8" t="s">
        <v>353</v>
      </c>
      <c r="B195" s="8" t="s">
        <v>84</v>
      </c>
      <c r="C195" s="8" t="s">
        <v>203</v>
      </c>
      <c r="D195" s="8">
        <v>1</v>
      </c>
      <c r="E195" s="8">
        <v>1</v>
      </c>
      <c r="F195" s="8">
        <f>SUM(G195:M195)</f>
        <v>1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1</v>
      </c>
      <c r="N195" s="8">
        <v>0</v>
      </c>
      <c r="O195" s="8">
        <v>0</v>
      </c>
      <c r="P195" s="8">
        <v>1</v>
      </c>
      <c r="Q195" s="8">
        <v>0</v>
      </c>
      <c r="R195" s="8">
        <v>0</v>
      </c>
      <c r="S195" s="8">
        <v>0</v>
      </c>
      <c r="T195" s="10"/>
      <c r="U195" s="10">
        <v>-20.472000000000001</v>
      </c>
      <c r="V195" s="10"/>
      <c r="W195" s="10" t="str">
        <f>IF(RIGHT(C195,2)="12",IF(ISNUMBER(T195),T195,""),IF(COUNT(T195,U195,V195)=3,T195+U195-V195,""))</f>
        <v/>
      </c>
      <c r="X195" s="10"/>
      <c r="Y195" s="10"/>
      <c r="Z195" s="10">
        <v>1.677</v>
      </c>
      <c r="AA195" s="10">
        <v>-1.6759999999999999</v>
      </c>
      <c r="AB195" s="10"/>
      <c r="AC195" s="8">
        <v>0</v>
      </c>
      <c r="AD195" s="8">
        <v>0</v>
      </c>
      <c r="AE195" s="8">
        <v>0</v>
      </c>
      <c r="AF195" s="10">
        <v>0</v>
      </c>
      <c r="AG195" s="8">
        <f>COUNTIF(Y195:AB195,"&gt;0")</f>
        <v>1</v>
      </c>
      <c r="AH195" s="10">
        <v>0</v>
      </c>
      <c r="AI195" s="10">
        <v>1.677</v>
      </c>
      <c r="AJ195" s="8" t="str">
        <f>IF(ISNUMBER(X195),IF(X195&gt;0,"+",IF(X195&lt;0,"−","0")),IF(ISNUMBER(W195),IF(W195&gt;0,"+",IF(W195&lt;0,"−","0")),"yok"))</f>
        <v>yok</v>
      </c>
      <c r="AK195" s="10" t="str">
        <f>IF(AND(RIGHT(C195,2)&lt;&gt;"12",ISNUMBER(U195),ISNUMBER(V195)),U195-V195,"")</f>
        <v/>
      </c>
      <c r="AL195" s="11" t="str">
        <f>IF(AND(ISNUMBER(AK195),ISNUMBER(V195)),IF(V195&lt;&gt;0,AK195/ABS(V195),""),"")</f>
        <v/>
      </c>
      <c r="AM195" s="8" t="str">
        <f>IF(ISNUMBER(AK195),IF(AK195&gt;1,1,0),"")</f>
        <v/>
      </c>
      <c r="AN195" s="8" t="str">
        <f>IF(ISNUMBER(AK195),IF(AK195&gt;0.05*ABS(V195),1,0),"")</f>
        <v/>
      </c>
      <c r="AO195" s="10"/>
      <c r="AP195" s="10"/>
      <c r="AQ195" s="8" t="s">
        <v>207</v>
      </c>
      <c r="AR195" s="8">
        <v>0</v>
      </c>
      <c r="AS195" s="10">
        <v>1720.9390000000001</v>
      </c>
      <c r="AT195" s="10"/>
      <c r="AU195" s="8" t="s">
        <v>207</v>
      </c>
      <c r="AV195" s="10">
        <v>1.677</v>
      </c>
      <c r="AW195" s="11" t="str">
        <f>IF(AND(ISNUMBER(AV195),ISNUMBER(AT195)),IF(AT195&lt;&gt;0,AV195/ABS(AT195),""),"")</f>
        <v/>
      </c>
      <c r="AX195" s="8">
        <v>0</v>
      </c>
      <c r="AY195" s="8">
        <v>0</v>
      </c>
      <c r="AZ195" s="10"/>
      <c r="BA195" s="8">
        <v>0</v>
      </c>
    </row>
    <row r="196" spans="1:53" x14ac:dyDescent="0.2">
      <c r="A196" s="8" t="s">
        <v>353</v>
      </c>
      <c r="B196" s="8" t="s">
        <v>84</v>
      </c>
      <c r="C196" s="8" t="s">
        <v>205</v>
      </c>
      <c r="D196" s="8">
        <v>1</v>
      </c>
      <c r="E196" s="8">
        <v>1</v>
      </c>
      <c r="F196" s="8">
        <f>SUM(G196:M196)</f>
        <v>1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1</v>
      </c>
      <c r="N196" s="8">
        <v>0</v>
      </c>
      <c r="O196" s="8">
        <v>0</v>
      </c>
      <c r="P196" s="8">
        <v>1</v>
      </c>
      <c r="Q196" s="8">
        <v>0</v>
      </c>
      <c r="R196" s="8">
        <v>0</v>
      </c>
      <c r="S196" s="8">
        <v>0</v>
      </c>
      <c r="T196" s="10"/>
      <c r="U196" s="10">
        <v>-20.472000000000001</v>
      </c>
      <c r="V196" s="10">
        <v>-20.472999999999999</v>
      </c>
      <c r="W196" s="10" t="str">
        <f>IF(RIGHT(C196,2)="12",IF(ISNUMBER(T196),T196,""),IF(COUNT(T196,U196,V196)=3,T196+U196-V196,""))</f>
        <v/>
      </c>
      <c r="X196" s="10"/>
      <c r="Y196" s="10">
        <v>1.677</v>
      </c>
      <c r="Z196" s="10">
        <v>-1.6759999999999999</v>
      </c>
      <c r="AA196" s="10"/>
      <c r="AB196" s="10"/>
      <c r="AC196" s="8">
        <v>0</v>
      </c>
      <c r="AD196" s="8">
        <v>0</v>
      </c>
      <c r="AE196" s="8">
        <v>0</v>
      </c>
      <c r="AF196" s="10">
        <v>0</v>
      </c>
      <c r="AG196" s="8">
        <f>COUNTIF(Y196:AB196,"&gt;0")</f>
        <v>1</v>
      </c>
      <c r="AH196" s="10">
        <v>0</v>
      </c>
      <c r="AI196" s="10">
        <v>1.677</v>
      </c>
      <c r="AJ196" s="8" t="str">
        <f>IF(ISNUMBER(X196),IF(X196&gt;0,"+",IF(X196&lt;0,"−","0")),IF(ISNUMBER(W196),IF(W196&gt;0,"+",IF(W196&lt;0,"−","0")),"yok"))</f>
        <v>yok</v>
      </c>
      <c r="AK196" s="10">
        <f>IF(AND(RIGHT(C196,2)&lt;&gt;"12",ISNUMBER(U196),ISNUMBER(V196)),U196-V196,"")</f>
        <v>9.9999999999766942E-4</v>
      </c>
      <c r="AL196" s="11">
        <f>IF(AND(ISNUMBER(AK196),ISNUMBER(V196)),IF(V196&lt;&gt;0,AK196/ABS(V196),""),"")</f>
        <v>4.8844820006724444E-5</v>
      </c>
      <c r="AM196" s="8">
        <f>IF(ISNUMBER(AK196),IF(AK196&gt;1,1,0),"")</f>
        <v>0</v>
      </c>
      <c r="AN196" s="8">
        <f>IF(ISNUMBER(AK196),IF(AK196&gt;0.05*ABS(V196),1,0),"")</f>
        <v>0</v>
      </c>
      <c r="AO196" s="10"/>
      <c r="AP196" s="10"/>
      <c r="AQ196" s="8" t="s">
        <v>207</v>
      </c>
      <c r="AR196" s="8">
        <v>0</v>
      </c>
      <c r="AS196" s="10">
        <v>-817.36699999999996</v>
      </c>
      <c r="AT196" s="10"/>
      <c r="AU196" s="8" t="s">
        <v>207</v>
      </c>
      <c r="AV196" s="10">
        <v>1.677</v>
      </c>
      <c r="AW196" s="11" t="str">
        <f>IF(AND(ISNUMBER(AV196),ISNUMBER(AT196)),IF(AT196&lt;&gt;0,AV196/ABS(AT196),""),"")</f>
        <v/>
      </c>
      <c r="AX196" s="8">
        <v>0</v>
      </c>
      <c r="AY196" s="8">
        <v>0</v>
      </c>
      <c r="AZ196" s="10"/>
      <c r="BA196" s="8">
        <v>0</v>
      </c>
    </row>
    <row r="197" spans="1:53" x14ac:dyDescent="0.2">
      <c r="A197" s="8" t="s">
        <v>354</v>
      </c>
      <c r="B197" s="8" t="s">
        <v>83</v>
      </c>
      <c r="C197" s="8" t="s">
        <v>208</v>
      </c>
      <c r="D197" s="8">
        <v>1</v>
      </c>
      <c r="E197" s="8">
        <v>1</v>
      </c>
      <c r="F197" s="8">
        <f>SUM(G197:M197)</f>
        <v>1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1</v>
      </c>
      <c r="N197" s="8">
        <v>0</v>
      </c>
      <c r="O197" s="8">
        <v>0</v>
      </c>
      <c r="P197" s="8">
        <v>1</v>
      </c>
      <c r="Q197" s="8">
        <v>0</v>
      </c>
      <c r="R197" s="8">
        <v>0</v>
      </c>
      <c r="S197" s="8">
        <v>0</v>
      </c>
      <c r="T197" s="10">
        <v>-30.225999999999999</v>
      </c>
      <c r="U197" s="10">
        <v>-923.16300000000001</v>
      </c>
      <c r="V197" s="10">
        <v>-460.27800000000002</v>
      </c>
      <c r="W197" s="10">
        <f>IF(RIGHT(C197,2)="12",IF(ISNUMBER(T197),T197,""),IF(COUNT(T197,U197,V197)=3,T197+U197-V197,""))</f>
        <v>-493.11099999999999</v>
      </c>
      <c r="X197" s="10">
        <v>-493.11099999999999</v>
      </c>
      <c r="Y197" s="10">
        <v>-418.18900000000002</v>
      </c>
      <c r="Z197" s="10">
        <v>-138.298</v>
      </c>
      <c r="AA197" s="10">
        <v>93.602000000000004</v>
      </c>
      <c r="AB197" s="10">
        <v>-30.225999999999999</v>
      </c>
      <c r="AC197" s="8">
        <v>0</v>
      </c>
      <c r="AD197" s="8">
        <v>0</v>
      </c>
      <c r="AE197" s="8">
        <v>0</v>
      </c>
      <c r="AF197" s="10">
        <v>0</v>
      </c>
      <c r="AG197" s="8">
        <f>COUNTIF(Y197:AB197,"&gt;0")</f>
        <v>1</v>
      </c>
      <c r="AH197" s="10">
        <v>0</v>
      </c>
      <c r="AI197" s="10">
        <v>93.602000000000004</v>
      </c>
      <c r="AJ197" s="8" t="str">
        <f>IF(ISNUMBER(X197),IF(X197&gt;0,"+",IF(X197&lt;0,"−","0")),IF(ISNUMBER(W197),IF(W197&gt;0,"+",IF(W197&lt;0,"−","0")),"yok"))</f>
        <v>−</v>
      </c>
      <c r="AK197" s="10">
        <f>IF(AND(RIGHT(C197,2)&lt;&gt;"12",ISNUMBER(U197),ISNUMBER(V197)),U197-V197,"")</f>
        <v>-462.88499999999999</v>
      </c>
      <c r="AL197" s="11">
        <f>IF(AND(ISNUMBER(AK197),ISNUMBER(V197)),IF(V197&lt;&gt;0,AK197/ABS(V197),""),"")</f>
        <v>-1.0056639682974202</v>
      </c>
      <c r="AM197" s="8">
        <f>IF(ISNUMBER(AK197),IF(AK197&gt;1,1,0),"")</f>
        <v>0</v>
      </c>
      <c r="AN197" s="8">
        <f>IF(ISNUMBER(AK197),IF(AK197&gt;0.05*ABS(V197),1,0),"")</f>
        <v>0</v>
      </c>
      <c r="AO197" s="10">
        <v>-493.11099999999999</v>
      </c>
      <c r="AP197" s="10">
        <v>493.11099999999999</v>
      </c>
      <c r="AQ197" s="8" t="s">
        <v>204</v>
      </c>
      <c r="AR197" s="8">
        <v>0</v>
      </c>
      <c r="AS197" s="10">
        <v>736.78200000000004</v>
      </c>
      <c r="AT197" s="10"/>
      <c r="AU197" s="8" t="s">
        <v>207</v>
      </c>
      <c r="AV197" s="10">
        <v>93.602000000000004</v>
      </c>
      <c r="AW197" s="11" t="str">
        <f>IF(AND(ISNUMBER(AV197),ISNUMBER(AT197)),IF(AT197&lt;&gt;0,AV197/ABS(AT197),""),"")</f>
        <v/>
      </c>
      <c r="AX197" s="8">
        <v>0</v>
      </c>
      <c r="AY197" s="8">
        <v>0</v>
      </c>
      <c r="AZ197" s="10"/>
      <c r="BA197" s="8">
        <v>0</v>
      </c>
    </row>
    <row r="198" spans="1:53" x14ac:dyDescent="0.2">
      <c r="A198" s="8" t="s">
        <v>354</v>
      </c>
      <c r="B198" s="8" t="s">
        <v>83</v>
      </c>
      <c r="C198" s="8" t="s">
        <v>210</v>
      </c>
      <c r="D198" s="8">
        <v>1</v>
      </c>
      <c r="E198" s="8">
        <v>1</v>
      </c>
      <c r="F198" s="8">
        <f>SUM(G198:M198)</f>
        <v>1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1</v>
      </c>
      <c r="N198" s="8">
        <v>0</v>
      </c>
      <c r="O198" s="8">
        <v>0</v>
      </c>
      <c r="P198" s="8">
        <v>1</v>
      </c>
      <c r="Q198" s="8">
        <v>0</v>
      </c>
      <c r="R198" s="8">
        <v>0</v>
      </c>
      <c r="S198" s="8">
        <v>0</v>
      </c>
      <c r="T198" s="10">
        <v>-67.076999999999998</v>
      </c>
      <c r="U198" s="10">
        <v>-923.16300000000001</v>
      </c>
      <c r="V198" s="10">
        <v>-878.46799999999996</v>
      </c>
      <c r="W198" s="10">
        <f>IF(RIGHT(C198,2)="12",IF(ISNUMBER(T198),T198,""),IF(COUNT(T198,U198,V198)=3,T198+U198-V198,""))</f>
        <v>-111.77200000000005</v>
      </c>
      <c r="X198" s="10">
        <v>-111.77200000000001</v>
      </c>
      <c r="Y198" s="10">
        <v>-138.298</v>
      </c>
      <c r="Z198" s="10">
        <v>93.602000000000004</v>
      </c>
      <c r="AA198" s="10">
        <v>-30.225999999999999</v>
      </c>
      <c r="AB198" s="10">
        <v>-36.85</v>
      </c>
      <c r="AC198" s="8">
        <v>0</v>
      </c>
      <c r="AD198" s="8">
        <v>0</v>
      </c>
      <c r="AE198" s="8">
        <v>0</v>
      </c>
      <c r="AF198" s="10">
        <v>0</v>
      </c>
      <c r="AG198" s="8">
        <f>COUNTIF(Y198:AB198,"&gt;0")</f>
        <v>1</v>
      </c>
      <c r="AH198" s="10">
        <v>0</v>
      </c>
      <c r="AI198" s="10">
        <v>93.602000000000004</v>
      </c>
      <c r="AJ198" s="8" t="str">
        <f>IF(ISNUMBER(X198),IF(X198&gt;0,"+",IF(X198&lt;0,"−","0")),IF(ISNUMBER(W198),IF(W198&gt;0,"+",IF(W198&lt;0,"−","0")),"yok"))</f>
        <v>−</v>
      </c>
      <c r="AK198" s="10">
        <f>IF(AND(RIGHT(C198,2)&lt;&gt;"12",ISNUMBER(U198),ISNUMBER(V198)),U198-V198,"")</f>
        <v>-44.69500000000005</v>
      </c>
      <c r="AL198" s="11">
        <f>IF(AND(ISNUMBER(AK198),ISNUMBER(V198)),IF(V198&lt;&gt;0,AK198/ABS(V198),""),"")</f>
        <v>-5.0878347304625843E-2</v>
      </c>
      <c r="AM198" s="8">
        <f>IF(ISNUMBER(AK198),IF(AK198&gt;1,1,0),"")</f>
        <v>0</v>
      </c>
      <c r="AN198" s="8">
        <f>IF(ISNUMBER(AK198),IF(AK198&gt;0.05*ABS(V198),1,0),"")</f>
        <v>0</v>
      </c>
      <c r="AO198" s="10">
        <v>-111.773</v>
      </c>
      <c r="AP198" s="10">
        <v>111.773</v>
      </c>
      <c r="AQ198" s="8" t="s">
        <v>204</v>
      </c>
      <c r="AR198" s="8">
        <v>0</v>
      </c>
      <c r="AS198" s="10">
        <v>1205.6769999999999</v>
      </c>
      <c r="AT198" s="10"/>
      <c r="AU198" s="8" t="s">
        <v>207</v>
      </c>
      <c r="AV198" s="10">
        <v>93.602000000000004</v>
      </c>
      <c r="AW198" s="11" t="str">
        <f>IF(AND(ISNUMBER(AV198),ISNUMBER(AT198)),IF(AT198&lt;&gt;0,AV198/ABS(AT198),""),"")</f>
        <v/>
      </c>
      <c r="AX198" s="8">
        <v>0</v>
      </c>
      <c r="AY198" s="8">
        <v>0</v>
      </c>
      <c r="AZ198" s="10"/>
      <c r="BA198" s="8">
        <v>0</v>
      </c>
    </row>
    <row r="199" spans="1:53" x14ac:dyDescent="0.2">
      <c r="A199" s="8" t="s">
        <v>355</v>
      </c>
      <c r="B199" s="8" t="s">
        <v>82</v>
      </c>
      <c r="C199" s="8" t="s">
        <v>290</v>
      </c>
      <c r="D199" s="8">
        <v>1</v>
      </c>
      <c r="E199" s="8">
        <v>1</v>
      </c>
      <c r="F199" s="8">
        <f>SUM(G199:M199)</f>
        <v>1</v>
      </c>
      <c r="G199" s="8">
        <v>1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1</v>
      </c>
      <c r="O199" s="8">
        <v>1</v>
      </c>
      <c r="P199" s="8">
        <v>1</v>
      </c>
      <c r="Q199" s="8">
        <v>0</v>
      </c>
      <c r="R199" s="8">
        <v>0</v>
      </c>
      <c r="S199" s="8">
        <v>1</v>
      </c>
      <c r="T199" s="10">
        <v>0.79500000000000004</v>
      </c>
      <c r="U199" s="10"/>
      <c r="V199" s="10"/>
      <c r="W199" s="10">
        <f>IF(RIGHT(C199,2)="12",IF(ISNUMBER(T199),T199,""),IF(COUNT(T199,U199,V199)=3,T199+U199-V199,""))</f>
        <v>0.79500000000000004</v>
      </c>
      <c r="X199" s="10">
        <v>0.79500000000000004</v>
      </c>
      <c r="Y199" s="10">
        <v>-0.376</v>
      </c>
      <c r="Z199" s="10">
        <v>-0.96299999999999997</v>
      </c>
      <c r="AA199" s="10">
        <v>-3.5999999999999997E-2</v>
      </c>
      <c r="AB199" s="10">
        <v>2.762</v>
      </c>
      <c r="AC199" s="8">
        <v>1</v>
      </c>
      <c r="AD199" s="8">
        <v>0</v>
      </c>
      <c r="AE199" s="8">
        <v>0</v>
      </c>
      <c r="AF199" s="10">
        <v>0.79500000000000004</v>
      </c>
      <c r="AG199" s="8">
        <f>COUNTIF(Y199:AB199,"&gt;0")</f>
        <v>1</v>
      </c>
      <c r="AH199" s="10">
        <v>2.762</v>
      </c>
      <c r="AI199" s="10">
        <v>0</v>
      </c>
      <c r="AJ199" s="8" t="str">
        <f>IF(ISNUMBER(X199),IF(X199&gt;0,"+",IF(X199&lt;0,"−","0")),IF(ISNUMBER(W199),IF(W199&gt;0,"+",IF(W199&lt;0,"−","0")),"yok"))</f>
        <v>+</v>
      </c>
      <c r="AK199" s="10" t="str">
        <f>IF(AND(RIGHT(C199,2)&lt;&gt;"12",ISNUMBER(U199),ISNUMBER(V199)),U199-V199,"")</f>
        <v/>
      </c>
      <c r="AL199" s="11" t="str">
        <f>IF(AND(ISNUMBER(AK199),ISNUMBER(V199)),IF(V199&lt;&gt;0,AK199/ABS(V199),""),"")</f>
        <v/>
      </c>
      <c r="AM199" s="8" t="str">
        <f>IF(ISNUMBER(AK199),IF(AK199&gt;1,1,0),"")</f>
        <v/>
      </c>
      <c r="AN199" s="8" t="str">
        <f>IF(ISNUMBER(AK199),IF(AK199&gt;0.05*ABS(V199),1,0),"")</f>
        <v/>
      </c>
      <c r="AO199" s="10">
        <v>0.79500000000000004</v>
      </c>
      <c r="AP199" s="10">
        <v>0</v>
      </c>
      <c r="AQ199" s="8" t="s">
        <v>204</v>
      </c>
      <c r="AR199" s="8">
        <v>1</v>
      </c>
      <c r="AS199" s="10">
        <v>-164.28899999999999</v>
      </c>
      <c r="AT199" s="10">
        <v>-306.35300000000001</v>
      </c>
      <c r="AU199" s="8" t="s">
        <v>204</v>
      </c>
      <c r="AV199" s="10">
        <v>0.79500000000000004</v>
      </c>
      <c r="AW199" s="11">
        <f>IF(AND(ISNUMBER(AV199),ISNUMBER(AT199)),IF(AT199&lt;&gt;0,AV199/ABS(AT199),""),"")</f>
        <v>2.5950455846686666E-3</v>
      </c>
      <c r="AX199" s="8">
        <v>1</v>
      </c>
      <c r="AY199" s="8">
        <v>0</v>
      </c>
      <c r="AZ199" s="8" t="s">
        <v>356</v>
      </c>
      <c r="BA199" s="8">
        <v>0</v>
      </c>
    </row>
    <row r="200" spans="1:53" x14ac:dyDescent="0.2">
      <c r="A200" s="8" t="s">
        <v>355</v>
      </c>
      <c r="B200" s="8" t="s">
        <v>82</v>
      </c>
      <c r="C200" s="8" t="s">
        <v>208</v>
      </c>
      <c r="D200" s="8">
        <v>1</v>
      </c>
      <c r="E200" s="8">
        <v>1</v>
      </c>
      <c r="F200" s="8">
        <f>SUM(G200:M200)</f>
        <v>1</v>
      </c>
      <c r="G200" s="8">
        <v>1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1</v>
      </c>
      <c r="O200" s="8">
        <v>1</v>
      </c>
      <c r="P200" s="8">
        <v>1</v>
      </c>
      <c r="Q200" s="8">
        <v>1</v>
      </c>
      <c r="R200" s="8">
        <v>1</v>
      </c>
      <c r="S200" s="8">
        <v>0</v>
      </c>
      <c r="T200" s="10">
        <v>-0.20100000000000001</v>
      </c>
      <c r="U200" s="10">
        <v>0.79500000000000004</v>
      </c>
      <c r="V200" s="10">
        <v>-0.376</v>
      </c>
      <c r="W200" s="10">
        <f>IF(RIGHT(C200,2)="12",IF(ISNUMBER(T200),T200,""),IF(COUNT(T200,U200,V200)=3,T200+U200-V200,""))</f>
        <v>0.97000000000000008</v>
      </c>
      <c r="X200" s="10">
        <v>0.97</v>
      </c>
      <c r="Y200" s="10">
        <v>-0.96299999999999997</v>
      </c>
      <c r="Z200" s="10">
        <v>-3.5999999999999997E-2</v>
      </c>
      <c r="AA200" s="10">
        <v>2.762</v>
      </c>
      <c r="AB200" s="10">
        <v>-0.20100000000000001</v>
      </c>
      <c r="AC200" s="8">
        <v>0</v>
      </c>
      <c r="AD200" s="8">
        <v>1</v>
      </c>
      <c r="AE200" s="8">
        <v>0</v>
      </c>
      <c r="AF200" s="10">
        <v>0.79500000000000004</v>
      </c>
      <c r="AG200" s="8">
        <f>COUNTIF(Y200:AB200,"&gt;0")</f>
        <v>1</v>
      </c>
      <c r="AH200" s="10">
        <v>0</v>
      </c>
      <c r="AI200" s="10">
        <v>2.762</v>
      </c>
      <c r="AJ200" s="8" t="str">
        <f>IF(ISNUMBER(X200),IF(X200&gt;0,"+",IF(X200&lt;0,"−","0")),IF(ISNUMBER(W200),IF(W200&gt;0,"+",IF(W200&lt;0,"−","0")),"yok"))</f>
        <v>+</v>
      </c>
      <c r="AK200" s="10">
        <f>IF(AND(RIGHT(C200,2)&lt;&gt;"12",ISNUMBER(U200),ISNUMBER(V200)),U200-V200,"")</f>
        <v>1.171</v>
      </c>
      <c r="AL200" s="11">
        <f>IF(AND(ISNUMBER(AK200),ISNUMBER(V200)),IF(V200&lt;&gt;0,AK200/ABS(V200),""),"")</f>
        <v>3.1143617021276597</v>
      </c>
      <c r="AM200" s="8">
        <f>IF(ISNUMBER(AK200),IF(AK200&gt;1,1,0),"")</f>
        <v>1</v>
      </c>
      <c r="AN200" s="8">
        <f>IF(ISNUMBER(AK200),IF(AK200&gt;0.05*ABS(V200),1,0),"")</f>
        <v>1</v>
      </c>
      <c r="AO200" s="10">
        <v>0.97</v>
      </c>
      <c r="AP200" s="10">
        <v>0</v>
      </c>
      <c r="AQ200" s="8" t="s">
        <v>204</v>
      </c>
      <c r="AR200" s="8">
        <v>1</v>
      </c>
      <c r="AS200" s="10">
        <v>-285.90600000000001</v>
      </c>
      <c r="AT200" s="10">
        <v>-411.99900000000002</v>
      </c>
      <c r="AU200" s="8" t="s">
        <v>204</v>
      </c>
      <c r="AV200" s="10">
        <v>0.79500000000000004</v>
      </c>
      <c r="AW200" s="11">
        <f>IF(AND(ISNUMBER(AV200),ISNUMBER(AT200)),IF(AT200&lt;&gt;0,AV200/ABS(AT200),""),"")</f>
        <v>1.9296163340202282E-3</v>
      </c>
      <c r="AX200" s="8">
        <v>1</v>
      </c>
      <c r="AY200" s="8">
        <v>0</v>
      </c>
      <c r="AZ200" s="8" t="s">
        <v>357</v>
      </c>
      <c r="BA200" s="8">
        <v>0</v>
      </c>
    </row>
    <row r="201" spans="1:53" x14ac:dyDescent="0.2">
      <c r="A201" s="8" t="s">
        <v>355</v>
      </c>
      <c r="B201" s="8" t="s">
        <v>82</v>
      </c>
      <c r="C201" s="8" t="s">
        <v>210</v>
      </c>
      <c r="D201" s="8">
        <v>1</v>
      </c>
      <c r="E201" s="8">
        <v>1</v>
      </c>
      <c r="F201" s="8">
        <f>SUM(G201:M201)</f>
        <v>1</v>
      </c>
      <c r="G201" s="8">
        <v>1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1</v>
      </c>
      <c r="O201" s="8">
        <v>1</v>
      </c>
      <c r="P201" s="8">
        <v>1</v>
      </c>
      <c r="Q201" s="8">
        <v>1</v>
      </c>
      <c r="R201" s="8">
        <v>1</v>
      </c>
      <c r="S201" s="8">
        <v>0</v>
      </c>
      <c r="T201" s="10">
        <v>-0.20100000000000001</v>
      </c>
      <c r="U201" s="10">
        <v>0.79500000000000004</v>
      </c>
      <c r="V201" s="10">
        <v>-1.34</v>
      </c>
      <c r="W201" s="10">
        <f>IF(RIGHT(C201,2)="12",IF(ISNUMBER(T201),T201,""),IF(COUNT(T201,U201,V201)=3,T201+U201-V201,""))</f>
        <v>1.9340000000000002</v>
      </c>
      <c r="X201" s="10">
        <v>1.9330000000000001</v>
      </c>
      <c r="Y201" s="10">
        <v>-3.5999999999999997E-2</v>
      </c>
      <c r="Z201" s="10">
        <v>2.762</v>
      </c>
      <c r="AA201" s="10">
        <v>-0.20100000000000001</v>
      </c>
      <c r="AB201" s="10">
        <v>0</v>
      </c>
      <c r="AC201" s="8">
        <v>0</v>
      </c>
      <c r="AD201" s="8">
        <v>1</v>
      </c>
      <c r="AE201" s="8">
        <v>0</v>
      </c>
      <c r="AF201" s="10">
        <v>0.79500000000000004</v>
      </c>
      <c r="AG201" s="8">
        <f>COUNTIF(Y201:AB201,"&gt;0")</f>
        <v>1</v>
      </c>
      <c r="AH201" s="10">
        <v>0</v>
      </c>
      <c r="AI201" s="10">
        <v>2.762</v>
      </c>
      <c r="AJ201" s="8" t="str">
        <f>IF(ISNUMBER(X201),IF(X201&gt;0,"+",IF(X201&lt;0,"−","0")),IF(ISNUMBER(W201),IF(W201&gt;0,"+",IF(W201&lt;0,"−","0")),"yok"))</f>
        <v>+</v>
      </c>
      <c r="AK201" s="10">
        <f>IF(AND(RIGHT(C201,2)&lt;&gt;"12",ISNUMBER(U201),ISNUMBER(V201)),U201-V201,"")</f>
        <v>2.1350000000000002</v>
      </c>
      <c r="AL201" s="11">
        <f>IF(AND(ISNUMBER(AK201),ISNUMBER(V201)),IF(V201&lt;&gt;0,AK201/ABS(V201),""),"")</f>
        <v>1.5932835820895523</v>
      </c>
      <c r="AM201" s="8">
        <f>IF(ISNUMBER(AK201),IF(AK201&gt;1,1,0),"")</f>
        <v>1</v>
      </c>
      <c r="AN201" s="8">
        <f>IF(ISNUMBER(AK201),IF(AK201&gt;0.05*ABS(V201),1,0),"")</f>
        <v>1</v>
      </c>
      <c r="AO201" s="10">
        <v>1.9330000000000001</v>
      </c>
      <c r="AP201" s="10">
        <v>0</v>
      </c>
      <c r="AQ201" s="8" t="s">
        <v>204</v>
      </c>
      <c r="AR201" s="8">
        <v>1</v>
      </c>
      <c r="AS201" s="10">
        <v>-69.858000000000004</v>
      </c>
      <c r="AT201" s="10">
        <v>-234.297</v>
      </c>
      <c r="AU201" s="8" t="s">
        <v>204</v>
      </c>
      <c r="AV201" s="10">
        <v>0.79500000000000004</v>
      </c>
      <c r="AW201" s="11">
        <f>IF(AND(ISNUMBER(AV201),ISNUMBER(AT201)),IF(AT201&lt;&gt;0,AV201/ABS(AT201),""),"")</f>
        <v>3.3931292334088785E-3</v>
      </c>
      <c r="AX201" s="8">
        <v>1</v>
      </c>
      <c r="AY201" s="8">
        <v>0</v>
      </c>
      <c r="AZ201" s="8" t="s">
        <v>357</v>
      </c>
      <c r="BA201" s="8">
        <v>0</v>
      </c>
    </row>
    <row r="202" spans="1:53" x14ac:dyDescent="0.2">
      <c r="A202" s="8" t="s">
        <v>358</v>
      </c>
      <c r="B202" s="8" t="s">
        <v>83</v>
      </c>
      <c r="C202" s="8" t="s">
        <v>208</v>
      </c>
      <c r="D202" s="8">
        <v>1</v>
      </c>
      <c r="E202" s="8">
        <v>1</v>
      </c>
      <c r="F202" s="8">
        <f>SUM(G202:M202)</f>
        <v>1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1</v>
      </c>
      <c r="N202" s="8">
        <v>0</v>
      </c>
      <c r="O202" s="8">
        <v>0</v>
      </c>
      <c r="P202" s="8">
        <v>1</v>
      </c>
      <c r="Q202" s="8">
        <v>0</v>
      </c>
      <c r="R202" s="8">
        <v>0</v>
      </c>
      <c r="S202" s="8">
        <v>0</v>
      </c>
      <c r="T202" s="10">
        <v>-131.447</v>
      </c>
      <c r="U202" s="10">
        <v>-293.21300000000002</v>
      </c>
      <c r="V202" s="10">
        <v>-77.566000000000003</v>
      </c>
      <c r="W202" s="10">
        <f>IF(RIGHT(C202,2)="12",IF(ISNUMBER(T202),T202,""),IF(COUNT(T202,U202,V202)=3,T202+U202-V202,""))</f>
        <v>-347.09400000000005</v>
      </c>
      <c r="X202" s="10">
        <v>-347.09399999999999</v>
      </c>
      <c r="Y202" s="10">
        <v>-131.089</v>
      </c>
      <c r="Z202" s="10">
        <v>-118.892</v>
      </c>
      <c r="AA202" s="10">
        <v>34.334000000000003</v>
      </c>
      <c r="AB202" s="10">
        <v>-131.447</v>
      </c>
      <c r="AC202" s="8">
        <v>0</v>
      </c>
      <c r="AD202" s="8">
        <v>0</v>
      </c>
      <c r="AE202" s="8">
        <v>0</v>
      </c>
      <c r="AF202" s="10">
        <v>0</v>
      </c>
      <c r="AG202" s="8">
        <f>COUNTIF(Y202:AB202,"&gt;0")</f>
        <v>1</v>
      </c>
      <c r="AH202" s="10">
        <v>0</v>
      </c>
      <c r="AI202" s="10">
        <v>34.334000000000003</v>
      </c>
      <c r="AJ202" s="8" t="str">
        <f>IF(ISNUMBER(X202),IF(X202&gt;0,"+",IF(X202&lt;0,"−","0")),IF(ISNUMBER(W202),IF(W202&gt;0,"+",IF(W202&lt;0,"−","0")),"yok"))</f>
        <v>−</v>
      </c>
      <c r="AK202" s="10">
        <f>IF(AND(RIGHT(C202,2)&lt;&gt;"12",ISNUMBER(U202),ISNUMBER(V202)),U202-V202,"")</f>
        <v>-215.64700000000002</v>
      </c>
      <c r="AL202" s="11">
        <f>IF(AND(ISNUMBER(AK202),ISNUMBER(V202)),IF(V202&lt;&gt;0,AK202/ABS(V202),""),"")</f>
        <v>-2.7801743031740713</v>
      </c>
      <c r="AM202" s="8">
        <f>IF(ISNUMBER(AK202),IF(AK202&gt;1,1,0),"")</f>
        <v>0</v>
      </c>
      <c r="AN202" s="8">
        <f>IF(ISNUMBER(AK202),IF(AK202&gt;0.05*ABS(V202),1,0),"")</f>
        <v>0</v>
      </c>
      <c r="AO202" s="10">
        <v>-347.09500000000003</v>
      </c>
      <c r="AP202" s="10">
        <v>347.09500000000003</v>
      </c>
      <c r="AQ202" s="8" t="s">
        <v>204</v>
      </c>
      <c r="AR202" s="8">
        <v>0</v>
      </c>
      <c r="AS202" s="10">
        <v>3566.779</v>
      </c>
      <c r="AT202" s="10">
        <v>3174.1840000000002</v>
      </c>
      <c r="AU202" s="8" t="s">
        <v>209</v>
      </c>
      <c r="AV202" s="10">
        <v>34.334000000000003</v>
      </c>
      <c r="AW202" s="11">
        <f>IF(AND(ISNUMBER(AV202),ISNUMBER(AT202)),IF(AT202&lt;&gt;0,AV202/ABS(AT202),""),"")</f>
        <v>1.0816638228911745E-2</v>
      </c>
      <c r="AX202" s="8">
        <v>0</v>
      </c>
      <c r="AY202" s="8">
        <v>0</v>
      </c>
      <c r="AZ202" s="10"/>
      <c r="BA202" s="8">
        <v>0</v>
      </c>
    </row>
    <row r="203" spans="1:53" x14ac:dyDescent="0.2">
      <c r="A203" s="8" t="s">
        <v>358</v>
      </c>
      <c r="B203" s="8" t="s">
        <v>83</v>
      </c>
      <c r="C203" s="8" t="s">
        <v>210</v>
      </c>
      <c r="D203" s="8">
        <v>1</v>
      </c>
      <c r="E203" s="8">
        <v>1</v>
      </c>
      <c r="F203" s="8">
        <f>SUM(G203:M203)</f>
        <v>1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</v>
      </c>
      <c r="N203" s="8">
        <v>0</v>
      </c>
      <c r="O203" s="8">
        <v>0</v>
      </c>
      <c r="P203" s="8">
        <v>1</v>
      </c>
      <c r="Q203" s="8">
        <v>0</v>
      </c>
      <c r="R203" s="8">
        <v>0</v>
      </c>
      <c r="S203" s="8">
        <v>0</v>
      </c>
      <c r="T203" s="10">
        <v>-267.46300000000002</v>
      </c>
      <c r="U203" s="10">
        <v>-293.21300000000002</v>
      </c>
      <c r="V203" s="10">
        <v>-208.655</v>
      </c>
      <c r="W203" s="10">
        <f>IF(RIGHT(C203,2)="12",IF(ISNUMBER(T203),T203,""),IF(COUNT(T203,U203,V203)=3,T203+U203-V203,""))</f>
        <v>-352.02100000000007</v>
      </c>
      <c r="X203" s="10">
        <v>-352.02100000000002</v>
      </c>
      <c r="Y203" s="10">
        <v>-118.892</v>
      </c>
      <c r="Z203" s="10">
        <v>34.334000000000003</v>
      </c>
      <c r="AA203" s="10">
        <v>-131.447</v>
      </c>
      <c r="AB203" s="10">
        <v>-136.01499999999999</v>
      </c>
      <c r="AC203" s="8">
        <v>0</v>
      </c>
      <c r="AD203" s="8">
        <v>0</v>
      </c>
      <c r="AE203" s="8">
        <v>0</v>
      </c>
      <c r="AF203" s="10">
        <v>0</v>
      </c>
      <c r="AG203" s="8">
        <f>COUNTIF(Y203:AB203,"&gt;0")</f>
        <v>1</v>
      </c>
      <c r="AH203" s="10">
        <v>0</v>
      </c>
      <c r="AI203" s="10">
        <v>34.334000000000003</v>
      </c>
      <c r="AJ203" s="8" t="str">
        <f>IF(ISNUMBER(X203),IF(X203&gt;0,"+",IF(X203&lt;0,"−","0")),IF(ISNUMBER(W203),IF(W203&gt;0,"+",IF(W203&lt;0,"−","0")),"yok"))</f>
        <v>−</v>
      </c>
      <c r="AK203" s="10">
        <f>IF(AND(RIGHT(C203,2)&lt;&gt;"12",ISNUMBER(U203),ISNUMBER(V203)),U203-V203,"")</f>
        <v>-84.558000000000021</v>
      </c>
      <c r="AL203" s="11">
        <f>IF(AND(ISNUMBER(AK203),ISNUMBER(V203)),IF(V203&lt;&gt;0,AK203/ABS(V203),""),"")</f>
        <v>-0.40525268984687651</v>
      </c>
      <c r="AM203" s="8">
        <f>IF(ISNUMBER(AK203),IF(AK203&gt;1,1,0),"")</f>
        <v>0</v>
      </c>
      <c r="AN203" s="8">
        <f>IF(ISNUMBER(AK203),IF(AK203&gt;0.05*ABS(V203),1,0),"")</f>
        <v>0</v>
      </c>
      <c r="AO203" s="10">
        <v>-352.02199999999999</v>
      </c>
      <c r="AP203" s="10">
        <v>352.02199999999999</v>
      </c>
      <c r="AQ203" s="8" t="s">
        <v>204</v>
      </c>
      <c r="AR203" s="8">
        <v>0</v>
      </c>
      <c r="AS203" s="10">
        <v>4015.8539999999998</v>
      </c>
      <c r="AT203" s="10">
        <v>3648.8319999999999</v>
      </c>
      <c r="AU203" s="8" t="s">
        <v>209</v>
      </c>
      <c r="AV203" s="10">
        <v>34.334000000000003</v>
      </c>
      <c r="AW203" s="11">
        <f>IF(AND(ISNUMBER(AV203),ISNUMBER(AT203)),IF(AT203&lt;&gt;0,AV203/ABS(AT203),""),"")</f>
        <v>9.4095864101169917E-3</v>
      </c>
      <c r="AX203" s="8">
        <v>0</v>
      </c>
      <c r="AY203" s="8">
        <v>0</v>
      </c>
      <c r="AZ203" s="10"/>
      <c r="BA203" s="8">
        <v>0</v>
      </c>
    </row>
    <row r="204" spans="1:53" x14ac:dyDescent="0.2">
      <c r="A204" s="8" t="s">
        <v>359</v>
      </c>
      <c r="B204" s="8" t="s">
        <v>83</v>
      </c>
      <c r="C204" s="8" t="s">
        <v>208</v>
      </c>
      <c r="D204" s="8">
        <v>1</v>
      </c>
      <c r="E204" s="8">
        <v>1</v>
      </c>
      <c r="F204" s="8">
        <f>SUM(G204:M204)</f>
        <v>1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1</v>
      </c>
      <c r="N204" s="8">
        <v>0</v>
      </c>
      <c r="O204" s="8">
        <v>0</v>
      </c>
      <c r="P204" s="8">
        <v>1</v>
      </c>
      <c r="Q204" s="8">
        <v>0</v>
      </c>
      <c r="R204" s="8">
        <v>0</v>
      </c>
      <c r="S204" s="8">
        <v>0</v>
      </c>
      <c r="T204" s="10">
        <v>-39.076999999999998</v>
      </c>
      <c r="U204" s="10">
        <v>-125.919</v>
      </c>
      <c r="V204" s="10">
        <v>-15.683999999999999</v>
      </c>
      <c r="W204" s="10">
        <f>IF(RIGHT(C204,2)="12",IF(ISNUMBER(T204),T204,""),IF(COUNT(T204,U204,V204)=3,T204+U204-V204,""))</f>
        <v>-149.31199999999998</v>
      </c>
      <c r="X204" s="10">
        <v>-149.31100000000001</v>
      </c>
      <c r="Y204" s="10">
        <v>-22.617999999999999</v>
      </c>
      <c r="Z204" s="10">
        <v>39.369999999999997</v>
      </c>
      <c r="AA204" s="10">
        <v>-126.986</v>
      </c>
      <c r="AB204" s="10">
        <v>-39.076999999999998</v>
      </c>
      <c r="AC204" s="8">
        <v>0</v>
      </c>
      <c r="AD204" s="8">
        <v>0</v>
      </c>
      <c r="AE204" s="8">
        <v>0</v>
      </c>
      <c r="AF204" s="10">
        <v>0</v>
      </c>
      <c r="AG204" s="8">
        <f>COUNTIF(Y204:AB204,"&gt;0")</f>
        <v>1</v>
      </c>
      <c r="AH204" s="10">
        <v>0</v>
      </c>
      <c r="AI204" s="10">
        <v>39.369999999999997</v>
      </c>
      <c r="AJ204" s="8" t="str">
        <f>IF(ISNUMBER(X204),IF(X204&gt;0,"+",IF(X204&lt;0,"−","0")),IF(ISNUMBER(W204),IF(W204&gt;0,"+",IF(W204&lt;0,"−","0")),"yok"))</f>
        <v>−</v>
      </c>
      <c r="AK204" s="10">
        <f>IF(AND(RIGHT(C204,2)&lt;&gt;"12",ISNUMBER(U204),ISNUMBER(V204)),U204-V204,"")</f>
        <v>-110.235</v>
      </c>
      <c r="AL204" s="11">
        <f>IF(AND(ISNUMBER(AK204),ISNUMBER(V204)),IF(V204&lt;&gt;0,AK204/ABS(V204),""),"")</f>
        <v>-7.028500382555471</v>
      </c>
      <c r="AM204" s="8">
        <f>IF(ISNUMBER(AK204),IF(AK204&gt;1,1,0),"")</f>
        <v>0</v>
      </c>
      <c r="AN204" s="8">
        <f>IF(ISNUMBER(AK204),IF(AK204&gt;0.05*ABS(V204),1,0),"")</f>
        <v>0</v>
      </c>
      <c r="AO204" s="10">
        <v>-149.31200000000001</v>
      </c>
      <c r="AP204" s="10">
        <v>149.31200000000001</v>
      </c>
      <c r="AQ204" s="8" t="s">
        <v>204</v>
      </c>
      <c r="AR204" s="8">
        <v>0</v>
      </c>
      <c r="AS204" s="10">
        <v>875.32600000000002</v>
      </c>
      <c r="AT204" s="10">
        <v>726.01400000000001</v>
      </c>
      <c r="AU204" s="8" t="s">
        <v>204</v>
      </c>
      <c r="AV204" s="10">
        <v>39.369999999999997</v>
      </c>
      <c r="AW204" s="11">
        <f>IF(AND(ISNUMBER(AV204),ISNUMBER(AT204)),IF(AT204&lt;&gt;0,AV204/ABS(AT204),""),"")</f>
        <v>5.4227604426360917E-2</v>
      </c>
      <c r="AX204" s="8">
        <v>0</v>
      </c>
      <c r="AY204" s="8">
        <v>0</v>
      </c>
      <c r="AZ204" s="10"/>
      <c r="BA204" s="8">
        <v>0</v>
      </c>
    </row>
    <row r="205" spans="1:53" x14ac:dyDescent="0.2">
      <c r="A205" s="8" t="s">
        <v>359</v>
      </c>
      <c r="B205" s="8" t="s">
        <v>83</v>
      </c>
      <c r="C205" s="8" t="s">
        <v>210</v>
      </c>
      <c r="D205" s="8">
        <v>1</v>
      </c>
      <c r="E205" s="8">
        <v>1</v>
      </c>
      <c r="F205" s="8">
        <f>SUM(G205:M205)</f>
        <v>1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1</v>
      </c>
      <c r="N205" s="8">
        <v>0</v>
      </c>
      <c r="O205" s="8">
        <v>0</v>
      </c>
      <c r="P205" s="8">
        <v>1</v>
      </c>
      <c r="Q205" s="8">
        <v>0</v>
      </c>
      <c r="R205" s="8">
        <v>0</v>
      </c>
      <c r="S205" s="8">
        <v>0</v>
      </c>
      <c r="T205" s="10">
        <v>-131.68799999999999</v>
      </c>
      <c r="U205" s="10">
        <v>-125.919</v>
      </c>
      <c r="V205" s="10">
        <v>-38.302999999999997</v>
      </c>
      <c r="W205" s="10">
        <f>IF(RIGHT(C205,2)="12",IF(ISNUMBER(T205),T205,""),IF(COUNT(T205,U205,V205)=3,T205+U205-V205,""))</f>
        <v>-219.30399999999997</v>
      </c>
      <c r="X205" s="10">
        <v>-219.304</v>
      </c>
      <c r="Y205" s="10">
        <v>39.369999999999997</v>
      </c>
      <c r="Z205" s="10">
        <v>-126.986</v>
      </c>
      <c r="AA205" s="10">
        <v>-39.076999999999998</v>
      </c>
      <c r="AB205" s="10">
        <v>-92.61</v>
      </c>
      <c r="AC205" s="8">
        <v>0</v>
      </c>
      <c r="AD205" s="8">
        <v>0</v>
      </c>
      <c r="AE205" s="8">
        <v>0</v>
      </c>
      <c r="AF205" s="10">
        <v>0</v>
      </c>
      <c r="AG205" s="8">
        <f>COUNTIF(Y205:AB205,"&gt;0")</f>
        <v>1</v>
      </c>
      <c r="AH205" s="10">
        <v>0</v>
      </c>
      <c r="AI205" s="10">
        <v>39.369999999999997</v>
      </c>
      <c r="AJ205" s="8" t="str">
        <f>IF(ISNUMBER(X205),IF(X205&gt;0,"+",IF(X205&lt;0,"−","0")),IF(ISNUMBER(W205),IF(W205&gt;0,"+",IF(W205&lt;0,"−","0")),"yok"))</f>
        <v>−</v>
      </c>
      <c r="AK205" s="10">
        <f>IF(AND(RIGHT(C205,2)&lt;&gt;"12",ISNUMBER(U205),ISNUMBER(V205)),U205-V205,"")</f>
        <v>-87.616</v>
      </c>
      <c r="AL205" s="11">
        <f>IF(AND(ISNUMBER(AK205),ISNUMBER(V205)),IF(V205&lt;&gt;0,AK205/ABS(V205),""),"")</f>
        <v>-2.287444847662063</v>
      </c>
      <c r="AM205" s="8">
        <f>IF(ISNUMBER(AK205),IF(AK205&gt;1,1,0),"")</f>
        <v>0</v>
      </c>
      <c r="AN205" s="8">
        <f>IF(ISNUMBER(AK205),IF(AK205&gt;0.05*ABS(V205),1,0),"")</f>
        <v>0</v>
      </c>
      <c r="AO205" s="10">
        <v>-219.304</v>
      </c>
      <c r="AP205" s="10">
        <v>219.304</v>
      </c>
      <c r="AQ205" s="8" t="s">
        <v>204</v>
      </c>
      <c r="AR205" s="8">
        <v>0</v>
      </c>
      <c r="AS205" s="10">
        <v>989.71900000000005</v>
      </c>
      <c r="AT205" s="10">
        <v>770.41499999999996</v>
      </c>
      <c r="AU205" s="8" t="s">
        <v>204</v>
      </c>
      <c r="AV205" s="10">
        <v>39.369999999999997</v>
      </c>
      <c r="AW205" s="11">
        <f>IF(AND(ISNUMBER(AV205),ISNUMBER(AT205)),IF(AT205&lt;&gt;0,AV205/ABS(AT205),""),"")</f>
        <v>5.1102327966096192E-2</v>
      </c>
      <c r="AX205" s="8">
        <v>0</v>
      </c>
      <c r="AY205" s="8">
        <v>0</v>
      </c>
      <c r="AZ205" s="10"/>
      <c r="BA205" s="8">
        <v>0</v>
      </c>
    </row>
    <row r="206" spans="1:53" x14ac:dyDescent="0.2">
      <c r="A206" s="8" t="s">
        <v>360</v>
      </c>
      <c r="B206" s="8" t="s">
        <v>82</v>
      </c>
      <c r="C206" s="8" t="s">
        <v>203</v>
      </c>
      <c r="D206" s="8">
        <v>1</v>
      </c>
      <c r="E206" s="8">
        <v>1</v>
      </c>
      <c r="F206" s="8">
        <f>SUM(G206:M206)</f>
        <v>1</v>
      </c>
      <c r="G206" s="8">
        <v>0</v>
      </c>
      <c r="H206" s="8">
        <v>0</v>
      </c>
      <c r="I206" s="8">
        <v>0</v>
      </c>
      <c r="J206" s="8">
        <v>1</v>
      </c>
      <c r="K206" s="8">
        <v>0</v>
      </c>
      <c r="L206" s="8">
        <v>0</v>
      </c>
      <c r="M206" s="8">
        <v>0</v>
      </c>
      <c r="N206" s="8">
        <v>0</v>
      </c>
      <c r="O206" s="8">
        <v>1</v>
      </c>
      <c r="P206" s="8">
        <v>0</v>
      </c>
      <c r="Q206" s="8">
        <v>0</v>
      </c>
      <c r="R206" s="8">
        <v>0</v>
      </c>
      <c r="S206" s="8">
        <v>0</v>
      </c>
      <c r="T206" s="10">
        <v>-0.45700000000000002</v>
      </c>
      <c r="U206" s="10">
        <v>-2.6739999999999999</v>
      </c>
      <c r="V206" s="10">
        <v>4.71</v>
      </c>
      <c r="W206" s="10">
        <f>IF(RIGHT(C206,2)="12",IF(ISNUMBER(T206),T206,""),IF(COUNT(T206,U206,V206)=3,T206+U206-V206,""))</f>
        <v>-7.8409999999999993</v>
      </c>
      <c r="X206" s="10">
        <v>-7.8419999999999996</v>
      </c>
      <c r="Y206" s="10">
        <v>-2.7</v>
      </c>
      <c r="Z206" s="10">
        <v>-2.4220000000000002</v>
      </c>
      <c r="AA206" s="10">
        <v>-2.2610000000000001</v>
      </c>
      <c r="AB206" s="10">
        <v>-0.45700000000000002</v>
      </c>
      <c r="AC206" s="8">
        <v>0</v>
      </c>
      <c r="AD206" s="8">
        <v>0</v>
      </c>
      <c r="AE206" s="8">
        <v>1</v>
      </c>
      <c r="AF206" s="10">
        <v>4.71</v>
      </c>
      <c r="AG206" s="8">
        <f>COUNTIF(Y206:AB206,"&gt;0")</f>
        <v>0</v>
      </c>
      <c r="AH206" s="10">
        <v>0</v>
      </c>
      <c r="AI206" s="10">
        <v>0</v>
      </c>
      <c r="AJ206" s="8" t="str">
        <f>IF(ISNUMBER(X206),IF(X206&gt;0,"+",IF(X206&lt;0,"−","0")),IF(ISNUMBER(W206),IF(W206&gt;0,"+",IF(W206&lt;0,"−","0")),"yok"))</f>
        <v>−</v>
      </c>
      <c r="AK206" s="10">
        <f>IF(AND(RIGHT(C206,2)&lt;&gt;"12",ISNUMBER(U206),ISNUMBER(V206)),U206-V206,"")</f>
        <v>-7.3840000000000003</v>
      </c>
      <c r="AL206" s="11">
        <f>IF(AND(ISNUMBER(AK206),ISNUMBER(V206)),IF(V206&lt;&gt;0,AK206/ABS(V206),""),"")</f>
        <v>-1.5677282377919322</v>
      </c>
      <c r="AM206" s="8">
        <f>IF(ISNUMBER(AK206),IF(AK206&gt;1,1,0),"")</f>
        <v>0</v>
      </c>
      <c r="AN206" s="8">
        <f>IF(ISNUMBER(AK206),IF(AK206&gt;0.05*ABS(V206),1,0),"")</f>
        <v>0</v>
      </c>
      <c r="AO206" s="10">
        <v>-7.843</v>
      </c>
      <c r="AP206" s="10">
        <v>7.843</v>
      </c>
      <c r="AQ206" s="8" t="s">
        <v>204</v>
      </c>
      <c r="AR206" s="8">
        <v>0</v>
      </c>
      <c r="AS206" s="10">
        <v>583.04899999999998</v>
      </c>
      <c r="AT206" s="10">
        <v>114.825</v>
      </c>
      <c r="AU206" s="8" t="s">
        <v>204</v>
      </c>
      <c r="AV206" s="10">
        <v>4.71</v>
      </c>
      <c r="AW206" s="11">
        <f>IF(AND(ISNUMBER(AV206),ISNUMBER(AT206)),IF(AT206&lt;&gt;0,AV206/ABS(AT206),""),"")</f>
        <v>4.1018941868060092E-2</v>
      </c>
      <c r="AX206" s="8">
        <v>1</v>
      </c>
      <c r="AY206" s="8">
        <v>0</v>
      </c>
      <c r="AZ206" s="8" t="s">
        <v>361</v>
      </c>
      <c r="BA206" s="8">
        <v>0</v>
      </c>
    </row>
    <row r="207" spans="1:53" x14ac:dyDescent="0.2">
      <c r="A207" s="8" t="s">
        <v>360</v>
      </c>
      <c r="B207" s="8" t="s">
        <v>82</v>
      </c>
      <c r="C207" s="8" t="s">
        <v>205</v>
      </c>
      <c r="D207" s="8">
        <v>1</v>
      </c>
      <c r="E207" s="8">
        <v>1</v>
      </c>
      <c r="F207" s="8">
        <f>SUM(G207:M207)</f>
        <v>1</v>
      </c>
      <c r="G207" s="8">
        <v>0</v>
      </c>
      <c r="H207" s="8">
        <v>0</v>
      </c>
      <c r="I207" s="8">
        <v>0</v>
      </c>
      <c r="J207" s="8">
        <v>1</v>
      </c>
      <c r="K207" s="8">
        <v>0</v>
      </c>
      <c r="L207" s="8">
        <v>0</v>
      </c>
      <c r="M207" s="8">
        <v>0</v>
      </c>
      <c r="N207" s="8">
        <v>0</v>
      </c>
      <c r="O207" s="8">
        <v>1</v>
      </c>
      <c r="P207" s="8">
        <v>0</v>
      </c>
      <c r="Q207" s="8">
        <v>0</v>
      </c>
      <c r="R207" s="8">
        <v>0</v>
      </c>
      <c r="S207" s="8">
        <v>0</v>
      </c>
      <c r="T207" s="10">
        <v>-0.45700000000000002</v>
      </c>
      <c r="U207" s="10">
        <v>-2.6739999999999999</v>
      </c>
      <c r="V207" s="10">
        <v>2.0099999999999998</v>
      </c>
      <c r="W207" s="10">
        <f>IF(RIGHT(C207,2)="12",IF(ISNUMBER(T207),T207,""),IF(COUNT(T207,U207,V207)=3,T207+U207-V207,""))</f>
        <v>-5.141</v>
      </c>
      <c r="X207" s="10">
        <v>-5.1420000000000003</v>
      </c>
      <c r="Y207" s="10">
        <v>-2.4220000000000002</v>
      </c>
      <c r="Z207" s="10">
        <v>-2.2610000000000001</v>
      </c>
      <c r="AA207" s="10">
        <v>-0.45700000000000002</v>
      </c>
      <c r="AB207" s="10">
        <v>0</v>
      </c>
      <c r="AC207" s="8">
        <v>0</v>
      </c>
      <c r="AD207" s="8">
        <v>0</v>
      </c>
      <c r="AE207" s="8">
        <v>1</v>
      </c>
      <c r="AF207" s="10">
        <v>2.0099999999999998</v>
      </c>
      <c r="AG207" s="8">
        <f>COUNTIF(Y207:AB207,"&gt;0")</f>
        <v>0</v>
      </c>
      <c r="AH207" s="10">
        <v>0</v>
      </c>
      <c r="AI207" s="10">
        <v>0</v>
      </c>
      <c r="AJ207" s="8" t="str">
        <f>IF(ISNUMBER(X207),IF(X207&gt;0,"+",IF(X207&lt;0,"−","0")),IF(ISNUMBER(W207),IF(W207&gt;0,"+",IF(W207&lt;0,"−","0")),"yok"))</f>
        <v>−</v>
      </c>
      <c r="AK207" s="10">
        <f>IF(AND(RIGHT(C207,2)&lt;&gt;"12",ISNUMBER(U207),ISNUMBER(V207)),U207-V207,"")</f>
        <v>-4.6839999999999993</v>
      </c>
      <c r="AL207" s="11">
        <f>IF(AND(ISNUMBER(AK207),ISNUMBER(V207)),IF(V207&lt;&gt;0,AK207/ABS(V207),""),"")</f>
        <v>-2.3303482587064677</v>
      </c>
      <c r="AM207" s="8">
        <f>IF(ISNUMBER(AK207),IF(AK207&gt;1,1,0),"")</f>
        <v>0</v>
      </c>
      <c r="AN207" s="8">
        <f>IF(ISNUMBER(AK207),IF(AK207&gt;0.05*ABS(V207),1,0),"")</f>
        <v>0</v>
      </c>
      <c r="AO207" s="10">
        <v>-5.1420000000000003</v>
      </c>
      <c r="AP207" s="10">
        <v>5.1420000000000003</v>
      </c>
      <c r="AQ207" s="8" t="s">
        <v>204</v>
      </c>
      <c r="AR207" s="8">
        <v>0</v>
      </c>
      <c r="AS207" s="10">
        <v>480.41199999999998</v>
      </c>
      <c r="AT207" s="10">
        <v>115.94199999999999</v>
      </c>
      <c r="AU207" s="8" t="s">
        <v>204</v>
      </c>
      <c r="AV207" s="10">
        <v>2.0099999999999998</v>
      </c>
      <c r="AW207" s="11">
        <f>IF(AND(ISNUMBER(AV207),ISNUMBER(AT207)),IF(AT207&lt;&gt;0,AV207/ABS(AT207),""),"")</f>
        <v>1.7336254334063581E-2</v>
      </c>
      <c r="AX207" s="8">
        <v>1</v>
      </c>
      <c r="AY207" s="8">
        <v>0</v>
      </c>
      <c r="AZ207" s="8" t="s">
        <v>362</v>
      </c>
      <c r="BA207" s="8">
        <v>0</v>
      </c>
    </row>
    <row r="208" spans="1:53" x14ac:dyDescent="0.2">
      <c r="A208" s="8" t="s">
        <v>363</v>
      </c>
      <c r="B208" s="8" t="s">
        <v>82</v>
      </c>
      <c r="C208" s="8" t="s">
        <v>203</v>
      </c>
      <c r="D208" s="8">
        <v>1</v>
      </c>
      <c r="E208" s="8">
        <v>1</v>
      </c>
      <c r="F208" s="8">
        <f>SUM(G208:M208)</f>
        <v>1</v>
      </c>
      <c r="G208" s="8">
        <v>1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1</v>
      </c>
      <c r="O208" s="8">
        <v>1</v>
      </c>
      <c r="P208" s="8">
        <v>1</v>
      </c>
      <c r="Q208" s="8">
        <v>1</v>
      </c>
      <c r="R208" s="8">
        <v>1</v>
      </c>
      <c r="S208" s="8">
        <v>0</v>
      </c>
      <c r="T208" s="10">
        <v>-3.2010000000000001</v>
      </c>
      <c r="U208" s="10">
        <v>7.8129999999999997</v>
      </c>
      <c r="V208" s="10">
        <v>-0.73</v>
      </c>
      <c r="W208" s="10">
        <f>IF(RIGHT(C208,2)="12",IF(ISNUMBER(T208),T208,""),IF(COUNT(T208,U208,V208)=3,T208+U208-V208,""))</f>
        <v>5.3420000000000005</v>
      </c>
      <c r="X208" s="10">
        <v>5.3419999999999996</v>
      </c>
      <c r="Y208" s="10">
        <v>8.0090000000000003</v>
      </c>
      <c r="Z208" s="10">
        <v>1.026</v>
      </c>
      <c r="AA208" s="10">
        <v>-0.49199999999999999</v>
      </c>
      <c r="AB208" s="10">
        <v>-3.2010000000000001</v>
      </c>
      <c r="AC208" s="8">
        <v>0</v>
      </c>
      <c r="AD208" s="8">
        <v>1</v>
      </c>
      <c r="AE208" s="8">
        <v>0</v>
      </c>
      <c r="AF208" s="10">
        <v>7.8129999999999997</v>
      </c>
      <c r="AG208" s="8">
        <f>COUNTIF(Y208:AB208,"&gt;0")</f>
        <v>2</v>
      </c>
      <c r="AH208" s="10">
        <v>0</v>
      </c>
      <c r="AI208" s="10">
        <v>9.0350000000000001</v>
      </c>
      <c r="AJ208" s="8" t="str">
        <f>IF(ISNUMBER(X208),IF(X208&gt;0,"+",IF(X208&lt;0,"−","0")),IF(ISNUMBER(W208),IF(W208&gt;0,"+",IF(W208&lt;0,"−","0")),"yok"))</f>
        <v>+</v>
      </c>
      <c r="AK208" s="10">
        <f>IF(AND(RIGHT(C208,2)&lt;&gt;"12",ISNUMBER(U208),ISNUMBER(V208)),U208-V208,"")</f>
        <v>8.5429999999999993</v>
      </c>
      <c r="AL208" s="11">
        <f>IF(AND(ISNUMBER(AK208),ISNUMBER(V208)),IF(V208&lt;&gt;0,AK208/ABS(V208),""),"")</f>
        <v>11.702739726027396</v>
      </c>
      <c r="AM208" s="8">
        <f>IF(ISNUMBER(AK208),IF(AK208&gt;1,1,0),"")</f>
        <v>1</v>
      </c>
      <c r="AN208" s="8">
        <f>IF(ISNUMBER(AK208),IF(AK208&gt;0.05*ABS(V208),1,0),"")</f>
        <v>1</v>
      </c>
      <c r="AO208" s="10">
        <v>5.3419999999999996</v>
      </c>
      <c r="AP208" s="10">
        <v>0</v>
      </c>
      <c r="AQ208" s="8" t="s">
        <v>204</v>
      </c>
      <c r="AR208" s="8">
        <v>1</v>
      </c>
      <c r="AS208" s="10">
        <v>1443.729</v>
      </c>
      <c r="AT208" s="10">
        <v>128.483</v>
      </c>
      <c r="AU208" s="8" t="s">
        <v>204</v>
      </c>
      <c r="AV208" s="10">
        <v>7.8129999999999997</v>
      </c>
      <c r="AW208" s="11">
        <f>IF(AND(ISNUMBER(AV208),ISNUMBER(AT208)),IF(AT208&lt;&gt;0,AV208/ABS(AT208),""),"")</f>
        <v>6.0809601270206952E-2</v>
      </c>
      <c r="AX208" s="8">
        <v>1</v>
      </c>
      <c r="AY208" s="8">
        <v>0</v>
      </c>
      <c r="AZ208" s="8" t="s">
        <v>364</v>
      </c>
      <c r="BA208" s="8">
        <v>0</v>
      </c>
    </row>
    <row r="209" spans="1:53" x14ac:dyDescent="0.2">
      <c r="A209" s="8" t="s">
        <v>363</v>
      </c>
      <c r="B209" s="8" t="s">
        <v>82</v>
      </c>
      <c r="C209" s="8" t="s">
        <v>205</v>
      </c>
      <c r="D209" s="8">
        <v>1</v>
      </c>
      <c r="E209" s="8">
        <v>1</v>
      </c>
      <c r="F209" s="8">
        <f>SUM(G209:M209)</f>
        <v>1</v>
      </c>
      <c r="G209" s="8">
        <v>1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1</v>
      </c>
      <c r="O209" s="8">
        <v>1</v>
      </c>
      <c r="P209" s="8">
        <v>1</v>
      </c>
      <c r="Q209" s="8">
        <v>0</v>
      </c>
      <c r="R209" s="8">
        <v>1</v>
      </c>
      <c r="S209" s="8">
        <v>1</v>
      </c>
      <c r="T209" s="10">
        <v>17.863</v>
      </c>
      <c r="U209" s="10">
        <v>7.8129999999999997</v>
      </c>
      <c r="V209" s="10">
        <v>7.2789999999999999</v>
      </c>
      <c r="W209" s="10">
        <f>IF(RIGHT(C209,2)="12",IF(ISNUMBER(T209),T209,""),IF(COUNT(T209,U209,V209)=3,T209+U209-V209,""))</f>
        <v>18.396999999999998</v>
      </c>
      <c r="X209" s="10">
        <v>18.396999999999998</v>
      </c>
      <c r="Y209" s="10">
        <v>1.026</v>
      </c>
      <c r="Z209" s="10">
        <v>-0.49199999999999999</v>
      </c>
      <c r="AA209" s="10">
        <v>-3.2010000000000001</v>
      </c>
      <c r="AB209" s="10">
        <v>21.065000000000001</v>
      </c>
      <c r="AC209" s="8">
        <v>1</v>
      </c>
      <c r="AD209" s="8">
        <v>1</v>
      </c>
      <c r="AE209" s="8">
        <v>1</v>
      </c>
      <c r="AF209" s="10">
        <v>17.863</v>
      </c>
      <c r="AG209" s="8">
        <f>COUNTIF(Y209:AB209,"&gt;0")</f>
        <v>2</v>
      </c>
      <c r="AH209" s="10">
        <v>21.065000000000001</v>
      </c>
      <c r="AI209" s="10">
        <v>1.026</v>
      </c>
      <c r="AJ209" s="8" t="str">
        <f>IF(ISNUMBER(X209),IF(X209&gt;0,"+",IF(X209&lt;0,"−","0")),IF(ISNUMBER(W209),IF(W209&gt;0,"+",IF(W209&lt;0,"−","0")),"yok"))</f>
        <v>+</v>
      </c>
      <c r="AK209" s="10">
        <f>IF(AND(RIGHT(C209,2)&lt;&gt;"12",ISNUMBER(U209),ISNUMBER(V209)),U209-V209,"")</f>
        <v>0.53399999999999981</v>
      </c>
      <c r="AL209" s="11">
        <f>IF(AND(ISNUMBER(AK209),ISNUMBER(V209)),IF(V209&lt;&gt;0,AK209/ABS(V209),""),"")</f>
        <v>7.3361725511746093E-2</v>
      </c>
      <c r="AM209" s="8">
        <f>IF(ISNUMBER(AK209),IF(AK209&gt;1,1,0),"")</f>
        <v>0</v>
      </c>
      <c r="AN209" s="8">
        <f>IF(ISNUMBER(AK209),IF(AK209&gt;0.05*ABS(V209),1,0),"")</f>
        <v>1</v>
      </c>
      <c r="AO209" s="10">
        <v>18.396999999999998</v>
      </c>
      <c r="AP209" s="10">
        <v>0</v>
      </c>
      <c r="AQ209" s="8" t="s">
        <v>204</v>
      </c>
      <c r="AR209" s="8">
        <v>1</v>
      </c>
      <c r="AS209" s="10">
        <v>1850.223</v>
      </c>
      <c r="AT209" s="10">
        <v>452.84899999999999</v>
      </c>
      <c r="AU209" s="8" t="s">
        <v>204</v>
      </c>
      <c r="AV209" s="10">
        <v>17.863</v>
      </c>
      <c r="AW209" s="11">
        <f>IF(AND(ISNUMBER(AV209),ISNUMBER(AT209)),IF(AT209&lt;&gt;0,AV209/ABS(AT209),""),"")</f>
        <v>3.9445819688240451E-2</v>
      </c>
      <c r="AX209" s="8">
        <v>1</v>
      </c>
      <c r="AY209" s="8">
        <v>0</v>
      </c>
      <c r="AZ209" s="8" t="s">
        <v>365</v>
      </c>
      <c r="BA209" s="8">
        <v>0</v>
      </c>
    </row>
    <row r="210" spans="1:53" x14ac:dyDescent="0.2">
      <c r="A210" s="8" t="s">
        <v>363</v>
      </c>
      <c r="B210" s="8" t="s">
        <v>82</v>
      </c>
      <c r="C210" s="8" t="s">
        <v>215</v>
      </c>
      <c r="D210" s="8">
        <v>1</v>
      </c>
      <c r="E210" s="8">
        <v>1</v>
      </c>
      <c r="F210" s="8">
        <f>SUM(G210:M210)</f>
        <v>1</v>
      </c>
      <c r="G210" s="8">
        <v>1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1</v>
      </c>
      <c r="O210" s="8">
        <v>1</v>
      </c>
      <c r="P210" s="8">
        <v>1</v>
      </c>
      <c r="Q210" s="8">
        <v>0</v>
      </c>
      <c r="R210" s="8">
        <v>0</v>
      </c>
      <c r="S210" s="8">
        <v>1</v>
      </c>
      <c r="T210" s="10">
        <v>17.094000000000001</v>
      </c>
      <c r="U210" s="10">
        <v>7.8129999999999997</v>
      </c>
      <c r="V210" s="10">
        <v>8.3059999999999992</v>
      </c>
      <c r="W210" s="10">
        <f>IF(RIGHT(C210,2)="12",IF(ISNUMBER(T210),T210,""),IF(COUNT(T210,U210,V210)=3,T210+U210-V210,""))</f>
        <v>16.600999999999999</v>
      </c>
      <c r="X210" s="10">
        <v>16.602</v>
      </c>
      <c r="Y210" s="10">
        <v>-0.49199999999999999</v>
      </c>
      <c r="Z210" s="10">
        <v>-3.2010000000000001</v>
      </c>
      <c r="AA210" s="10">
        <v>21.065000000000001</v>
      </c>
      <c r="AB210" s="10">
        <v>-0.76800000000000002</v>
      </c>
      <c r="AC210" s="8">
        <v>1</v>
      </c>
      <c r="AD210" s="8">
        <v>1</v>
      </c>
      <c r="AE210" s="8">
        <v>1</v>
      </c>
      <c r="AF210" s="10">
        <v>17.094000000000001</v>
      </c>
      <c r="AG210" s="8">
        <f>COUNTIF(Y210:AB210,"&gt;0")</f>
        <v>1</v>
      </c>
      <c r="AH210" s="10">
        <v>21.065000000000001</v>
      </c>
      <c r="AI210" s="10">
        <v>0</v>
      </c>
      <c r="AJ210" s="8" t="str">
        <f>IF(ISNUMBER(X210),IF(X210&gt;0,"+",IF(X210&lt;0,"−","0")),IF(ISNUMBER(W210),IF(W210&gt;0,"+",IF(W210&lt;0,"−","0")),"yok"))</f>
        <v>+</v>
      </c>
      <c r="AK210" s="10">
        <f>IF(AND(RIGHT(C210,2)&lt;&gt;"12",ISNUMBER(U210),ISNUMBER(V210)),U210-V210,"")</f>
        <v>-0.49299999999999944</v>
      </c>
      <c r="AL210" s="11">
        <f>IF(AND(ISNUMBER(AK210),ISNUMBER(V210)),IF(V210&lt;&gt;0,AK210/ABS(V210),""),"")</f>
        <v>-5.9354683361425416E-2</v>
      </c>
      <c r="AM210" s="8">
        <f>IF(ISNUMBER(AK210),IF(AK210&gt;1,1,0),"")</f>
        <v>0</v>
      </c>
      <c r="AN210" s="8">
        <f>IF(ISNUMBER(AK210),IF(AK210&gt;0.05*ABS(V210),1,0),"")</f>
        <v>0</v>
      </c>
      <c r="AO210" s="10">
        <v>16.602</v>
      </c>
      <c r="AP210" s="10">
        <v>0</v>
      </c>
      <c r="AQ210" s="8" t="s">
        <v>204</v>
      </c>
      <c r="AR210" s="8">
        <v>1</v>
      </c>
      <c r="AS210" s="10">
        <v>776.32</v>
      </c>
      <c r="AT210" s="10">
        <v>-417.786</v>
      </c>
      <c r="AU210" s="8" t="s">
        <v>204</v>
      </c>
      <c r="AV210" s="10">
        <v>17.094000000000001</v>
      </c>
      <c r="AW210" s="11">
        <f>IF(AND(ISNUMBER(AV210),ISNUMBER(AT210)),IF(AT210&lt;&gt;0,AV210/ABS(AT210),""),"")</f>
        <v>4.0915684106217064E-2</v>
      </c>
      <c r="AX210" s="8">
        <v>1</v>
      </c>
      <c r="AY210" s="8">
        <v>0</v>
      </c>
      <c r="AZ210" s="8" t="s">
        <v>366</v>
      </c>
      <c r="BA210" s="8">
        <v>0</v>
      </c>
    </row>
    <row r="211" spans="1:53" x14ac:dyDescent="0.2">
      <c r="A211" s="8" t="s">
        <v>363</v>
      </c>
      <c r="B211" s="8" t="s">
        <v>82</v>
      </c>
      <c r="C211" s="8" t="s">
        <v>290</v>
      </c>
      <c r="D211" s="8">
        <v>1</v>
      </c>
      <c r="E211" s="8">
        <v>1</v>
      </c>
      <c r="F211" s="8">
        <f>SUM(G211:M211)</f>
        <v>1</v>
      </c>
      <c r="G211" s="8">
        <v>1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1</v>
      </c>
      <c r="O211" s="8">
        <v>1</v>
      </c>
      <c r="P211" s="8">
        <v>1</v>
      </c>
      <c r="Q211" s="8">
        <v>0</v>
      </c>
      <c r="R211" s="8">
        <v>0</v>
      </c>
      <c r="S211" s="8">
        <v>1</v>
      </c>
      <c r="T211" s="10">
        <v>42.972999999999999</v>
      </c>
      <c r="U211" s="10"/>
      <c r="V211" s="10"/>
      <c r="W211" s="10">
        <f>IF(RIGHT(C211,2)="12",IF(ISNUMBER(T211),T211,""),IF(COUNT(T211,U211,V211)=3,T211+U211-V211,""))</f>
        <v>42.972999999999999</v>
      </c>
      <c r="X211" s="10">
        <v>42.972999999999999</v>
      </c>
      <c r="Y211" s="10">
        <v>-3.2010000000000001</v>
      </c>
      <c r="Z211" s="10">
        <v>21.065000000000001</v>
      </c>
      <c r="AA211" s="10">
        <v>-0.76800000000000002</v>
      </c>
      <c r="AB211" s="10">
        <v>25.878</v>
      </c>
      <c r="AC211" s="8">
        <v>1</v>
      </c>
      <c r="AD211" s="8">
        <v>0</v>
      </c>
      <c r="AE211" s="8">
        <v>0</v>
      </c>
      <c r="AF211" s="10">
        <v>42.972999999999999</v>
      </c>
      <c r="AG211" s="8">
        <f>COUNTIF(Y211:AB211,"&gt;0")</f>
        <v>2</v>
      </c>
      <c r="AH211" s="10">
        <v>46.942999999999998</v>
      </c>
      <c r="AI211" s="10">
        <v>0</v>
      </c>
      <c r="AJ211" s="8" t="str">
        <f>IF(ISNUMBER(X211),IF(X211&gt;0,"+",IF(X211&lt;0,"−","0")),IF(ISNUMBER(W211),IF(W211&gt;0,"+",IF(W211&lt;0,"−","0")),"yok"))</f>
        <v>+</v>
      </c>
      <c r="AK211" s="10" t="str">
        <f>IF(AND(RIGHT(C211,2)&lt;&gt;"12",ISNUMBER(U211),ISNUMBER(V211)),U211-V211,"")</f>
        <v/>
      </c>
      <c r="AL211" s="11" t="str">
        <f>IF(AND(ISNUMBER(AK211),ISNUMBER(V211)),IF(V211&lt;&gt;0,AK211/ABS(V211),""),"")</f>
        <v/>
      </c>
      <c r="AM211" s="8" t="str">
        <f>IF(ISNUMBER(AK211),IF(AK211&gt;1,1,0),"")</f>
        <v/>
      </c>
      <c r="AN211" s="8" t="str">
        <f>IF(ISNUMBER(AK211),IF(AK211&gt;0.05*ABS(V211),1,0),"")</f>
        <v/>
      </c>
      <c r="AO211" s="10">
        <v>42.973999999999997</v>
      </c>
      <c r="AP211" s="10">
        <v>0</v>
      </c>
      <c r="AQ211" s="8" t="s">
        <v>204</v>
      </c>
      <c r="AR211" s="8">
        <v>1</v>
      </c>
      <c r="AS211" s="10">
        <v>-1959.172</v>
      </c>
      <c r="AT211" s="10">
        <v>-2085.29</v>
      </c>
      <c r="AU211" s="8" t="s">
        <v>204</v>
      </c>
      <c r="AV211" s="10">
        <v>42.972999999999999</v>
      </c>
      <c r="AW211" s="11">
        <f>IF(AND(ISNUMBER(AV211),ISNUMBER(AT211)),IF(AT211&lt;&gt;0,AV211/ABS(AT211),""),"")</f>
        <v>2.0607685262001928E-2</v>
      </c>
      <c r="AX211" s="8">
        <v>1</v>
      </c>
      <c r="AY211" s="8">
        <v>0</v>
      </c>
      <c r="AZ211" s="8" t="s">
        <v>367</v>
      </c>
      <c r="BA211" s="8">
        <v>0</v>
      </c>
    </row>
    <row r="212" spans="1:53" x14ac:dyDescent="0.2">
      <c r="A212" s="8" t="s">
        <v>363</v>
      </c>
      <c r="B212" s="8" t="s">
        <v>82</v>
      </c>
      <c r="C212" s="8" t="s">
        <v>208</v>
      </c>
      <c r="D212" s="8">
        <v>1</v>
      </c>
      <c r="E212" s="8">
        <v>1</v>
      </c>
      <c r="F212" s="8">
        <f>SUM(G212:M212)</f>
        <v>1</v>
      </c>
      <c r="G212" s="8">
        <v>1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1</v>
      </c>
      <c r="O212" s="8">
        <v>1</v>
      </c>
      <c r="P212" s="8">
        <v>1</v>
      </c>
      <c r="Q212" s="8">
        <v>1</v>
      </c>
      <c r="R212" s="8">
        <v>1</v>
      </c>
      <c r="S212" s="8">
        <v>0</v>
      </c>
      <c r="T212" s="10">
        <v>-8.7669999999999995</v>
      </c>
      <c r="U212" s="10">
        <v>42.972999999999999</v>
      </c>
      <c r="V212" s="10">
        <v>-3.2010000000000001</v>
      </c>
      <c r="W212" s="10">
        <f>IF(RIGHT(C212,2)="12",IF(ISNUMBER(T212),T212,""),IF(COUNT(T212,U212,V212)=3,T212+U212-V212,""))</f>
        <v>37.407000000000004</v>
      </c>
      <c r="X212" s="10">
        <v>37.408000000000001</v>
      </c>
      <c r="Y212" s="10">
        <v>21.065000000000001</v>
      </c>
      <c r="Z212" s="10">
        <v>-0.76800000000000002</v>
      </c>
      <c r="AA212" s="10">
        <v>25.878</v>
      </c>
      <c r="AB212" s="10">
        <v>-8.7669999999999995</v>
      </c>
      <c r="AC212" s="8">
        <v>0</v>
      </c>
      <c r="AD212" s="8">
        <v>1</v>
      </c>
      <c r="AE212" s="8">
        <v>0</v>
      </c>
      <c r="AF212" s="10">
        <v>42.972999999999999</v>
      </c>
      <c r="AG212" s="8">
        <f>COUNTIF(Y212:AB212,"&gt;0")</f>
        <v>2</v>
      </c>
      <c r="AH212" s="10">
        <v>0</v>
      </c>
      <c r="AI212" s="10">
        <v>46.942999999999998</v>
      </c>
      <c r="AJ212" s="8" t="str">
        <f>IF(ISNUMBER(X212),IF(X212&gt;0,"+",IF(X212&lt;0,"−","0")),IF(ISNUMBER(W212),IF(W212&gt;0,"+",IF(W212&lt;0,"−","0")),"yok"))</f>
        <v>+</v>
      </c>
      <c r="AK212" s="10">
        <f>IF(AND(RIGHT(C212,2)&lt;&gt;"12",ISNUMBER(U212),ISNUMBER(V212)),U212-V212,"")</f>
        <v>46.173999999999999</v>
      </c>
      <c r="AL212" s="11">
        <f>IF(AND(ISNUMBER(AK212),ISNUMBER(V212)),IF(V212&lt;&gt;0,AK212/ABS(V212),""),"")</f>
        <v>14.424867228990939</v>
      </c>
      <c r="AM212" s="8">
        <f>IF(ISNUMBER(AK212),IF(AK212&gt;1,1,0),"")</f>
        <v>1</v>
      </c>
      <c r="AN212" s="8">
        <f>IF(ISNUMBER(AK212),IF(AK212&gt;0.05*ABS(V212),1,0),"")</f>
        <v>1</v>
      </c>
      <c r="AO212" s="10">
        <v>37.408999999999999</v>
      </c>
      <c r="AP212" s="10">
        <v>0</v>
      </c>
      <c r="AQ212" s="8" t="s">
        <v>204</v>
      </c>
      <c r="AR212" s="8">
        <v>1</v>
      </c>
      <c r="AS212" s="10">
        <v>-1808.7370000000001</v>
      </c>
      <c r="AT212" s="10">
        <v>-1956.5840000000001</v>
      </c>
      <c r="AU212" s="8" t="s">
        <v>204</v>
      </c>
      <c r="AV212" s="10">
        <v>42.972999999999999</v>
      </c>
      <c r="AW212" s="11">
        <f>IF(AND(ISNUMBER(AV212),ISNUMBER(AT212)),IF(AT212&lt;&gt;0,AV212/ABS(AT212),""),"")</f>
        <v>2.1963278857437245E-2</v>
      </c>
      <c r="AX212" s="8">
        <v>1</v>
      </c>
      <c r="AY212" s="8">
        <v>0</v>
      </c>
      <c r="AZ212" s="8" t="s">
        <v>368</v>
      </c>
      <c r="BA212" s="8">
        <v>0</v>
      </c>
    </row>
    <row r="213" spans="1:53" x14ac:dyDescent="0.2">
      <c r="A213" s="8" t="s">
        <v>363</v>
      </c>
      <c r="B213" s="8" t="s">
        <v>82</v>
      </c>
      <c r="C213" s="8" t="s">
        <v>210</v>
      </c>
      <c r="D213" s="8">
        <v>1</v>
      </c>
      <c r="E213" s="8">
        <v>1</v>
      </c>
      <c r="F213" s="8">
        <f>SUM(G213:M213)</f>
        <v>1</v>
      </c>
      <c r="G213" s="8">
        <v>1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1</v>
      </c>
      <c r="O213" s="8">
        <v>1</v>
      </c>
      <c r="P213" s="8">
        <v>1</v>
      </c>
      <c r="Q213" s="8">
        <v>1</v>
      </c>
      <c r="R213" s="8">
        <v>1</v>
      </c>
      <c r="S213" s="8">
        <v>0</v>
      </c>
      <c r="T213" s="10">
        <v>-9.33</v>
      </c>
      <c r="U213" s="10">
        <v>42.972999999999999</v>
      </c>
      <c r="V213" s="10">
        <v>17.863</v>
      </c>
      <c r="W213" s="10">
        <f>IF(RIGHT(C213,2)="12",IF(ISNUMBER(T213),T213,""),IF(COUNT(T213,U213,V213)=3,T213+U213-V213,""))</f>
        <v>15.780000000000001</v>
      </c>
      <c r="X213" s="10">
        <v>15.779</v>
      </c>
      <c r="Y213" s="10">
        <v>-0.76800000000000002</v>
      </c>
      <c r="Z213" s="10">
        <v>25.878</v>
      </c>
      <c r="AA213" s="10">
        <v>-8.7669999999999995</v>
      </c>
      <c r="AB213" s="10">
        <v>-0.56299999999999994</v>
      </c>
      <c r="AC213" s="8">
        <v>0</v>
      </c>
      <c r="AD213" s="8">
        <v>1</v>
      </c>
      <c r="AE213" s="8">
        <v>1</v>
      </c>
      <c r="AF213" s="10">
        <v>42.972999999999999</v>
      </c>
      <c r="AG213" s="8">
        <f>COUNTIF(Y213:AB213,"&gt;0")</f>
        <v>1</v>
      </c>
      <c r="AH213" s="10">
        <v>0</v>
      </c>
      <c r="AI213" s="10">
        <v>25.878</v>
      </c>
      <c r="AJ213" s="8" t="str">
        <f>IF(ISNUMBER(X213),IF(X213&gt;0,"+",IF(X213&lt;0,"−","0")),IF(ISNUMBER(W213),IF(W213&gt;0,"+",IF(W213&lt;0,"−","0")),"yok"))</f>
        <v>+</v>
      </c>
      <c r="AK213" s="10">
        <f>IF(AND(RIGHT(C213,2)&lt;&gt;"12",ISNUMBER(U213),ISNUMBER(V213)),U213-V213,"")</f>
        <v>25.11</v>
      </c>
      <c r="AL213" s="11">
        <f>IF(AND(ISNUMBER(AK213),ISNUMBER(V213)),IF(V213&lt;&gt;0,AK213/ABS(V213),""),"")</f>
        <v>1.4056989307507137</v>
      </c>
      <c r="AM213" s="8">
        <f>IF(ISNUMBER(AK213),IF(AK213&gt;1,1,0),"")</f>
        <v>1</v>
      </c>
      <c r="AN213" s="8">
        <f>IF(ISNUMBER(AK213),IF(AK213&gt;0.05*ABS(V213),1,0),"")</f>
        <v>1</v>
      </c>
      <c r="AO213" s="10">
        <v>15.78</v>
      </c>
      <c r="AP213" s="10">
        <v>0</v>
      </c>
      <c r="AQ213" s="8" t="s">
        <v>204</v>
      </c>
      <c r="AR213" s="8">
        <v>1</v>
      </c>
      <c r="AS213" s="10">
        <v>-2356.5169999999998</v>
      </c>
      <c r="AT213" s="10">
        <v>-2527.0039999999999</v>
      </c>
      <c r="AU213" s="8" t="s">
        <v>204</v>
      </c>
      <c r="AV213" s="10">
        <v>42.972999999999999</v>
      </c>
      <c r="AW213" s="11">
        <f>IF(AND(ISNUMBER(AV213),ISNUMBER(AT213)),IF(AT213&lt;&gt;0,AV213/ABS(AT213),""),"")</f>
        <v>1.7005513248099329E-2</v>
      </c>
      <c r="AX213" s="8">
        <v>1</v>
      </c>
      <c r="AY213" s="8">
        <v>0</v>
      </c>
      <c r="AZ213" s="8" t="s">
        <v>369</v>
      </c>
      <c r="BA213" s="8">
        <v>0</v>
      </c>
    </row>
    <row r="214" spans="1:53" x14ac:dyDescent="0.2">
      <c r="A214" s="8" t="s">
        <v>363</v>
      </c>
      <c r="B214" s="8" t="s">
        <v>83</v>
      </c>
      <c r="C214" s="8" t="s">
        <v>203</v>
      </c>
      <c r="D214" s="8">
        <v>1</v>
      </c>
      <c r="E214" s="8">
        <v>1</v>
      </c>
      <c r="F214" s="8">
        <f>SUM(G214:M214)</f>
        <v>1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1</v>
      </c>
      <c r="N214" s="8">
        <v>0</v>
      </c>
      <c r="O214" s="8">
        <v>0</v>
      </c>
      <c r="P214" s="8">
        <v>1</v>
      </c>
      <c r="Q214" s="8">
        <v>0</v>
      </c>
      <c r="R214" s="8">
        <v>0</v>
      </c>
      <c r="S214" s="8">
        <v>0</v>
      </c>
      <c r="T214" s="10">
        <v>-20.058</v>
      </c>
      <c r="U214" s="10">
        <v>-1398.7950000000001</v>
      </c>
      <c r="V214" s="10">
        <v>-103.607</v>
      </c>
      <c r="W214" s="10">
        <f>IF(RIGHT(C214,2)="12",IF(ISNUMBER(T214),T214,""),IF(COUNT(T214,U214,V214)=3,T214+U214-V214,""))</f>
        <v>-1315.2460000000001</v>
      </c>
      <c r="X214" s="10">
        <v>-1315.2460000000001</v>
      </c>
      <c r="Y214" s="10">
        <v>72.119</v>
      </c>
      <c r="Z214" s="10">
        <v>-220.685</v>
      </c>
      <c r="AA214" s="10">
        <v>-1146.6220000000001</v>
      </c>
      <c r="AB214" s="10">
        <v>-20.058</v>
      </c>
      <c r="AC214" s="8">
        <v>0</v>
      </c>
      <c r="AD214" s="8">
        <v>0</v>
      </c>
      <c r="AE214" s="8">
        <v>0</v>
      </c>
      <c r="AF214" s="10">
        <v>0</v>
      </c>
      <c r="AG214" s="8">
        <f>COUNTIF(Y214:AB214,"&gt;0")</f>
        <v>1</v>
      </c>
      <c r="AH214" s="10">
        <v>0</v>
      </c>
      <c r="AI214" s="10">
        <v>72.119</v>
      </c>
      <c r="AJ214" s="8" t="str">
        <f>IF(ISNUMBER(X214),IF(X214&gt;0,"+",IF(X214&lt;0,"−","0")),IF(ISNUMBER(W214),IF(W214&gt;0,"+",IF(W214&lt;0,"−","0")),"yok"))</f>
        <v>−</v>
      </c>
      <c r="AK214" s="10">
        <f>IF(AND(RIGHT(C214,2)&lt;&gt;"12",ISNUMBER(U214),ISNUMBER(V214)),U214-V214,"")</f>
        <v>-1295.1880000000001</v>
      </c>
      <c r="AL214" s="11">
        <f>IF(AND(ISNUMBER(AK214),ISNUMBER(V214)),IF(V214&lt;&gt;0,AK214/ABS(V214),""),"")</f>
        <v>-12.500970011678749</v>
      </c>
      <c r="AM214" s="8">
        <f>IF(ISNUMBER(AK214),IF(AK214&gt;1,1,0),"")</f>
        <v>0</v>
      </c>
      <c r="AN214" s="8">
        <f>IF(ISNUMBER(AK214),IF(AK214&gt;0.05*ABS(V214),1,0),"")</f>
        <v>0</v>
      </c>
      <c r="AO214" s="10">
        <v>-1315.2460000000001</v>
      </c>
      <c r="AP214" s="10">
        <v>1315.2460000000001</v>
      </c>
      <c r="AQ214" s="8" t="s">
        <v>204</v>
      </c>
      <c r="AR214" s="8">
        <v>0</v>
      </c>
      <c r="AS214" s="10">
        <v>1443.729</v>
      </c>
      <c r="AT214" s="10">
        <v>128.483</v>
      </c>
      <c r="AU214" s="8" t="s">
        <v>204</v>
      </c>
      <c r="AV214" s="10">
        <v>72.119</v>
      </c>
      <c r="AW214" s="11">
        <f>IF(AND(ISNUMBER(AV214),ISNUMBER(AT214)),IF(AT214&lt;&gt;0,AV214/ABS(AT214),""),"")</f>
        <v>0.5613116132095296</v>
      </c>
      <c r="AX214" s="8">
        <v>0</v>
      </c>
      <c r="AY214" s="8">
        <v>0</v>
      </c>
      <c r="AZ214" s="10"/>
      <c r="BA214" s="8">
        <v>0</v>
      </c>
    </row>
    <row r="215" spans="1:53" x14ac:dyDescent="0.2">
      <c r="A215" s="8" t="s">
        <v>370</v>
      </c>
      <c r="B215" s="8" t="s">
        <v>83</v>
      </c>
      <c r="C215" s="8" t="s">
        <v>203</v>
      </c>
      <c r="D215" s="8">
        <v>1</v>
      </c>
      <c r="E215" s="8">
        <v>1</v>
      </c>
      <c r="F215" s="8">
        <f>SUM(G215:M215)</f>
        <v>3</v>
      </c>
      <c r="G215" s="8">
        <v>0</v>
      </c>
      <c r="H215" s="8">
        <v>0</v>
      </c>
      <c r="I215" s="8">
        <v>1</v>
      </c>
      <c r="J215" s="8">
        <v>0</v>
      </c>
      <c r="K215" s="8">
        <v>0</v>
      </c>
      <c r="L215" s="8">
        <v>1</v>
      </c>
      <c r="M215" s="8">
        <v>1</v>
      </c>
      <c r="N215" s="8">
        <v>1</v>
      </c>
      <c r="O215" s="8">
        <v>0</v>
      </c>
      <c r="P215" s="8">
        <v>1</v>
      </c>
      <c r="Q215" s="8">
        <v>0</v>
      </c>
      <c r="R215" s="8">
        <v>0</v>
      </c>
      <c r="S215" s="8">
        <v>0</v>
      </c>
      <c r="T215" s="10">
        <v>-11.898999999999999</v>
      </c>
      <c r="U215" s="10">
        <v>-65.126999999999995</v>
      </c>
      <c r="V215" s="10">
        <v>-1154.3800000000001</v>
      </c>
      <c r="W215" s="10">
        <f>IF(RIGHT(C215,2)="12",IF(ISNUMBER(T215),T215,""),IF(COUNT(T215,U215,V215)=3,T215+U215-V215,""))</f>
        <v>1077.354</v>
      </c>
      <c r="X215" s="10">
        <v>1077.3530000000001</v>
      </c>
      <c r="Y215" s="10">
        <v>1154.3800000000001</v>
      </c>
      <c r="Z215" s="10">
        <v>-41.982999999999997</v>
      </c>
      <c r="AA215" s="10">
        <v>-23.143000000000001</v>
      </c>
      <c r="AB215" s="10">
        <v>-11.898999999999999</v>
      </c>
      <c r="AC215" s="8">
        <v>0</v>
      </c>
      <c r="AD215" s="8">
        <v>0</v>
      </c>
      <c r="AE215" s="8">
        <v>0</v>
      </c>
      <c r="AF215" s="10">
        <v>0</v>
      </c>
      <c r="AG215" s="8">
        <f>COUNTIF(Y215:AB215,"&gt;0")</f>
        <v>1</v>
      </c>
      <c r="AH215" s="10">
        <v>0</v>
      </c>
      <c r="AI215" s="10">
        <v>1154.3800000000001</v>
      </c>
      <c r="AJ215" s="8" t="str">
        <f>IF(ISNUMBER(X215),IF(X215&gt;0,"+",IF(X215&lt;0,"−","0")),IF(ISNUMBER(W215),IF(W215&gt;0,"+",IF(W215&lt;0,"−","0")),"yok"))</f>
        <v>+</v>
      </c>
      <c r="AK215" s="10">
        <f>IF(AND(RIGHT(C215,2)&lt;&gt;"12",ISNUMBER(U215),ISNUMBER(V215)),U215-V215,"")</f>
        <v>1089.2530000000002</v>
      </c>
      <c r="AL215" s="11">
        <f>IF(AND(ISNUMBER(AK215),ISNUMBER(V215)),IF(V215&lt;&gt;0,AK215/ABS(V215),""),"")</f>
        <v>0.94358270240302156</v>
      </c>
      <c r="AM215" s="8">
        <f>IF(ISNUMBER(AK215),IF(AK215&gt;1,1,0),"")</f>
        <v>1</v>
      </c>
      <c r="AN215" s="8">
        <f>IF(ISNUMBER(AK215),IF(AK215&gt;0.05*ABS(V215),1,0),"")</f>
        <v>1</v>
      </c>
      <c r="AO215" s="10">
        <v>1077.354</v>
      </c>
      <c r="AP215" s="10">
        <v>0</v>
      </c>
      <c r="AQ215" s="8" t="s">
        <v>204</v>
      </c>
      <c r="AR215" s="8">
        <v>1</v>
      </c>
      <c r="AS215" s="10">
        <v>156.46899999999999</v>
      </c>
      <c r="AT215" s="10">
        <v>156.46899999999999</v>
      </c>
      <c r="AU215" s="8" t="s">
        <v>204</v>
      </c>
      <c r="AV215" s="10">
        <v>1089.2529999999999</v>
      </c>
      <c r="AW215" s="11">
        <f>IF(AND(ISNUMBER(AV215),ISNUMBER(AT215)),IF(AT215&lt;&gt;0,AV215/ABS(AT215),""),"")</f>
        <v>6.9614620148400004</v>
      </c>
      <c r="AX215" s="8">
        <v>0</v>
      </c>
      <c r="AY215" s="8">
        <v>1</v>
      </c>
      <c r="AZ215" s="10"/>
      <c r="BA215" s="8">
        <v>0</v>
      </c>
    </row>
    <row r="216" spans="1:53" x14ac:dyDescent="0.2">
      <c r="A216" s="8" t="s">
        <v>371</v>
      </c>
      <c r="B216" s="8" t="s">
        <v>83</v>
      </c>
      <c r="C216" s="8" t="s">
        <v>203</v>
      </c>
      <c r="D216" s="8">
        <v>1</v>
      </c>
      <c r="E216" s="8">
        <v>1</v>
      </c>
      <c r="F216" s="8">
        <f>SUM(G216:M216)</f>
        <v>1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1</v>
      </c>
      <c r="N216" s="8">
        <v>0</v>
      </c>
      <c r="O216" s="8">
        <v>0</v>
      </c>
      <c r="P216" s="8">
        <v>1</v>
      </c>
      <c r="Q216" s="8">
        <v>0</v>
      </c>
      <c r="R216" s="8">
        <v>0</v>
      </c>
      <c r="S216" s="8">
        <v>0</v>
      </c>
      <c r="T216" s="10">
        <v>-102.571</v>
      </c>
      <c r="U216" s="10"/>
      <c r="V216" s="10">
        <v>-30.321999999999999</v>
      </c>
      <c r="W216" s="10" t="str">
        <f>IF(RIGHT(C216,2)="12",IF(ISNUMBER(T216),T216,""),IF(COUNT(T216,U216,V216)=3,T216+U216-V216,""))</f>
        <v/>
      </c>
      <c r="X216" s="10"/>
      <c r="Y216" s="10">
        <v>25.141999999999999</v>
      </c>
      <c r="Z216" s="10">
        <v>1.6859999999999999</v>
      </c>
      <c r="AA216" s="10"/>
      <c r="AB216" s="10">
        <v>-102.571</v>
      </c>
      <c r="AC216" s="8">
        <v>0</v>
      </c>
      <c r="AD216" s="8">
        <v>0</v>
      </c>
      <c r="AE216" s="8">
        <v>0</v>
      </c>
      <c r="AF216" s="10">
        <v>0</v>
      </c>
      <c r="AG216" s="8">
        <f>COUNTIF(Y216:AB216,"&gt;0")</f>
        <v>2</v>
      </c>
      <c r="AH216" s="10">
        <v>0</v>
      </c>
      <c r="AI216" s="10">
        <v>26.827999999999999</v>
      </c>
      <c r="AJ216" s="8" t="str">
        <f>IF(ISNUMBER(X216),IF(X216&gt;0,"+",IF(X216&lt;0,"−","0")),IF(ISNUMBER(W216),IF(W216&gt;0,"+",IF(W216&lt;0,"−","0")),"yok"))</f>
        <v>yok</v>
      </c>
      <c r="AK216" s="10" t="str">
        <f>IF(AND(RIGHT(C216,2)&lt;&gt;"12",ISNUMBER(U216),ISNUMBER(V216)),U216-V216,"")</f>
        <v/>
      </c>
      <c r="AL216" s="11" t="str">
        <f>IF(AND(ISNUMBER(AK216),ISNUMBER(V216)),IF(V216&lt;&gt;0,AK216/ABS(V216),""),"")</f>
        <v/>
      </c>
      <c r="AM216" s="8" t="str">
        <f>IF(ISNUMBER(AK216),IF(AK216&gt;1,1,0),"")</f>
        <v/>
      </c>
      <c r="AN216" s="8" t="str">
        <f>IF(ISNUMBER(AK216),IF(AK216&gt;0.05*ABS(V216),1,0),"")</f>
        <v/>
      </c>
      <c r="AO216" s="10"/>
      <c r="AP216" s="10"/>
      <c r="AQ216" s="8" t="s">
        <v>207</v>
      </c>
      <c r="AR216" s="8">
        <v>0</v>
      </c>
      <c r="AS216" s="10">
        <v>1260.5530000000001</v>
      </c>
      <c r="AT216" s="10"/>
      <c r="AU216" s="8" t="s">
        <v>207</v>
      </c>
      <c r="AV216" s="10">
        <v>25.141999999999999</v>
      </c>
      <c r="AW216" s="11" t="str">
        <f>IF(AND(ISNUMBER(AV216),ISNUMBER(AT216)),IF(AT216&lt;&gt;0,AV216/ABS(AT216),""),"")</f>
        <v/>
      </c>
      <c r="AX216" s="8">
        <v>0</v>
      </c>
      <c r="AY216" s="8">
        <v>0</v>
      </c>
      <c r="AZ216" s="10"/>
      <c r="BA216" s="8">
        <v>0</v>
      </c>
    </row>
    <row r="217" spans="1:53" x14ac:dyDescent="0.2">
      <c r="A217" s="8" t="s">
        <v>371</v>
      </c>
      <c r="B217" s="8" t="s">
        <v>83</v>
      </c>
      <c r="C217" s="8" t="s">
        <v>205</v>
      </c>
      <c r="D217" s="8">
        <v>1</v>
      </c>
      <c r="E217" s="8">
        <v>1</v>
      </c>
      <c r="F217" s="8">
        <f>SUM(G217:M217)</f>
        <v>1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1</v>
      </c>
      <c r="N217" s="8">
        <v>0</v>
      </c>
      <c r="O217" s="8">
        <v>0</v>
      </c>
      <c r="P217" s="8">
        <v>1</v>
      </c>
      <c r="Q217" s="8">
        <v>0</v>
      </c>
      <c r="R217" s="8">
        <v>0</v>
      </c>
      <c r="S217" s="8">
        <v>0</v>
      </c>
      <c r="T217" s="10">
        <v>-218.89500000000001</v>
      </c>
      <c r="U217" s="10"/>
      <c r="V217" s="10">
        <v>-5.18</v>
      </c>
      <c r="W217" s="10" t="str">
        <f>IF(RIGHT(C217,2)="12",IF(ISNUMBER(T217),T217,""),IF(COUNT(T217,U217,V217)=3,T217+U217-V217,""))</f>
        <v/>
      </c>
      <c r="X217" s="10"/>
      <c r="Y217" s="10">
        <v>1.6859999999999999</v>
      </c>
      <c r="Z217" s="10"/>
      <c r="AA217" s="10">
        <v>-102.571</v>
      </c>
      <c r="AB217" s="10">
        <v>-116.32299999999999</v>
      </c>
      <c r="AC217" s="8">
        <v>0</v>
      </c>
      <c r="AD217" s="8">
        <v>0</v>
      </c>
      <c r="AE217" s="8">
        <v>0</v>
      </c>
      <c r="AF217" s="10">
        <v>0</v>
      </c>
      <c r="AG217" s="8">
        <f>COUNTIF(Y217:AB217,"&gt;0")</f>
        <v>1</v>
      </c>
      <c r="AH217" s="10">
        <v>0</v>
      </c>
      <c r="AI217" s="10">
        <v>1.6859999999999999</v>
      </c>
      <c r="AJ217" s="8" t="str">
        <f>IF(ISNUMBER(X217),IF(X217&gt;0,"+",IF(X217&lt;0,"−","0")),IF(ISNUMBER(W217),IF(W217&gt;0,"+",IF(W217&lt;0,"−","0")),"yok"))</f>
        <v>yok</v>
      </c>
      <c r="AK217" s="10" t="str">
        <f>IF(AND(RIGHT(C217,2)&lt;&gt;"12",ISNUMBER(U217),ISNUMBER(V217)),U217-V217,"")</f>
        <v/>
      </c>
      <c r="AL217" s="11" t="str">
        <f>IF(AND(ISNUMBER(AK217),ISNUMBER(V217)),IF(V217&lt;&gt;0,AK217/ABS(V217),""),"")</f>
        <v/>
      </c>
      <c r="AM217" s="8" t="str">
        <f>IF(ISNUMBER(AK217),IF(AK217&gt;1,1,0),"")</f>
        <v/>
      </c>
      <c r="AN217" s="8" t="str">
        <f>IF(ISNUMBER(AK217),IF(AK217&gt;0.05*ABS(V217),1,0),"")</f>
        <v/>
      </c>
      <c r="AO217" s="10"/>
      <c r="AP217" s="10"/>
      <c r="AQ217" s="8" t="s">
        <v>207</v>
      </c>
      <c r="AR217" s="8">
        <v>0</v>
      </c>
      <c r="AS217" s="10">
        <v>935.94799999999998</v>
      </c>
      <c r="AT217" s="10"/>
      <c r="AU217" s="8" t="s">
        <v>207</v>
      </c>
      <c r="AV217" s="10">
        <v>1.6859999999999999</v>
      </c>
      <c r="AW217" s="11" t="str">
        <f>IF(AND(ISNUMBER(AV217),ISNUMBER(AT217)),IF(AT217&lt;&gt;0,AV217/ABS(AT217),""),"")</f>
        <v/>
      </c>
      <c r="AX217" s="8">
        <v>0</v>
      </c>
      <c r="AY217" s="8">
        <v>0</v>
      </c>
      <c r="AZ217" s="10"/>
      <c r="BA217" s="8">
        <v>0</v>
      </c>
    </row>
    <row r="218" spans="1:53" x14ac:dyDescent="0.2">
      <c r="A218" s="8" t="s">
        <v>372</v>
      </c>
      <c r="B218" s="8" t="s">
        <v>83</v>
      </c>
      <c r="C218" s="8" t="s">
        <v>208</v>
      </c>
      <c r="D218" s="8">
        <v>1</v>
      </c>
      <c r="E218" s="8">
        <v>1</v>
      </c>
      <c r="F218" s="8">
        <f>SUM(G218:M218)</f>
        <v>1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1</v>
      </c>
      <c r="N218" s="8">
        <v>0</v>
      </c>
      <c r="O218" s="8">
        <v>0</v>
      </c>
      <c r="P218" s="8">
        <v>1</v>
      </c>
      <c r="Q218" s="8">
        <v>0</v>
      </c>
      <c r="R218" s="8">
        <v>0</v>
      </c>
      <c r="S218" s="8">
        <v>0</v>
      </c>
      <c r="T218" s="10">
        <v>-27.239000000000001</v>
      </c>
      <c r="U218" s="10">
        <v>-545.63400000000001</v>
      </c>
      <c r="V218" s="10">
        <v>-110.598</v>
      </c>
      <c r="W218" s="10">
        <f>IF(RIGHT(C218,2)="12",IF(ISNUMBER(T218),T218,""),IF(COUNT(T218,U218,V218)=3,T218+U218-V218,""))</f>
        <v>-462.27500000000003</v>
      </c>
      <c r="X218" s="10">
        <v>-462.27499999999998</v>
      </c>
      <c r="Y218" s="10">
        <v>49.18</v>
      </c>
      <c r="Z218" s="10">
        <v>-265.471</v>
      </c>
      <c r="AA218" s="10">
        <v>-218.74600000000001</v>
      </c>
      <c r="AB218" s="10">
        <v>-27.239000000000001</v>
      </c>
      <c r="AC218" s="8">
        <v>0</v>
      </c>
      <c r="AD218" s="8">
        <v>0</v>
      </c>
      <c r="AE218" s="8">
        <v>0</v>
      </c>
      <c r="AF218" s="10">
        <v>0</v>
      </c>
      <c r="AG218" s="8">
        <f>COUNTIF(Y218:AB218,"&gt;0")</f>
        <v>1</v>
      </c>
      <c r="AH218" s="10">
        <v>0</v>
      </c>
      <c r="AI218" s="10">
        <v>49.18</v>
      </c>
      <c r="AJ218" s="8" t="str">
        <f>IF(ISNUMBER(X218),IF(X218&gt;0,"+",IF(X218&lt;0,"−","0")),IF(ISNUMBER(W218),IF(W218&gt;0,"+",IF(W218&lt;0,"−","0")),"yok"))</f>
        <v>−</v>
      </c>
      <c r="AK218" s="10">
        <f>IF(AND(RIGHT(C218,2)&lt;&gt;"12",ISNUMBER(U218),ISNUMBER(V218)),U218-V218,"")</f>
        <v>-435.036</v>
      </c>
      <c r="AL218" s="11">
        <f>IF(AND(ISNUMBER(AK218),ISNUMBER(V218)),IF(V218&lt;&gt;0,AK218/ABS(V218),""),"")</f>
        <v>-3.9334888515163025</v>
      </c>
      <c r="AM218" s="8">
        <f>IF(ISNUMBER(AK218),IF(AK218&gt;1,1,0),"")</f>
        <v>0</v>
      </c>
      <c r="AN218" s="8">
        <f>IF(ISNUMBER(AK218),IF(AK218&gt;0.05*ABS(V218),1,0),"")</f>
        <v>0</v>
      </c>
      <c r="AO218" s="10">
        <v>-462.27600000000001</v>
      </c>
      <c r="AP218" s="10">
        <v>462.27600000000001</v>
      </c>
      <c r="AQ218" s="8" t="s">
        <v>204</v>
      </c>
      <c r="AR218" s="8">
        <v>0</v>
      </c>
      <c r="AS218" s="10">
        <v>2500.7179999999998</v>
      </c>
      <c r="AT218" s="10">
        <v>2038.442</v>
      </c>
      <c r="AU218" s="8" t="s">
        <v>204</v>
      </c>
      <c r="AV218" s="10">
        <v>49.18</v>
      </c>
      <c r="AW218" s="11">
        <f>IF(AND(ISNUMBER(AV218),ISNUMBER(AT218)),IF(AT218&lt;&gt;0,AV218/ABS(AT218),""),"")</f>
        <v>2.4126268983861204E-2</v>
      </c>
      <c r="AX218" s="8">
        <v>0</v>
      </c>
      <c r="AY218" s="8">
        <v>0</v>
      </c>
      <c r="AZ218" s="10"/>
      <c r="BA218" s="8">
        <v>0</v>
      </c>
    </row>
    <row r="219" spans="1:53" x14ac:dyDescent="0.2">
      <c r="A219" s="8" t="s">
        <v>373</v>
      </c>
      <c r="B219" s="8" t="s">
        <v>83</v>
      </c>
      <c r="C219" s="8" t="s">
        <v>203</v>
      </c>
      <c r="D219" s="8">
        <v>1</v>
      </c>
      <c r="E219" s="8">
        <v>1</v>
      </c>
      <c r="F219" s="8">
        <f>SUM(G219:M219)</f>
        <v>1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1</v>
      </c>
      <c r="N219" s="8">
        <v>0</v>
      </c>
      <c r="O219" s="8">
        <v>0</v>
      </c>
      <c r="P219" s="8">
        <v>1</v>
      </c>
      <c r="Q219" s="8">
        <v>0</v>
      </c>
      <c r="R219" s="8">
        <v>0</v>
      </c>
      <c r="S219" s="8">
        <v>0</v>
      </c>
      <c r="T219" s="10">
        <v>-10.255000000000001</v>
      </c>
      <c r="U219" s="10">
        <v>-95.623999999999995</v>
      </c>
      <c r="V219" s="10">
        <v>-24.733000000000001</v>
      </c>
      <c r="W219" s="10">
        <f>IF(RIGHT(C219,2)="12",IF(ISNUMBER(T219),T219,""),IF(COUNT(T219,U219,V219)=3,T219+U219-V219,""))</f>
        <v>-81.145999999999987</v>
      </c>
      <c r="X219" s="10">
        <v>-81.146000000000001</v>
      </c>
      <c r="Y219" s="10">
        <v>21.925000000000001</v>
      </c>
      <c r="Z219" s="10">
        <v>-791.46299999999997</v>
      </c>
      <c r="AA219" s="10">
        <v>698.64700000000005</v>
      </c>
      <c r="AB219" s="10">
        <v>-10.255000000000001</v>
      </c>
      <c r="AC219" s="8">
        <v>0</v>
      </c>
      <c r="AD219" s="8">
        <v>0</v>
      </c>
      <c r="AE219" s="8">
        <v>0</v>
      </c>
      <c r="AF219" s="10">
        <v>0</v>
      </c>
      <c r="AG219" s="8">
        <f>COUNTIF(Y219:AB219,"&gt;0")</f>
        <v>2</v>
      </c>
      <c r="AH219" s="10">
        <v>0</v>
      </c>
      <c r="AI219" s="10">
        <v>720.572</v>
      </c>
      <c r="AJ219" s="8" t="str">
        <f>IF(ISNUMBER(X219),IF(X219&gt;0,"+",IF(X219&lt;0,"−","0")),IF(ISNUMBER(W219),IF(W219&gt;0,"+",IF(W219&lt;0,"−","0")),"yok"))</f>
        <v>−</v>
      </c>
      <c r="AK219" s="10">
        <f>IF(AND(RIGHT(C219,2)&lt;&gt;"12",ISNUMBER(U219),ISNUMBER(V219)),U219-V219,"")</f>
        <v>-70.890999999999991</v>
      </c>
      <c r="AL219" s="11">
        <f>IF(AND(ISNUMBER(AK219),ISNUMBER(V219)),IF(V219&lt;&gt;0,AK219/ABS(V219),""),"")</f>
        <v>-2.8662515667327049</v>
      </c>
      <c r="AM219" s="8">
        <f>IF(ISNUMBER(AK219),IF(AK219&gt;1,1,0),"")</f>
        <v>0</v>
      </c>
      <c r="AN219" s="8">
        <f>IF(ISNUMBER(AK219),IF(AK219&gt;0.05*ABS(V219),1,0),"")</f>
        <v>0</v>
      </c>
      <c r="AO219" s="10">
        <v>-81.147000000000006</v>
      </c>
      <c r="AP219" s="10">
        <v>81.147000000000006</v>
      </c>
      <c r="AQ219" s="8" t="s">
        <v>204</v>
      </c>
      <c r="AR219" s="8">
        <v>0</v>
      </c>
      <c r="AS219" s="10">
        <v>-468.35199999999998</v>
      </c>
      <c r="AT219" s="10"/>
      <c r="AU219" s="8" t="s">
        <v>207</v>
      </c>
      <c r="AV219" s="10">
        <v>698.64700000000005</v>
      </c>
      <c r="AW219" s="11" t="str">
        <f>IF(AND(ISNUMBER(AV219),ISNUMBER(AT219)),IF(AT219&lt;&gt;0,AV219/ABS(AT219),""),"")</f>
        <v/>
      </c>
      <c r="AX219" s="8">
        <v>0</v>
      </c>
      <c r="AY219" s="8">
        <v>0</v>
      </c>
      <c r="AZ219" s="10"/>
      <c r="BA219" s="8">
        <v>0</v>
      </c>
    </row>
    <row r="220" spans="1:53" x14ac:dyDescent="0.2">
      <c r="A220" s="8" t="s">
        <v>373</v>
      </c>
      <c r="B220" s="8" t="s">
        <v>83</v>
      </c>
      <c r="C220" s="8" t="s">
        <v>205</v>
      </c>
      <c r="D220" s="8">
        <v>1</v>
      </c>
      <c r="E220" s="8">
        <v>1</v>
      </c>
      <c r="F220" s="8">
        <f>SUM(G220:M220)</f>
        <v>1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1</v>
      </c>
      <c r="N220" s="8">
        <v>0</v>
      </c>
      <c r="O220" s="8">
        <v>0</v>
      </c>
      <c r="P220" s="8">
        <v>1</v>
      </c>
      <c r="Q220" s="8">
        <v>0</v>
      </c>
      <c r="R220" s="8">
        <v>0</v>
      </c>
      <c r="S220" s="8">
        <v>1</v>
      </c>
      <c r="T220" s="10">
        <v>-8.6340000000000003</v>
      </c>
      <c r="U220" s="10">
        <v>-95.623999999999995</v>
      </c>
      <c r="V220" s="10">
        <v>-2.8079999999999998</v>
      </c>
      <c r="W220" s="10">
        <f>IF(RIGHT(C220,2)="12",IF(ISNUMBER(T220),T220,""),IF(COUNT(T220,U220,V220)=3,T220+U220-V220,""))</f>
        <v>-101.44999999999999</v>
      </c>
      <c r="X220" s="10">
        <v>-101.45</v>
      </c>
      <c r="Y220" s="10">
        <v>-791.46299999999997</v>
      </c>
      <c r="Z220" s="10">
        <v>698.64700000000005</v>
      </c>
      <c r="AA220" s="10">
        <v>-10.255000000000001</v>
      </c>
      <c r="AB220" s="10">
        <v>1.621</v>
      </c>
      <c r="AC220" s="8">
        <v>0</v>
      </c>
      <c r="AD220" s="8">
        <v>0</v>
      </c>
      <c r="AE220" s="8">
        <v>0</v>
      </c>
      <c r="AF220" s="10">
        <v>0</v>
      </c>
      <c r="AG220" s="8">
        <f>COUNTIF(Y220:AB220,"&gt;0")</f>
        <v>2</v>
      </c>
      <c r="AH220" s="10">
        <v>1.621</v>
      </c>
      <c r="AI220" s="10">
        <v>698.64700000000005</v>
      </c>
      <c r="AJ220" s="8" t="str">
        <f>IF(ISNUMBER(X220),IF(X220&gt;0,"+",IF(X220&lt;0,"−","0")),IF(ISNUMBER(W220),IF(W220&gt;0,"+",IF(W220&lt;0,"−","0")),"yok"))</f>
        <v>−</v>
      </c>
      <c r="AK220" s="10">
        <f>IF(AND(RIGHT(C220,2)&lt;&gt;"12",ISNUMBER(U220),ISNUMBER(V220)),U220-V220,"")</f>
        <v>-92.816000000000003</v>
      </c>
      <c r="AL220" s="11">
        <f>IF(AND(ISNUMBER(AK220),ISNUMBER(V220)),IF(V220&lt;&gt;0,AK220/ABS(V220),""),"")</f>
        <v>-33.054131054131055</v>
      </c>
      <c r="AM220" s="8">
        <f>IF(ISNUMBER(AK220),IF(AK220&gt;1,1,0),"")</f>
        <v>0</v>
      </c>
      <c r="AN220" s="8">
        <f>IF(ISNUMBER(AK220),IF(AK220&gt;0.05*ABS(V220),1,0),"")</f>
        <v>0</v>
      </c>
      <c r="AO220" s="10">
        <v>-101.45099999999999</v>
      </c>
      <c r="AP220" s="10">
        <v>101.45099999999999</v>
      </c>
      <c r="AQ220" s="8" t="s">
        <v>204</v>
      </c>
      <c r="AR220" s="8">
        <v>0</v>
      </c>
      <c r="AS220" s="10">
        <v>474.625</v>
      </c>
      <c r="AT220" s="10"/>
      <c r="AU220" s="8" t="s">
        <v>207</v>
      </c>
      <c r="AV220" s="10">
        <v>698.64700000000005</v>
      </c>
      <c r="AW220" s="11" t="str">
        <f>IF(AND(ISNUMBER(AV220),ISNUMBER(AT220)),IF(AT220&lt;&gt;0,AV220/ABS(AT220),""),"")</f>
        <v/>
      </c>
      <c r="AX220" s="8">
        <v>0</v>
      </c>
      <c r="AY220" s="8">
        <v>0</v>
      </c>
      <c r="AZ220" s="10"/>
      <c r="BA220" s="8">
        <v>0</v>
      </c>
    </row>
    <row r="221" spans="1:53" x14ac:dyDescent="0.2">
      <c r="A221" s="8" t="s">
        <v>373</v>
      </c>
      <c r="B221" s="8" t="s">
        <v>83</v>
      </c>
      <c r="C221" s="8" t="s">
        <v>215</v>
      </c>
      <c r="D221" s="8">
        <v>1</v>
      </c>
      <c r="E221" s="8">
        <v>1</v>
      </c>
      <c r="F221" s="8">
        <f>SUM(G221:M221)</f>
        <v>2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1</v>
      </c>
      <c r="M221" s="8">
        <v>1</v>
      </c>
      <c r="N221" s="8">
        <v>1</v>
      </c>
      <c r="O221" s="8">
        <v>0</v>
      </c>
      <c r="P221" s="8">
        <v>1</v>
      </c>
      <c r="Q221" s="8">
        <v>0</v>
      </c>
      <c r="R221" s="8">
        <v>0</v>
      </c>
      <c r="S221" s="8">
        <v>1</v>
      </c>
      <c r="T221" s="10">
        <v>-12.832000000000001</v>
      </c>
      <c r="U221" s="10">
        <v>-95.623999999999995</v>
      </c>
      <c r="V221" s="10">
        <v>-794.27099999999996</v>
      </c>
      <c r="W221" s="10">
        <f>IF(RIGHT(C221,2)="12",IF(ISNUMBER(T221),T221,""),IF(COUNT(T221,U221,V221)=3,T221+U221-V221,""))</f>
        <v>685.81499999999994</v>
      </c>
      <c r="X221" s="10">
        <v>685.81399999999996</v>
      </c>
      <c r="Y221" s="10">
        <v>698.64700000000005</v>
      </c>
      <c r="Z221" s="10">
        <v>-10.255000000000001</v>
      </c>
      <c r="AA221" s="10">
        <v>1.621</v>
      </c>
      <c r="AB221" s="10">
        <v>-4.1980000000000004</v>
      </c>
      <c r="AC221" s="8">
        <v>0</v>
      </c>
      <c r="AD221" s="8">
        <v>0</v>
      </c>
      <c r="AE221" s="8">
        <v>0</v>
      </c>
      <c r="AF221" s="10">
        <v>0</v>
      </c>
      <c r="AG221" s="8">
        <f>COUNTIF(Y221:AB221,"&gt;0")</f>
        <v>2</v>
      </c>
      <c r="AH221" s="10">
        <v>1.621</v>
      </c>
      <c r="AI221" s="10">
        <v>698.64700000000005</v>
      </c>
      <c r="AJ221" s="8" t="str">
        <f>IF(ISNUMBER(X221),IF(X221&gt;0,"+",IF(X221&lt;0,"−","0")),IF(ISNUMBER(W221),IF(W221&gt;0,"+",IF(W221&lt;0,"−","0")),"yok"))</f>
        <v>+</v>
      </c>
      <c r="AK221" s="10">
        <f>IF(AND(RIGHT(C221,2)&lt;&gt;"12",ISNUMBER(U221),ISNUMBER(V221)),U221-V221,"")</f>
        <v>698.64699999999993</v>
      </c>
      <c r="AL221" s="11">
        <f>IF(AND(ISNUMBER(AK221),ISNUMBER(V221)),IF(V221&lt;&gt;0,AK221/ABS(V221),""),"")</f>
        <v>0.87960784165605943</v>
      </c>
      <c r="AM221" s="8">
        <f>IF(ISNUMBER(AK221),IF(AK221&gt;1,1,0),"")</f>
        <v>1</v>
      </c>
      <c r="AN221" s="8">
        <f>IF(ISNUMBER(AK221),IF(AK221&gt;0.05*ABS(V221),1,0),"")</f>
        <v>1</v>
      </c>
      <c r="AO221" s="10">
        <v>685.81399999999996</v>
      </c>
      <c r="AP221" s="10">
        <v>685.81399999999996</v>
      </c>
      <c r="AQ221" s="8" t="s">
        <v>204</v>
      </c>
      <c r="AR221" s="8">
        <v>0</v>
      </c>
      <c r="AS221" s="10">
        <v>188.11500000000001</v>
      </c>
      <c r="AT221" s="10"/>
      <c r="AU221" s="8" t="s">
        <v>207</v>
      </c>
      <c r="AV221" s="10">
        <v>698.64700000000005</v>
      </c>
      <c r="AW221" s="11" t="str">
        <f>IF(AND(ISNUMBER(AV221),ISNUMBER(AT221)),IF(AT221&lt;&gt;0,AV221/ABS(AT221),""),"")</f>
        <v/>
      </c>
      <c r="AX221" s="8">
        <v>0</v>
      </c>
      <c r="AY221" s="8">
        <v>1</v>
      </c>
      <c r="AZ221" s="10"/>
      <c r="BA221" s="8">
        <v>0</v>
      </c>
    </row>
    <row r="222" spans="1:53" x14ac:dyDescent="0.2">
      <c r="A222" s="8" t="s">
        <v>373</v>
      </c>
      <c r="B222" s="8" t="s">
        <v>83</v>
      </c>
      <c r="C222" s="8" t="s">
        <v>208</v>
      </c>
      <c r="D222" s="8">
        <v>1</v>
      </c>
      <c r="E222" s="8">
        <v>1</v>
      </c>
      <c r="F222" s="8">
        <f>SUM(G222:M222)</f>
        <v>1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1</v>
      </c>
      <c r="N222" s="8">
        <v>0</v>
      </c>
      <c r="O222" s="8">
        <v>0</v>
      </c>
      <c r="P222" s="8">
        <v>1</v>
      </c>
      <c r="Q222" s="8">
        <v>0</v>
      </c>
      <c r="R222" s="8">
        <v>0</v>
      </c>
      <c r="S222" s="8">
        <v>0</v>
      </c>
      <c r="T222" s="10">
        <v>-56.603999999999999</v>
      </c>
      <c r="U222" s="10">
        <v>-1509.18</v>
      </c>
      <c r="V222" s="10">
        <v>-10.255000000000001</v>
      </c>
      <c r="W222" s="10">
        <f>IF(RIGHT(C222,2)="12",IF(ISNUMBER(T222),T222,""),IF(COUNT(T222,U222,V222)=3,T222+U222-V222,""))</f>
        <v>-1555.529</v>
      </c>
      <c r="X222" s="10">
        <v>-1555.53</v>
      </c>
      <c r="Y222" s="10">
        <v>1.621</v>
      </c>
      <c r="Z222" s="10">
        <v>-4.1980000000000004</v>
      </c>
      <c r="AA222" s="10">
        <v>-1496.348</v>
      </c>
      <c r="AB222" s="10">
        <v>-56.603999999999999</v>
      </c>
      <c r="AC222" s="8">
        <v>0</v>
      </c>
      <c r="AD222" s="8">
        <v>0</v>
      </c>
      <c r="AE222" s="8">
        <v>0</v>
      </c>
      <c r="AF222" s="10">
        <v>0</v>
      </c>
      <c r="AG222" s="8">
        <f>COUNTIF(Y222:AB222,"&gt;0")</f>
        <v>1</v>
      </c>
      <c r="AH222" s="10">
        <v>0</v>
      </c>
      <c r="AI222" s="10">
        <v>1.621</v>
      </c>
      <c r="AJ222" s="8" t="str">
        <f>IF(ISNUMBER(X222),IF(X222&gt;0,"+",IF(X222&lt;0,"−","0")),IF(ISNUMBER(W222),IF(W222&gt;0,"+",IF(W222&lt;0,"−","0")),"yok"))</f>
        <v>−</v>
      </c>
      <c r="AK222" s="10">
        <f>IF(AND(RIGHT(C222,2)&lt;&gt;"12",ISNUMBER(U222),ISNUMBER(V222)),U222-V222,"")</f>
        <v>-1498.925</v>
      </c>
      <c r="AL222" s="11">
        <f>IF(AND(ISNUMBER(AK222),ISNUMBER(V222)),IF(V222&lt;&gt;0,AK222/ABS(V222),""),"")</f>
        <v>-146.16528522671865</v>
      </c>
      <c r="AM222" s="8">
        <f>IF(ISNUMBER(AK222),IF(AK222&gt;1,1,0),"")</f>
        <v>0</v>
      </c>
      <c r="AN222" s="8">
        <f>IF(ISNUMBER(AK222),IF(AK222&gt;0.05*ABS(V222),1,0),"")</f>
        <v>0</v>
      </c>
      <c r="AO222" s="10">
        <v>-1555.5309999999999</v>
      </c>
      <c r="AP222" s="10">
        <v>1555.5309999999999</v>
      </c>
      <c r="AQ222" s="8" t="s">
        <v>204</v>
      </c>
      <c r="AR222" s="8">
        <v>0</v>
      </c>
      <c r="AS222" s="10">
        <v>1124.3510000000001</v>
      </c>
      <c r="AT222" s="10"/>
      <c r="AU222" s="8" t="s">
        <v>207</v>
      </c>
      <c r="AV222" s="10">
        <v>1.621</v>
      </c>
      <c r="AW222" s="11" t="str">
        <f>IF(AND(ISNUMBER(AV222),ISNUMBER(AT222)),IF(AT222&lt;&gt;0,AV222/ABS(AT222),""),"")</f>
        <v/>
      </c>
      <c r="AX222" s="8">
        <v>0</v>
      </c>
      <c r="AY222" s="8">
        <v>0</v>
      </c>
      <c r="AZ222" s="10"/>
      <c r="BA222" s="8">
        <v>0</v>
      </c>
    </row>
    <row r="223" spans="1:53" x14ac:dyDescent="0.2">
      <c r="A223" s="8" t="s">
        <v>374</v>
      </c>
      <c r="B223" s="8" t="s">
        <v>82</v>
      </c>
      <c r="C223" s="8" t="s">
        <v>208</v>
      </c>
      <c r="D223" s="8">
        <v>1</v>
      </c>
      <c r="E223" s="8">
        <v>1</v>
      </c>
      <c r="F223" s="8">
        <f>SUM(G223:M223)</f>
        <v>1</v>
      </c>
      <c r="G223" s="8">
        <v>1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1</v>
      </c>
      <c r="O223" s="8">
        <v>0</v>
      </c>
      <c r="P223" s="8">
        <v>1</v>
      </c>
      <c r="Q223" s="8">
        <v>1</v>
      </c>
      <c r="R223" s="8">
        <v>1</v>
      </c>
      <c r="S223" s="8">
        <v>0</v>
      </c>
      <c r="T223" s="10">
        <v>0</v>
      </c>
      <c r="U223" s="10">
        <v>-4.2000000000000003E-2</v>
      </c>
      <c r="V223" s="10">
        <v>-1.1080000000000001</v>
      </c>
      <c r="W223" s="10">
        <f>IF(RIGHT(C223,2)="12",IF(ISNUMBER(T223),T223,""),IF(COUNT(T223,U223,V223)=3,T223+U223-V223,""))</f>
        <v>1.0660000000000001</v>
      </c>
      <c r="X223" s="10">
        <v>1.0660000000000001</v>
      </c>
      <c r="Y223" s="10">
        <v>-1.1140000000000001</v>
      </c>
      <c r="Z223" s="10">
        <v>-0.66800000000000004</v>
      </c>
      <c r="AA223" s="10">
        <v>2.8490000000000002</v>
      </c>
      <c r="AB223" s="10">
        <v>0</v>
      </c>
      <c r="AC223" s="8">
        <v>0</v>
      </c>
      <c r="AD223" s="8">
        <v>0</v>
      </c>
      <c r="AE223" s="8">
        <v>0</v>
      </c>
      <c r="AF223" s="10">
        <v>0</v>
      </c>
      <c r="AG223" s="8">
        <f>COUNTIF(Y223:AB223,"&gt;0")</f>
        <v>1</v>
      </c>
      <c r="AH223" s="10">
        <v>0</v>
      </c>
      <c r="AI223" s="10">
        <v>2.8490000000000002</v>
      </c>
      <c r="AJ223" s="8" t="str">
        <f>IF(ISNUMBER(X223),IF(X223&gt;0,"+",IF(X223&lt;0,"−","0")),IF(ISNUMBER(W223),IF(W223&gt;0,"+",IF(W223&lt;0,"−","0")),"yok"))</f>
        <v>+</v>
      </c>
      <c r="AK223" s="10">
        <f>IF(AND(RIGHT(C223,2)&lt;&gt;"12",ISNUMBER(U223),ISNUMBER(V223)),U223-V223,"")</f>
        <v>1.0660000000000001</v>
      </c>
      <c r="AL223" s="11">
        <f>IF(AND(ISNUMBER(AK223),ISNUMBER(V223)),IF(V223&lt;&gt;0,AK223/ABS(V223),""),"")</f>
        <v>0.96209386281588449</v>
      </c>
      <c r="AM223" s="8">
        <f>IF(ISNUMBER(AK223),IF(AK223&gt;1,1,0),"")</f>
        <v>1</v>
      </c>
      <c r="AN223" s="8">
        <f>IF(ISNUMBER(AK223),IF(AK223&gt;0.05*ABS(V223),1,0),"")</f>
        <v>1</v>
      </c>
      <c r="AO223" s="10">
        <v>1.0669999999999999</v>
      </c>
      <c r="AP223" s="10">
        <v>0</v>
      </c>
      <c r="AQ223" s="8" t="s">
        <v>204</v>
      </c>
      <c r="AR223" s="8">
        <v>1</v>
      </c>
      <c r="AS223" s="10">
        <v>295.63299999999998</v>
      </c>
      <c r="AT223" s="10">
        <v>-10.759</v>
      </c>
      <c r="AU223" s="8" t="s">
        <v>204</v>
      </c>
      <c r="AV223" s="10">
        <v>1.0660000000000001</v>
      </c>
      <c r="AW223" s="11">
        <f>IF(AND(ISNUMBER(AV223),ISNUMBER(AT223)),IF(AT223&lt;&gt;0,AV223/ABS(AT223),""),"")</f>
        <v>9.907984013384144E-2</v>
      </c>
      <c r="AX223" s="8">
        <v>0</v>
      </c>
      <c r="AY223" s="8">
        <v>1</v>
      </c>
      <c r="AZ223" s="10"/>
      <c r="BA223" s="8">
        <v>0</v>
      </c>
    </row>
    <row r="224" spans="1:53" x14ac:dyDescent="0.2">
      <c r="A224" s="8" t="s">
        <v>374</v>
      </c>
      <c r="B224" s="8" t="s">
        <v>82</v>
      </c>
      <c r="C224" s="8" t="s">
        <v>210</v>
      </c>
      <c r="D224" s="8">
        <v>1</v>
      </c>
      <c r="E224" s="8">
        <v>1</v>
      </c>
      <c r="F224" s="8">
        <f>SUM(G224:M224)</f>
        <v>1</v>
      </c>
      <c r="G224" s="8">
        <v>1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1</v>
      </c>
      <c r="O224" s="8">
        <v>0</v>
      </c>
      <c r="P224" s="8">
        <v>1</v>
      </c>
      <c r="Q224" s="8">
        <v>1</v>
      </c>
      <c r="R224" s="8">
        <v>1</v>
      </c>
      <c r="S224" s="8">
        <v>0</v>
      </c>
      <c r="T224" s="10">
        <v>-2.0030000000000001</v>
      </c>
      <c r="U224" s="10">
        <v>-4.2000000000000003E-2</v>
      </c>
      <c r="V224" s="10">
        <v>-2.2229999999999999</v>
      </c>
      <c r="W224" s="10">
        <f>IF(RIGHT(C224,2)="12",IF(ISNUMBER(T224),T224,""),IF(COUNT(T224,U224,V224)=3,T224+U224-V224,""))</f>
        <v>0.17799999999999994</v>
      </c>
      <c r="X224" s="10">
        <v>0.17699999999999999</v>
      </c>
      <c r="Y224" s="10">
        <v>-0.66800000000000004</v>
      </c>
      <c r="Z224" s="10">
        <v>2.8490000000000002</v>
      </c>
      <c r="AA224" s="10">
        <v>0</v>
      </c>
      <c r="AB224" s="10">
        <v>-2.0030000000000001</v>
      </c>
      <c r="AC224" s="8">
        <v>0</v>
      </c>
      <c r="AD224" s="8">
        <v>0</v>
      </c>
      <c r="AE224" s="8">
        <v>0</v>
      </c>
      <c r="AF224" s="10">
        <v>0</v>
      </c>
      <c r="AG224" s="8">
        <f>COUNTIF(Y224:AB224,"&gt;0")</f>
        <v>1</v>
      </c>
      <c r="AH224" s="10">
        <v>0</v>
      </c>
      <c r="AI224" s="10">
        <v>2.8490000000000002</v>
      </c>
      <c r="AJ224" s="8" t="str">
        <f>IF(ISNUMBER(X224),IF(X224&gt;0,"+",IF(X224&lt;0,"−","0")),IF(ISNUMBER(W224),IF(W224&gt;0,"+",IF(W224&lt;0,"−","0")),"yok"))</f>
        <v>+</v>
      </c>
      <c r="AK224" s="10">
        <f>IF(AND(RIGHT(C224,2)&lt;&gt;"12",ISNUMBER(U224),ISNUMBER(V224)),U224-V224,"")</f>
        <v>2.181</v>
      </c>
      <c r="AL224" s="11">
        <f>IF(AND(ISNUMBER(AK224),ISNUMBER(V224)),IF(V224&lt;&gt;0,AK224/ABS(V224),""),"")</f>
        <v>0.9811066126855601</v>
      </c>
      <c r="AM224" s="8">
        <f>IF(ISNUMBER(AK224),IF(AK224&gt;1,1,0),"")</f>
        <v>1</v>
      </c>
      <c r="AN224" s="8">
        <f>IF(ISNUMBER(AK224),IF(AK224&gt;0.05*ABS(V224),1,0),"")</f>
        <v>1</v>
      </c>
      <c r="AO224" s="10">
        <v>0.17799999999999999</v>
      </c>
      <c r="AP224" s="10">
        <v>0</v>
      </c>
      <c r="AQ224" s="8" t="s">
        <v>204</v>
      </c>
      <c r="AR224" s="8">
        <v>1</v>
      </c>
      <c r="AS224" s="10">
        <v>258.56099999999998</v>
      </c>
      <c r="AT224" s="10">
        <v>-51.768000000000001</v>
      </c>
      <c r="AU224" s="8" t="s">
        <v>204</v>
      </c>
      <c r="AV224" s="10">
        <v>2.181</v>
      </c>
      <c r="AW224" s="11">
        <f>IF(AND(ISNUMBER(AV224),ISNUMBER(AT224)),IF(AT224&lt;&gt;0,AV224/ABS(AT224),""),"")</f>
        <v>4.2130273528048212E-2</v>
      </c>
      <c r="AX224" s="8">
        <v>0</v>
      </c>
      <c r="AY224" s="8">
        <v>1</v>
      </c>
      <c r="AZ224" s="10"/>
      <c r="BA224" s="8">
        <v>0</v>
      </c>
    </row>
    <row r="225" spans="1:53" x14ac:dyDescent="0.2">
      <c r="A225" s="8" t="s">
        <v>374</v>
      </c>
      <c r="B225" s="8" t="s">
        <v>83</v>
      </c>
      <c r="C225" s="8" t="s">
        <v>203</v>
      </c>
      <c r="D225" s="8">
        <v>1</v>
      </c>
      <c r="E225" s="8">
        <v>1</v>
      </c>
      <c r="F225" s="8">
        <f>SUM(G225:M225)</f>
        <v>1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1</v>
      </c>
      <c r="N225" s="8">
        <v>0</v>
      </c>
      <c r="O225" s="8">
        <v>0</v>
      </c>
      <c r="P225" s="8">
        <v>1</v>
      </c>
      <c r="Q225" s="8">
        <v>0</v>
      </c>
      <c r="R225" s="8">
        <v>0</v>
      </c>
      <c r="S225" s="8">
        <v>0</v>
      </c>
      <c r="T225" s="10">
        <v>-5.7169999999999996</v>
      </c>
      <c r="U225" s="10">
        <v>-403.61799999999999</v>
      </c>
      <c r="V225" s="10">
        <v>-5.734</v>
      </c>
      <c r="W225" s="10">
        <f>IF(RIGHT(C225,2)="12",IF(ISNUMBER(T225),T225,""),IF(COUNT(T225,U225,V225)=3,T225+U225-V225,""))</f>
        <v>-403.601</v>
      </c>
      <c r="X225" s="10">
        <v>-403.601</v>
      </c>
      <c r="Y225" s="10">
        <v>-2.65</v>
      </c>
      <c r="Z225" s="10">
        <v>-416.625</v>
      </c>
      <c r="AA225" s="10">
        <v>21.390999999999998</v>
      </c>
      <c r="AB225" s="10">
        <v>-5.7169999999999996</v>
      </c>
      <c r="AC225" s="8">
        <v>0</v>
      </c>
      <c r="AD225" s="8">
        <v>0</v>
      </c>
      <c r="AE225" s="8">
        <v>0</v>
      </c>
      <c r="AF225" s="10">
        <v>0</v>
      </c>
      <c r="AG225" s="8">
        <f>COUNTIF(Y225:AB225,"&gt;0")</f>
        <v>1</v>
      </c>
      <c r="AH225" s="10">
        <v>0</v>
      </c>
      <c r="AI225" s="10">
        <v>21.390999999999998</v>
      </c>
      <c r="AJ225" s="8" t="str">
        <f>IF(ISNUMBER(X225),IF(X225&gt;0,"+",IF(X225&lt;0,"−","0")),IF(ISNUMBER(W225),IF(W225&gt;0,"+",IF(W225&lt;0,"−","0")),"yok"))</f>
        <v>−</v>
      </c>
      <c r="AK225" s="10">
        <f>IF(AND(RIGHT(C225,2)&lt;&gt;"12",ISNUMBER(U225),ISNUMBER(V225)),U225-V225,"")</f>
        <v>-397.88400000000001</v>
      </c>
      <c r="AL225" s="11">
        <f>IF(AND(ISNUMBER(AK225),ISNUMBER(V225)),IF(V225&lt;&gt;0,AK225/ABS(V225),""),"")</f>
        <v>-69.390303453086858</v>
      </c>
      <c r="AM225" s="8">
        <f>IF(ISNUMBER(AK225),IF(AK225&gt;1,1,0),"")</f>
        <v>0</v>
      </c>
      <c r="AN225" s="8">
        <f>IF(ISNUMBER(AK225),IF(AK225&gt;0.05*ABS(V225),1,0),"")</f>
        <v>0</v>
      </c>
      <c r="AO225" s="10">
        <v>-403.60199999999998</v>
      </c>
      <c r="AP225" s="10">
        <v>403.60199999999998</v>
      </c>
      <c r="AQ225" s="8" t="s">
        <v>204</v>
      </c>
      <c r="AR225" s="8">
        <v>0</v>
      </c>
      <c r="AS225" s="10">
        <v>354.197</v>
      </c>
      <c r="AT225" s="10">
        <v>-53.518000000000001</v>
      </c>
      <c r="AU225" s="8" t="s">
        <v>204</v>
      </c>
      <c r="AV225" s="10">
        <v>21.390999999999998</v>
      </c>
      <c r="AW225" s="11">
        <f>IF(AND(ISNUMBER(AV225),ISNUMBER(AT225)),IF(AT225&lt;&gt;0,AV225/ABS(AT225),""),"")</f>
        <v>0.39969729810531035</v>
      </c>
      <c r="AX225" s="8">
        <v>0</v>
      </c>
      <c r="AY225" s="8">
        <v>0</v>
      </c>
      <c r="AZ225" s="10"/>
      <c r="BA225" s="8">
        <v>0</v>
      </c>
    </row>
    <row r="226" spans="1:53" x14ac:dyDescent="0.2">
      <c r="A226" s="8" t="s">
        <v>374</v>
      </c>
      <c r="B226" s="8" t="s">
        <v>83</v>
      </c>
      <c r="C226" s="8" t="s">
        <v>205</v>
      </c>
      <c r="D226" s="8">
        <v>1</v>
      </c>
      <c r="E226" s="8">
        <v>1</v>
      </c>
      <c r="F226" s="8">
        <f>SUM(G226:M226)</f>
        <v>1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1</v>
      </c>
      <c r="N226" s="8">
        <v>0</v>
      </c>
      <c r="O226" s="8">
        <v>0</v>
      </c>
      <c r="P226" s="8">
        <v>1</v>
      </c>
      <c r="Q226" s="8">
        <v>0</v>
      </c>
      <c r="R226" s="8">
        <v>0</v>
      </c>
      <c r="S226" s="8">
        <v>1</v>
      </c>
      <c r="T226" s="10">
        <v>-3.3370000000000002</v>
      </c>
      <c r="U226" s="10">
        <v>-403.61799999999999</v>
      </c>
      <c r="V226" s="10">
        <v>-8.3849999999999998</v>
      </c>
      <c r="W226" s="10">
        <f>IF(RIGHT(C226,2)="12",IF(ISNUMBER(T226),T226,""),IF(COUNT(T226,U226,V226)=3,T226+U226-V226,""))</f>
        <v>-398.57</v>
      </c>
      <c r="X226" s="10">
        <v>-398.57</v>
      </c>
      <c r="Y226" s="10">
        <v>-416.625</v>
      </c>
      <c r="Z226" s="10">
        <v>21.390999999999998</v>
      </c>
      <c r="AA226" s="10">
        <v>-5.7169999999999996</v>
      </c>
      <c r="AB226" s="10">
        <v>2.38</v>
      </c>
      <c r="AC226" s="8">
        <v>0</v>
      </c>
      <c r="AD226" s="8">
        <v>0</v>
      </c>
      <c r="AE226" s="8">
        <v>0</v>
      </c>
      <c r="AF226" s="10">
        <v>0</v>
      </c>
      <c r="AG226" s="8">
        <f>COUNTIF(Y226:AB226,"&gt;0")</f>
        <v>2</v>
      </c>
      <c r="AH226" s="10">
        <v>2.38</v>
      </c>
      <c r="AI226" s="10">
        <v>21.390999999999998</v>
      </c>
      <c r="AJ226" s="8" t="str">
        <f>IF(ISNUMBER(X226),IF(X226&gt;0,"+",IF(X226&lt;0,"−","0")),IF(ISNUMBER(W226),IF(W226&gt;0,"+",IF(W226&lt;0,"−","0")),"yok"))</f>
        <v>−</v>
      </c>
      <c r="AK226" s="10">
        <f>IF(AND(RIGHT(C226,2)&lt;&gt;"12",ISNUMBER(U226),ISNUMBER(V226)),U226-V226,"")</f>
        <v>-395.233</v>
      </c>
      <c r="AL226" s="11">
        <f>IF(AND(ISNUMBER(AK226),ISNUMBER(V226)),IF(V226&lt;&gt;0,AK226/ABS(V226),""),"")</f>
        <v>-47.135718545020872</v>
      </c>
      <c r="AM226" s="8">
        <f>IF(ISNUMBER(AK226),IF(AK226&gt;1,1,0),"")</f>
        <v>0</v>
      </c>
      <c r="AN226" s="8">
        <f>IF(ISNUMBER(AK226),IF(AK226&gt;0.05*ABS(V226),1,0),"")</f>
        <v>0</v>
      </c>
      <c r="AO226" s="10">
        <v>-398.57100000000003</v>
      </c>
      <c r="AP226" s="10">
        <v>398.57100000000003</v>
      </c>
      <c r="AQ226" s="8" t="s">
        <v>204</v>
      </c>
      <c r="AR226" s="8">
        <v>0</v>
      </c>
      <c r="AS226" s="10">
        <v>390.94</v>
      </c>
      <c r="AT226" s="10">
        <v>-11.904</v>
      </c>
      <c r="AU226" s="8" t="s">
        <v>204</v>
      </c>
      <c r="AV226" s="10">
        <v>21.390999999999998</v>
      </c>
      <c r="AW226" s="11">
        <f>IF(AND(ISNUMBER(AV226),ISNUMBER(AT226)),IF(AT226&lt;&gt;0,AV226/ABS(AT226),""),"")</f>
        <v>1.796959005376344</v>
      </c>
      <c r="AX226" s="8">
        <v>0</v>
      </c>
      <c r="AY226" s="8">
        <v>0</v>
      </c>
      <c r="AZ226" s="10"/>
      <c r="BA226" s="8">
        <v>0</v>
      </c>
    </row>
    <row r="227" spans="1:53" x14ac:dyDescent="0.2">
      <c r="A227" s="8" t="s">
        <v>374</v>
      </c>
      <c r="B227" s="8" t="s">
        <v>83</v>
      </c>
      <c r="C227" s="8" t="s">
        <v>215</v>
      </c>
      <c r="D227" s="8">
        <v>1</v>
      </c>
      <c r="E227" s="8">
        <v>1</v>
      </c>
      <c r="F227" s="8">
        <f>SUM(G227:M227)</f>
        <v>2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1</v>
      </c>
      <c r="M227" s="8">
        <v>1</v>
      </c>
      <c r="N227" s="8">
        <v>0</v>
      </c>
      <c r="O227" s="8">
        <v>0</v>
      </c>
      <c r="P227" s="8">
        <v>1</v>
      </c>
      <c r="Q227" s="8">
        <v>0</v>
      </c>
      <c r="R227" s="8">
        <v>0</v>
      </c>
      <c r="S227" s="8">
        <v>1</v>
      </c>
      <c r="T227" s="10">
        <v>-304.18799999999999</v>
      </c>
      <c r="U227" s="10">
        <v>-403.61799999999999</v>
      </c>
      <c r="V227" s="10">
        <v>-425.01</v>
      </c>
      <c r="W227" s="10">
        <f>IF(RIGHT(C227,2)="12",IF(ISNUMBER(T227),T227,""),IF(COUNT(T227,U227,V227)=3,T227+U227-V227,""))</f>
        <v>-282.79600000000005</v>
      </c>
      <c r="X227" s="10">
        <v>-282.79599999999999</v>
      </c>
      <c r="Y227" s="10">
        <v>21.390999999999998</v>
      </c>
      <c r="Z227" s="10">
        <v>-5.7169999999999996</v>
      </c>
      <c r="AA227" s="10">
        <v>2.38</v>
      </c>
      <c r="AB227" s="10">
        <v>-300.851</v>
      </c>
      <c r="AC227" s="8">
        <v>0</v>
      </c>
      <c r="AD227" s="8">
        <v>0</v>
      </c>
      <c r="AE227" s="8">
        <v>0</v>
      </c>
      <c r="AF227" s="10">
        <v>0</v>
      </c>
      <c r="AG227" s="8">
        <f>COUNTIF(Y227:AB227,"&gt;0")</f>
        <v>2</v>
      </c>
      <c r="AH227" s="10">
        <v>2.38</v>
      </c>
      <c r="AI227" s="10">
        <v>21.390999999999998</v>
      </c>
      <c r="AJ227" s="8" t="str">
        <f>IF(ISNUMBER(X227),IF(X227&gt;0,"+",IF(X227&lt;0,"−","0")),IF(ISNUMBER(W227),IF(W227&gt;0,"+",IF(W227&lt;0,"−","0")),"yok"))</f>
        <v>−</v>
      </c>
      <c r="AK227" s="10">
        <f>IF(AND(RIGHT(C227,2)&lt;&gt;"12",ISNUMBER(U227),ISNUMBER(V227)),U227-V227,"")</f>
        <v>21.391999999999996</v>
      </c>
      <c r="AL227" s="11">
        <f>IF(AND(ISNUMBER(AK227),ISNUMBER(V227)),IF(V227&lt;&gt;0,AK227/ABS(V227),""),"")</f>
        <v>5.0332933342744871E-2</v>
      </c>
      <c r="AM227" s="8">
        <f>IF(ISNUMBER(AK227),IF(AK227&gt;1,1,0),"")</f>
        <v>1</v>
      </c>
      <c r="AN227" s="8">
        <f>IF(ISNUMBER(AK227),IF(AK227&gt;0.05*ABS(V227),1,0),"")</f>
        <v>1</v>
      </c>
      <c r="AO227" s="10">
        <v>-282.798</v>
      </c>
      <c r="AP227" s="10">
        <v>282.798</v>
      </c>
      <c r="AQ227" s="8" t="s">
        <v>204</v>
      </c>
      <c r="AR227" s="8">
        <v>0</v>
      </c>
      <c r="AS227" s="10">
        <v>270.81700000000001</v>
      </c>
      <c r="AT227" s="10">
        <v>-15.9109999999999</v>
      </c>
      <c r="AU227" s="8" t="s">
        <v>204</v>
      </c>
      <c r="AV227" s="10">
        <v>21.391999999999999</v>
      </c>
      <c r="AW227" s="11">
        <f>IF(AND(ISNUMBER(AV227),ISNUMBER(AT227)),IF(AT227&lt;&gt;0,AV227/ABS(AT227),""),"")</f>
        <v>1.3444786625605012</v>
      </c>
      <c r="AX227" s="8">
        <v>0</v>
      </c>
      <c r="AY227" s="8">
        <v>1</v>
      </c>
      <c r="AZ227" s="10"/>
      <c r="BA227" s="8">
        <v>1</v>
      </c>
    </row>
    <row r="228" spans="1:53" x14ac:dyDescent="0.2">
      <c r="A228" s="8" t="s">
        <v>374</v>
      </c>
      <c r="B228" s="8" t="s">
        <v>83</v>
      </c>
      <c r="C228" s="8" t="s">
        <v>208</v>
      </c>
      <c r="D228" s="8">
        <v>1</v>
      </c>
      <c r="E228" s="8">
        <v>1</v>
      </c>
      <c r="F228" s="8">
        <f>SUM(G228:M228)</f>
        <v>1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1</v>
      </c>
      <c r="N228" s="8">
        <v>0</v>
      </c>
      <c r="O228" s="8">
        <v>0</v>
      </c>
      <c r="P228" s="8">
        <v>1</v>
      </c>
      <c r="Q228" s="8">
        <v>0</v>
      </c>
      <c r="R228" s="8">
        <v>0</v>
      </c>
      <c r="S228" s="8">
        <v>0</v>
      </c>
      <c r="T228" s="10">
        <v>-1.714</v>
      </c>
      <c r="U228" s="10">
        <v>-310.39600000000002</v>
      </c>
      <c r="V228" s="10">
        <v>-5.7169999999999996</v>
      </c>
      <c r="W228" s="10">
        <f>IF(RIGHT(C228,2)="12",IF(ISNUMBER(T228),T228,""),IF(COUNT(T228,U228,V228)=3,T228+U228-V228,""))</f>
        <v>-306.39300000000003</v>
      </c>
      <c r="X228" s="10">
        <v>-306.392</v>
      </c>
      <c r="Y228" s="10">
        <v>2.38</v>
      </c>
      <c r="Z228" s="10">
        <v>-300.851</v>
      </c>
      <c r="AA228" s="10">
        <v>-6.2069999999999999</v>
      </c>
      <c r="AB228" s="10">
        <v>-1.714</v>
      </c>
      <c r="AC228" s="8">
        <v>0</v>
      </c>
      <c r="AD228" s="8">
        <v>0</v>
      </c>
      <c r="AE228" s="8">
        <v>0</v>
      </c>
      <c r="AF228" s="10">
        <v>0</v>
      </c>
      <c r="AG228" s="8">
        <f>COUNTIF(Y228:AB228,"&gt;0")</f>
        <v>1</v>
      </c>
      <c r="AH228" s="10">
        <v>0</v>
      </c>
      <c r="AI228" s="10">
        <v>2.38</v>
      </c>
      <c r="AJ228" s="8" t="str">
        <f>IF(ISNUMBER(X228),IF(X228&gt;0,"+",IF(X228&lt;0,"−","0")),IF(ISNUMBER(W228),IF(W228&gt;0,"+",IF(W228&lt;0,"−","0")),"yok"))</f>
        <v>−</v>
      </c>
      <c r="AK228" s="10">
        <f>IF(AND(RIGHT(C228,2)&lt;&gt;"12",ISNUMBER(U228),ISNUMBER(V228)),U228-V228,"")</f>
        <v>-304.67900000000003</v>
      </c>
      <c r="AL228" s="11">
        <f>IF(AND(ISNUMBER(AK228),ISNUMBER(V228)),IF(V228&lt;&gt;0,AK228/ABS(V228),""),"")</f>
        <v>-53.293510582473331</v>
      </c>
      <c r="AM228" s="8">
        <f>IF(ISNUMBER(AK228),IF(AK228&gt;1,1,0),"")</f>
        <v>0</v>
      </c>
      <c r="AN228" s="8">
        <f>IF(ISNUMBER(AK228),IF(AK228&gt;0.05*ABS(V228),1,0),"")</f>
        <v>0</v>
      </c>
      <c r="AO228" s="10">
        <v>-306.392</v>
      </c>
      <c r="AP228" s="10">
        <v>306.392</v>
      </c>
      <c r="AQ228" s="8" t="s">
        <v>204</v>
      </c>
      <c r="AR228" s="8">
        <v>0</v>
      </c>
      <c r="AS228" s="10">
        <v>295.63299999999998</v>
      </c>
      <c r="AT228" s="10">
        <v>-10.759</v>
      </c>
      <c r="AU228" s="8" t="s">
        <v>204</v>
      </c>
      <c r="AV228" s="10">
        <v>2.38</v>
      </c>
      <c r="AW228" s="11">
        <f>IF(AND(ISNUMBER(AV228),ISNUMBER(AT228)),IF(AT228&lt;&gt;0,AV228/ABS(AT228),""),"")</f>
        <v>0.22121014964216004</v>
      </c>
      <c r="AX228" s="8">
        <v>0</v>
      </c>
      <c r="AY228" s="8">
        <v>0</v>
      </c>
      <c r="AZ228" s="10"/>
      <c r="BA228" s="8">
        <v>0</v>
      </c>
    </row>
    <row r="229" spans="1:53" x14ac:dyDescent="0.2">
      <c r="A229" s="8" t="s">
        <v>375</v>
      </c>
      <c r="B229" s="8" t="s">
        <v>83</v>
      </c>
      <c r="C229" s="8" t="s">
        <v>208</v>
      </c>
      <c r="D229" s="8">
        <v>1</v>
      </c>
      <c r="E229" s="8">
        <v>1</v>
      </c>
      <c r="F229" s="8">
        <f>SUM(G229:M229)</f>
        <v>1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1</v>
      </c>
      <c r="N229" s="8">
        <v>0</v>
      </c>
      <c r="O229" s="8">
        <v>0</v>
      </c>
      <c r="P229" s="8">
        <v>1</v>
      </c>
      <c r="Q229" s="8">
        <v>0</v>
      </c>
      <c r="R229" s="8">
        <v>0</v>
      </c>
      <c r="S229" s="8">
        <v>0</v>
      </c>
      <c r="T229" s="10">
        <v>-1015.208</v>
      </c>
      <c r="U229" s="10">
        <v>-2426.0349999999999</v>
      </c>
      <c r="V229" s="10">
        <v>-1408.9480000000001</v>
      </c>
      <c r="W229" s="10">
        <f>IF(RIGHT(C229,2)="12",IF(ISNUMBER(T229),T229,""),IF(COUNT(T229,U229,V229)=3,T229+U229-V229,""))</f>
        <v>-2032.2949999999998</v>
      </c>
      <c r="X229" s="10">
        <v>-2032.2950000000001</v>
      </c>
      <c r="Y229" s="10">
        <v>200.845</v>
      </c>
      <c r="Z229" s="10">
        <v>-964.44200000000001</v>
      </c>
      <c r="AA229" s="10">
        <v>-253.49</v>
      </c>
      <c r="AB229" s="10">
        <v>-1015.208</v>
      </c>
      <c r="AC229" s="8">
        <v>0</v>
      </c>
      <c r="AD229" s="8">
        <v>0</v>
      </c>
      <c r="AE229" s="8">
        <v>0</v>
      </c>
      <c r="AF229" s="10">
        <v>0</v>
      </c>
      <c r="AG229" s="8">
        <f>COUNTIF(Y229:AB229,"&gt;0")</f>
        <v>1</v>
      </c>
      <c r="AH229" s="10">
        <v>0</v>
      </c>
      <c r="AI229" s="10">
        <v>200.845</v>
      </c>
      <c r="AJ229" s="8" t="str">
        <f>IF(ISNUMBER(X229),IF(X229&gt;0,"+",IF(X229&lt;0,"−","0")),IF(ISNUMBER(W229),IF(W229&gt;0,"+",IF(W229&lt;0,"−","0")),"yok"))</f>
        <v>−</v>
      </c>
      <c r="AK229" s="10">
        <f>IF(AND(RIGHT(C229,2)&lt;&gt;"12",ISNUMBER(U229),ISNUMBER(V229)),U229-V229,"")</f>
        <v>-1017.0869999999998</v>
      </c>
      <c r="AL229" s="11">
        <f>IF(AND(ISNUMBER(AK229),ISNUMBER(V229)),IF(V229&lt;&gt;0,AK229/ABS(V229),""),"")</f>
        <v>-0.72187688970778174</v>
      </c>
      <c r="AM229" s="8">
        <f>IF(ISNUMBER(AK229),IF(AK229&gt;1,1,0),"")</f>
        <v>0</v>
      </c>
      <c r="AN229" s="8">
        <f>IF(ISNUMBER(AK229),IF(AK229&gt;0.05*ABS(V229),1,0),"")</f>
        <v>0</v>
      </c>
      <c r="AO229" s="10">
        <v>-2032.2950000000001</v>
      </c>
      <c r="AP229" s="10">
        <v>2032.2950000000001</v>
      </c>
      <c r="AQ229" s="8" t="s">
        <v>204</v>
      </c>
      <c r="AR229" s="8">
        <v>0</v>
      </c>
      <c r="AS229" s="10">
        <v>2996.8</v>
      </c>
      <c r="AT229" s="10">
        <v>909.11699999999996</v>
      </c>
      <c r="AU229" s="8" t="s">
        <v>209</v>
      </c>
      <c r="AV229" s="10">
        <v>200.845</v>
      </c>
      <c r="AW229" s="11">
        <f>IF(AND(ISNUMBER(AV229),ISNUMBER(AT229)),IF(AT229&lt;&gt;0,AV229/ABS(AT229),""),"")</f>
        <v>0.22092315950532221</v>
      </c>
      <c r="AX229" s="8">
        <v>0</v>
      </c>
      <c r="AY229" s="8">
        <v>0</v>
      </c>
      <c r="AZ229" s="10"/>
      <c r="BA229" s="8">
        <v>0</v>
      </c>
    </row>
    <row r="230" spans="1:53" x14ac:dyDescent="0.2">
      <c r="A230" s="8" t="s">
        <v>376</v>
      </c>
      <c r="B230" s="8" t="s">
        <v>82</v>
      </c>
      <c r="C230" s="8" t="s">
        <v>215</v>
      </c>
      <c r="D230" s="8">
        <v>1</v>
      </c>
      <c r="E230" s="8">
        <v>1</v>
      </c>
      <c r="F230" s="8">
        <f>SUM(G230:M230)</f>
        <v>1</v>
      </c>
      <c r="G230" s="8">
        <v>0</v>
      </c>
      <c r="H230" s="8">
        <v>0</v>
      </c>
      <c r="I230" s="8">
        <v>0</v>
      </c>
      <c r="J230" s="8">
        <v>1</v>
      </c>
      <c r="K230" s="8">
        <v>0</v>
      </c>
      <c r="L230" s="8">
        <v>0</v>
      </c>
      <c r="M230" s="8">
        <v>0</v>
      </c>
      <c r="N230" s="8">
        <v>0</v>
      </c>
      <c r="O230" s="8">
        <v>1</v>
      </c>
      <c r="P230" s="8">
        <v>0</v>
      </c>
      <c r="Q230" s="8">
        <v>0</v>
      </c>
      <c r="R230" s="8">
        <v>0</v>
      </c>
      <c r="S230" s="8">
        <v>0</v>
      </c>
      <c r="T230" s="10">
        <v>-48.959000000000003</v>
      </c>
      <c r="U230" s="10">
        <v>-84.558000000000007</v>
      </c>
      <c r="V230" s="10">
        <v>19.809000000000001</v>
      </c>
      <c r="W230" s="10">
        <f>IF(RIGHT(C230,2)="12",IF(ISNUMBER(T230),T230,""),IF(COUNT(T230,U230,V230)=3,T230+U230-V230,""))</f>
        <v>-153.32599999999999</v>
      </c>
      <c r="X230" s="10">
        <v>-153.328</v>
      </c>
      <c r="Y230" s="10">
        <v>-104.36799999999999</v>
      </c>
      <c r="Z230" s="10">
        <v>-20.428999999999998</v>
      </c>
      <c r="AA230" s="10">
        <v>-11.827</v>
      </c>
      <c r="AB230" s="10">
        <v>-16.702000000000002</v>
      </c>
      <c r="AC230" s="8">
        <v>0</v>
      </c>
      <c r="AD230" s="8">
        <v>0</v>
      </c>
      <c r="AE230" s="8">
        <v>1</v>
      </c>
      <c r="AF230" s="10">
        <v>19.809000000000001</v>
      </c>
      <c r="AG230" s="8">
        <f>COUNTIF(Y230:AB230,"&gt;0")</f>
        <v>0</v>
      </c>
      <c r="AH230" s="10">
        <v>0</v>
      </c>
      <c r="AI230" s="10">
        <v>0</v>
      </c>
      <c r="AJ230" s="8" t="str">
        <f>IF(ISNUMBER(X230),IF(X230&gt;0,"+",IF(X230&lt;0,"−","0")),IF(ISNUMBER(W230),IF(W230&gt;0,"+",IF(W230&lt;0,"−","0")),"yok"))</f>
        <v>−</v>
      </c>
      <c r="AK230" s="10">
        <f>IF(AND(RIGHT(C230,2)&lt;&gt;"12",ISNUMBER(U230),ISNUMBER(V230)),U230-V230,"")</f>
        <v>-104.367</v>
      </c>
      <c r="AL230" s="11">
        <f>IF(AND(ISNUMBER(AK230),ISNUMBER(V230)),IF(V230&lt;&gt;0,AK230/ABS(V230),""),"")</f>
        <v>-5.268665757988793</v>
      </c>
      <c r="AM230" s="8">
        <f>IF(ISNUMBER(AK230),IF(AK230&gt;1,1,0),"")</f>
        <v>0</v>
      </c>
      <c r="AN230" s="8">
        <f>IF(ISNUMBER(AK230),IF(AK230&gt;0.05*ABS(V230),1,0),"")</f>
        <v>0</v>
      </c>
      <c r="AO230" s="10"/>
      <c r="AP230" s="10"/>
      <c r="AQ230" s="8" t="s">
        <v>207</v>
      </c>
      <c r="AR230" s="8">
        <v>0</v>
      </c>
      <c r="AS230" s="10"/>
      <c r="AT230" s="10"/>
      <c r="AU230" s="8" t="s">
        <v>207</v>
      </c>
      <c r="AV230" s="10">
        <v>19.809000000000001</v>
      </c>
      <c r="AW230" s="11" t="str">
        <f>IF(AND(ISNUMBER(AV230),ISNUMBER(AT230)),IF(AT230&lt;&gt;0,AV230/ABS(AT230),""),"")</f>
        <v/>
      </c>
      <c r="AX230" s="8">
        <v>1</v>
      </c>
      <c r="AY230" s="8">
        <v>0</v>
      </c>
      <c r="AZ230" s="8" t="s">
        <v>377</v>
      </c>
      <c r="BA230" s="8">
        <v>0</v>
      </c>
    </row>
    <row r="231" spans="1:53" x14ac:dyDescent="0.2">
      <c r="A231" s="8" t="s">
        <v>376</v>
      </c>
      <c r="B231" s="8" t="s">
        <v>83</v>
      </c>
      <c r="C231" s="8" t="s">
        <v>203</v>
      </c>
      <c r="D231" s="8">
        <v>1</v>
      </c>
      <c r="E231" s="8">
        <v>1</v>
      </c>
      <c r="F231" s="8">
        <f>SUM(G231:M231)</f>
        <v>1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1</v>
      </c>
      <c r="N231" s="8">
        <v>0</v>
      </c>
      <c r="O231" s="8">
        <v>0</v>
      </c>
      <c r="P231" s="8">
        <v>1</v>
      </c>
      <c r="Q231" s="8">
        <v>0</v>
      </c>
      <c r="R231" s="8">
        <v>0</v>
      </c>
      <c r="S231" s="8">
        <v>0</v>
      </c>
      <c r="T231" s="10">
        <v>-2457.3969999999999</v>
      </c>
      <c r="U231" s="10">
        <v>-804.89</v>
      </c>
      <c r="V231" s="10">
        <v>-123.29300000000001</v>
      </c>
      <c r="W231" s="10">
        <f>IF(RIGHT(C231,2)="12",IF(ISNUMBER(T231),T231,""),IF(COUNT(T231,U231,V231)=3,T231+U231-V231,""))</f>
        <v>-3138.9939999999997</v>
      </c>
      <c r="X231" s="10">
        <v>-3138.9940000000001</v>
      </c>
      <c r="Y231" s="10">
        <v>-97.123000000000005</v>
      </c>
      <c r="Z231" s="10">
        <v>2029.52</v>
      </c>
      <c r="AA231" s="10">
        <v>-2613.9940000000001</v>
      </c>
      <c r="AB231" s="10">
        <v>-2457.3969999999999</v>
      </c>
      <c r="AC231" s="8">
        <v>0</v>
      </c>
      <c r="AD231" s="8">
        <v>0</v>
      </c>
      <c r="AE231" s="8">
        <v>0</v>
      </c>
      <c r="AF231" s="10">
        <v>0</v>
      </c>
      <c r="AG231" s="8">
        <f>COUNTIF(Y231:AB231,"&gt;0")</f>
        <v>1</v>
      </c>
      <c r="AH231" s="10">
        <v>0</v>
      </c>
      <c r="AI231" s="10">
        <v>2029.52</v>
      </c>
      <c r="AJ231" s="8" t="str">
        <f>IF(ISNUMBER(X231),IF(X231&gt;0,"+",IF(X231&lt;0,"−","0")),IF(ISNUMBER(W231),IF(W231&gt;0,"+",IF(W231&lt;0,"−","0")),"yok"))</f>
        <v>−</v>
      </c>
      <c r="AK231" s="10">
        <f>IF(AND(RIGHT(C231,2)&lt;&gt;"12",ISNUMBER(U231),ISNUMBER(V231)),U231-V231,"")</f>
        <v>-681.59699999999998</v>
      </c>
      <c r="AL231" s="11">
        <f>IF(AND(ISNUMBER(AK231),ISNUMBER(V231)),IF(V231&lt;&gt;0,AK231/ABS(V231),""),"")</f>
        <v>-5.5282700558831399</v>
      </c>
      <c r="AM231" s="8">
        <f>IF(ISNUMBER(AK231),IF(AK231&gt;1,1,0),"")</f>
        <v>0</v>
      </c>
      <c r="AN231" s="8">
        <f>IF(ISNUMBER(AK231),IF(AK231&gt;0.05*ABS(V231),1,0),"")</f>
        <v>0</v>
      </c>
      <c r="AO231" s="10"/>
      <c r="AP231" s="10"/>
      <c r="AQ231" s="8" t="s">
        <v>207</v>
      </c>
      <c r="AR231" s="8">
        <v>0</v>
      </c>
      <c r="AS231" s="10"/>
      <c r="AT231" s="10"/>
      <c r="AU231" s="8" t="s">
        <v>207</v>
      </c>
      <c r="AV231" s="10">
        <v>2029.52</v>
      </c>
      <c r="AW231" s="11" t="str">
        <f>IF(AND(ISNUMBER(AV231),ISNUMBER(AT231)),IF(AT231&lt;&gt;0,AV231/ABS(AT231),""),"")</f>
        <v/>
      </c>
      <c r="AX231" s="8">
        <v>0</v>
      </c>
      <c r="AY231" s="8">
        <v>0</v>
      </c>
      <c r="AZ231" s="10"/>
      <c r="BA231" s="8">
        <v>0</v>
      </c>
    </row>
    <row r="232" spans="1:53" x14ac:dyDescent="0.2">
      <c r="A232" s="8" t="s">
        <v>376</v>
      </c>
      <c r="B232" s="8" t="s">
        <v>83</v>
      </c>
      <c r="C232" s="8" t="s">
        <v>205</v>
      </c>
      <c r="D232" s="8">
        <v>1</v>
      </c>
      <c r="E232" s="8">
        <v>1</v>
      </c>
      <c r="F232" s="8">
        <f>SUM(G232:M232)</f>
        <v>1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1</v>
      </c>
      <c r="N232" s="8">
        <v>0</v>
      </c>
      <c r="O232" s="8">
        <v>0</v>
      </c>
      <c r="P232" s="8">
        <v>1</v>
      </c>
      <c r="Q232" s="8">
        <v>0</v>
      </c>
      <c r="R232" s="8">
        <v>0</v>
      </c>
      <c r="S232" s="8">
        <v>0</v>
      </c>
      <c r="T232" s="10">
        <v>-3855.18</v>
      </c>
      <c r="U232" s="10">
        <v>-804.89</v>
      </c>
      <c r="V232" s="10">
        <v>-220.416</v>
      </c>
      <c r="W232" s="10">
        <f>IF(RIGHT(C232,2)="12",IF(ISNUMBER(T232),T232,""),IF(COUNT(T232,U232,V232)=3,T232+U232-V232,""))</f>
        <v>-4439.6539999999995</v>
      </c>
      <c r="X232" s="10">
        <v>-4439.6540000000005</v>
      </c>
      <c r="Y232" s="10">
        <v>2029.52</v>
      </c>
      <c r="Z232" s="10">
        <v>-2613.9940000000001</v>
      </c>
      <c r="AA232" s="10">
        <v>-2457.3969999999999</v>
      </c>
      <c r="AB232" s="10">
        <v>-1397.7829999999999</v>
      </c>
      <c r="AC232" s="8">
        <v>0</v>
      </c>
      <c r="AD232" s="8">
        <v>0</v>
      </c>
      <c r="AE232" s="8">
        <v>0</v>
      </c>
      <c r="AF232" s="10">
        <v>0</v>
      </c>
      <c r="AG232" s="8">
        <f>COUNTIF(Y232:AB232,"&gt;0")</f>
        <v>1</v>
      </c>
      <c r="AH232" s="10">
        <v>0</v>
      </c>
      <c r="AI232" s="10">
        <v>2029.52</v>
      </c>
      <c r="AJ232" s="8" t="str">
        <f>IF(ISNUMBER(X232),IF(X232&gt;0,"+",IF(X232&lt;0,"−","0")),IF(ISNUMBER(W232),IF(W232&gt;0,"+",IF(W232&lt;0,"−","0")),"yok"))</f>
        <v>−</v>
      </c>
      <c r="AK232" s="10">
        <f>IF(AND(RIGHT(C232,2)&lt;&gt;"12",ISNUMBER(U232),ISNUMBER(V232)),U232-V232,"")</f>
        <v>-584.47399999999993</v>
      </c>
      <c r="AL232" s="11">
        <f>IF(AND(ISNUMBER(AK232),ISNUMBER(V232)),IF(V232&lt;&gt;0,AK232/ABS(V232),""),"")</f>
        <v>-2.6516859030197444</v>
      </c>
      <c r="AM232" s="8">
        <f>IF(ISNUMBER(AK232),IF(AK232&gt;1,1,0),"")</f>
        <v>0</v>
      </c>
      <c r="AN232" s="8">
        <f>IF(ISNUMBER(AK232),IF(AK232&gt;0.05*ABS(V232),1,0),"")</f>
        <v>0</v>
      </c>
      <c r="AO232" s="10"/>
      <c r="AP232" s="10"/>
      <c r="AQ232" s="8" t="s">
        <v>207</v>
      </c>
      <c r="AR232" s="8">
        <v>0</v>
      </c>
      <c r="AS232" s="10"/>
      <c r="AT232" s="10"/>
      <c r="AU232" s="8" t="s">
        <v>207</v>
      </c>
      <c r="AV232" s="10">
        <v>2029.52</v>
      </c>
      <c r="AW232" s="11" t="str">
        <f>IF(AND(ISNUMBER(AV232),ISNUMBER(AT232)),IF(AT232&lt;&gt;0,AV232/ABS(AT232),""),"")</f>
        <v/>
      </c>
      <c r="AX232" s="8">
        <v>0</v>
      </c>
      <c r="AY232" s="8">
        <v>0</v>
      </c>
      <c r="AZ232" s="10"/>
      <c r="BA232" s="8">
        <v>0</v>
      </c>
    </row>
    <row r="233" spans="1:53" x14ac:dyDescent="0.2">
      <c r="A233" s="8" t="s">
        <v>376</v>
      </c>
      <c r="B233" s="8" t="s">
        <v>83</v>
      </c>
      <c r="C233" s="8" t="s">
        <v>215</v>
      </c>
      <c r="D233" s="8">
        <v>1</v>
      </c>
      <c r="E233" s="8">
        <v>1</v>
      </c>
      <c r="F233" s="8">
        <f>SUM(G233:M233)</f>
        <v>1</v>
      </c>
      <c r="G233" s="8">
        <v>0</v>
      </c>
      <c r="H233" s="8">
        <v>0</v>
      </c>
      <c r="I233" s="8">
        <v>0</v>
      </c>
      <c r="J233" s="8">
        <v>0</v>
      </c>
      <c r="K233" s="8">
        <v>1</v>
      </c>
      <c r="L233" s="8">
        <v>0</v>
      </c>
      <c r="M233" s="8">
        <v>0</v>
      </c>
      <c r="N233" s="8">
        <v>0</v>
      </c>
      <c r="O233" s="8">
        <v>1</v>
      </c>
      <c r="P233" s="8">
        <v>1</v>
      </c>
      <c r="Q233" s="8">
        <v>0</v>
      </c>
      <c r="R233" s="8">
        <v>0</v>
      </c>
      <c r="S233" s="8">
        <v>1</v>
      </c>
      <c r="T233" s="10">
        <v>591.95699999999999</v>
      </c>
      <c r="U233" s="10">
        <v>-804.89</v>
      </c>
      <c r="V233" s="10">
        <v>1809.1030000000001</v>
      </c>
      <c r="W233" s="10">
        <f>IF(RIGHT(C233,2)="12",IF(ISNUMBER(T233),T233,""),IF(COUNT(T233,U233,V233)=3,T233+U233-V233,""))</f>
        <v>-2022.0360000000001</v>
      </c>
      <c r="X233" s="10">
        <v>-2022.0360000000001</v>
      </c>
      <c r="Y233" s="10">
        <v>-2613.9940000000001</v>
      </c>
      <c r="Z233" s="10">
        <v>-2457.3969999999999</v>
      </c>
      <c r="AA233" s="10">
        <v>-1397.7829999999999</v>
      </c>
      <c r="AB233" s="10">
        <v>4447.1379999999999</v>
      </c>
      <c r="AC233" s="8">
        <v>1</v>
      </c>
      <c r="AD233" s="8">
        <v>0</v>
      </c>
      <c r="AE233" s="8">
        <v>1</v>
      </c>
      <c r="AF233" s="10">
        <v>1809.1030000000001</v>
      </c>
      <c r="AG233" s="8">
        <f>COUNTIF(Y233:AB233,"&gt;0")</f>
        <v>1</v>
      </c>
      <c r="AH233" s="10">
        <v>4447.1379999999999</v>
      </c>
      <c r="AI233" s="10">
        <v>0</v>
      </c>
      <c r="AJ233" s="8" t="str">
        <f>IF(ISNUMBER(X233),IF(X233&gt;0,"+",IF(X233&lt;0,"−","0")),IF(ISNUMBER(W233),IF(W233&gt;0,"+",IF(W233&lt;0,"−","0")),"yok"))</f>
        <v>−</v>
      </c>
      <c r="AK233" s="10">
        <f>IF(AND(RIGHT(C233,2)&lt;&gt;"12",ISNUMBER(U233),ISNUMBER(V233)),U233-V233,"")</f>
        <v>-2613.9929999999999</v>
      </c>
      <c r="AL233" s="11">
        <f>IF(AND(ISNUMBER(AK233),ISNUMBER(V233)),IF(V233&lt;&gt;0,AK233/ABS(V233),""),"")</f>
        <v>-1.4449110968253327</v>
      </c>
      <c r="AM233" s="8">
        <f>IF(ISNUMBER(AK233),IF(AK233&gt;1,1,0),"")</f>
        <v>0</v>
      </c>
      <c r="AN233" s="8">
        <f>IF(ISNUMBER(AK233),IF(AK233&gt;0.05*ABS(V233),1,0),"")</f>
        <v>0</v>
      </c>
      <c r="AO233" s="10"/>
      <c r="AP233" s="10"/>
      <c r="AQ233" s="8" t="s">
        <v>207</v>
      </c>
      <c r="AR233" s="8">
        <v>0</v>
      </c>
      <c r="AS233" s="10"/>
      <c r="AT233" s="10"/>
      <c r="AU233" s="8" t="s">
        <v>207</v>
      </c>
      <c r="AV233" s="10">
        <v>1809.1030000000001</v>
      </c>
      <c r="AW233" s="11" t="str">
        <f>IF(AND(ISNUMBER(AV233),ISNUMBER(AT233)),IF(AT233&lt;&gt;0,AV233/ABS(AT233),""),"")</f>
        <v/>
      </c>
      <c r="AX233" s="8">
        <v>1</v>
      </c>
      <c r="AY233" s="8">
        <v>0</v>
      </c>
      <c r="AZ233" s="8" t="s">
        <v>378</v>
      </c>
      <c r="BA233" s="8">
        <v>0</v>
      </c>
    </row>
    <row r="234" spans="1:53" x14ac:dyDescent="0.2">
      <c r="A234" s="8" t="s">
        <v>376</v>
      </c>
      <c r="B234" s="8" t="s">
        <v>83</v>
      </c>
      <c r="C234" s="8" t="s">
        <v>208</v>
      </c>
      <c r="D234" s="8">
        <v>1</v>
      </c>
      <c r="E234" s="8">
        <v>1</v>
      </c>
      <c r="F234" s="8">
        <f>SUM(G234:M234)</f>
        <v>1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1</v>
      </c>
      <c r="N234" s="8">
        <v>0</v>
      </c>
      <c r="O234" s="8">
        <v>0</v>
      </c>
      <c r="P234" s="8">
        <v>1</v>
      </c>
      <c r="Q234" s="8">
        <v>0</v>
      </c>
      <c r="R234" s="8">
        <v>0</v>
      </c>
      <c r="S234" s="8">
        <v>0</v>
      </c>
      <c r="T234" s="10"/>
      <c r="U234" s="10">
        <v>-5038.268</v>
      </c>
      <c r="V234" s="10">
        <v>-2457.3969999999999</v>
      </c>
      <c r="W234" s="10" t="str">
        <f>IF(RIGHT(C234,2)="12",IF(ISNUMBER(T234),T234,""),IF(COUNT(T234,U234,V234)=3,T234+U234-V234,""))</f>
        <v/>
      </c>
      <c r="X234" s="10"/>
      <c r="Y234" s="10">
        <v>-1397.7829999999999</v>
      </c>
      <c r="Z234" s="10">
        <v>4447.1379999999999</v>
      </c>
      <c r="AA234" s="10">
        <v>-5630.2259999999997</v>
      </c>
      <c r="AB234" s="10"/>
      <c r="AC234" s="8">
        <v>0</v>
      </c>
      <c r="AD234" s="8">
        <v>0</v>
      </c>
      <c r="AE234" s="8">
        <v>0</v>
      </c>
      <c r="AF234" s="10">
        <v>0</v>
      </c>
      <c r="AG234" s="8">
        <f>COUNTIF(Y234:AB234,"&gt;0")</f>
        <v>1</v>
      </c>
      <c r="AH234" s="10">
        <v>0</v>
      </c>
      <c r="AI234" s="10">
        <v>4447.1379999999999</v>
      </c>
      <c r="AJ234" s="8" t="str">
        <f>IF(ISNUMBER(X234),IF(X234&gt;0,"+",IF(X234&lt;0,"−","0")),IF(ISNUMBER(W234),IF(W234&gt;0,"+",IF(W234&lt;0,"−","0")),"yok"))</f>
        <v>yok</v>
      </c>
      <c r="AK234" s="10">
        <f>IF(AND(RIGHT(C234,2)&lt;&gt;"12",ISNUMBER(U234),ISNUMBER(V234)),U234-V234,"")</f>
        <v>-2580.8710000000001</v>
      </c>
      <c r="AL234" s="11">
        <f>IF(AND(ISNUMBER(AK234),ISNUMBER(V234)),IF(V234&lt;&gt;0,AK234/ABS(V234),""),"")</f>
        <v>-1.0502458495717217</v>
      </c>
      <c r="AM234" s="8">
        <f>IF(ISNUMBER(AK234),IF(AK234&gt;1,1,0),"")</f>
        <v>0</v>
      </c>
      <c r="AN234" s="8">
        <f>IF(ISNUMBER(AK234),IF(AK234&gt;0.05*ABS(V234),1,0),"")</f>
        <v>0</v>
      </c>
      <c r="AO234" s="10"/>
      <c r="AP234" s="10"/>
      <c r="AQ234" s="8" t="s">
        <v>207</v>
      </c>
      <c r="AR234" s="8">
        <v>0</v>
      </c>
      <c r="AS234" s="10"/>
      <c r="AT234" s="10"/>
      <c r="AU234" s="8" t="s">
        <v>207</v>
      </c>
      <c r="AV234" s="10">
        <v>4447.1379999999999</v>
      </c>
      <c r="AW234" s="11" t="str">
        <f>IF(AND(ISNUMBER(AV234),ISNUMBER(AT234)),IF(AT234&lt;&gt;0,AV234/ABS(AT234),""),"")</f>
        <v/>
      </c>
      <c r="AX234" s="8">
        <v>0</v>
      </c>
      <c r="AY234" s="8">
        <v>0</v>
      </c>
      <c r="AZ234" s="10"/>
      <c r="BA234" s="8">
        <v>0</v>
      </c>
    </row>
    <row r="235" spans="1:53" x14ac:dyDescent="0.2">
      <c r="A235" s="8" t="s">
        <v>376</v>
      </c>
      <c r="B235" s="8" t="s">
        <v>83</v>
      </c>
      <c r="C235" s="8" t="s">
        <v>210</v>
      </c>
      <c r="D235" s="8">
        <v>1</v>
      </c>
      <c r="E235" s="8">
        <v>1</v>
      </c>
      <c r="F235" s="8">
        <f>SUM(G235:M235)</f>
        <v>1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1</v>
      </c>
      <c r="N235" s="8">
        <v>0</v>
      </c>
      <c r="O235" s="8">
        <v>0</v>
      </c>
      <c r="P235" s="8">
        <v>1</v>
      </c>
      <c r="Q235" s="8">
        <v>0</v>
      </c>
      <c r="R235" s="8">
        <v>0</v>
      </c>
      <c r="S235" s="8">
        <v>0</v>
      </c>
      <c r="T235" s="10"/>
      <c r="U235" s="10">
        <v>-5038.268</v>
      </c>
      <c r="V235" s="10">
        <v>-3855.18</v>
      </c>
      <c r="W235" s="10" t="str">
        <f>IF(RIGHT(C235,2)="12",IF(ISNUMBER(T235),T235,""),IF(COUNT(T235,U235,V235)=3,T235+U235-V235,""))</f>
        <v/>
      </c>
      <c r="X235" s="10"/>
      <c r="Y235" s="10">
        <v>4447.1379999999999</v>
      </c>
      <c r="Z235" s="10">
        <v>-5630.2259999999997</v>
      </c>
      <c r="AA235" s="10"/>
      <c r="AB235" s="10"/>
      <c r="AC235" s="8">
        <v>0</v>
      </c>
      <c r="AD235" s="8">
        <v>0</v>
      </c>
      <c r="AE235" s="8">
        <v>0</v>
      </c>
      <c r="AF235" s="10">
        <v>0</v>
      </c>
      <c r="AG235" s="8">
        <f>COUNTIF(Y235:AB235,"&gt;0")</f>
        <v>1</v>
      </c>
      <c r="AH235" s="10">
        <v>0</v>
      </c>
      <c r="AI235" s="10">
        <v>4447.1379999999999</v>
      </c>
      <c r="AJ235" s="8" t="str">
        <f>IF(ISNUMBER(X235),IF(X235&gt;0,"+",IF(X235&lt;0,"−","0")),IF(ISNUMBER(W235),IF(W235&gt;0,"+",IF(W235&lt;0,"−","0")),"yok"))</f>
        <v>yok</v>
      </c>
      <c r="AK235" s="10">
        <f>IF(AND(RIGHT(C235,2)&lt;&gt;"12",ISNUMBER(U235),ISNUMBER(V235)),U235-V235,"")</f>
        <v>-1183.0880000000002</v>
      </c>
      <c r="AL235" s="11">
        <f>IF(AND(ISNUMBER(AK235),ISNUMBER(V235)),IF(V235&lt;&gt;0,AK235/ABS(V235),""),"")</f>
        <v>-0.30688268770848581</v>
      </c>
      <c r="AM235" s="8">
        <f>IF(ISNUMBER(AK235),IF(AK235&gt;1,1,0),"")</f>
        <v>0</v>
      </c>
      <c r="AN235" s="8">
        <f>IF(ISNUMBER(AK235),IF(AK235&gt;0.05*ABS(V235),1,0),"")</f>
        <v>0</v>
      </c>
      <c r="AO235" s="10"/>
      <c r="AP235" s="10"/>
      <c r="AQ235" s="8" t="s">
        <v>207</v>
      </c>
      <c r="AR235" s="8">
        <v>0</v>
      </c>
      <c r="AS235" s="10"/>
      <c r="AT235" s="10"/>
      <c r="AU235" s="8" t="s">
        <v>207</v>
      </c>
      <c r="AV235" s="10">
        <v>4447.1379999999999</v>
      </c>
      <c r="AW235" s="11" t="str">
        <f>IF(AND(ISNUMBER(AV235),ISNUMBER(AT235)),IF(AT235&lt;&gt;0,AV235/ABS(AT235),""),"")</f>
        <v/>
      </c>
      <c r="AX235" s="8">
        <v>0</v>
      </c>
      <c r="AY235" s="8">
        <v>0</v>
      </c>
      <c r="AZ235" s="10"/>
      <c r="BA235" s="8">
        <v>0</v>
      </c>
    </row>
    <row r="236" spans="1:53" x14ac:dyDescent="0.2">
      <c r="A236" s="8" t="s">
        <v>379</v>
      </c>
      <c r="B236" s="8" t="s">
        <v>83</v>
      </c>
      <c r="C236" s="8" t="s">
        <v>203</v>
      </c>
      <c r="D236" s="8">
        <v>1</v>
      </c>
      <c r="E236" s="8">
        <v>1</v>
      </c>
      <c r="F236" s="8">
        <f>SUM(G236:M236)</f>
        <v>1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1</v>
      </c>
      <c r="N236" s="8">
        <v>0</v>
      </c>
      <c r="O236" s="8">
        <v>0</v>
      </c>
      <c r="P236" s="8">
        <v>1</v>
      </c>
      <c r="Q236" s="8">
        <v>0</v>
      </c>
      <c r="R236" s="8">
        <v>0</v>
      </c>
      <c r="S236" s="8">
        <v>0</v>
      </c>
      <c r="T236" s="10">
        <v>-15.375</v>
      </c>
      <c r="U236" s="10">
        <v>-77.119</v>
      </c>
      <c r="V236" s="10">
        <v>-11.117000000000001</v>
      </c>
      <c r="W236" s="10">
        <f>IF(RIGHT(C236,2)="12",IF(ISNUMBER(T236),T236,""),IF(COUNT(T236,U236,V236)=3,T236+U236-V236,""))</f>
        <v>-81.376999999999995</v>
      </c>
      <c r="X236" s="10">
        <v>-81.376000000000005</v>
      </c>
      <c r="Y236" s="10">
        <v>1.7110000000000001</v>
      </c>
      <c r="Z236" s="10">
        <v>-13.08</v>
      </c>
      <c r="AA236" s="10">
        <v>-54.631</v>
      </c>
      <c r="AB236" s="10">
        <v>-15.375</v>
      </c>
      <c r="AC236" s="8">
        <v>0</v>
      </c>
      <c r="AD236" s="8">
        <v>0</v>
      </c>
      <c r="AE236" s="8">
        <v>0</v>
      </c>
      <c r="AF236" s="10">
        <v>0</v>
      </c>
      <c r="AG236" s="8">
        <f>COUNTIF(Y236:AB236,"&gt;0")</f>
        <v>1</v>
      </c>
      <c r="AH236" s="10">
        <v>0</v>
      </c>
      <c r="AI236" s="10">
        <v>1.7110000000000001</v>
      </c>
      <c r="AJ236" s="8" t="str">
        <f>IF(ISNUMBER(X236),IF(X236&gt;0,"+",IF(X236&lt;0,"−","0")),IF(ISNUMBER(W236),IF(W236&gt;0,"+",IF(W236&lt;0,"−","0")),"yok"))</f>
        <v>−</v>
      </c>
      <c r="AK236" s="10">
        <f>IF(AND(RIGHT(C236,2)&lt;&gt;"12",ISNUMBER(U236),ISNUMBER(V236)),U236-V236,"")</f>
        <v>-66.001999999999995</v>
      </c>
      <c r="AL236" s="11">
        <f>IF(AND(ISNUMBER(AK236),ISNUMBER(V236)),IF(V236&lt;&gt;0,AK236/ABS(V236),""),"")</f>
        <v>-5.9370333723126736</v>
      </c>
      <c r="AM236" s="8">
        <f>IF(ISNUMBER(AK236),IF(AK236&gt;1,1,0),"")</f>
        <v>0</v>
      </c>
      <c r="AN236" s="8">
        <f>IF(ISNUMBER(AK236),IF(AK236&gt;0.05*ABS(V236),1,0),"")</f>
        <v>0</v>
      </c>
      <c r="AO236" s="10">
        <v>-81.376000000000005</v>
      </c>
      <c r="AP236" s="10">
        <v>81.376000000000005</v>
      </c>
      <c r="AQ236" s="8" t="s">
        <v>204</v>
      </c>
      <c r="AR236" s="8">
        <v>0</v>
      </c>
      <c r="AS236" s="10">
        <v>-261.16399999999999</v>
      </c>
      <c r="AT236" s="10">
        <v>-342.54</v>
      </c>
      <c r="AU236" s="8" t="s">
        <v>204</v>
      </c>
      <c r="AV236" s="10">
        <v>1.7110000000000001</v>
      </c>
      <c r="AW236" s="11">
        <f>IF(AND(ISNUMBER(AV236),ISNUMBER(AT236)),IF(AT236&lt;&gt;0,AV236/ABS(AT236),""),"")</f>
        <v>4.9950370759619311E-3</v>
      </c>
      <c r="AX236" s="8">
        <v>0</v>
      </c>
      <c r="AY236" s="8">
        <v>0</v>
      </c>
      <c r="AZ236" s="10"/>
      <c r="BA236" s="8">
        <v>0</v>
      </c>
    </row>
    <row r="237" spans="1:53" x14ac:dyDescent="0.2">
      <c r="A237" s="8" t="s">
        <v>379</v>
      </c>
      <c r="B237" s="8" t="s">
        <v>83</v>
      </c>
      <c r="C237" s="8" t="s">
        <v>208</v>
      </c>
      <c r="D237" s="8">
        <v>1</v>
      </c>
      <c r="E237" s="8">
        <v>1</v>
      </c>
      <c r="F237" s="8">
        <f>SUM(G237:M237)</f>
        <v>1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1</v>
      </c>
      <c r="N237" s="8">
        <v>0</v>
      </c>
      <c r="O237" s="8">
        <v>0</v>
      </c>
      <c r="P237" s="8">
        <v>1</v>
      </c>
      <c r="Q237" s="8">
        <v>0</v>
      </c>
      <c r="R237" s="8">
        <v>0</v>
      </c>
      <c r="S237" s="8">
        <v>0</v>
      </c>
      <c r="T237" s="10">
        <v>-27.280999999999999</v>
      </c>
      <c r="U237" s="10">
        <v>-73.941999999999993</v>
      </c>
      <c r="V237" s="10">
        <v>-15.375</v>
      </c>
      <c r="W237" s="10">
        <f>IF(RIGHT(C237,2)="12",IF(ISNUMBER(T237),T237,""),IF(COUNT(T237,U237,V237)=3,T237+U237-V237,""))</f>
        <v>-85.847999999999985</v>
      </c>
      <c r="X237" s="10">
        <v>-85.847999999999999</v>
      </c>
      <c r="Y237" s="10">
        <v>-56.558</v>
      </c>
      <c r="Z237" s="10">
        <v>-6.9889999999999999</v>
      </c>
      <c r="AA237" s="10">
        <v>4.9790000000000001</v>
      </c>
      <c r="AB237" s="10">
        <v>-27.280999999999999</v>
      </c>
      <c r="AC237" s="8">
        <v>0</v>
      </c>
      <c r="AD237" s="8">
        <v>0</v>
      </c>
      <c r="AE237" s="8">
        <v>0</v>
      </c>
      <c r="AF237" s="10">
        <v>0</v>
      </c>
      <c r="AG237" s="8">
        <f>COUNTIF(Y237:AB237,"&gt;0")</f>
        <v>1</v>
      </c>
      <c r="AH237" s="10">
        <v>0</v>
      </c>
      <c r="AI237" s="10">
        <v>4.9790000000000001</v>
      </c>
      <c r="AJ237" s="8" t="str">
        <f>IF(ISNUMBER(X237),IF(X237&gt;0,"+",IF(X237&lt;0,"−","0")),IF(ISNUMBER(W237),IF(W237&gt;0,"+",IF(W237&lt;0,"−","0")),"yok"))</f>
        <v>−</v>
      </c>
      <c r="AK237" s="10">
        <f>IF(AND(RIGHT(C237,2)&lt;&gt;"12",ISNUMBER(U237),ISNUMBER(V237)),U237-V237,"")</f>
        <v>-58.566999999999993</v>
      </c>
      <c r="AL237" s="11">
        <f>IF(AND(ISNUMBER(AK237),ISNUMBER(V237)),IF(V237&lt;&gt;0,AK237/ABS(V237),""),"")</f>
        <v>-3.8092357723577233</v>
      </c>
      <c r="AM237" s="8">
        <f>IF(ISNUMBER(AK237),IF(AK237&gt;1,1,0),"")</f>
        <v>0</v>
      </c>
      <c r="AN237" s="8">
        <f>IF(ISNUMBER(AK237),IF(AK237&gt;0.05*ABS(V237),1,0),"")</f>
        <v>0</v>
      </c>
      <c r="AO237" s="10">
        <v>-85.849000000000004</v>
      </c>
      <c r="AP237" s="10">
        <v>85.849000000000004</v>
      </c>
      <c r="AQ237" s="8" t="s">
        <v>204</v>
      </c>
      <c r="AR237" s="8">
        <v>0</v>
      </c>
      <c r="AS237" s="10">
        <v>-519.13199999999995</v>
      </c>
      <c r="AT237" s="10">
        <v>-604.98099999999999</v>
      </c>
      <c r="AU237" s="8" t="s">
        <v>204</v>
      </c>
      <c r="AV237" s="10">
        <v>4.9790000000000001</v>
      </c>
      <c r="AW237" s="11">
        <f>IF(AND(ISNUMBER(AV237),ISNUMBER(AT237)),IF(AT237&lt;&gt;0,AV237/ABS(AT237),""),"")</f>
        <v>8.230010529256291E-3</v>
      </c>
      <c r="AX237" s="8">
        <v>0</v>
      </c>
      <c r="AY237" s="8">
        <v>0</v>
      </c>
      <c r="AZ237" s="10"/>
      <c r="BA237" s="8">
        <v>0</v>
      </c>
    </row>
    <row r="238" spans="1:53" x14ac:dyDescent="0.2">
      <c r="A238" s="8" t="s">
        <v>379</v>
      </c>
      <c r="B238" s="8" t="s">
        <v>83</v>
      </c>
      <c r="C238" s="8" t="s">
        <v>210</v>
      </c>
      <c r="D238" s="8">
        <v>1</v>
      </c>
      <c r="E238" s="8">
        <v>1</v>
      </c>
      <c r="F238" s="8">
        <f>SUM(G238:M238)</f>
        <v>1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1</v>
      </c>
      <c r="N238" s="8">
        <v>0</v>
      </c>
      <c r="O238" s="8">
        <v>0</v>
      </c>
      <c r="P238" s="8">
        <v>1</v>
      </c>
      <c r="Q238" s="8">
        <v>0</v>
      </c>
      <c r="R238" s="8">
        <v>0</v>
      </c>
      <c r="S238" s="8">
        <v>1</v>
      </c>
      <c r="T238" s="10">
        <v>-25.172999999999998</v>
      </c>
      <c r="U238" s="10">
        <v>-73.941999999999993</v>
      </c>
      <c r="V238" s="10">
        <v>-71.933000000000007</v>
      </c>
      <c r="W238" s="10">
        <f>IF(RIGHT(C238,2)="12",IF(ISNUMBER(T238),T238,""),IF(COUNT(T238,U238,V238)=3,T238+U238-V238,""))</f>
        <v>-27.181999999999988</v>
      </c>
      <c r="X238" s="10">
        <v>-27.183</v>
      </c>
      <c r="Y238" s="10">
        <v>-6.9889999999999999</v>
      </c>
      <c r="Z238" s="10">
        <v>4.9790000000000001</v>
      </c>
      <c r="AA238" s="10">
        <v>-27.280999999999999</v>
      </c>
      <c r="AB238" s="10">
        <v>2.1070000000000002</v>
      </c>
      <c r="AC238" s="8">
        <v>0</v>
      </c>
      <c r="AD238" s="8">
        <v>0</v>
      </c>
      <c r="AE238" s="8">
        <v>0</v>
      </c>
      <c r="AF238" s="10">
        <v>0</v>
      </c>
      <c r="AG238" s="8">
        <f>COUNTIF(Y238:AB238,"&gt;0")</f>
        <v>2</v>
      </c>
      <c r="AH238" s="10">
        <v>2.1070000000000002</v>
      </c>
      <c r="AI238" s="10">
        <v>4.9790000000000001</v>
      </c>
      <c r="AJ238" s="8" t="str">
        <f>IF(ISNUMBER(X238),IF(X238&gt;0,"+",IF(X238&lt;0,"−","0")),IF(ISNUMBER(W238),IF(W238&gt;0,"+",IF(W238&lt;0,"−","0")),"yok"))</f>
        <v>−</v>
      </c>
      <c r="AK238" s="10">
        <f>IF(AND(RIGHT(C238,2)&lt;&gt;"12",ISNUMBER(U238),ISNUMBER(V238)),U238-V238,"")</f>
        <v>-2.0089999999999861</v>
      </c>
      <c r="AL238" s="11">
        <f>IF(AND(ISNUMBER(AK238),ISNUMBER(V238)),IF(V238&lt;&gt;0,AK238/ABS(V238),""),"")</f>
        <v>-2.7928767047113091E-2</v>
      </c>
      <c r="AM238" s="8">
        <f>IF(ISNUMBER(AK238),IF(AK238&gt;1,1,0),"")</f>
        <v>0</v>
      </c>
      <c r="AN238" s="8">
        <f>IF(ISNUMBER(AK238),IF(AK238&gt;0.05*ABS(V238),1,0),"")</f>
        <v>0</v>
      </c>
      <c r="AO238" s="10">
        <v>-27.184000000000001</v>
      </c>
      <c r="AP238" s="10">
        <v>27.184000000000001</v>
      </c>
      <c r="AQ238" s="8" t="s">
        <v>204</v>
      </c>
      <c r="AR238" s="8">
        <v>0</v>
      </c>
      <c r="AS238" s="10">
        <v>-509.28899999999999</v>
      </c>
      <c r="AT238" s="10">
        <v>-536.47299999999996</v>
      </c>
      <c r="AU238" s="8" t="s">
        <v>204</v>
      </c>
      <c r="AV238" s="10">
        <v>4.9790000000000001</v>
      </c>
      <c r="AW238" s="11">
        <f>IF(AND(ISNUMBER(AV238),ISNUMBER(AT238)),IF(AT238&lt;&gt;0,AV238/ABS(AT238),""),"")</f>
        <v>9.2809889780100779E-3</v>
      </c>
      <c r="AX238" s="8">
        <v>0</v>
      </c>
      <c r="AY238" s="8">
        <v>0</v>
      </c>
      <c r="AZ238" s="10"/>
      <c r="BA238" s="8">
        <v>0</v>
      </c>
    </row>
    <row r="239" spans="1:53" x14ac:dyDescent="0.2">
      <c r="A239" s="8" t="s">
        <v>380</v>
      </c>
      <c r="B239" s="8" t="s">
        <v>83</v>
      </c>
      <c r="C239" s="8" t="s">
        <v>203</v>
      </c>
      <c r="D239" s="8">
        <v>1</v>
      </c>
      <c r="E239" s="8">
        <v>1</v>
      </c>
      <c r="F239" s="8">
        <f>SUM(G239:M239)</f>
        <v>3</v>
      </c>
      <c r="G239" s="8">
        <v>0</v>
      </c>
      <c r="H239" s="8">
        <v>0</v>
      </c>
      <c r="I239" s="8">
        <v>1</v>
      </c>
      <c r="J239" s="8">
        <v>0</v>
      </c>
      <c r="K239" s="8">
        <v>0</v>
      </c>
      <c r="L239" s="8">
        <v>1</v>
      </c>
      <c r="M239" s="8">
        <v>1</v>
      </c>
      <c r="N239" s="8">
        <v>1</v>
      </c>
      <c r="O239" s="8">
        <v>0</v>
      </c>
      <c r="P239" s="8">
        <v>1</v>
      </c>
      <c r="Q239" s="8">
        <v>0</v>
      </c>
      <c r="R239" s="8">
        <v>0</v>
      </c>
      <c r="S239" s="8">
        <v>0</v>
      </c>
      <c r="T239" s="10">
        <v>-24.677</v>
      </c>
      <c r="U239" s="10">
        <v>-13.057</v>
      </c>
      <c r="V239" s="10">
        <v>-46.203000000000003</v>
      </c>
      <c r="W239" s="10">
        <f>IF(RIGHT(C239,2)="12",IF(ISNUMBER(T239),T239,""),IF(COUNT(T239,U239,V239)=3,T239+U239-V239,""))</f>
        <v>8.4690000000000012</v>
      </c>
      <c r="X239" s="10">
        <v>8.4689999999999994</v>
      </c>
      <c r="Y239" s="10">
        <v>-49.847999999999999</v>
      </c>
      <c r="Z239" s="10">
        <v>-39.826000000000001</v>
      </c>
      <c r="AA239" s="10">
        <v>122.821</v>
      </c>
      <c r="AB239" s="10">
        <v>-24.677</v>
      </c>
      <c r="AC239" s="8">
        <v>0</v>
      </c>
      <c r="AD239" s="8">
        <v>0</v>
      </c>
      <c r="AE239" s="8">
        <v>0</v>
      </c>
      <c r="AF239" s="10">
        <v>0</v>
      </c>
      <c r="AG239" s="8">
        <f>COUNTIF(Y239:AB239,"&gt;0")</f>
        <v>1</v>
      </c>
      <c r="AH239" s="10">
        <v>0</v>
      </c>
      <c r="AI239" s="10">
        <v>122.821</v>
      </c>
      <c r="AJ239" s="8" t="str">
        <f>IF(ISNUMBER(X239),IF(X239&gt;0,"+",IF(X239&lt;0,"−","0")),IF(ISNUMBER(W239),IF(W239&gt;0,"+",IF(W239&lt;0,"−","0")),"yok"))</f>
        <v>+</v>
      </c>
      <c r="AK239" s="10">
        <f>IF(AND(RIGHT(C239,2)&lt;&gt;"12",ISNUMBER(U239),ISNUMBER(V239)),U239-V239,"")</f>
        <v>33.146000000000001</v>
      </c>
      <c r="AL239" s="11">
        <f>IF(AND(ISNUMBER(AK239),ISNUMBER(V239)),IF(V239&lt;&gt;0,AK239/ABS(V239),""),"")</f>
        <v>0.71739930307555788</v>
      </c>
      <c r="AM239" s="8">
        <f>IF(ISNUMBER(AK239),IF(AK239&gt;1,1,0),"")</f>
        <v>1</v>
      </c>
      <c r="AN239" s="8">
        <f>IF(ISNUMBER(AK239),IF(AK239&gt;0.05*ABS(V239),1,0),"")</f>
        <v>1</v>
      </c>
      <c r="AO239" s="10">
        <v>8.4689999999999994</v>
      </c>
      <c r="AP239" s="10">
        <v>0</v>
      </c>
      <c r="AQ239" s="8" t="s">
        <v>204</v>
      </c>
      <c r="AR239" s="8">
        <v>1</v>
      </c>
      <c r="AS239" s="10">
        <v>380.89800000000002</v>
      </c>
      <c r="AT239" s="10">
        <v>380.89800000000002</v>
      </c>
      <c r="AU239" s="8" t="s">
        <v>204</v>
      </c>
      <c r="AV239" s="10">
        <v>33.146000000000001</v>
      </c>
      <c r="AW239" s="11">
        <f>IF(AND(ISNUMBER(AV239),ISNUMBER(AT239)),IF(AT239&lt;&gt;0,AV239/ABS(AT239),""),"")</f>
        <v>8.7020672200956689E-2</v>
      </c>
      <c r="AX239" s="8">
        <v>0</v>
      </c>
      <c r="AY239" s="8">
        <v>1</v>
      </c>
      <c r="AZ239" s="10"/>
      <c r="BA239" s="8">
        <v>0</v>
      </c>
    </row>
    <row r="240" spans="1:53" x14ac:dyDescent="0.2">
      <c r="A240" s="8" t="s">
        <v>380</v>
      </c>
      <c r="B240" s="8" t="s">
        <v>83</v>
      </c>
      <c r="C240" s="8" t="s">
        <v>205</v>
      </c>
      <c r="D240" s="8">
        <v>1</v>
      </c>
      <c r="E240" s="8">
        <v>1</v>
      </c>
      <c r="F240" s="8">
        <f>SUM(G240:M240)</f>
        <v>3</v>
      </c>
      <c r="G240" s="8">
        <v>0</v>
      </c>
      <c r="H240" s="8">
        <v>0</v>
      </c>
      <c r="I240" s="8">
        <v>1</v>
      </c>
      <c r="J240" s="8">
        <v>0</v>
      </c>
      <c r="K240" s="8">
        <v>0</v>
      </c>
      <c r="L240" s="8">
        <v>1</v>
      </c>
      <c r="M240" s="8">
        <v>1</v>
      </c>
      <c r="N240" s="8">
        <v>1</v>
      </c>
      <c r="O240" s="8">
        <v>0</v>
      </c>
      <c r="P240" s="8">
        <v>1</v>
      </c>
      <c r="Q240" s="8">
        <v>0</v>
      </c>
      <c r="R240" s="8">
        <v>0</v>
      </c>
      <c r="S240" s="8">
        <v>1</v>
      </c>
      <c r="T240" s="10">
        <v>-22.271000000000001</v>
      </c>
      <c r="U240" s="10">
        <v>-13.057</v>
      </c>
      <c r="V240" s="10">
        <v>-96.052000000000007</v>
      </c>
      <c r="W240" s="10">
        <f>IF(RIGHT(C240,2)="12",IF(ISNUMBER(T240),T240,""),IF(COUNT(T240,U240,V240)=3,T240+U240-V240,""))</f>
        <v>60.724000000000004</v>
      </c>
      <c r="X240" s="10">
        <v>60.722999999999999</v>
      </c>
      <c r="Y240" s="10">
        <v>-39.826000000000001</v>
      </c>
      <c r="Z240" s="10">
        <v>122.821</v>
      </c>
      <c r="AA240" s="10">
        <v>-24.677</v>
      </c>
      <c r="AB240" s="10">
        <v>2.4049999999999998</v>
      </c>
      <c r="AC240" s="8">
        <v>0</v>
      </c>
      <c r="AD240" s="8">
        <v>0</v>
      </c>
      <c r="AE240" s="8">
        <v>0</v>
      </c>
      <c r="AF240" s="10">
        <v>0</v>
      </c>
      <c r="AG240" s="8">
        <f>COUNTIF(Y240:AB240,"&gt;0")</f>
        <v>2</v>
      </c>
      <c r="AH240" s="10">
        <v>2.4049999999999998</v>
      </c>
      <c r="AI240" s="10">
        <v>122.821</v>
      </c>
      <c r="AJ240" s="8" t="str">
        <f>IF(ISNUMBER(X240),IF(X240&gt;0,"+",IF(X240&lt;0,"−","0")),IF(ISNUMBER(W240),IF(W240&gt;0,"+",IF(W240&lt;0,"−","0")),"yok"))</f>
        <v>+</v>
      </c>
      <c r="AK240" s="10">
        <f>IF(AND(RIGHT(C240,2)&lt;&gt;"12",ISNUMBER(U240),ISNUMBER(V240)),U240-V240,"")</f>
        <v>82.995000000000005</v>
      </c>
      <c r="AL240" s="11">
        <f>IF(AND(ISNUMBER(AK240),ISNUMBER(V240)),IF(V240&lt;&gt;0,AK240/ABS(V240),""),"")</f>
        <v>0.86406321575813105</v>
      </c>
      <c r="AM240" s="8">
        <f>IF(ISNUMBER(AK240),IF(AK240&gt;1,1,0),"")</f>
        <v>1</v>
      </c>
      <c r="AN240" s="8">
        <f>IF(ISNUMBER(AK240),IF(AK240&gt;0.05*ABS(V240),1,0),"")</f>
        <v>1</v>
      </c>
      <c r="AO240" s="10">
        <v>60.723999999999997</v>
      </c>
      <c r="AP240" s="10">
        <v>0</v>
      </c>
      <c r="AQ240" s="8" t="s">
        <v>204</v>
      </c>
      <c r="AR240" s="8">
        <v>1</v>
      </c>
      <c r="AS240" s="10">
        <v>-77.343999999999994</v>
      </c>
      <c r="AT240" s="10">
        <v>-77.343999999999994</v>
      </c>
      <c r="AU240" s="8" t="s">
        <v>204</v>
      </c>
      <c r="AV240" s="10">
        <v>82.995000000000005</v>
      </c>
      <c r="AW240" s="11">
        <f>IF(AND(ISNUMBER(AV240),ISNUMBER(AT240)),IF(AT240&lt;&gt;0,AV240/ABS(AT240),""),"")</f>
        <v>1.0730631981795615</v>
      </c>
      <c r="AX240" s="8">
        <v>0</v>
      </c>
      <c r="AY240" s="8">
        <v>1</v>
      </c>
      <c r="AZ240" s="10"/>
      <c r="BA240" s="8">
        <v>0</v>
      </c>
    </row>
    <row r="241" spans="1:53" x14ac:dyDescent="0.2">
      <c r="A241" s="8" t="s">
        <v>380</v>
      </c>
      <c r="B241" s="8" t="s">
        <v>83</v>
      </c>
      <c r="C241" s="8" t="s">
        <v>215</v>
      </c>
      <c r="D241" s="8">
        <v>1</v>
      </c>
      <c r="E241" s="8">
        <v>1</v>
      </c>
      <c r="F241" s="8">
        <f>SUM(G241:M241)</f>
        <v>3</v>
      </c>
      <c r="G241" s="8">
        <v>0</v>
      </c>
      <c r="H241" s="8">
        <v>0</v>
      </c>
      <c r="I241" s="8">
        <v>1</v>
      </c>
      <c r="J241" s="8">
        <v>0</v>
      </c>
      <c r="K241" s="8">
        <v>0</v>
      </c>
      <c r="L241" s="8">
        <v>1</v>
      </c>
      <c r="M241" s="8">
        <v>1</v>
      </c>
      <c r="N241" s="8">
        <v>1</v>
      </c>
      <c r="O241" s="8">
        <v>0</v>
      </c>
      <c r="P241" s="8">
        <v>1</v>
      </c>
      <c r="Q241" s="8">
        <v>0</v>
      </c>
      <c r="R241" s="8">
        <v>0</v>
      </c>
      <c r="S241" s="8">
        <v>1</v>
      </c>
      <c r="T241" s="10">
        <v>-20.716999999999999</v>
      </c>
      <c r="U241" s="10">
        <v>-13.057</v>
      </c>
      <c r="V241" s="10">
        <v>-135.87899999999999</v>
      </c>
      <c r="W241" s="10">
        <f>IF(RIGHT(C241,2)="12",IF(ISNUMBER(T241),T241,""),IF(COUNT(T241,U241,V241)=3,T241+U241-V241,""))</f>
        <v>102.10499999999999</v>
      </c>
      <c r="X241" s="10">
        <v>102.104</v>
      </c>
      <c r="Y241" s="10">
        <v>122.821</v>
      </c>
      <c r="Z241" s="10">
        <v>-24.677</v>
      </c>
      <c r="AA241" s="10">
        <v>2.4049999999999998</v>
      </c>
      <c r="AB241" s="10">
        <v>1.5529999999999999</v>
      </c>
      <c r="AC241" s="8">
        <v>0</v>
      </c>
      <c r="AD241" s="8">
        <v>0</v>
      </c>
      <c r="AE241" s="8">
        <v>0</v>
      </c>
      <c r="AF241" s="10">
        <v>0</v>
      </c>
      <c r="AG241" s="8">
        <f>COUNTIF(Y241:AB241,"&gt;0")</f>
        <v>3</v>
      </c>
      <c r="AH241" s="10">
        <v>3.9580000000000002</v>
      </c>
      <c r="AI241" s="10">
        <v>122.821</v>
      </c>
      <c r="AJ241" s="8" t="str">
        <f>IF(ISNUMBER(X241),IF(X241&gt;0,"+",IF(X241&lt;0,"−","0")),IF(ISNUMBER(W241),IF(W241&gt;0,"+",IF(W241&lt;0,"−","0")),"yok"))</f>
        <v>+</v>
      </c>
      <c r="AK241" s="10">
        <f>IF(AND(RIGHT(C241,2)&lt;&gt;"12",ISNUMBER(U241),ISNUMBER(V241)),U241-V241,"")</f>
        <v>122.82199999999999</v>
      </c>
      <c r="AL241" s="11">
        <f>IF(AND(ISNUMBER(AK241),ISNUMBER(V241)),IF(V241&lt;&gt;0,AK241/ABS(V241),""),"")</f>
        <v>0.90390715268731736</v>
      </c>
      <c r="AM241" s="8">
        <f>IF(ISNUMBER(AK241),IF(AK241&gt;1,1,0),"")</f>
        <v>1</v>
      </c>
      <c r="AN241" s="8">
        <f>IF(ISNUMBER(AK241),IF(AK241&gt;0.05*ABS(V241),1,0),"")</f>
        <v>1</v>
      </c>
      <c r="AO241" s="10">
        <v>102.104</v>
      </c>
      <c r="AP241" s="10">
        <v>0</v>
      </c>
      <c r="AQ241" s="8" t="s">
        <v>204</v>
      </c>
      <c r="AR241" s="8">
        <v>1</v>
      </c>
      <c r="AS241" s="10">
        <v>-9.1479999999999997</v>
      </c>
      <c r="AT241" s="10">
        <v>-9.1479999999999997</v>
      </c>
      <c r="AU241" s="8" t="s">
        <v>204</v>
      </c>
      <c r="AV241" s="10">
        <v>122.822</v>
      </c>
      <c r="AW241" s="11">
        <f>IF(AND(ISNUMBER(AV241),ISNUMBER(AT241)),IF(AT241&lt;&gt;0,AV241/ABS(AT241),""),"")</f>
        <v>13.426104066462615</v>
      </c>
      <c r="AX241" s="8">
        <v>0</v>
      </c>
      <c r="AY241" s="8">
        <v>1</v>
      </c>
      <c r="AZ241" s="10"/>
      <c r="BA241" s="8">
        <v>0</v>
      </c>
    </row>
    <row r="242" spans="1:53" x14ac:dyDescent="0.2">
      <c r="A242" s="8" t="s">
        <v>380</v>
      </c>
      <c r="B242" s="8" t="s">
        <v>83</v>
      </c>
      <c r="C242" s="8" t="s">
        <v>208</v>
      </c>
      <c r="D242" s="8">
        <v>1</v>
      </c>
      <c r="E242" s="8">
        <v>1</v>
      </c>
      <c r="F242" s="8">
        <f>SUM(G242:M242)</f>
        <v>1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1</v>
      </c>
      <c r="N242" s="8">
        <v>0</v>
      </c>
      <c r="O242" s="8">
        <v>0</v>
      </c>
      <c r="P242" s="8">
        <v>1</v>
      </c>
      <c r="Q242" s="8">
        <v>0</v>
      </c>
      <c r="R242" s="8">
        <v>0</v>
      </c>
      <c r="S242" s="8">
        <v>0</v>
      </c>
      <c r="T242" s="10">
        <v>-2.4390000000000001</v>
      </c>
      <c r="U242" s="10">
        <v>-189.50299999999999</v>
      </c>
      <c r="V242" s="10">
        <v>-24.677</v>
      </c>
      <c r="W242" s="10">
        <f>IF(RIGHT(C242,2)="12",IF(ISNUMBER(T242),T242,""),IF(COUNT(T242,U242,V242)=3,T242+U242-V242,""))</f>
        <v>-167.26499999999999</v>
      </c>
      <c r="X242" s="10">
        <v>-167.26499999999999</v>
      </c>
      <c r="Y242" s="10">
        <v>2.4049999999999998</v>
      </c>
      <c r="Z242" s="10">
        <v>1.5529999999999999</v>
      </c>
      <c r="AA242" s="10">
        <v>-168.785</v>
      </c>
      <c r="AB242" s="10">
        <v>-2.4390000000000001</v>
      </c>
      <c r="AC242" s="8">
        <v>0</v>
      </c>
      <c r="AD242" s="8">
        <v>0</v>
      </c>
      <c r="AE242" s="8">
        <v>0</v>
      </c>
      <c r="AF242" s="10">
        <v>0</v>
      </c>
      <c r="AG242" s="8">
        <f>COUNTIF(Y242:AB242,"&gt;0")</f>
        <v>2</v>
      </c>
      <c r="AH242" s="10">
        <v>0</v>
      </c>
      <c r="AI242" s="10">
        <v>3.9580000000000002</v>
      </c>
      <c r="AJ242" s="8" t="str">
        <f>IF(ISNUMBER(X242),IF(X242&gt;0,"+",IF(X242&lt;0,"−","0")),IF(ISNUMBER(W242),IF(W242&gt;0,"+",IF(W242&lt;0,"−","0")),"yok"))</f>
        <v>−</v>
      </c>
      <c r="AK242" s="10">
        <f>IF(AND(RIGHT(C242,2)&lt;&gt;"12",ISNUMBER(U242),ISNUMBER(V242)),U242-V242,"")</f>
        <v>-164.82599999999999</v>
      </c>
      <c r="AL242" s="11">
        <f>IF(AND(ISNUMBER(AK242),ISNUMBER(V242)),IF(V242&lt;&gt;0,AK242/ABS(V242),""),"")</f>
        <v>-6.6793370344855534</v>
      </c>
      <c r="AM242" s="8">
        <f>IF(ISNUMBER(AK242),IF(AK242&gt;1,1,0),"")</f>
        <v>0</v>
      </c>
      <c r="AN242" s="8">
        <f>IF(ISNUMBER(AK242),IF(AK242&gt;0.05*ABS(V242),1,0),"")</f>
        <v>0</v>
      </c>
      <c r="AO242" s="10">
        <v>-167.26599999999999</v>
      </c>
      <c r="AP242" s="10">
        <v>167.26599999999999</v>
      </c>
      <c r="AQ242" s="8" t="s">
        <v>204</v>
      </c>
      <c r="AR242" s="8">
        <v>0</v>
      </c>
      <c r="AS242" s="10">
        <v>-348.82100000000003</v>
      </c>
      <c r="AT242" s="10">
        <v>-516.08699999999999</v>
      </c>
      <c r="AU242" s="8" t="s">
        <v>204</v>
      </c>
      <c r="AV242" s="10">
        <v>2.4049999999999998</v>
      </c>
      <c r="AW242" s="11">
        <f>IF(AND(ISNUMBER(AV242),ISNUMBER(AT242)),IF(AT242&lt;&gt;0,AV242/ABS(AT242),""),"")</f>
        <v>4.6600670042066545E-3</v>
      </c>
      <c r="AX242" s="8">
        <v>0</v>
      </c>
      <c r="AY242" s="8">
        <v>0</v>
      </c>
      <c r="AZ242" s="10"/>
      <c r="BA242" s="8">
        <v>0</v>
      </c>
    </row>
    <row r="243" spans="1:53" x14ac:dyDescent="0.2">
      <c r="A243" s="8" t="s">
        <v>380</v>
      </c>
      <c r="B243" s="8" t="s">
        <v>83</v>
      </c>
      <c r="C243" s="8" t="s">
        <v>210</v>
      </c>
      <c r="D243" s="8">
        <v>1</v>
      </c>
      <c r="E243" s="8">
        <v>1</v>
      </c>
      <c r="F243" s="8">
        <f>SUM(G243:M243)</f>
        <v>1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1</v>
      </c>
      <c r="N243" s="8">
        <v>0</v>
      </c>
      <c r="O243" s="8">
        <v>0</v>
      </c>
      <c r="P243" s="8">
        <v>1</v>
      </c>
      <c r="Q243" s="8">
        <v>0</v>
      </c>
      <c r="R243" s="8">
        <v>0</v>
      </c>
      <c r="S243" s="8">
        <v>0</v>
      </c>
      <c r="T243" s="10">
        <v>-2.9180000000000001</v>
      </c>
      <c r="U243" s="10">
        <v>-189.50299999999999</v>
      </c>
      <c r="V243" s="10">
        <v>-22.271000000000001</v>
      </c>
      <c r="W243" s="10">
        <f>IF(RIGHT(C243,2)="12",IF(ISNUMBER(T243),T243,""),IF(COUNT(T243,U243,V243)=3,T243+U243-V243,""))</f>
        <v>-170.14999999999998</v>
      </c>
      <c r="X243" s="10">
        <v>-170.15</v>
      </c>
      <c r="Y243" s="10">
        <v>1.5529999999999999</v>
      </c>
      <c r="Z243" s="10">
        <v>-168.785</v>
      </c>
      <c r="AA243" s="10">
        <v>-2.4390000000000001</v>
      </c>
      <c r="AB243" s="10">
        <v>-0.47899999999999998</v>
      </c>
      <c r="AC243" s="8">
        <v>0</v>
      </c>
      <c r="AD243" s="8">
        <v>0</v>
      </c>
      <c r="AE243" s="8">
        <v>0</v>
      </c>
      <c r="AF243" s="10">
        <v>0</v>
      </c>
      <c r="AG243" s="8">
        <f>COUNTIF(Y243:AB243,"&gt;0")</f>
        <v>1</v>
      </c>
      <c r="AH243" s="10">
        <v>0</v>
      </c>
      <c r="AI243" s="10">
        <v>1.5529999999999999</v>
      </c>
      <c r="AJ243" s="8" t="str">
        <f>IF(ISNUMBER(X243),IF(X243&gt;0,"+",IF(X243&lt;0,"−","0")),IF(ISNUMBER(W243),IF(W243&gt;0,"+",IF(W243&lt;0,"−","0")),"yok"))</f>
        <v>−</v>
      </c>
      <c r="AK243" s="10">
        <f>IF(AND(RIGHT(C243,2)&lt;&gt;"12",ISNUMBER(U243),ISNUMBER(V243)),U243-V243,"")</f>
        <v>-167.23199999999997</v>
      </c>
      <c r="AL243" s="11">
        <f>IF(AND(ISNUMBER(AK243),ISNUMBER(V243)),IF(V243&lt;&gt;0,AK243/ABS(V243),""),"")</f>
        <v>-7.5089578375465837</v>
      </c>
      <c r="AM243" s="8">
        <f>IF(ISNUMBER(AK243),IF(AK243&gt;1,1,0),"")</f>
        <v>0</v>
      </c>
      <c r="AN243" s="8">
        <f>IF(ISNUMBER(AK243),IF(AK243&gt;0.05*ABS(V243),1,0),"")</f>
        <v>0</v>
      </c>
      <c r="AO243" s="10">
        <v>-170.15100000000001</v>
      </c>
      <c r="AP243" s="10">
        <v>170.15100000000001</v>
      </c>
      <c r="AQ243" s="8" t="s">
        <v>204</v>
      </c>
      <c r="AR243" s="8">
        <v>0</v>
      </c>
      <c r="AS243" s="10">
        <v>158.71</v>
      </c>
      <c r="AT243" s="10">
        <v>-11.441000000000001</v>
      </c>
      <c r="AU243" s="8" t="s">
        <v>204</v>
      </c>
      <c r="AV243" s="10">
        <v>1.5529999999999999</v>
      </c>
      <c r="AW243" s="11">
        <f>IF(AND(ISNUMBER(AV243),ISNUMBER(AT243)),IF(AT243&lt;&gt;0,AV243/ABS(AT243),""),"")</f>
        <v>0.13573988287737085</v>
      </c>
      <c r="AX243" s="8">
        <v>0</v>
      </c>
      <c r="AY243" s="8">
        <v>0</v>
      </c>
      <c r="AZ243" s="10"/>
      <c r="BA243" s="8">
        <v>0</v>
      </c>
    </row>
    <row r="244" spans="1:53" x14ac:dyDescent="0.2">
      <c r="A244" s="8" t="s">
        <v>381</v>
      </c>
      <c r="B244" s="8" t="s">
        <v>82</v>
      </c>
      <c r="C244" s="8" t="s">
        <v>215</v>
      </c>
      <c r="D244" s="8">
        <v>1</v>
      </c>
      <c r="E244" s="8">
        <v>1</v>
      </c>
      <c r="F244" s="8">
        <f>SUM(G244:M244)</f>
        <v>1</v>
      </c>
      <c r="G244" s="8">
        <v>0</v>
      </c>
      <c r="H244" s="8">
        <v>1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1</v>
      </c>
      <c r="Q244" s="8">
        <v>1</v>
      </c>
      <c r="R244" s="8">
        <v>1</v>
      </c>
      <c r="S244" s="8">
        <v>0</v>
      </c>
      <c r="T244" s="10">
        <v>-877.18299999999999</v>
      </c>
      <c r="U244" s="10">
        <v>-918.01099999999997</v>
      </c>
      <c r="V244" s="10">
        <v>-1177.0989999999999</v>
      </c>
      <c r="W244" s="10">
        <f>IF(RIGHT(C244,2)="12",IF(ISNUMBER(T244),T244,""),IF(COUNT(T244,U244,V244)=3,T244+U244-V244,""))</f>
        <v>-618.09500000000003</v>
      </c>
      <c r="X244" s="10">
        <v>-618.09500000000003</v>
      </c>
      <c r="Y244" s="10">
        <v>259.08699999999999</v>
      </c>
      <c r="Z244" s="10">
        <v>-305.97500000000002</v>
      </c>
      <c r="AA244" s="10">
        <v>-324.31599999999997</v>
      </c>
      <c r="AB244" s="10">
        <v>-246.89099999999999</v>
      </c>
      <c r="AC244" s="8">
        <v>0</v>
      </c>
      <c r="AD244" s="8">
        <v>0</v>
      </c>
      <c r="AE244" s="8">
        <v>0</v>
      </c>
      <c r="AF244" s="10">
        <v>0</v>
      </c>
      <c r="AG244" s="8">
        <f>COUNTIF(Y244:AB244,"&gt;0")</f>
        <v>1</v>
      </c>
      <c r="AH244" s="10">
        <v>0</v>
      </c>
      <c r="AI244" s="10">
        <v>259.08699999999999</v>
      </c>
      <c r="AJ244" s="8" t="str">
        <f>IF(ISNUMBER(X244),IF(X244&gt;0,"+",IF(X244&lt;0,"−","0")),IF(ISNUMBER(W244),IF(W244&gt;0,"+",IF(W244&lt;0,"−","0")),"yok"))</f>
        <v>−</v>
      </c>
      <c r="AK244" s="10">
        <f>IF(AND(RIGHT(C244,2)&lt;&gt;"12",ISNUMBER(U244),ISNUMBER(V244)),U244-V244,"")</f>
        <v>259.08799999999997</v>
      </c>
      <c r="AL244" s="11">
        <f>IF(AND(ISNUMBER(AK244),ISNUMBER(V244)),IF(V244&lt;&gt;0,AK244/ABS(V244),""),"")</f>
        <v>0.22010722972324331</v>
      </c>
      <c r="AM244" s="8">
        <f>IF(ISNUMBER(AK244),IF(AK244&gt;1,1,0),"")</f>
        <v>1</v>
      </c>
      <c r="AN244" s="8">
        <f>IF(ISNUMBER(AK244),IF(AK244&gt;0.05*ABS(V244),1,0),"")</f>
        <v>1</v>
      </c>
      <c r="AO244" s="10">
        <v>-618.09500000000003</v>
      </c>
      <c r="AP244" s="10">
        <v>618.09500000000003</v>
      </c>
      <c r="AQ244" s="8" t="s">
        <v>204</v>
      </c>
      <c r="AR244" s="8">
        <v>0</v>
      </c>
      <c r="AS244" s="10">
        <v>1895.3879999999999</v>
      </c>
      <c r="AT244" s="10">
        <v>767.8</v>
      </c>
      <c r="AU244" s="8" t="s">
        <v>204</v>
      </c>
      <c r="AV244" s="10">
        <v>259.08800000000002</v>
      </c>
      <c r="AW244" s="11">
        <f>IF(AND(ISNUMBER(AV244),ISNUMBER(AT244)),IF(AT244&lt;&gt;0,AV244/ABS(AT244),""),"")</f>
        <v>0.33744204219848922</v>
      </c>
      <c r="AX244" s="8">
        <v>0</v>
      </c>
      <c r="AY244" s="8">
        <v>1</v>
      </c>
      <c r="AZ244" s="10"/>
      <c r="BA244" s="8">
        <v>0</v>
      </c>
    </row>
    <row r="245" spans="1:53" x14ac:dyDescent="0.2">
      <c r="A245" s="8" t="s">
        <v>381</v>
      </c>
      <c r="B245" s="8" t="s">
        <v>83</v>
      </c>
      <c r="C245" s="8" t="s">
        <v>208</v>
      </c>
      <c r="D245" s="8">
        <v>1</v>
      </c>
      <c r="E245" s="8">
        <v>1</v>
      </c>
      <c r="F245" s="8">
        <f>SUM(G245:M245)</f>
        <v>1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1</v>
      </c>
      <c r="N245" s="8">
        <v>0</v>
      </c>
      <c r="O245" s="8">
        <v>0</v>
      </c>
      <c r="P245" s="8">
        <v>1</v>
      </c>
      <c r="Q245" s="8">
        <v>0</v>
      </c>
      <c r="R245" s="8">
        <v>0</v>
      </c>
      <c r="S245" s="8">
        <v>0</v>
      </c>
      <c r="T245" s="10">
        <v>-233.309</v>
      </c>
      <c r="U245" s="10">
        <v>-457.02100000000002</v>
      </c>
      <c r="V245" s="10">
        <v>-116.747</v>
      </c>
      <c r="W245" s="10">
        <f>IF(RIGHT(C245,2)="12",IF(ISNUMBER(T245),T245,""),IF(COUNT(T245,U245,V245)=3,T245+U245-V245,""))</f>
        <v>-573.58300000000008</v>
      </c>
      <c r="X245" s="10">
        <v>-573.58299999999997</v>
      </c>
      <c r="Y245" s="10">
        <v>20.814</v>
      </c>
      <c r="Z245" s="10">
        <v>-218.24600000000001</v>
      </c>
      <c r="AA245" s="10">
        <v>-142.84200000000001</v>
      </c>
      <c r="AB245" s="10">
        <v>-233.309</v>
      </c>
      <c r="AC245" s="8">
        <v>0</v>
      </c>
      <c r="AD245" s="8">
        <v>0</v>
      </c>
      <c r="AE245" s="8">
        <v>0</v>
      </c>
      <c r="AF245" s="10">
        <v>0</v>
      </c>
      <c r="AG245" s="8">
        <f>COUNTIF(Y245:AB245,"&gt;0")</f>
        <v>1</v>
      </c>
      <c r="AH245" s="10">
        <v>0</v>
      </c>
      <c r="AI245" s="10">
        <v>20.814</v>
      </c>
      <c r="AJ245" s="8" t="str">
        <f>IF(ISNUMBER(X245),IF(X245&gt;0,"+",IF(X245&lt;0,"−","0")),IF(ISNUMBER(W245),IF(W245&gt;0,"+",IF(W245&lt;0,"−","0")),"yok"))</f>
        <v>−</v>
      </c>
      <c r="AK245" s="10">
        <f>IF(AND(RIGHT(C245,2)&lt;&gt;"12",ISNUMBER(U245),ISNUMBER(V245)),U245-V245,"")</f>
        <v>-340.274</v>
      </c>
      <c r="AL245" s="11">
        <f>IF(AND(ISNUMBER(AK245),ISNUMBER(V245)),IF(V245&lt;&gt;0,AK245/ABS(V245),""),"")</f>
        <v>-2.9146273565916041</v>
      </c>
      <c r="AM245" s="8">
        <f>IF(ISNUMBER(AK245),IF(AK245&gt;1,1,0),"")</f>
        <v>0</v>
      </c>
      <c r="AN245" s="8">
        <f>IF(ISNUMBER(AK245),IF(AK245&gt;0.05*ABS(V245),1,0),"")</f>
        <v>0</v>
      </c>
      <c r="AO245" s="10">
        <v>-573.58399999999995</v>
      </c>
      <c r="AP245" s="10">
        <v>573.58399999999995</v>
      </c>
      <c r="AQ245" s="8" t="s">
        <v>204</v>
      </c>
      <c r="AR245" s="8">
        <v>0</v>
      </c>
      <c r="AS245" s="10">
        <v>973.77200000000005</v>
      </c>
      <c r="AT245" s="10">
        <v>-657.91600000000005</v>
      </c>
      <c r="AU245" s="8" t="s">
        <v>204</v>
      </c>
      <c r="AV245" s="10">
        <v>20.814</v>
      </c>
      <c r="AW245" s="11">
        <f>IF(AND(ISNUMBER(AV245),ISNUMBER(AT245)),IF(AT245&lt;&gt;0,AV245/ABS(AT245),""),"")</f>
        <v>3.1636257516157076E-2</v>
      </c>
      <c r="AX245" s="8">
        <v>0</v>
      </c>
      <c r="AY245" s="8">
        <v>0</v>
      </c>
      <c r="AZ245" s="10"/>
      <c r="BA245" s="8">
        <v>0</v>
      </c>
    </row>
    <row r="246" spans="1:53" x14ac:dyDescent="0.2">
      <c r="A246" s="8" t="s">
        <v>382</v>
      </c>
      <c r="B246" s="8" t="s">
        <v>82</v>
      </c>
      <c r="C246" s="8" t="s">
        <v>215</v>
      </c>
      <c r="D246" s="8">
        <v>1</v>
      </c>
      <c r="E246" s="8">
        <v>1</v>
      </c>
      <c r="F246" s="8">
        <f>SUM(G246:M246)</f>
        <v>1</v>
      </c>
      <c r="G246" s="8">
        <v>0</v>
      </c>
      <c r="H246" s="8">
        <v>0</v>
      </c>
      <c r="I246" s="8">
        <v>0</v>
      </c>
      <c r="J246" s="8">
        <v>1</v>
      </c>
      <c r="K246" s="8">
        <v>0</v>
      </c>
      <c r="L246" s="8">
        <v>0</v>
      </c>
      <c r="M246" s="8">
        <v>0</v>
      </c>
      <c r="N246" s="8">
        <v>0</v>
      </c>
      <c r="O246" s="8">
        <v>1</v>
      </c>
      <c r="P246" s="8">
        <v>0</v>
      </c>
      <c r="Q246" s="8">
        <v>0</v>
      </c>
      <c r="R246" s="8">
        <v>0</v>
      </c>
      <c r="S246" s="8">
        <v>0</v>
      </c>
      <c r="T246" s="10">
        <v>-11.420999999999999</v>
      </c>
      <c r="U246" s="10">
        <v>-2.9630000000000001</v>
      </c>
      <c r="V246" s="10">
        <v>2.161</v>
      </c>
      <c r="W246" s="10">
        <f>IF(RIGHT(C246,2)="12",IF(ISNUMBER(T246),T246,""),IF(COUNT(T246,U246,V246)=3,T246+U246-V246,""))</f>
        <v>-16.545000000000002</v>
      </c>
      <c r="X246" s="10">
        <v>-16.545999999999999</v>
      </c>
      <c r="Y246" s="10">
        <v>-5.1239999999999997</v>
      </c>
      <c r="Z246" s="10">
        <v>-2.5979999999999999</v>
      </c>
      <c r="AA246" s="10">
        <v>-4.0629999999999997</v>
      </c>
      <c r="AB246" s="10">
        <v>-4.7590000000000003</v>
      </c>
      <c r="AC246" s="8">
        <v>0</v>
      </c>
      <c r="AD246" s="8">
        <v>0</v>
      </c>
      <c r="AE246" s="8">
        <v>1</v>
      </c>
      <c r="AF246" s="10">
        <v>2.161</v>
      </c>
      <c r="AG246" s="8">
        <f>COUNTIF(Y246:AB246,"&gt;0")</f>
        <v>0</v>
      </c>
      <c r="AH246" s="10">
        <v>0</v>
      </c>
      <c r="AI246" s="10">
        <v>0</v>
      </c>
      <c r="AJ246" s="8" t="str">
        <f>IF(ISNUMBER(X246),IF(X246&gt;0,"+",IF(X246&lt;0,"−","0")),IF(ISNUMBER(W246),IF(W246&gt;0,"+",IF(W246&lt;0,"−","0")),"yok"))</f>
        <v>−</v>
      </c>
      <c r="AK246" s="10">
        <f>IF(AND(RIGHT(C246,2)&lt;&gt;"12",ISNUMBER(U246),ISNUMBER(V246)),U246-V246,"")</f>
        <v>-5.1240000000000006</v>
      </c>
      <c r="AL246" s="11">
        <f>IF(AND(ISNUMBER(AK246),ISNUMBER(V246)),IF(V246&lt;&gt;0,AK246/ABS(V246),""),"")</f>
        <v>-2.371124479407682</v>
      </c>
      <c r="AM246" s="8">
        <f>IF(ISNUMBER(AK246),IF(AK246&gt;1,1,0),"")</f>
        <v>0</v>
      </c>
      <c r="AN246" s="8">
        <f>IF(ISNUMBER(AK246),IF(AK246&gt;0.05*ABS(V246),1,0),"")</f>
        <v>0</v>
      </c>
      <c r="AO246" s="10">
        <v>-16.547000000000001</v>
      </c>
      <c r="AP246" s="10">
        <v>16.547000000000001</v>
      </c>
      <c r="AQ246" s="8" t="s">
        <v>204</v>
      </c>
      <c r="AR246" s="8">
        <v>0</v>
      </c>
      <c r="AS246" s="10">
        <v>596.90599999999995</v>
      </c>
      <c r="AT246" s="10">
        <v>-158.29300000000001</v>
      </c>
      <c r="AU246" s="8" t="s">
        <v>204</v>
      </c>
      <c r="AV246" s="10">
        <v>2.161</v>
      </c>
      <c r="AW246" s="11">
        <f>IF(AND(ISNUMBER(AV246),ISNUMBER(AT246)),IF(AT246&lt;&gt;0,AV246/ABS(AT246),""),"")</f>
        <v>1.3651898694193679E-2</v>
      </c>
      <c r="AX246" s="8">
        <v>1</v>
      </c>
      <c r="AY246" s="8">
        <v>0</v>
      </c>
      <c r="AZ246" s="8" t="s">
        <v>383</v>
      </c>
      <c r="BA246" s="8">
        <v>0</v>
      </c>
    </row>
    <row r="247" spans="1:53" x14ac:dyDescent="0.2">
      <c r="A247" s="8" t="s">
        <v>384</v>
      </c>
      <c r="B247" s="8" t="s">
        <v>83</v>
      </c>
      <c r="C247" s="8" t="s">
        <v>203</v>
      </c>
      <c r="D247" s="8">
        <v>1</v>
      </c>
      <c r="E247" s="8">
        <v>1</v>
      </c>
      <c r="F247" s="8">
        <f>SUM(G247:M247)</f>
        <v>2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1</v>
      </c>
      <c r="M247" s="8">
        <v>1</v>
      </c>
      <c r="N247" s="8">
        <v>0</v>
      </c>
      <c r="O247" s="8">
        <v>0</v>
      </c>
      <c r="P247" s="8">
        <v>1</v>
      </c>
      <c r="Q247" s="8">
        <v>0</v>
      </c>
      <c r="R247" s="8">
        <v>0</v>
      </c>
      <c r="S247" s="8">
        <v>0</v>
      </c>
      <c r="T247" s="10">
        <v>-390.06299999999999</v>
      </c>
      <c r="U247" s="10">
        <v>-397.52499999999998</v>
      </c>
      <c r="V247" s="10">
        <v>-527.38699999999994</v>
      </c>
      <c r="W247" s="10">
        <f>IF(RIGHT(C247,2)="12",IF(ISNUMBER(T247),T247,""),IF(COUNT(T247,U247,V247)=3,T247+U247-V247,""))</f>
        <v>-260.20100000000002</v>
      </c>
      <c r="X247" s="10">
        <v>-260.2</v>
      </c>
      <c r="Y247" s="10">
        <v>-75.174999999999997</v>
      </c>
      <c r="Z247" s="10">
        <v>-281.08999999999997</v>
      </c>
      <c r="AA247" s="10">
        <v>486.12799999999999</v>
      </c>
      <c r="AB247" s="10">
        <v>-390.06299999999999</v>
      </c>
      <c r="AC247" s="8">
        <v>0</v>
      </c>
      <c r="AD247" s="8">
        <v>0</v>
      </c>
      <c r="AE247" s="8">
        <v>0</v>
      </c>
      <c r="AF247" s="10">
        <v>0</v>
      </c>
      <c r="AG247" s="8">
        <f>COUNTIF(Y247:AB247,"&gt;0")</f>
        <v>1</v>
      </c>
      <c r="AH247" s="10">
        <v>0</v>
      </c>
      <c r="AI247" s="10">
        <v>486.12799999999999</v>
      </c>
      <c r="AJ247" s="8" t="str">
        <f>IF(ISNUMBER(X247),IF(X247&gt;0,"+",IF(X247&lt;0,"−","0")),IF(ISNUMBER(W247),IF(W247&gt;0,"+",IF(W247&lt;0,"−","0")),"yok"))</f>
        <v>−</v>
      </c>
      <c r="AK247" s="10">
        <f>IF(AND(RIGHT(C247,2)&lt;&gt;"12",ISNUMBER(U247),ISNUMBER(V247)),U247-V247,"")</f>
        <v>129.86199999999997</v>
      </c>
      <c r="AL247" s="11">
        <f>IF(AND(ISNUMBER(AK247),ISNUMBER(V247)),IF(V247&lt;&gt;0,AK247/ABS(V247),""),"")</f>
        <v>0.24623663457764408</v>
      </c>
      <c r="AM247" s="8">
        <f>IF(ISNUMBER(AK247),IF(AK247&gt;1,1,0),"")</f>
        <v>1</v>
      </c>
      <c r="AN247" s="8">
        <f>IF(ISNUMBER(AK247),IF(AK247&gt;0.05*ABS(V247),1,0),"")</f>
        <v>1</v>
      </c>
      <c r="AO247" s="10">
        <v>-260.2</v>
      </c>
      <c r="AP247" s="10">
        <v>260.2</v>
      </c>
      <c r="AQ247" s="8" t="s">
        <v>204</v>
      </c>
      <c r="AR247" s="8">
        <v>0</v>
      </c>
      <c r="AS247" s="10">
        <v>534.04100000000005</v>
      </c>
      <c r="AT247" s="10">
        <v>273.84100000000001</v>
      </c>
      <c r="AU247" s="8" t="s">
        <v>204</v>
      </c>
      <c r="AV247" s="10">
        <v>129.86199999999999</v>
      </c>
      <c r="AW247" s="11">
        <f>IF(AND(ISNUMBER(AV247),ISNUMBER(AT247)),IF(AT247&lt;&gt;0,AV247/ABS(AT247),""),"")</f>
        <v>0.4742240935433335</v>
      </c>
      <c r="AX247" s="8">
        <v>0</v>
      </c>
      <c r="AY247" s="8">
        <v>1</v>
      </c>
      <c r="AZ247" s="10"/>
      <c r="BA247" s="8">
        <v>0</v>
      </c>
    </row>
    <row r="248" spans="1:53" x14ac:dyDescent="0.2">
      <c r="A248" s="8" t="s">
        <v>384</v>
      </c>
      <c r="B248" s="8" t="s">
        <v>83</v>
      </c>
      <c r="C248" s="8" t="s">
        <v>205</v>
      </c>
      <c r="D248" s="8">
        <v>1</v>
      </c>
      <c r="E248" s="8">
        <v>1</v>
      </c>
      <c r="F248" s="8">
        <f>SUM(G248:M248)</f>
        <v>2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1</v>
      </c>
      <c r="M248" s="8">
        <v>1</v>
      </c>
      <c r="N248" s="8">
        <v>0</v>
      </c>
      <c r="O248" s="8">
        <v>0</v>
      </c>
      <c r="P248" s="8">
        <v>1</v>
      </c>
      <c r="Q248" s="8">
        <v>0</v>
      </c>
      <c r="R248" s="8">
        <v>0</v>
      </c>
      <c r="S248" s="8">
        <v>0</v>
      </c>
      <c r="T248" s="10">
        <v>-625.76499999999999</v>
      </c>
      <c r="U248" s="10">
        <v>-397.52499999999998</v>
      </c>
      <c r="V248" s="10">
        <v>-602.56299999999999</v>
      </c>
      <c r="W248" s="10">
        <f>IF(RIGHT(C248,2)="12",IF(ISNUMBER(T248),T248,""),IF(COUNT(T248,U248,V248)=3,T248+U248-V248,""))</f>
        <v>-420.72699999999998</v>
      </c>
      <c r="X248" s="10">
        <v>-420.72699999999998</v>
      </c>
      <c r="Y248" s="10">
        <v>-281.08999999999997</v>
      </c>
      <c r="Z248" s="10">
        <v>486.12799999999999</v>
      </c>
      <c r="AA248" s="10">
        <v>-390.06299999999999</v>
      </c>
      <c r="AB248" s="10">
        <v>-235.702</v>
      </c>
      <c r="AC248" s="8">
        <v>0</v>
      </c>
      <c r="AD248" s="8">
        <v>0</v>
      </c>
      <c r="AE248" s="8">
        <v>0</v>
      </c>
      <c r="AF248" s="10">
        <v>0</v>
      </c>
      <c r="AG248" s="8">
        <f>COUNTIF(Y248:AB248,"&gt;0")</f>
        <v>1</v>
      </c>
      <c r="AH248" s="10">
        <v>0</v>
      </c>
      <c r="AI248" s="10">
        <v>486.12799999999999</v>
      </c>
      <c r="AJ248" s="8" t="str">
        <f>IF(ISNUMBER(X248),IF(X248&gt;0,"+",IF(X248&lt;0,"−","0")),IF(ISNUMBER(W248),IF(W248&gt;0,"+",IF(W248&lt;0,"−","0")),"yok"))</f>
        <v>−</v>
      </c>
      <c r="AK248" s="10">
        <f>IF(AND(RIGHT(C248,2)&lt;&gt;"12",ISNUMBER(U248),ISNUMBER(V248)),U248-V248,"")</f>
        <v>205.03800000000001</v>
      </c>
      <c r="AL248" s="11">
        <f>IF(AND(ISNUMBER(AK248),ISNUMBER(V248)),IF(V248&lt;&gt;0,AK248/ABS(V248),""),"")</f>
        <v>0.34027645242074273</v>
      </c>
      <c r="AM248" s="8">
        <f>IF(ISNUMBER(AK248),IF(AK248&gt;1,1,0),"")</f>
        <v>1</v>
      </c>
      <c r="AN248" s="8">
        <f>IF(ISNUMBER(AK248),IF(AK248&gt;0.05*ABS(V248),1,0),"")</f>
        <v>1</v>
      </c>
      <c r="AO248" s="10">
        <v>-420.72699999999998</v>
      </c>
      <c r="AP248" s="10">
        <v>420.72699999999998</v>
      </c>
      <c r="AQ248" s="8" t="s">
        <v>204</v>
      </c>
      <c r="AR248" s="8">
        <v>0</v>
      </c>
      <c r="AS248" s="10">
        <v>908.05899999999997</v>
      </c>
      <c r="AT248" s="10">
        <v>487.33199999999999</v>
      </c>
      <c r="AU248" s="8" t="s">
        <v>204</v>
      </c>
      <c r="AV248" s="10">
        <v>205.03800000000001</v>
      </c>
      <c r="AW248" s="11">
        <f>IF(AND(ISNUMBER(AV248),ISNUMBER(AT248)),IF(AT248&lt;&gt;0,AV248/ABS(AT248),""),"")</f>
        <v>0.42073576124695283</v>
      </c>
      <c r="AX248" s="8">
        <v>0</v>
      </c>
      <c r="AY248" s="8">
        <v>1</v>
      </c>
      <c r="AZ248" s="10"/>
      <c r="BA248" s="8">
        <v>0</v>
      </c>
    </row>
    <row r="249" spans="1:53" x14ac:dyDescent="0.2">
      <c r="A249" s="8" t="s">
        <v>384</v>
      </c>
      <c r="B249" s="8" t="s">
        <v>83</v>
      </c>
      <c r="C249" s="8" t="s">
        <v>215</v>
      </c>
      <c r="D249" s="8">
        <v>1</v>
      </c>
      <c r="E249" s="8">
        <v>1</v>
      </c>
      <c r="F249" s="8">
        <f>SUM(G249:M249)</f>
        <v>2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1</v>
      </c>
      <c r="M249" s="8">
        <v>1</v>
      </c>
      <c r="N249" s="8">
        <v>0</v>
      </c>
      <c r="O249" s="8">
        <v>0</v>
      </c>
      <c r="P249" s="8">
        <v>1</v>
      </c>
      <c r="Q249" s="8">
        <v>0</v>
      </c>
      <c r="R249" s="8">
        <v>0</v>
      </c>
      <c r="S249" s="8">
        <v>0</v>
      </c>
      <c r="T249" s="10">
        <v>-857.29</v>
      </c>
      <c r="U249" s="10">
        <v>-397.52499999999998</v>
      </c>
      <c r="V249" s="10">
        <v>-883.65300000000002</v>
      </c>
      <c r="W249" s="10">
        <f>IF(RIGHT(C249,2)="12",IF(ISNUMBER(T249),T249,""),IF(COUNT(T249,U249,V249)=3,T249+U249-V249,""))</f>
        <v>-371.16200000000003</v>
      </c>
      <c r="X249" s="10">
        <v>-371.161</v>
      </c>
      <c r="Y249" s="10">
        <v>486.12799999999999</v>
      </c>
      <c r="Z249" s="10">
        <v>-390.06299999999999</v>
      </c>
      <c r="AA249" s="10">
        <v>-235.702</v>
      </c>
      <c r="AB249" s="10">
        <v>-231.524</v>
      </c>
      <c r="AC249" s="8">
        <v>0</v>
      </c>
      <c r="AD249" s="8">
        <v>0</v>
      </c>
      <c r="AE249" s="8">
        <v>0</v>
      </c>
      <c r="AF249" s="10">
        <v>0</v>
      </c>
      <c r="AG249" s="8">
        <f>COUNTIF(Y249:AB249,"&gt;0")</f>
        <v>1</v>
      </c>
      <c r="AH249" s="10">
        <v>0</v>
      </c>
      <c r="AI249" s="10">
        <v>486.12799999999999</v>
      </c>
      <c r="AJ249" s="8" t="str">
        <f>IF(ISNUMBER(X249),IF(X249&gt;0,"+",IF(X249&lt;0,"−","0")),IF(ISNUMBER(W249),IF(W249&gt;0,"+",IF(W249&lt;0,"−","0")),"yok"))</f>
        <v>−</v>
      </c>
      <c r="AK249" s="10">
        <f>IF(AND(RIGHT(C249,2)&lt;&gt;"12",ISNUMBER(U249),ISNUMBER(V249)),U249-V249,"")</f>
        <v>486.12800000000004</v>
      </c>
      <c r="AL249" s="11">
        <f>IF(AND(ISNUMBER(AK249),ISNUMBER(V249)),IF(V249&lt;&gt;0,AK249/ABS(V249),""),"")</f>
        <v>0.5501344984965818</v>
      </c>
      <c r="AM249" s="8">
        <f>IF(ISNUMBER(AK249),IF(AK249&gt;1,1,0),"")</f>
        <v>1</v>
      </c>
      <c r="AN249" s="8">
        <f>IF(ISNUMBER(AK249),IF(AK249&gt;0.05*ABS(V249),1,0),"")</f>
        <v>1</v>
      </c>
      <c r="AO249" s="10">
        <v>-371.161</v>
      </c>
      <c r="AP249" s="10">
        <v>371.161</v>
      </c>
      <c r="AQ249" s="8" t="s">
        <v>204</v>
      </c>
      <c r="AR249" s="8">
        <v>0</v>
      </c>
      <c r="AS249" s="10">
        <v>675.14200000000005</v>
      </c>
      <c r="AT249" s="10">
        <v>303.98099999999999</v>
      </c>
      <c r="AU249" s="8" t="s">
        <v>204</v>
      </c>
      <c r="AV249" s="10">
        <v>486.12799999999999</v>
      </c>
      <c r="AW249" s="11">
        <f>IF(AND(ISNUMBER(AV249),ISNUMBER(AT249)),IF(AT249&lt;&gt;0,AV249/ABS(AT249),""),"")</f>
        <v>1.5992052134837373</v>
      </c>
      <c r="AX249" s="8">
        <v>0</v>
      </c>
      <c r="AY249" s="8">
        <v>1</v>
      </c>
      <c r="AZ249" s="10"/>
      <c r="BA249" s="8">
        <v>0</v>
      </c>
    </row>
    <row r="250" spans="1:53" x14ac:dyDescent="0.2">
      <c r="A250" s="8" t="s">
        <v>385</v>
      </c>
      <c r="B250" s="8" t="s">
        <v>83</v>
      </c>
      <c r="C250" s="8" t="s">
        <v>208</v>
      </c>
      <c r="D250" s="8">
        <v>1</v>
      </c>
      <c r="E250" s="8">
        <v>1</v>
      </c>
      <c r="F250" s="8">
        <f>SUM(G250:M250)</f>
        <v>1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1</v>
      </c>
      <c r="N250" s="8">
        <v>0</v>
      </c>
      <c r="O250" s="8">
        <v>0</v>
      </c>
      <c r="P250" s="8">
        <v>1</v>
      </c>
      <c r="Q250" s="8">
        <v>0</v>
      </c>
      <c r="R250" s="8">
        <v>0</v>
      </c>
      <c r="S250" s="8">
        <v>0</v>
      </c>
      <c r="T250" s="10">
        <v>-4.3330000000000002</v>
      </c>
      <c r="U250" s="10">
        <v>-76.73</v>
      </c>
      <c r="V250" s="10">
        <v>-55.146000000000001</v>
      </c>
      <c r="W250" s="10">
        <f>IF(RIGHT(C250,2)="12",IF(ISNUMBER(T250),T250,""),IF(COUNT(T250,U250,V250)=3,T250+U250-V250,""))</f>
        <v>-25.917000000000002</v>
      </c>
      <c r="X250" s="10">
        <v>-25.917000000000002</v>
      </c>
      <c r="Y250" s="10">
        <v>-132.98699999999999</v>
      </c>
      <c r="Z250" s="10">
        <v>-13.175000000000001</v>
      </c>
      <c r="AA250" s="10">
        <v>124.578</v>
      </c>
      <c r="AB250" s="10">
        <v>-4.3330000000000002</v>
      </c>
      <c r="AC250" s="8">
        <v>0</v>
      </c>
      <c r="AD250" s="8">
        <v>0</v>
      </c>
      <c r="AE250" s="8">
        <v>0</v>
      </c>
      <c r="AF250" s="10">
        <v>0</v>
      </c>
      <c r="AG250" s="8">
        <f>COUNTIF(Y250:AB250,"&gt;0")</f>
        <v>1</v>
      </c>
      <c r="AH250" s="10">
        <v>0</v>
      </c>
      <c r="AI250" s="10">
        <v>124.578</v>
      </c>
      <c r="AJ250" s="8" t="str">
        <f>IF(ISNUMBER(X250),IF(X250&gt;0,"+",IF(X250&lt;0,"−","0")),IF(ISNUMBER(W250),IF(W250&gt;0,"+",IF(W250&lt;0,"−","0")),"yok"))</f>
        <v>−</v>
      </c>
      <c r="AK250" s="10">
        <f>IF(AND(RIGHT(C250,2)&lt;&gt;"12",ISNUMBER(U250),ISNUMBER(V250)),U250-V250,"")</f>
        <v>-21.584000000000003</v>
      </c>
      <c r="AL250" s="11">
        <f>IF(AND(ISNUMBER(AK250),ISNUMBER(V250)),IF(V250&lt;&gt;0,AK250/ABS(V250),""),"")</f>
        <v>-0.39139738149639147</v>
      </c>
      <c r="AM250" s="8">
        <f>IF(ISNUMBER(AK250),IF(AK250&gt;1,1,0),"")</f>
        <v>0</v>
      </c>
      <c r="AN250" s="8">
        <f>IF(ISNUMBER(AK250),IF(AK250&gt;0.05*ABS(V250),1,0),"")</f>
        <v>0</v>
      </c>
      <c r="AO250" s="10">
        <v>-25.917000000000002</v>
      </c>
      <c r="AP250" s="10">
        <v>25.917000000000002</v>
      </c>
      <c r="AQ250" s="8" t="s">
        <v>204</v>
      </c>
      <c r="AR250" s="8">
        <v>0</v>
      </c>
      <c r="AS250" s="10">
        <v>286.08100000000002</v>
      </c>
      <c r="AT250" s="10">
        <v>260.16399999999999</v>
      </c>
      <c r="AU250" s="8" t="s">
        <v>204</v>
      </c>
      <c r="AV250" s="10">
        <v>124.578</v>
      </c>
      <c r="AW250" s="11">
        <f>IF(AND(ISNUMBER(AV250),ISNUMBER(AT250)),IF(AT250&lt;&gt;0,AV250/ABS(AT250),""),"")</f>
        <v>0.47884411371288882</v>
      </c>
      <c r="AX250" s="8">
        <v>0</v>
      </c>
      <c r="AY250" s="8">
        <v>0</v>
      </c>
      <c r="AZ250" s="10"/>
      <c r="BA250" s="8">
        <v>0</v>
      </c>
    </row>
    <row r="251" spans="1:53" x14ac:dyDescent="0.2">
      <c r="A251" s="8" t="s">
        <v>385</v>
      </c>
      <c r="B251" s="8" t="s">
        <v>83</v>
      </c>
      <c r="C251" s="8" t="s">
        <v>210</v>
      </c>
      <c r="D251" s="8">
        <v>1</v>
      </c>
      <c r="E251" s="8">
        <v>1</v>
      </c>
      <c r="F251" s="8">
        <f>SUM(G251:M251)</f>
        <v>3</v>
      </c>
      <c r="G251" s="8">
        <v>0</v>
      </c>
      <c r="H251" s="8">
        <v>0</v>
      </c>
      <c r="I251" s="8">
        <v>1</v>
      </c>
      <c r="J251" s="8">
        <v>0</v>
      </c>
      <c r="K251" s="8">
        <v>0</v>
      </c>
      <c r="L251" s="8">
        <v>1</v>
      </c>
      <c r="M251" s="8">
        <v>1</v>
      </c>
      <c r="N251" s="8">
        <v>1</v>
      </c>
      <c r="O251" s="8">
        <v>0</v>
      </c>
      <c r="P251" s="8">
        <v>1</v>
      </c>
      <c r="Q251" s="8">
        <v>0</v>
      </c>
      <c r="R251" s="8">
        <v>0</v>
      </c>
      <c r="S251" s="8">
        <v>1</v>
      </c>
      <c r="T251" s="10">
        <v>-0.47299999999999998</v>
      </c>
      <c r="U251" s="10">
        <v>-76.73</v>
      </c>
      <c r="V251" s="10">
        <v>-188.13399999999999</v>
      </c>
      <c r="W251" s="10">
        <f>IF(RIGHT(C251,2)="12",IF(ISNUMBER(T251),T251,""),IF(COUNT(T251,U251,V251)=3,T251+U251-V251,""))</f>
        <v>110.93099999999998</v>
      </c>
      <c r="X251" s="10">
        <v>110.929</v>
      </c>
      <c r="Y251" s="10">
        <v>-13.175000000000001</v>
      </c>
      <c r="Z251" s="10">
        <v>124.578</v>
      </c>
      <c r="AA251" s="10">
        <v>-4.3330000000000002</v>
      </c>
      <c r="AB251" s="10">
        <v>3.859</v>
      </c>
      <c r="AC251" s="8">
        <v>0</v>
      </c>
      <c r="AD251" s="8">
        <v>0</v>
      </c>
      <c r="AE251" s="8">
        <v>0</v>
      </c>
      <c r="AF251" s="10">
        <v>0</v>
      </c>
      <c r="AG251" s="8">
        <f>COUNTIF(Y251:AB251,"&gt;0")</f>
        <v>2</v>
      </c>
      <c r="AH251" s="10">
        <v>3.859</v>
      </c>
      <c r="AI251" s="10">
        <v>124.578</v>
      </c>
      <c r="AJ251" s="8" t="str">
        <f>IF(ISNUMBER(X251),IF(X251&gt;0,"+",IF(X251&lt;0,"−","0")),IF(ISNUMBER(W251),IF(W251&gt;0,"+",IF(W251&lt;0,"−","0")),"yok"))</f>
        <v>+</v>
      </c>
      <c r="AK251" s="10">
        <f>IF(AND(RIGHT(C251,2)&lt;&gt;"12",ISNUMBER(U251),ISNUMBER(V251)),U251-V251,"")</f>
        <v>111.40399999999998</v>
      </c>
      <c r="AL251" s="11">
        <f>IF(AND(ISNUMBER(AK251),ISNUMBER(V251)),IF(V251&lt;&gt;0,AK251/ABS(V251),""),"")</f>
        <v>0.59215240201133235</v>
      </c>
      <c r="AM251" s="8">
        <f>IF(ISNUMBER(AK251),IF(AK251&gt;1,1,0),"")</f>
        <v>1</v>
      </c>
      <c r="AN251" s="8">
        <f>IF(ISNUMBER(AK251),IF(AK251&gt;0.05*ABS(V251),1,0),"")</f>
        <v>1</v>
      </c>
      <c r="AO251" s="10">
        <v>110.929</v>
      </c>
      <c r="AP251" s="10">
        <v>0</v>
      </c>
      <c r="AQ251" s="8" t="s">
        <v>204</v>
      </c>
      <c r="AR251" s="8">
        <v>1</v>
      </c>
      <c r="AS251" s="10">
        <v>1170.5730000000001</v>
      </c>
      <c r="AT251" s="10">
        <v>1170.5730000000001</v>
      </c>
      <c r="AU251" s="8" t="s">
        <v>204</v>
      </c>
      <c r="AV251" s="10">
        <v>111.404</v>
      </c>
      <c r="AW251" s="11">
        <f>IF(AND(ISNUMBER(AV251),ISNUMBER(AT251)),IF(AT251&lt;&gt;0,AV251/ABS(AT251),""),"")</f>
        <v>9.5170484882190168E-2</v>
      </c>
      <c r="AX251" s="8">
        <v>0</v>
      </c>
      <c r="AY251" s="8">
        <v>1</v>
      </c>
      <c r="AZ251" s="10"/>
      <c r="BA251" s="8">
        <v>0</v>
      </c>
    </row>
    <row r="252" spans="1:53" x14ac:dyDescent="0.2">
      <c r="A252" s="8" t="s">
        <v>386</v>
      </c>
      <c r="B252" s="8" t="s">
        <v>82</v>
      </c>
      <c r="C252" s="8" t="s">
        <v>205</v>
      </c>
      <c r="D252" s="8">
        <v>1</v>
      </c>
      <c r="E252" s="8">
        <v>1</v>
      </c>
      <c r="F252" s="8">
        <f>SUM(G252:M252)</f>
        <v>1</v>
      </c>
      <c r="G252" s="8">
        <v>0</v>
      </c>
      <c r="H252" s="8">
        <v>1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1</v>
      </c>
      <c r="Q252" s="8">
        <v>1</v>
      </c>
      <c r="R252" s="8">
        <v>1</v>
      </c>
      <c r="S252" s="8">
        <v>0</v>
      </c>
      <c r="T252" s="10">
        <v>-191.96100000000001</v>
      </c>
      <c r="U252" s="10">
        <v>-34.540999999999997</v>
      </c>
      <c r="V252" s="10">
        <v>-38.375</v>
      </c>
      <c r="W252" s="10">
        <f>IF(RIGHT(C252,2)="12",IF(ISNUMBER(T252),T252,""),IF(COUNT(T252,U252,V252)=3,T252+U252-V252,""))</f>
        <v>-188.12700000000001</v>
      </c>
      <c r="X252" s="10">
        <v>-188.126</v>
      </c>
      <c r="Y252" s="10">
        <v>-12.666</v>
      </c>
      <c r="Z252" s="10">
        <v>16.5</v>
      </c>
      <c r="AA252" s="10">
        <v>-170.49299999999999</v>
      </c>
      <c r="AB252" s="10">
        <v>-21.466999999999999</v>
      </c>
      <c r="AC252" s="8">
        <v>0</v>
      </c>
      <c r="AD252" s="8">
        <v>0</v>
      </c>
      <c r="AE252" s="8">
        <v>0</v>
      </c>
      <c r="AF252" s="10">
        <v>0</v>
      </c>
      <c r="AG252" s="8">
        <f>COUNTIF(Y252:AB252,"&gt;0")</f>
        <v>1</v>
      </c>
      <c r="AH252" s="10">
        <v>0</v>
      </c>
      <c r="AI252" s="10">
        <v>16.5</v>
      </c>
      <c r="AJ252" s="8" t="str">
        <f>IF(ISNUMBER(X252),IF(X252&gt;0,"+",IF(X252&lt;0,"−","0")),IF(ISNUMBER(W252),IF(W252&gt;0,"+",IF(W252&lt;0,"−","0")),"yok"))</f>
        <v>−</v>
      </c>
      <c r="AK252" s="10">
        <f>IF(AND(RIGHT(C252,2)&lt;&gt;"12",ISNUMBER(U252),ISNUMBER(V252)),U252-V252,"")</f>
        <v>3.8340000000000032</v>
      </c>
      <c r="AL252" s="11">
        <f>IF(AND(ISNUMBER(AK252),ISNUMBER(V252)),IF(V252&lt;&gt;0,AK252/ABS(V252),""),"")</f>
        <v>9.9908794788273705E-2</v>
      </c>
      <c r="AM252" s="8">
        <f>IF(ISNUMBER(AK252),IF(AK252&gt;1,1,0),"")</f>
        <v>1</v>
      </c>
      <c r="AN252" s="8">
        <f>IF(ISNUMBER(AK252),IF(AK252&gt;0.05*ABS(V252),1,0),"")</f>
        <v>1</v>
      </c>
      <c r="AO252" s="10">
        <v>-188.126</v>
      </c>
      <c r="AP252" s="10">
        <v>188.126</v>
      </c>
      <c r="AQ252" s="8" t="s">
        <v>204</v>
      </c>
      <c r="AR252" s="8">
        <v>0</v>
      </c>
      <c r="AS252" s="10">
        <v>531.625</v>
      </c>
      <c r="AT252" s="10">
        <v>-268.76299999999998</v>
      </c>
      <c r="AU252" s="8" t="s">
        <v>204</v>
      </c>
      <c r="AV252" s="10">
        <v>3.8340000000000001</v>
      </c>
      <c r="AW252" s="11">
        <f>IF(AND(ISNUMBER(AV252),ISNUMBER(AT252)),IF(AT252&lt;&gt;0,AV252/ABS(AT252),""),"")</f>
        <v>1.4265356466477901E-2</v>
      </c>
      <c r="AX252" s="8">
        <v>0</v>
      </c>
      <c r="AY252" s="8">
        <v>1</v>
      </c>
      <c r="AZ252" s="10"/>
      <c r="BA252" s="8">
        <v>0</v>
      </c>
    </row>
    <row r="253" spans="1:53" x14ac:dyDescent="0.2">
      <c r="A253" s="8" t="s">
        <v>386</v>
      </c>
      <c r="B253" s="8" t="s">
        <v>82</v>
      </c>
      <c r="C253" s="8" t="s">
        <v>215</v>
      </c>
      <c r="D253" s="8">
        <v>1</v>
      </c>
      <c r="E253" s="8">
        <v>1</v>
      </c>
      <c r="F253" s="8">
        <f>SUM(G253:M253)</f>
        <v>1</v>
      </c>
      <c r="G253" s="8">
        <v>0</v>
      </c>
      <c r="H253" s="8">
        <v>1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1</v>
      </c>
      <c r="Q253" s="8">
        <v>1</v>
      </c>
      <c r="R253" s="8">
        <v>1</v>
      </c>
      <c r="S253" s="8">
        <v>0</v>
      </c>
      <c r="T253" s="10">
        <v>-318.24200000000002</v>
      </c>
      <c r="U253" s="10">
        <v>-34.540999999999997</v>
      </c>
      <c r="V253" s="10">
        <v>-51.040999999999997</v>
      </c>
      <c r="W253" s="10">
        <f>IF(RIGHT(C253,2)="12",IF(ISNUMBER(T253),T253,""),IF(COUNT(T253,U253,V253)=3,T253+U253-V253,""))</f>
        <v>-301.74200000000002</v>
      </c>
      <c r="X253" s="10">
        <v>-301.74099999999999</v>
      </c>
      <c r="Y253" s="10">
        <v>16.5</v>
      </c>
      <c r="Z253" s="10">
        <v>-170.49299999999999</v>
      </c>
      <c r="AA253" s="10">
        <v>-21.466999999999999</v>
      </c>
      <c r="AB253" s="10">
        <v>-126.28100000000001</v>
      </c>
      <c r="AC253" s="8">
        <v>0</v>
      </c>
      <c r="AD253" s="8">
        <v>0</v>
      </c>
      <c r="AE253" s="8">
        <v>0</v>
      </c>
      <c r="AF253" s="10">
        <v>0</v>
      </c>
      <c r="AG253" s="8">
        <f>COUNTIF(Y253:AB253,"&gt;0")</f>
        <v>1</v>
      </c>
      <c r="AH253" s="10">
        <v>0</v>
      </c>
      <c r="AI253" s="10">
        <v>16.5</v>
      </c>
      <c r="AJ253" s="8" t="str">
        <f>IF(ISNUMBER(X253),IF(X253&gt;0,"+",IF(X253&lt;0,"−","0")),IF(ISNUMBER(W253),IF(W253&gt;0,"+",IF(W253&lt;0,"−","0")),"yok"))</f>
        <v>−</v>
      </c>
      <c r="AK253" s="10">
        <f>IF(AND(RIGHT(C253,2)&lt;&gt;"12",ISNUMBER(U253),ISNUMBER(V253)),U253-V253,"")</f>
        <v>16.5</v>
      </c>
      <c r="AL253" s="11">
        <f>IF(AND(ISNUMBER(AK253),ISNUMBER(V253)),IF(V253&lt;&gt;0,AK253/ABS(V253),""),"")</f>
        <v>0.3232695284183304</v>
      </c>
      <c r="AM253" s="8">
        <f>IF(ISNUMBER(AK253),IF(AK253&gt;1,1,0),"")</f>
        <v>1</v>
      </c>
      <c r="AN253" s="8">
        <f>IF(ISNUMBER(AK253),IF(AK253&gt;0.05*ABS(V253),1,0),"")</f>
        <v>1</v>
      </c>
      <c r="AO253" s="10">
        <v>-301.74099999999999</v>
      </c>
      <c r="AP253" s="10">
        <v>301.74099999999999</v>
      </c>
      <c r="AQ253" s="8" t="s">
        <v>204</v>
      </c>
      <c r="AR253" s="8">
        <v>0</v>
      </c>
      <c r="AS253" s="10">
        <v>577.86099999999999</v>
      </c>
      <c r="AT253" s="10">
        <v>-504.47800000000001</v>
      </c>
      <c r="AU253" s="8" t="s">
        <v>204</v>
      </c>
      <c r="AV253" s="10">
        <v>16.5</v>
      </c>
      <c r="AW253" s="11">
        <f>IF(AND(ISNUMBER(AV253),ISNUMBER(AT253)),IF(AT253&lt;&gt;0,AV253/ABS(AT253),""),"")</f>
        <v>3.270707543242718E-2</v>
      </c>
      <c r="AX253" s="8">
        <v>0</v>
      </c>
      <c r="AY253" s="8">
        <v>1</v>
      </c>
      <c r="AZ253" s="10"/>
      <c r="BA253" s="8">
        <v>0</v>
      </c>
    </row>
    <row r="254" spans="1:53" x14ac:dyDescent="0.2">
      <c r="A254" s="8" t="s">
        <v>386</v>
      </c>
      <c r="B254" s="8" t="s">
        <v>82</v>
      </c>
      <c r="C254" s="8" t="s">
        <v>208</v>
      </c>
      <c r="D254" s="8">
        <v>1</v>
      </c>
      <c r="E254" s="8">
        <v>1</v>
      </c>
      <c r="F254" s="8">
        <f>SUM(G254:M254)</f>
        <v>1</v>
      </c>
      <c r="G254" s="8">
        <v>1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1</v>
      </c>
      <c r="O254" s="8">
        <v>0</v>
      </c>
      <c r="P254" s="8">
        <v>1</v>
      </c>
      <c r="Q254" s="8">
        <v>1</v>
      </c>
      <c r="R254" s="8">
        <v>1</v>
      </c>
      <c r="S254" s="8">
        <v>0</v>
      </c>
      <c r="T254" s="10">
        <v>-16.419</v>
      </c>
      <c r="U254" s="10">
        <v>-55.703000000000003</v>
      </c>
      <c r="V254" s="10">
        <v>-170.49299999999999</v>
      </c>
      <c r="W254" s="10">
        <f>IF(RIGHT(C254,2)="12",IF(ISNUMBER(T254),T254,""),IF(COUNT(T254,U254,V254)=3,T254+U254-V254,""))</f>
        <v>98.370999999999995</v>
      </c>
      <c r="X254" s="10">
        <v>98.37</v>
      </c>
      <c r="Y254" s="10">
        <v>-21.466999999999999</v>
      </c>
      <c r="Z254" s="10">
        <v>-126.28100000000001</v>
      </c>
      <c r="AA254" s="10">
        <v>262.53800000000001</v>
      </c>
      <c r="AB254" s="10">
        <v>-16.419</v>
      </c>
      <c r="AC254" s="8">
        <v>0</v>
      </c>
      <c r="AD254" s="8">
        <v>0</v>
      </c>
      <c r="AE254" s="8">
        <v>0</v>
      </c>
      <c r="AF254" s="10">
        <v>0</v>
      </c>
      <c r="AG254" s="8">
        <f>COUNTIF(Y254:AB254,"&gt;0")</f>
        <v>1</v>
      </c>
      <c r="AH254" s="10">
        <v>0</v>
      </c>
      <c r="AI254" s="10">
        <v>262.53800000000001</v>
      </c>
      <c r="AJ254" s="8" t="str">
        <f>IF(ISNUMBER(X254),IF(X254&gt;0,"+",IF(X254&lt;0,"−","0")),IF(ISNUMBER(W254),IF(W254&gt;0,"+",IF(W254&lt;0,"−","0")),"yok"))</f>
        <v>+</v>
      </c>
      <c r="AK254" s="10">
        <f>IF(AND(RIGHT(C254,2)&lt;&gt;"12",ISNUMBER(U254),ISNUMBER(V254)),U254-V254,"")</f>
        <v>114.78999999999999</v>
      </c>
      <c r="AL254" s="11">
        <f>IF(AND(ISNUMBER(AK254),ISNUMBER(V254)),IF(V254&lt;&gt;0,AK254/ABS(V254),""),"")</f>
        <v>0.67328277407283577</v>
      </c>
      <c r="AM254" s="8">
        <f>IF(ISNUMBER(AK254),IF(AK254&gt;1,1,0),"")</f>
        <v>1</v>
      </c>
      <c r="AN254" s="8">
        <f>IF(ISNUMBER(AK254),IF(AK254&gt;0.05*ABS(V254),1,0),"")</f>
        <v>1</v>
      </c>
      <c r="AO254" s="10">
        <v>98.370999999999995</v>
      </c>
      <c r="AP254" s="10">
        <v>0</v>
      </c>
      <c r="AQ254" s="8" t="s">
        <v>204</v>
      </c>
      <c r="AR254" s="8">
        <v>1</v>
      </c>
      <c r="AS254" s="10">
        <v>-60.908999999999999</v>
      </c>
      <c r="AT254" s="10">
        <v>-151.49199999999999</v>
      </c>
      <c r="AU254" s="8" t="s">
        <v>204</v>
      </c>
      <c r="AV254" s="10">
        <v>114.79</v>
      </c>
      <c r="AW254" s="11">
        <f>IF(AND(ISNUMBER(AV254),ISNUMBER(AT254)),IF(AT254&lt;&gt;0,AV254/ABS(AT254),""),"")</f>
        <v>0.75772978111055378</v>
      </c>
      <c r="AX254" s="8">
        <v>0</v>
      </c>
      <c r="AY254" s="8">
        <v>1</v>
      </c>
      <c r="AZ254" s="10"/>
      <c r="BA254" s="8">
        <v>0</v>
      </c>
    </row>
    <row r="255" spans="1:53" x14ac:dyDescent="0.2">
      <c r="A255" s="8" t="s">
        <v>386</v>
      </c>
      <c r="B255" s="8" t="s">
        <v>82</v>
      </c>
      <c r="C255" s="8" t="s">
        <v>210</v>
      </c>
      <c r="D255" s="8">
        <v>1</v>
      </c>
      <c r="E255" s="8">
        <v>1</v>
      </c>
      <c r="F255" s="8">
        <f>SUM(G255:M255)</f>
        <v>1</v>
      </c>
      <c r="G255" s="8">
        <v>1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1</v>
      </c>
      <c r="O255" s="8">
        <v>0</v>
      </c>
      <c r="P255" s="8">
        <v>1</v>
      </c>
      <c r="Q255" s="8">
        <v>1</v>
      </c>
      <c r="R255" s="8">
        <v>1</v>
      </c>
      <c r="S255" s="8">
        <v>0</v>
      </c>
      <c r="T255" s="10">
        <v>-41.341999999999999</v>
      </c>
      <c r="U255" s="10">
        <v>-55.703000000000003</v>
      </c>
      <c r="V255" s="10">
        <v>-191.96100000000001</v>
      </c>
      <c r="W255" s="10">
        <f>IF(RIGHT(C255,2)="12",IF(ISNUMBER(T255),T255,""),IF(COUNT(T255,U255,V255)=3,T255+U255-V255,""))</f>
        <v>94.916000000000011</v>
      </c>
      <c r="X255" s="10">
        <v>94.915000000000006</v>
      </c>
      <c r="Y255" s="10">
        <v>-126.28100000000001</v>
      </c>
      <c r="Z255" s="10">
        <v>262.53800000000001</v>
      </c>
      <c r="AA255" s="10">
        <v>-16.419</v>
      </c>
      <c r="AB255" s="10">
        <v>-24.922000000000001</v>
      </c>
      <c r="AC255" s="8">
        <v>0</v>
      </c>
      <c r="AD255" s="8">
        <v>0</v>
      </c>
      <c r="AE255" s="8">
        <v>0</v>
      </c>
      <c r="AF255" s="10">
        <v>0</v>
      </c>
      <c r="AG255" s="8">
        <f>COUNTIF(Y255:AB255,"&gt;0")</f>
        <v>1</v>
      </c>
      <c r="AH255" s="10">
        <v>0</v>
      </c>
      <c r="AI255" s="10">
        <v>262.53800000000001</v>
      </c>
      <c r="AJ255" s="8" t="str">
        <f>IF(ISNUMBER(X255),IF(X255&gt;0,"+",IF(X255&lt;0,"−","0")),IF(ISNUMBER(W255),IF(W255&gt;0,"+",IF(W255&lt;0,"−","0")),"yok"))</f>
        <v>+</v>
      </c>
      <c r="AK255" s="10">
        <f>IF(AND(RIGHT(C255,2)&lt;&gt;"12",ISNUMBER(U255),ISNUMBER(V255)),U255-V255,"")</f>
        <v>136.25800000000001</v>
      </c>
      <c r="AL255" s="11">
        <f>IF(AND(ISNUMBER(AK255),ISNUMBER(V255)),IF(V255&lt;&gt;0,AK255/ABS(V255),""),"")</f>
        <v>0.70982126577794447</v>
      </c>
      <c r="AM255" s="8">
        <f>IF(ISNUMBER(AK255),IF(AK255&gt;1,1,0),"")</f>
        <v>1</v>
      </c>
      <c r="AN255" s="8">
        <f>IF(ISNUMBER(AK255),IF(AK255&gt;0.05*ABS(V255),1,0),"")</f>
        <v>1</v>
      </c>
      <c r="AO255" s="10">
        <v>94.915000000000006</v>
      </c>
      <c r="AP255" s="10">
        <v>0</v>
      </c>
      <c r="AQ255" s="8" t="s">
        <v>204</v>
      </c>
      <c r="AR255" s="8">
        <v>1</v>
      </c>
      <c r="AS255" s="10">
        <v>-501.22699999999998</v>
      </c>
      <c r="AT255" s="10">
        <v>-607.55600000000004</v>
      </c>
      <c r="AU255" s="8" t="s">
        <v>204</v>
      </c>
      <c r="AV255" s="10">
        <v>136.25800000000001</v>
      </c>
      <c r="AW255" s="11">
        <f>IF(AND(ISNUMBER(AV255),ISNUMBER(AT255)),IF(AT255&lt;&gt;0,AV255/ABS(AT255),""),"")</f>
        <v>0.22427233045184311</v>
      </c>
      <c r="AX255" s="8">
        <v>0</v>
      </c>
      <c r="AY255" s="8">
        <v>1</v>
      </c>
      <c r="AZ255" s="10"/>
      <c r="BA255" s="8">
        <v>0</v>
      </c>
    </row>
    <row r="256" spans="1:53" x14ac:dyDescent="0.2">
      <c r="A256" s="8" t="s">
        <v>386</v>
      </c>
      <c r="B256" s="8" t="s">
        <v>83</v>
      </c>
      <c r="C256" s="8" t="s">
        <v>203</v>
      </c>
      <c r="D256" s="8">
        <v>1</v>
      </c>
      <c r="E256" s="8">
        <v>1</v>
      </c>
      <c r="F256" s="8">
        <f>SUM(G256:M256)</f>
        <v>1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1</v>
      </c>
      <c r="N256" s="8">
        <v>0</v>
      </c>
      <c r="O256" s="8">
        <v>0</v>
      </c>
      <c r="P256" s="8">
        <v>1</v>
      </c>
      <c r="Q256" s="8">
        <v>0</v>
      </c>
      <c r="R256" s="8">
        <v>0</v>
      </c>
      <c r="S256" s="8">
        <v>0</v>
      </c>
      <c r="T256" s="10">
        <v>-93.905000000000001</v>
      </c>
      <c r="U256" s="10">
        <v>-571.64700000000005</v>
      </c>
      <c r="V256" s="10">
        <v>-45.253999999999998</v>
      </c>
      <c r="W256" s="10">
        <f>IF(RIGHT(C256,2)="12",IF(ISNUMBER(T256),T256,""),IF(COUNT(T256,U256,V256)=3,T256+U256-V256,""))</f>
        <v>-620.298</v>
      </c>
      <c r="X256" s="10">
        <v>-620.298</v>
      </c>
      <c r="Y256" s="10">
        <v>3.7669999999999999</v>
      </c>
      <c r="Z256" s="10">
        <v>-19.067</v>
      </c>
      <c r="AA256" s="10">
        <v>-511.09300000000002</v>
      </c>
      <c r="AB256" s="10">
        <v>-93.905000000000001</v>
      </c>
      <c r="AC256" s="8">
        <v>0</v>
      </c>
      <c r="AD256" s="8">
        <v>0</v>
      </c>
      <c r="AE256" s="8">
        <v>0</v>
      </c>
      <c r="AF256" s="10">
        <v>0</v>
      </c>
      <c r="AG256" s="8">
        <f>COUNTIF(Y256:AB256,"&gt;0")</f>
        <v>1</v>
      </c>
      <c r="AH256" s="10">
        <v>0</v>
      </c>
      <c r="AI256" s="10">
        <v>3.7669999999999999</v>
      </c>
      <c r="AJ256" s="8" t="str">
        <f>IF(ISNUMBER(X256),IF(X256&gt;0,"+",IF(X256&lt;0,"−","0")),IF(ISNUMBER(W256),IF(W256&gt;0,"+",IF(W256&lt;0,"−","0")),"yok"))</f>
        <v>−</v>
      </c>
      <c r="AK256" s="10">
        <f>IF(AND(RIGHT(C256,2)&lt;&gt;"12",ISNUMBER(U256),ISNUMBER(V256)),U256-V256,"")</f>
        <v>-526.39300000000003</v>
      </c>
      <c r="AL256" s="11">
        <f>IF(AND(ISNUMBER(AK256),ISNUMBER(V256)),IF(V256&lt;&gt;0,AK256/ABS(V256),""),"")</f>
        <v>-11.631966235028949</v>
      </c>
      <c r="AM256" s="8">
        <f>IF(ISNUMBER(AK256),IF(AK256&gt;1,1,0),"")</f>
        <v>0</v>
      </c>
      <c r="AN256" s="8">
        <f>IF(ISNUMBER(AK256),IF(AK256&gt;0.05*ABS(V256),1,0),"")</f>
        <v>0</v>
      </c>
      <c r="AO256" s="10">
        <v>-620.298</v>
      </c>
      <c r="AP256" s="10">
        <v>620.298</v>
      </c>
      <c r="AQ256" s="8" t="s">
        <v>204</v>
      </c>
      <c r="AR256" s="8">
        <v>0</v>
      </c>
      <c r="AS256" s="10">
        <v>465.59199999999998</v>
      </c>
      <c r="AT256" s="10">
        <v>-359.74099999999999</v>
      </c>
      <c r="AU256" s="8" t="s">
        <v>204</v>
      </c>
      <c r="AV256" s="10">
        <v>3.7669999999999999</v>
      </c>
      <c r="AW256" s="11">
        <f>IF(AND(ISNUMBER(AV256),ISNUMBER(AT256)),IF(AT256&lt;&gt;0,AV256/ABS(AT256),""),"")</f>
        <v>1.0471422495628799E-2</v>
      </c>
      <c r="AX256" s="8">
        <v>0</v>
      </c>
      <c r="AY256" s="8">
        <v>0</v>
      </c>
      <c r="AZ256" s="10"/>
      <c r="BA256" s="8">
        <v>0</v>
      </c>
    </row>
    <row r="257" spans="1:53" x14ac:dyDescent="0.2">
      <c r="A257" s="8" t="s">
        <v>386</v>
      </c>
      <c r="B257" s="8" t="s">
        <v>83</v>
      </c>
      <c r="C257" s="8" t="s">
        <v>208</v>
      </c>
      <c r="D257" s="8">
        <v>1</v>
      </c>
      <c r="E257" s="8">
        <v>1</v>
      </c>
      <c r="F257" s="8">
        <f>SUM(G257:M257)</f>
        <v>1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1</v>
      </c>
      <c r="N257" s="8">
        <v>0</v>
      </c>
      <c r="O257" s="8">
        <v>0</v>
      </c>
      <c r="P257" s="8">
        <v>1</v>
      </c>
      <c r="Q257" s="8">
        <v>0</v>
      </c>
      <c r="R257" s="8">
        <v>0</v>
      </c>
      <c r="S257" s="8">
        <v>0</v>
      </c>
      <c r="T257" s="10">
        <v>-44.579000000000001</v>
      </c>
      <c r="U257" s="10">
        <v>-139.90799999999999</v>
      </c>
      <c r="V257" s="10">
        <v>-93.905000000000001</v>
      </c>
      <c r="W257" s="10">
        <f>IF(RIGHT(C257,2)="12",IF(ISNUMBER(T257),T257,""),IF(COUNT(T257,U257,V257)=3,T257+U257-V257,""))</f>
        <v>-90.581999999999994</v>
      </c>
      <c r="X257" s="10">
        <v>-90.581999999999994</v>
      </c>
      <c r="Y257" s="10">
        <v>11.804</v>
      </c>
      <c r="Z257" s="10">
        <v>-187.40299999999999</v>
      </c>
      <c r="AA257" s="10">
        <v>129.596</v>
      </c>
      <c r="AB257" s="10">
        <v>-44.579000000000001</v>
      </c>
      <c r="AC257" s="8">
        <v>0</v>
      </c>
      <c r="AD257" s="8">
        <v>0</v>
      </c>
      <c r="AE257" s="8">
        <v>0</v>
      </c>
      <c r="AF257" s="10">
        <v>0</v>
      </c>
      <c r="AG257" s="8">
        <f>COUNTIF(Y257:AB257,"&gt;0")</f>
        <v>2</v>
      </c>
      <c r="AH257" s="10">
        <v>0</v>
      </c>
      <c r="AI257" s="10">
        <v>141.4</v>
      </c>
      <c r="AJ257" s="8" t="str">
        <f>IF(ISNUMBER(X257),IF(X257&gt;0,"+",IF(X257&lt;0,"−","0")),IF(ISNUMBER(W257),IF(W257&gt;0,"+",IF(W257&lt;0,"−","0")),"yok"))</f>
        <v>−</v>
      </c>
      <c r="AK257" s="10">
        <f>IF(AND(RIGHT(C257,2)&lt;&gt;"12",ISNUMBER(U257),ISNUMBER(V257)),U257-V257,"")</f>
        <v>-46.002999999999986</v>
      </c>
      <c r="AL257" s="11">
        <f>IF(AND(ISNUMBER(AK257),ISNUMBER(V257)),IF(V257&lt;&gt;0,AK257/ABS(V257),""),"")</f>
        <v>-0.48988871732069628</v>
      </c>
      <c r="AM257" s="8">
        <f>IF(ISNUMBER(AK257),IF(AK257&gt;1,1,0),"")</f>
        <v>0</v>
      </c>
      <c r="AN257" s="8">
        <f>IF(ISNUMBER(AK257),IF(AK257&gt;0.05*ABS(V257),1,0),"")</f>
        <v>0</v>
      </c>
      <c r="AO257" s="10">
        <v>-90.582999999999998</v>
      </c>
      <c r="AP257" s="10">
        <v>90.582999999999998</v>
      </c>
      <c r="AQ257" s="8" t="s">
        <v>204</v>
      </c>
      <c r="AR257" s="8">
        <v>0</v>
      </c>
      <c r="AS257" s="10">
        <v>-60.908999999999999</v>
      </c>
      <c r="AT257" s="10">
        <v>-151.49199999999999</v>
      </c>
      <c r="AU257" s="8" t="s">
        <v>204</v>
      </c>
      <c r="AV257" s="10">
        <v>129.596</v>
      </c>
      <c r="AW257" s="11">
        <f>IF(AND(ISNUMBER(AV257),ISNUMBER(AT257)),IF(AT257&lt;&gt;0,AV257/ABS(AT257),""),"")</f>
        <v>0.855464314947324</v>
      </c>
      <c r="AX257" s="8">
        <v>0</v>
      </c>
      <c r="AY257" s="8">
        <v>0</v>
      </c>
      <c r="AZ257" s="10"/>
      <c r="BA257" s="8">
        <v>0</v>
      </c>
    </row>
    <row r="258" spans="1:53" x14ac:dyDescent="0.2">
      <c r="A258" s="8" t="s">
        <v>386</v>
      </c>
      <c r="B258" s="8" t="s">
        <v>83</v>
      </c>
      <c r="C258" s="8" t="s">
        <v>210</v>
      </c>
      <c r="D258" s="8">
        <v>1</v>
      </c>
      <c r="E258" s="8">
        <v>1</v>
      </c>
      <c r="F258" s="8">
        <f>SUM(G258:M258)</f>
        <v>1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1</v>
      </c>
      <c r="N258" s="8">
        <v>0</v>
      </c>
      <c r="O258" s="8">
        <v>0</v>
      </c>
      <c r="P258" s="8">
        <v>1</v>
      </c>
      <c r="Q258" s="8">
        <v>0</v>
      </c>
      <c r="R258" s="8">
        <v>0</v>
      </c>
      <c r="S258" s="8">
        <v>0</v>
      </c>
      <c r="T258" s="10">
        <v>-48.521999999999998</v>
      </c>
      <c r="U258" s="10">
        <v>-139.90799999999999</v>
      </c>
      <c r="V258" s="10">
        <v>-82.100999999999999</v>
      </c>
      <c r="W258" s="10">
        <f>IF(RIGHT(C258,2)="12",IF(ISNUMBER(T258),T258,""),IF(COUNT(T258,U258,V258)=3,T258+U258-V258,""))</f>
        <v>-106.32899999999998</v>
      </c>
      <c r="X258" s="10">
        <v>-106.32899999999999</v>
      </c>
      <c r="Y258" s="10">
        <v>-187.40299999999999</v>
      </c>
      <c r="Z258" s="10">
        <v>129.596</v>
      </c>
      <c r="AA258" s="10">
        <v>-44.579000000000001</v>
      </c>
      <c r="AB258" s="10">
        <v>-3.9420000000000002</v>
      </c>
      <c r="AC258" s="8">
        <v>0</v>
      </c>
      <c r="AD258" s="8">
        <v>0</v>
      </c>
      <c r="AE258" s="8">
        <v>0</v>
      </c>
      <c r="AF258" s="10">
        <v>0</v>
      </c>
      <c r="AG258" s="8">
        <f>COUNTIF(Y258:AB258,"&gt;0")</f>
        <v>1</v>
      </c>
      <c r="AH258" s="10">
        <v>0</v>
      </c>
      <c r="AI258" s="10">
        <v>129.596</v>
      </c>
      <c r="AJ258" s="8" t="str">
        <f>IF(ISNUMBER(X258),IF(X258&gt;0,"+",IF(X258&lt;0,"−","0")),IF(ISNUMBER(W258),IF(W258&gt;0,"+",IF(W258&lt;0,"−","0")),"yok"))</f>
        <v>−</v>
      </c>
      <c r="AK258" s="10">
        <f>IF(AND(RIGHT(C258,2)&lt;&gt;"12",ISNUMBER(U258),ISNUMBER(V258)),U258-V258,"")</f>
        <v>-57.806999999999988</v>
      </c>
      <c r="AL258" s="11">
        <f>IF(AND(ISNUMBER(AK258),ISNUMBER(V258)),IF(V258&lt;&gt;0,AK258/ABS(V258),""),"")</f>
        <v>-0.70409617422443072</v>
      </c>
      <c r="AM258" s="8">
        <f>IF(ISNUMBER(AK258),IF(AK258&gt;1,1,0),"")</f>
        <v>0</v>
      </c>
      <c r="AN258" s="8">
        <f>IF(ISNUMBER(AK258),IF(AK258&gt;0.05*ABS(V258),1,0),"")</f>
        <v>0</v>
      </c>
      <c r="AO258" s="10">
        <v>-106.32899999999999</v>
      </c>
      <c r="AP258" s="10">
        <v>106.32899999999999</v>
      </c>
      <c r="AQ258" s="8" t="s">
        <v>204</v>
      </c>
      <c r="AR258" s="8">
        <v>0</v>
      </c>
      <c r="AS258" s="10">
        <v>-501.22699999999998</v>
      </c>
      <c r="AT258" s="10">
        <v>-607.55600000000004</v>
      </c>
      <c r="AU258" s="8" t="s">
        <v>204</v>
      </c>
      <c r="AV258" s="10">
        <v>129.596</v>
      </c>
      <c r="AW258" s="11">
        <f>IF(AND(ISNUMBER(AV258),ISNUMBER(AT258)),IF(AT258&lt;&gt;0,AV258/ABS(AT258),""),"")</f>
        <v>0.21330708609576729</v>
      </c>
      <c r="AX258" s="8">
        <v>0</v>
      </c>
      <c r="AY258" s="8">
        <v>0</v>
      </c>
      <c r="AZ258" s="10"/>
      <c r="BA258" s="8">
        <v>0</v>
      </c>
    </row>
    <row r="259" spans="1:53" x14ac:dyDescent="0.2">
      <c r="A259" s="8" t="s">
        <v>387</v>
      </c>
      <c r="B259" s="8" t="s">
        <v>83</v>
      </c>
      <c r="C259" s="8" t="s">
        <v>203</v>
      </c>
      <c r="D259" s="8">
        <v>1</v>
      </c>
      <c r="E259" s="8">
        <v>1</v>
      </c>
      <c r="F259" s="8">
        <f>SUM(G259:M259)</f>
        <v>1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1</v>
      </c>
      <c r="N259" s="8">
        <v>0</v>
      </c>
      <c r="O259" s="8">
        <v>0</v>
      </c>
      <c r="P259" s="8">
        <v>1</v>
      </c>
      <c r="Q259" s="8">
        <v>0</v>
      </c>
      <c r="R259" s="8">
        <v>0</v>
      </c>
      <c r="S259" s="8">
        <v>0</v>
      </c>
      <c r="T259" s="10">
        <v>-202.08</v>
      </c>
      <c r="U259" s="10">
        <v>-1504.002</v>
      </c>
      <c r="V259" s="10">
        <v>-991.12400000000002</v>
      </c>
      <c r="W259" s="10">
        <f>IF(RIGHT(C259,2)="12",IF(ISNUMBER(T259),T259,""),IF(COUNT(T259,U259,V259)=3,T259+U259-V259,""))</f>
        <v>-714.95799999999986</v>
      </c>
      <c r="X259" s="10">
        <v>-714.95799999999997</v>
      </c>
      <c r="Y259" s="10">
        <v>553.40499999999997</v>
      </c>
      <c r="Z259" s="10">
        <v>-177.00800000000001</v>
      </c>
      <c r="AA259" s="10">
        <v>-889.274</v>
      </c>
      <c r="AB259" s="10">
        <v>-202.08</v>
      </c>
      <c r="AC259" s="8">
        <v>0</v>
      </c>
      <c r="AD259" s="8">
        <v>0</v>
      </c>
      <c r="AE259" s="8">
        <v>0</v>
      </c>
      <c r="AF259" s="10">
        <v>0</v>
      </c>
      <c r="AG259" s="8">
        <f>COUNTIF(Y259:AB259,"&gt;0")</f>
        <v>1</v>
      </c>
      <c r="AH259" s="10">
        <v>0</v>
      </c>
      <c r="AI259" s="10">
        <v>553.40499999999997</v>
      </c>
      <c r="AJ259" s="8" t="str">
        <f>IF(ISNUMBER(X259),IF(X259&gt;0,"+",IF(X259&lt;0,"−","0")),IF(ISNUMBER(W259),IF(W259&gt;0,"+",IF(W259&lt;0,"−","0")),"yok"))</f>
        <v>−</v>
      </c>
      <c r="AK259" s="10">
        <f>IF(AND(RIGHT(C259,2)&lt;&gt;"12",ISNUMBER(U259),ISNUMBER(V259)),U259-V259,"")</f>
        <v>-512.87799999999993</v>
      </c>
      <c r="AL259" s="11">
        <f>IF(AND(ISNUMBER(AK259),ISNUMBER(V259)),IF(V259&lt;&gt;0,AK259/ABS(V259),""),"")</f>
        <v>-0.51747107324613262</v>
      </c>
      <c r="AM259" s="8">
        <f>IF(ISNUMBER(AK259),IF(AK259&gt;1,1,0),"")</f>
        <v>0</v>
      </c>
      <c r="AN259" s="8">
        <f>IF(ISNUMBER(AK259),IF(AK259&gt;0.05*ABS(V259),1,0),"")</f>
        <v>0</v>
      </c>
      <c r="AO259" s="10">
        <v>-714.95799999999997</v>
      </c>
      <c r="AP259" s="10">
        <v>714.95799999999997</v>
      </c>
      <c r="AQ259" s="8" t="s">
        <v>204</v>
      </c>
      <c r="AR259" s="8">
        <v>0</v>
      </c>
      <c r="AS259" s="10">
        <v>1505.18</v>
      </c>
      <c r="AT259" s="10">
        <v>782.89599999999996</v>
      </c>
      <c r="AU259" s="8" t="s">
        <v>204</v>
      </c>
      <c r="AV259" s="10">
        <v>553.40499999999997</v>
      </c>
      <c r="AW259" s="11">
        <f>IF(AND(ISNUMBER(AV259),ISNUMBER(AT259)),IF(AT259&lt;&gt;0,AV259/ABS(AT259),""),"")</f>
        <v>0.7068691116061393</v>
      </c>
      <c r="AX259" s="8">
        <v>0</v>
      </c>
      <c r="AY259" s="8">
        <v>0</v>
      </c>
      <c r="AZ259" s="10"/>
      <c r="BA259" s="8">
        <v>0</v>
      </c>
    </row>
    <row r="260" spans="1:53" x14ac:dyDescent="0.2">
      <c r="A260" s="8" t="s">
        <v>388</v>
      </c>
      <c r="B260" s="8" t="s">
        <v>83</v>
      </c>
      <c r="C260" s="8" t="s">
        <v>208</v>
      </c>
      <c r="D260" s="8">
        <v>1</v>
      </c>
      <c r="E260" s="8">
        <v>1</v>
      </c>
      <c r="F260" s="8">
        <f>SUM(G260:M260)</f>
        <v>1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1</v>
      </c>
      <c r="N260" s="8">
        <v>0</v>
      </c>
      <c r="O260" s="8">
        <v>0</v>
      </c>
      <c r="P260" s="8">
        <v>1</v>
      </c>
      <c r="Q260" s="8">
        <v>0</v>
      </c>
      <c r="R260" s="8">
        <v>0</v>
      </c>
      <c r="S260" s="8">
        <v>0</v>
      </c>
      <c r="T260" s="10">
        <v>-8.7959999999999994</v>
      </c>
      <c r="U260" s="10">
        <v>-13.000999999999999</v>
      </c>
      <c r="V260" s="10">
        <v>-0.501</v>
      </c>
      <c r="W260" s="10">
        <f>IF(RIGHT(C260,2)="12",IF(ISNUMBER(T260),T260,""),IF(COUNT(T260,U260,V260)=3,T260+U260-V260,""))</f>
        <v>-21.295999999999996</v>
      </c>
      <c r="X260" s="10">
        <v>-21.295999999999999</v>
      </c>
      <c r="Y260" s="10">
        <v>-46.777999999999999</v>
      </c>
      <c r="Z260" s="10">
        <v>2.5179999999999998</v>
      </c>
      <c r="AA260" s="10">
        <v>31.76</v>
      </c>
      <c r="AB260" s="10">
        <v>-8.7959999999999994</v>
      </c>
      <c r="AC260" s="8">
        <v>0</v>
      </c>
      <c r="AD260" s="8">
        <v>0</v>
      </c>
      <c r="AE260" s="8">
        <v>0</v>
      </c>
      <c r="AF260" s="10">
        <v>0</v>
      </c>
      <c r="AG260" s="8">
        <f>COUNTIF(Y260:AB260,"&gt;0")</f>
        <v>2</v>
      </c>
      <c r="AH260" s="10">
        <v>0</v>
      </c>
      <c r="AI260" s="10">
        <v>34.277999999999999</v>
      </c>
      <c r="AJ260" s="8" t="str">
        <f>IF(ISNUMBER(X260),IF(X260&gt;0,"+",IF(X260&lt;0,"−","0")),IF(ISNUMBER(W260),IF(W260&gt;0,"+",IF(W260&lt;0,"−","0")),"yok"))</f>
        <v>−</v>
      </c>
      <c r="AK260" s="10">
        <f>IF(AND(RIGHT(C260,2)&lt;&gt;"12",ISNUMBER(U260),ISNUMBER(V260)),U260-V260,"")</f>
        <v>-12.5</v>
      </c>
      <c r="AL260" s="11">
        <f>IF(AND(ISNUMBER(AK260),ISNUMBER(V260)),IF(V260&lt;&gt;0,AK260/ABS(V260),""),"")</f>
        <v>-24.950099800399201</v>
      </c>
      <c r="AM260" s="8">
        <f>IF(ISNUMBER(AK260),IF(AK260&gt;1,1,0),"")</f>
        <v>0</v>
      </c>
      <c r="AN260" s="8">
        <f>IF(ISNUMBER(AK260),IF(AK260&gt;0.05*ABS(V260),1,0),"")</f>
        <v>0</v>
      </c>
      <c r="AO260" s="10">
        <v>-21.295000000000002</v>
      </c>
      <c r="AP260" s="10">
        <v>21.295000000000002</v>
      </c>
      <c r="AQ260" s="8" t="s">
        <v>204</v>
      </c>
      <c r="AR260" s="8">
        <v>0</v>
      </c>
      <c r="AS260" s="10">
        <v>-126.938</v>
      </c>
      <c r="AT260" s="10">
        <v>-148.233</v>
      </c>
      <c r="AU260" s="8" t="s">
        <v>204</v>
      </c>
      <c r="AV260" s="10">
        <v>31.76</v>
      </c>
      <c r="AW260" s="11">
        <f>IF(AND(ISNUMBER(AV260),ISNUMBER(AT260)),IF(AT260&lt;&gt;0,AV260/ABS(AT260),""),"")</f>
        <v>0.21425728414050854</v>
      </c>
      <c r="AX260" s="8">
        <v>0</v>
      </c>
      <c r="AY260" s="8">
        <v>0</v>
      </c>
      <c r="AZ260" s="10"/>
      <c r="BA260" s="8">
        <v>0</v>
      </c>
    </row>
    <row r="261" spans="1:53" x14ac:dyDescent="0.2">
      <c r="A261" s="8" t="s">
        <v>388</v>
      </c>
      <c r="B261" s="8" t="s">
        <v>83</v>
      </c>
      <c r="C261" s="8" t="s">
        <v>210</v>
      </c>
      <c r="D261" s="8">
        <v>1</v>
      </c>
      <c r="E261" s="8">
        <v>1</v>
      </c>
      <c r="F261" s="8">
        <f>SUM(G261:M261)</f>
        <v>3</v>
      </c>
      <c r="G261" s="8">
        <v>0</v>
      </c>
      <c r="H261" s="8">
        <v>0</v>
      </c>
      <c r="I261" s="8">
        <v>1</v>
      </c>
      <c r="J261" s="8">
        <v>0</v>
      </c>
      <c r="K261" s="8">
        <v>0</v>
      </c>
      <c r="L261" s="8">
        <v>1</v>
      </c>
      <c r="M261" s="8">
        <v>1</v>
      </c>
      <c r="N261" s="8">
        <v>1</v>
      </c>
      <c r="O261" s="8">
        <v>0</v>
      </c>
      <c r="P261" s="8">
        <v>1</v>
      </c>
      <c r="Q261" s="8">
        <v>0</v>
      </c>
      <c r="R261" s="8">
        <v>0</v>
      </c>
      <c r="S261" s="8">
        <v>0</v>
      </c>
      <c r="T261" s="10">
        <v>-18.091000000000001</v>
      </c>
      <c r="U261" s="10">
        <v>-13.000999999999999</v>
      </c>
      <c r="V261" s="10">
        <v>-47.279000000000003</v>
      </c>
      <c r="W261" s="10">
        <f>IF(RIGHT(C261,2)="12",IF(ISNUMBER(T261),T261,""),IF(COUNT(T261,U261,V261)=3,T261+U261-V261,""))</f>
        <v>16.187000000000005</v>
      </c>
      <c r="X261" s="10">
        <v>16.187000000000001</v>
      </c>
      <c r="Y261" s="10">
        <v>2.5179999999999998</v>
      </c>
      <c r="Z261" s="10">
        <v>31.76</v>
      </c>
      <c r="AA261" s="10">
        <v>-8.7959999999999994</v>
      </c>
      <c r="AB261" s="10">
        <v>-9.2940000000000005</v>
      </c>
      <c r="AC261" s="8">
        <v>0</v>
      </c>
      <c r="AD261" s="8">
        <v>0</v>
      </c>
      <c r="AE261" s="8">
        <v>0</v>
      </c>
      <c r="AF261" s="10">
        <v>0</v>
      </c>
      <c r="AG261" s="8">
        <f>COUNTIF(Y261:AB261,"&gt;0")</f>
        <v>2</v>
      </c>
      <c r="AH261" s="10">
        <v>0</v>
      </c>
      <c r="AI261" s="10">
        <v>34.277999999999999</v>
      </c>
      <c r="AJ261" s="8" t="str">
        <f>IF(ISNUMBER(X261),IF(X261&gt;0,"+",IF(X261&lt;0,"−","0")),IF(ISNUMBER(W261),IF(W261&gt;0,"+",IF(W261&lt;0,"−","0")),"yok"))</f>
        <v>+</v>
      </c>
      <c r="AK261" s="10">
        <f>IF(AND(RIGHT(C261,2)&lt;&gt;"12",ISNUMBER(U261),ISNUMBER(V261)),U261-V261,"")</f>
        <v>34.278000000000006</v>
      </c>
      <c r="AL261" s="11">
        <f>IF(AND(ISNUMBER(AK261),ISNUMBER(V261)),IF(V261&lt;&gt;0,AK261/ABS(V261),""),"")</f>
        <v>0.72501533450369093</v>
      </c>
      <c r="AM261" s="8">
        <f>IF(ISNUMBER(AK261),IF(AK261&gt;1,1,0),"")</f>
        <v>1</v>
      </c>
      <c r="AN261" s="8">
        <f>IF(ISNUMBER(AK261),IF(AK261&gt;0.05*ABS(V261),1,0),"")</f>
        <v>1</v>
      </c>
      <c r="AO261" s="10">
        <v>16.187999999999999</v>
      </c>
      <c r="AP261" s="10">
        <v>0</v>
      </c>
      <c r="AQ261" s="8" t="s">
        <v>204</v>
      </c>
      <c r="AR261" s="8">
        <v>1</v>
      </c>
      <c r="AS261" s="10">
        <v>-64.477000000000004</v>
      </c>
      <c r="AT261" s="10">
        <v>-64.477000000000004</v>
      </c>
      <c r="AU261" s="8" t="s">
        <v>204</v>
      </c>
      <c r="AV261" s="10">
        <v>34.277999999999999</v>
      </c>
      <c r="AW261" s="11">
        <f>IF(AND(ISNUMBER(AV261),ISNUMBER(AT261)),IF(AT261&lt;&gt;0,AV261/ABS(AT261),""),"")</f>
        <v>0.53163143446500294</v>
      </c>
      <c r="AX261" s="8">
        <v>0</v>
      </c>
      <c r="AY261" s="8">
        <v>1</v>
      </c>
      <c r="AZ261" s="10"/>
      <c r="BA261" s="8">
        <v>0</v>
      </c>
    </row>
    <row r="262" spans="1:53" x14ac:dyDescent="0.2">
      <c r="A262" s="8" t="s">
        <v>389</v>
      </c>
      <c r="B262" s="8" t="s">
        <v>83</v>
      </c>
      <c r="C262" s="8" t="s">
        <v>203</v>
      </c>
      <c r="D262" s="8">
        <v>1</v>
      </c>
      <c r="E262" s="8">
        <v>1</v>
      </c>
      <c r="F262" s="8">
        <f>SUM(G262:M262)</f>
        <v>1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1</v>
      </c>
      <c r="N262" s="8">
        <v>0</v>
      </c>
      <c r="O262" s="8">
        <v>0</v>
      </c>
      <c r="P262" s="8">
        <v>1</v>
      </c>
      <c r="Q262" s="8">
        <v>0</v>
      </c>
      <c r="R262" s="8">
        <v>0</v>
      </c>
      <c r="S262" s="8">
        <v>0</v>
      </c>
      <c r="T262" s="10">
        <v>-555.33100000000002</v>
      </c>
      <c r="U262" s="10">
        <v>-4043.6619999999998</v>
      </c>
      <c r="V262" s="10">
        <v>-1590.0989999999999</v>
      </c>
      <c r="W262" s="10">
        <f>IF(RIGHT(C262,2)="12",IF(ISNUMBER(T262),T262,""),IF(COUNT(T262,U262,V262)=3,T262+U262-V262,""))</f>
        <v>-3008.8939999999993</v>
      </c>
      <c r="X262" s="10">
        <v>-3008.8939999999998</v>
      </c>
      <c r="Y262" s="10">
        <v>917.43399999999997</v>
      </c>
      <c r="Z262" s="10">
        <v>-764.20699999999999</v>
      </c>
      <c r="AA262" s="10">
        <v>-2606.7890000000002</v>
      </c>
      <c r="AB262" s="10">
        <v>-555.33100000000002</v>
      </c>
      <c r="AC262" s="8">
        <v>0</v>
      </c>
      <c r="AD262" s="8">
        <v>0</v>
      </c>
      <c r="AE262" s="8">
        <v>0</v>
      </c>
      <c r="AF262" s="10">
        <v>0</v>
      </c>
      <c r="AG262" s="8">
        <f>COUNTIF(Y262:AB262,"&gt;0")</f>
        <v>1</v>
      </c>
      <c r="AH262" s="10">
        <v>0</v>
      </c>
      <c r="AI262" s="10">
        <v>917.43399999999997</v>
      </c>
      <c r="AJ262" s="8" t="str">
        <f>IF(ISNUMBER(X262),IF(X262&gt;0,"+",IF(X262&lt;0,"−","0")),IF(ISNUMBER(W262),IF(W262&gt;0,"+",IF(W262&lt;0,"−","0")),"yok"))</f>
        <v>−</v>
      </c>
      <c r="AK262" s="10">
        <f>IF(AND(RIGHT(C262,2)&lt;&gt;"12",ISNUMBER(U262),ISNUMBER(V262)),U262-V262,"")</f>
        <v>-2453.5630000000001</v>
      </c>
      <c r="AL262" s="11">
        <f>IF(AND(ISNUMBER(AK262),ISNUMBER(V262)),IF(V262&lt;&gt;0,AK262/ABS(V262),""),"")</f>
        <v>-1.5430253084870817</v>
      </c>
      <c r="AM262" s="8">
        <f>IF(ISNUMBER(AK262),IF(AK262&gt;1,1,0),"")</f>
        <v>0</v>
      </c>
      <c r="AN262" s="8">
        <f>IF(ISNUMBER(AK262),IF(AK262&gt;0.05*ABS(V262),1,0),"")</f>
        <v>0</v>
      </c>
      <c r="AO262" s="10">
        <v>-3008.895</v>
      </c>
      <c r="AP262" s="10">
        <v>3008.895</v>
      </c>
      <c r="AQ262" s="8" t="s">
        <v>204</v>
      </c>
      <c r="AR262" s="8">
        <v>0</v>
      </c>
      <c r="AS262" s="10">
        <v>-843.89700000000005</v>
      </c>
      <c r="AT262" s="10">
        <v>-3935.9549999999999</v>
      </c>
      <c r="AU262" s="8" t="s">
        <v>204</v>
      </c>
      <c r="AV262" s="10">
        <v>917.43399999999997</v>
      </c>
      <c r="AW262" s="11">
        <f>IF(AND(ISNUMBER(AV262),ISNUMBER(AT262)),IF(AT262&lt;&gt;0,AV262/ABS(AT262),""),"")</f>
        <v>0.23309057141151257</v>
      </c>
      <c r="AX262" s="8">
        <v>0</v>
      </c>
      <c r="AY262" s="8">
        <v>0</v>
      </c>
      <c r="AZ262" s="10"/>
      <c r="BA262" s="8">
        <v>0</v>
      </c>
    </row>
    <row r="263" spans="1:53" x14ac:dyDescent="0.2">
      <c r="A263" s="8" t="s">
        <v>390</v>
      </c>
      <c r="B263" s="8" t="s">
        <v>82</v>
      </c>
      <c r="C263" s="8" t="s">
        <v>203</v>
      </c>
      <c r="D263" s="8">
        <v>1</v>
      </c>
      <c r="E263" s="8">
        <v>1</v>
      </c>
      <c r="F263" s="8">
        <f>SUM(G263:M263)</f>
        <v>1</v>
      </c>
      <c r="G263" s="8">
        <v>1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1</v>
      </c>
      <c r="O263" s="8">
        <v>1</v>
      </c>
      <c r="P263" s="8">
        <v>1</v>
      </c>
      <c r="Q263" s="8">
        <v>0</v>
      </c>
      <c r="R263" s="8">
        <v>0</v>
      </c>
      <c r="S263" s="8">
        <v>0</v>
      </c>
      <c r="T263" s="10">
        <v>60.944000000000003</v>
      </c>
      <c r="U263" s="10">
        <v>-4.0279999999999996</v>
      </c>
      <c r="V263" s="10">
        <v>-1.157</v>
      </c>
      <c r="W263" s="10">
        <f>IF(RIGHT(C263,2)="12",IF(ISNUMBER(T263),T263,""),IF(COUNT(T263,U263,V263)=3,T263+U263-V263,""))</f>
        <v>58.073000000000008</v>
      </c>
      <c r="X263" s="10">
        <v>58.073</v>
      </c>
      <c r="Y263" s="10">
        <v>0.157</v>
      </c>
      <c r="Z263" s="10">
        <v>-0.4</v>
      </c>
      <c r="AA263" s="10">
        <v>-2.6280000000000001</v>
      </c>
      <c r="AB263" s="10">
        <v>60.944000000000003</v>
      </c>
      <c r="AC263" s="8">
        <v>1</v>
      </c>
      <c r="AD263" s="8">
        <v>0</v>
      </c>
      <c r="AE263" s="8">
        <v>0</v>
      </c>
      <c r="AF263" s="10">
        <v>60.944000000000003</v>
      </c>
      <c r="AG263" s="8">
        <f>COUNTIF(Y263:AB263,"&gt;0")</f>
        <v>2</v>
      </c>
      <c r="AH263" s="10">
        <v>0</v>
      </c>
      <c r="AI263" s="10">
        <v>0.157</v>
      </c>
      <c r="AJ263" s="8" t="str">
        <f>IF(ISNUMBER(X263),IF(X263&gt;0,"+",IF(X263&lt;0,"−","0")),IF(ISNUMBER(W263),IF(W263&gt;0,"+",IF(W263&lt;0,"−","0")),"yok"))</f>
        <v>+</v>
      </c>
      <c r="AK263" s="10">
        <f>IF(AND(RIGHT(C263,2)&lt;&gt;"12",ISNUMBER(U263),ISNUMBER(V263)),U263-V263,"")</f>
        <v>-2.8709999999999996</v>
      </c>
      <c r="AL263" s="11">
        <f>IF(AND(ISNUMBER(AK263),ISNUMBER(V263)),IF(V263&lt;&gt;0,AK263/ABS(V263),""),"")</f>
        <v>-2.4814174589455482</v>
      </c>
      <c r="AM263" s="8">
        <f>IF(ISNUMBER(AK263),IF(AK263&gt;1,1,0),"")</f>
        <v>0</v>
      </c>
      <c r="AN263" s="8">
        <f>IF(ISNUMBER(AK263),IF(AK263&gt;0.05*ABS(V263),1,0),"")</f>
        <v>0</v>
      </c>
      <c r="AO263" s="10">
        <v>58.073999999999998</v>
      </c>
      <c r="AP263" s="10">
        <v>0</v>
      </c>
      <c r="AQ263" s="8" t="s">
        <v>204</v>
      </c>
      <c r="AR263" s="8">
        <v>1</v>
      </c>
      <c r="AS263" s="10">
        <v>-1139.086</v>
      </c>
      <c r="AT263" s="10">
        <v>-1329.393</v>
      </c>
      <c r="AU263" s="8" t="s">
        <v>204</v>
      </c>
      <c r="AV263" s="10">
        <v>60.944000000000003</v>
      </c>
      <c r="AW263" s="11">
        <f>IF(AND(ISNUMBER(AV263),ISNUMBER(AT263)),IF(AT263&lt;&gt;0,AV263/ABS(AT263),""),"")</f>
        <v>4.5843478941140804E-2</v>
      </c>
      <c r="AX263" s="8">
        <v>1</v>
      </c>
      <c r="AY263" s="8">
        <v>0</v>
      </c>
      <c r="AZ263" s="8" t="s">
        <v>391</v>
      </c>
      <c r="BA263" s="8">
        <v>1</v>
      </c>
    </row>
    <row r="264" spans="1:53" x14ac:dyDescent="0.2">
      <c r="A264" s="8" t="s">
        <v>390</v>
      </c>
      <c r="B264" s="8" t="s">
        <v>82</v>
      </c>
      <c r="C264" s="8" t="s">
        <v>205</v>
      </c>
      <c r="D264" s="8">
        <v>1</v>
      </c>
      <c r="E264" s="8">
        <v>1</v>
      </c>
      <c r="F264" s="8">
        <f>SUM(G264:M264)</f>
        <v>1</v>
      </c>
      <c r="G264" s="8">
        <v>1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1</v>
      </c>
      <c r="O264" s="8">
        <v>1</v>
      </c>
      <c r="P264" s="8">
        <v>1</v>
      </c>
      <c r="Q264" s="8">
        <v>0</v>
      </c>
      <c r="R264" s="8">
        <v>0</v>
      </c>
      <c r="S264" s="8">
        <v>1</v>
      </c>
      <c r="T264" s="10">
        <v>94.757000000000005</v>
      </c>
      <c r="U264" s="10">
        <v>-4.0279999999999996</v>
      </c>
      <c r="V264" s="10">
        <v>-0.999</v>
      </c>
      <c r="W264" s="10">
        <f>IF(RIGHT(C264,2)="12",IF(ISNUMBER(T264),T264,""),IF(COUNT(T264,U264,V264)=3,T264+U264-V264,""))</f>
        <v>91.727999999999994</v>
      </c>
      <c r="X264" s="10">
        <v>91.727999999999994</v>
      </c>
      <c r="Y264" s="10">
        <v>-0.4</v>
      </c>
      <c r="Z264" s="10">
        <v>-2.6280000000000001</v>
      </c>
      <c r="AA264" s="10">
        <v>60.944000000000003</v>
      </c>
      <c r="AB264" s="10">
        <v>33.811999999999998</v>
      </c>
      <c r="AC264" s="8">
        <v>1</v>
      </c>
      <c r="AD264" s="8">
        <v>0</v>
      </c>
      <c r="AE264" s="8">
        <v>0</v>
      </c>
      <c r="AF264" s="10">
        <v>94.757000000000005</v>
      </c>
      <c r="AG264" s="8">
        <f>COUNTIF(Y264:AB264,"&gt;0")</f>
        <v>2</v>
      </c>
      <c r="AH264" s="10">
        <v>33.811999999999998</v>
      </c>
      <c r="AI264" s="10">
        <v>0</v>
      </c>
      <c r="AJ264" s="8" t="str">
        <f>IF(ISNUMBER(X264),IF(X264&gt;0,"+",IF(X264&lt;0,"−","0")),IF(ISNUMBER(W264),IF(W264&gt;0,"+",IF(W264&lt;0,"−","0")),"yok"))</f>
        <v>+</v>
      </c>
      <c r="AK264" s="10">
        <f>IF(AND(RIGHT(C264,2)&lt;&gt;"12",ISNUMBER(U264),ISNUMBER(V264)),U264-V264,"")</f>
        <v>-3.0289999999999995</v>
      </c>
      <c r="AL264" s="11">
        <f>IF(AND(ISNUMBER(AK264),ISNUMBER(V264)),IF(V264&lt;&gt;0,AK264/ABS(V264),""),"")</f>
        <v>-3.0320320320320313</v>
      </c>
      <c r="AM264" s="8">
        <f>IF(ISNUMBER(AK264),IF(AK264&gt;1,1,0),"")</f>
        <v>0</v>
      </c>
      <c r="AN264" s="8">
        <f>IF(ISNUMBER(AK264),IF(AK264&gt;0.05*ABS(V264),1,0),"")</f>
        <v>0</v>
      </c>
      <c r="AO264" s="10">
        <v>91.728999999999999</v>
      </c>
      <c r="AP264" s="10">
        <v>0</v>
      </c>
      <c r="AQ264" s="8" t="s">
        <v>204</v>
      </c>
      <c r="AR264" s="8">
        <v>1</v>
      </c>
      <c r="AS264" s="10">
        <v>-1030.5640000000001</v>
      </c>
      <c r="AT264" s="10">
        <v>-1126.4949999999999</v>
      </c>
      <c r="AU264" s="8" t="s">
        <v>204</v>
      </c>
      <c r="AV264" s="10">
        <v>94.757000000000005</v>
      </c>
      <c r="AW264" s="11">
        <f>IF(AND(ISNUMBER(AV264),ISNUMBER(AT264)),IF(AT264&lt;&gt;0,AV264/ABS(AT264),""),"")</f>
        <v>8.4116662745950949E-2</v>
      </c>
      <c r="AX264" s="8">
        <v>1</v>
      </c>
      <c r="AY264" s="8">
        <v>0</v>
      </c>
      <c r="AZ264" s="8" t="s">
        <v>392</v>
      </c>
      <c r="BA264" s="8">
        <v>1</v>
      </c>
    </row>
    <row r="265" spans="1:53" x14ac:dyDescent="0.2">
      <c r="A265" s="8" t="s">
        <v>390</v>
      </c>
      <c r="B265" s="8" t="s">
        <v>82</v>
      </c>
      <c r="C265" s="8" t="s">
        <v>215</v>
      </c>
      <c r="D265" s="8">
        <v>1</v>
      </c>
      <c r="E265" s="8">
        <v>1</v>
      </c>
      <c r="F265" s="8">
        <f>SUM(G265:M265)</f>
        <v>1</v>
      </c>
      <c r="G265" s="8">
        <v>1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1</v>
      </c>
      <c r="O265" s="8">
        <v>1</v>
      </c>
      <c r="P265" s="8">
        <v>1</v>
      </c>
      <c r="Q265" s="8">
        <v>0</v>
      </c>
      <c r="R265" s="8">
        <v>0</v>
      </c>
      <c r="S265" s="8">
        <v>1</v>
      </c>
      <c r="T265" s="10">
        <v>136.137</v>
      </c>
      <c r="U265" s="10">
        <v>-4.0279999999999996</v>
      </c>
      <c r="V265" s="10">
        <v>-1.399</v>
      </c>
      <c r="W265" s="10">
        <f>IF(RIGHT(C265,2)="12",IF(ISNUMBER(T265),T265,""),IF(COUNT(T265,U265,V265)=3,T265+U265-V265,""))</f>
        <v>133.50800000000001</v>
      </c>
      <c r="X265" s="10">
        <v>133.50899999999999</v>
      </c>
      <c r="Y265" s="10">
        <v>-2.6280000000000001</v>
      </c>
      <c r="Z265" s="10">
        <v>60.944000000000003</v>
      </c>
      <c r="AA265" s="10">
        <v>33.811999999999998</v>
      </c>
      <c r="AB265" s="10">
        <v>41.38</v>
      </c>
      <c r="AC265" s="8">
        <v>1</v>
      </c>
      <c r="AD265" s="8">
        <v>0</v>
      </c>
      <c r="AE265" s="8">
        <v>0</v>
      </c>
      <c r="AF265" s="10">
        <v>136.137</v>
      </c>
      <c r="AG265" s="8">
        <f>COUNTIF(Y265:AB265,"&gt;0")</f>
        <v>3</v>
      </c>
      <c r="AH265" s="10">
        <v>75.191999999999993</v>
      </c>
      <c r="AI265" s="10">
        <v>0</v>
      </c>
      <c r="AJ265" s="8" t="str">
        <f>IF(ISNUMBER(X265),IF(X265&gt;0,"+",IF(X265&lt;0,"−","0")),IF(ISNUMBER(W265),IF(W265&gt;0,"+",IF(W265&lt;0,"−","0")),"yok"))</f>
        <v>+</v>
      </c>
      <c r="AK265" s="10">
        <f>IF(AND(RIGHT(C265,2)&lt;&gt;"12",ISNUMBER(U265),ISNUMBER(V265)),U265-V265,"")</f>
        <v>-2.6289999999999996</v>
      </c>
      <c r="AL265" s="11">
        <f>IF(AND(ISNUMBER(AK265),ISNUMBER(V265)),IF(V265&lt;&gt;0,AK265/ABS(V265),""),"")</f>
        <v>-1.8791994281629731</v>
      </c>
      <c r="AM265" s="8">
        <f>IF(ISNUMBER(AK265),IF(AK265&gt;1,1,0),"")</f>
        <v>0</v>
      </c>
      <c r="AN265" s="8">
        <f>IF(ISNUMBER(AK265),IF(AK265&gt;0.05*ABS(V265),1,0),"")</f>
        <v>0</v>
      </c>
      <c r="AO265" s="10">
        <v>133.51</v>
      </c>
      <c r="AP265" s="10">
        <v>0</v>
      </c>
      <c r="AQ265" s="8" t="s">
        <v>204</v>
      </c>
      <c r="AR265" s="8">
        <v>1</v>
      </c>
      <c r="AS265" s="10">
        <v>-1067.9380000000001</v>
      </c>
      <c r="AT265" s="10">
        <v>-1161.239</v>
      </c>
      <c r="AU265" s="8" t="s">
        <v>204</v>
      </c>
      <c r="AV265" s="10">
        <v>136.137</v>
      </c>
      <c r="AW265" s="11">
        <f>IF(AND(ISNUMBER(AV265),ISNUMBER(AT265)),IF(AT265&lt;&gt;0,AV265/ABS(AT265),""),"")</f>
        <v>0.11723426443651995</v>
      </c>
      <c r="AX265" s="8">
        <v>1</v>
      </c>
      <c r="AY265" s="8">
        <v>0</v>
      </c>
      <c r="AZ265" s="8" t="s">
        <v>393</v>
      </c>
      <c r="BA265" s="8">
        <v>1</v>
      </c>
    </row>
    <row r="266" spans="1:53" x14ac:dyDescent="0.2">
      <c r="A266" s="8" t="s">
        <v>390</v>
      </c>
      <c r="B266" s="8" t="s">
        <v>82</v>
      </c>
      <c r="C266" s="8" t="s">
        <v>290</v>
      </c>
      <c r="D266" s="8">
        <v>1</v>
      </c>
      <c r="E266" s="8">
        <v>1</v>
      </c>
      <c r="F266" s="8">
        <f>SUM(G266:M266)</f>
        <v>1</v>
      </c>
      <c r="G266" s="8">
        <v>1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1</v>
      </c>
      <c r="O266" s="8">
        <v>1</v>
      </c>
      <c r="P266" s="8">
        <v>1</v>
      </c>
      <c r="Q266" s="8">
        <v>0</v>
      </c>
      <c r="R266" s="8">
        <v>0</v>
      </c>
      <c r="S266" s="8">
        <v>1</v>
      </c>
      <c r="T266" s="10">
        <v>158.059</v>
      </c>
      <c r="U266" s="10"/>
      <c r="V266" s="10"/>
      <c r="W266" s="10">
        <f>IF(RIGHT(C266,2)="12",IF(ISNUMBER(T266),T266,""),IF(COUNT(T266,U266,V266)=3,T266+U266-V266,""))</f>
        <v>158.059</v>
      </c>
      <c r="X266" s="10">
        <v>158.059</v>
      </c>
      <c r="Y266" s="10">
        <v>60.944000000000003</v>
      </c>
      <c r="Z266" s="10">
        <v>33.811999999999998</v>
      </c>
      <c r="AA266" s="10">
        <v>41.38</v>
      </c>
      <c r="AB266" s="10">
        <v>21.920999999999999</v>
      </c>
      <c r="AC266" s="8">
        <v>1</v>
      </c>
      <c r="AD266" s="8">
        <v>0</v>
      </c>
      <c r="AE266" s="8">
        <v>0</v>
      </c>
      <c r="AF266" s="10">
        <v>158.059</v>
      </c>
      <c r="AG266" s="8">
        <f>COUNTIF(Y266:AB266,"&gt;0")</f>
        <v>4</v>
      </c>
      <c r="AH266" s="10">
        <v>97.113</v>
      </c>
      <c r="AI266" s="10">
        <v>0</v>
      </c>
      <c r="AJ266" s="8" t="str">
        <f>IF(ISNUMBER(X266),IF(X266&gt;0,"+",IF(X266&lt;0,"−","0")),IF(ISNUMBER(W266),IF(W266&gt;0,"+",IF(W266&lt;0,"−","0")),"yok"))</f>
        <v>+</v>
      </c>
      <c r="AK266" s="10" t="str">
        <f>IF(AND(RIGHT(C266,2)&lt;&gt;"12",ISNUMBER(U266),ISNUMBER(V266)),U266-V266,"")</f>
        <v/>
      </c>
      <c r="AL266" s="11" t="str">
        <f>IF(AND(ISNUMBER(AK266),ISNUMBER(V266)),IF(V266&lt;&gt;0,AK266/ABS(V266),""),"")</f>
        <v/>
      </c>
      <c r="AM266" s="8" t="str">
        <f>IF(ISNUMBER(AK266),IF(AK266&gt;1,1,0),"")</f>
        <v/>
      </c>
      <c r="AN266" s="8" t="str">
        <f>IF(ISNUMBER(AK266),IF(AK266&gt;0.05*ABS(V266),1,0),"")</f>
        <v/>
      </c>
      <c r="AO266" s="10">
        <v>158.059</v>
      </c>
      <c r="AP266" s="10">
        <v>0</v>
      </c>
      <c r="AQ266" s="8" t="s">
        <v>204</v>
      </c>
      <c r="AR266" s="8">
        <v>1</v>
      </c>
      <c r="AS266" s="10">
        <v>-803.93399999999997</v>
      </c>
      <c r="AT266" s="10">
        <v>-970.06799999999998</v>
      </c>
      <c r="AU266" s="8" t="s">
        <v>204</v>
      </c>
      <c r="AV266" s="10">
        <v>158.059</v>
      </c>
      <c r="AW266" s="11">
        <f>IF(AND(ISNUMBER(AV266),ISNUMBER(AT266)),IF(AT266&lt;&gt;0,AV266/ABS(AT266),""),"")</f>
        <v>0.16293600036286116</v>
      </c>
      <c r="AX266" s="8">
        <v>1</v>
      </c>
      <c r="AY266" s="8">
        <v>0</v>
      </c>
      <c r="AZ266" s="8" t="s">
        <v>394</v>
      </c>
      <c r="BA266" s="8">
        <v>1</v>
      </c>
    </row>
    <row r="267" spans="1:53" x14ac:dyDescent="0.2">
      <c r="A267" s="8" t="s">
        <v>390</v>
      </c>
      <c r="B267" s="8" t="s">
        <v>82</v>
      </c>
      <c r="C267" s="8" t="s">
        <v>208</v>
      </c>
      <c r="D267" s="8">
        <v>1</v>
      </c>
      <c r="E267" s="8">
        <v>1</v>
      </c>
      <c r="F267" s="8">
        <f>SUM(G267:M267)</f>
        <v>1</v>
      </c>
      <c r="G267" s="8">
        <v>1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1</v>
      </c>
      <c r="O267" s="8">
        <v>1</v>
      </c>
      <c r="P267" s="8">
        <v>1</v>
      </c>
      <c r="Q267" s="8">
        <v>1</v>
      </c>
      <c r="R267" s="8">
        <v>1</v>
      </c>
      <c r="S267" s="8">
        <v>0</v>
      </c>
      <c r="T267" s="10">
        <v>51.347999999999999</v>
      </c>
      <c r="U267" s="10">
        <v>158.059</v>
      </c>
      <c r="V267" s="10">
        <v>60.944000000000003</v>
      </c>
      <c r="W267" s="10">
        <f>IF(RIGHT(C267,2)="12",IF(ISNUMBER(T267),T267,""),IF(COUNT(T267,U267,V267)=3,T267+U267-V267,""))</f>
        <v>148.46299999999997</v>
      </c>
      <c r="X267" s="10">
        <v>148.46299999999999</v>
      </c>
      <c r="Y267" s="10">
        <v>33.811999999999998</v>
      </c>
      <c r="Z267" s="10">
        <v>41.38</v>
      </c>
      <c r="AA267" s="10">
        <v>21.920999999999999</v>
      </c>
      <c r="AB267" s="10">
        <v>51.347999999999999</v>
      </c>
      <c r="AC267" s="8">
        <v>1</v>
      </c>
      <c r="AD267" s="8">
        <v>1</v>
      </c>
      <c r="AE267" s="8">
        <v>1</v>
      </c>
      <c r="AF267" s="10">
        <v>158.059</v>
      </c>
      <c r="AG267" s="8">
        <f>COUNTIF(Y267:AB267,"&gt;0")</f>
        <v>4</v>
      </c>
      <c r="AH267" s="10">
        <v>0</v>
      </c>
      <c r="AI267" s="10">
        <v>97.113</v>
      </c>
      <c r="AJ267" s="8" t="str">
        <f>IF(ISNUMBER(X267),IF(X267&gt;0,"+",IF(X267&lt;0,"−","0")),IF(ISNUMBER(W267),IF(W267&gt;0,"+",IF(W267&lt;0,"−","0")),"yok"))</f>
        <v>+</v>
      </c>
      <c r="AK267" s="10">
        <f>IF(AND(RIGHT(C267,2)&lt;&gt;"12",ISNUMBER(U267),ISNUMBER(V267)),U267-V267,"")</f>
        <v>97.114999999999995</v>
      </c>
      <c r="AL267" s="11">
        <f>IF(AND(ISNUMBER(AK267),ISNUMBER(V267)),IF(V267&lt;&gt;0,AK267/ABS(V267),""),"")</f>
        <v>1.5935120766605406</v>
      </c>
      <c r="AM267" s="8">
        <f>IF(ISNUMBER(AK267),IF(AK267&gt;1,1,0),"")</f>
        <v>1</v>
      </c>
      <c r="AN267" s="8">
        <f>IF(ISNUMBER(AK267),IF(AK267&gt;0.05*ABS(V267),1,0),"")</f>
        <v>1</v>
      </c>
      <c r="AO267" s="10">
        <v>148.46299999999999</v>
      </c>
      <c r="AP267" s="10">
        <v>0</v>
      </c>
      <c r="AQ267" s="8" t="s">
        <v>204</v>
      </c>
      <c r="AR267" s="8">
        <v>1</v>
      </c>
      <c r="AS267" s="10">
        <v>-581.74900000000002</v>
      </c>
      <c r="AT267" s="10">
        <v>-721.54700000000003</v>
      </c>
      <c r="AU267" s="8" t="s">
        <v>204</v>
      </c>
      <c r="AV267" s="10">
        <v>158.059</v>
      </c>
      <c r="AW267" s="11">
        <f>IF(AND(ISNUMBER(AV267),ISNUMBER(AT267)),IF(AT267&lt;&gt;0,AV267/ABS(AT267),""),"")</f>
        <v>0.2190557233277943</v>
      </c>
      <c r="AX267" s="8">
        <v>1</v>
      </c>
      <c r="AY267" s="8">
        <v>0</v>
      </c>
      <c r="AZ267" s="8" t="s">
        <v>395</v>
      </c>
      <c r="BA267" s="8">
        <v>1</v>
      </c>
    </row>
    <row r="268" spans="1:53" x14ac:dyDescent="0.2">
      <c r="A268" s="8" t="s">
        <v>390</v>
      </c>
      <c r="B268" s="8" t="s">
        <v>82</v>
      </c>
      <c r="C268" s="8" t="s">
        <v>210</v>
      </c>
      <c r="D268" s="8">
        <v>1</v>
      </c>
      <c r="E268" s="8">
        <v>1</v>
      </c>
      <c r="F268" s="8">
        <f>SUM(G268:M268)</f>
        <v>1</v>
      </c>
      <c r="G268" s="8">
        <v>1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1</v>
      </c>
      <c r="O268" s="8">
        <v>1</v>
      </c>
      <c r="P268" s="8">
        <v>1</v>
      </c>
      <c r="Q268" s="8">
        <v>1</v>
      </c>
      <c r="R268" s="8">
        <v>1</v>
      </c>
      <c r="S268" s="8">
        <v>1</v>
      </c>
      <c r="T268" s="10">
        <v>84.900999999999996</v>
      </c>
      <c r="U268" s="10">
        <v>158.059</v>
      </c>
      <c r="V268" s="10">
        <v>94.757000000000005</v>
      </c>
      <c r="W268" s="10">
        <f>IF(RIGHT(C268,2)="12",IF(ISNUMBER(T268),T268,""),IF(COUNT(T268,U268,V268)=3,T268+U268-V268,""))</f>
        <v>148.20299999999997</v>
      </c>
      <c r="X268" s="10">
        <v>148.203</v>
      </c>
      <c r="Y268" s="10">
        <v>41.38</v>
      </c>
      <c r="Z268" s="10">
        <v>21.920999999999999</v>
      </c>
      <c r="AA268" s="10">
        <v>51.347999999999999</v>
      </c>
      <c r="AB268" s="10">
        <v>33.552</v>
      </c>
      <c r="AC268" s="8">
        <v>1</v>
      </c>
      <c r="AD268" s="8">
        <v>1</v>
      </c>
      <c r="AE268" s="8">
        <v>1</v>
      </c>
      <c r="AF268" s="10">
        <v>158.059</v>
      </c>
      <c r="AG268" s="8">
        <f>COUNTIF(Y268:AB268,"&gt;0")</f>
        <v>4</v>
      </c>
      <c r="AH268" s="10">
        <v>33.552</v>
      </c>
      <c r="AI268" s="10">
        <v>63.301000000000002</v>
      </c>
      <c r="AJ268" s="8" t="str">
        <f>IF(ISNUMBER(X268),IF(X268&gt;0,"+",IF(X268&lt;0,"−","0")),IF(ISNUMBER(W268),IF(W268&gt;0,"+",IF(W268&lt;0,"−","0")),"yok"))</f>
        <v>+</v>
      </c>
      <c r="AK268" s="10">
        <f>IF(AND(RIGHT(C268,2)&lt;&gt;"12",ISNUMBER(U268),ISNUMBER(V268)),U268-V268,"")</f>
        <v>63.301999999999992</v>
      </c>
      <c r="AL268" s="11">
        <f>IF(AND(ISNUMBER(AK268),ISNUMBER(V268)),IF(V268&lt;&gt;0,AK268/ABS(V268),""),"")</f>
        <v>0.66804563251263749</v>
      </c>
      <c r="AM268" s="8">
        <f>IF(ISNUMBER(AK268),IF(AK268&gt;1,1,0),"")</f>
        <v>1</v>
      </c>
      <c r="AN268" s="8">
        <f>IF(ISNUMBER(AK268),IF(AK268&gt;0.05*ABS(V268),1,0),"")</f>
        <v>1</v>
      </c>
      <c r="AO268" s="10">
        <v>148.20400000000001</v>
      </c>
      <c r="AP268" s="10">
        <v>0</v>
      </c>
      <c r="AQ268" s="8" t="s">
        <v>204</v>
      </c>
      <c r="AR268" s="8">
        <v>1</v>
      </c>
      <c r="AS268" s="10">
        <v>-687.53099999999995</v>
      </c>
      <c r="AT268" s="10">
        <v>-861.221</v>
      </c>
      <c r="AU268" s="8" t="s">
        <v>204</v>
      </c>
      <c r="AV268" s="10">
        <v>158.059</v>
      </c>
      <c r="AW268" s="11">
        <f>IF(AND(ISNUMBER(AV268),ISNUMBER(AT268)),IF(AT268&lt;&gt;0,AV268/ABS(AT268),""),"")</f>
        <v>0.18352896643254171</v>
      </c>
      <c r="AX268" s="8">
        <v>1</v>
      </c>
      <c r="AY268" s="8">
        <v>0</v>
      </c>
      <c r="AZ268" s="8" t="s">
        <v>396</v>
      </c>
      <c r="BA268" s="8">
        <v>1</v>
      </c>
    </row>
    <row r="269" spans="1:53" x14ac:dyDescent="0.2">
      <c r="A269" s="8" t="s">
        <v>397</v>
      </c>
      <c r="B269" s="8" t="s">
        <v>83</v>
      </c>
      <c r="C269" s="8" t="s">
        <v>203</v>
      </c>
      <c r="D269" s="8">
        <v>1</v>
      </c>
      <c r="E269" s="8">
        <v>1</v>
      </c>
      <c r="F269" s="8">
        <f>SUM(G269:M269)</f>
        <v>1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1</v>
      </c>
      <c r="N269" s="8">
        <v>0</v>
      </c>
      <c r="O269" s="8">
        <v>0</v>
      </c>
      <c r="P269" s="8">
        <v>1</v>
      </c>
      <c r="Q269" s="8">
        <v>0</v>
      </c>
      <c r="R269" s="8">
        <v>0</v>
      </c>
      <c r="S269" s="8">
        <v>0</v>
      </c>
      <c r="T269" s="10">
        <v>-32.771000000000001</v>
      </c>
      <c r="U269" s="10">
        <v>-323.44499999999999</v>
      </c>
      <c r="V269" s="10">
        <v>-6.5869999999999997</v>
      </c>
      <c r="W269" s="10">
        <f>IF(RIGHT(C269,2)="12",IF(ISNUMBER(T269),T269,""),IF(COUNT(T269,U269,V269)=3,T269+U269-V269,""))</f>
        <v>-349.62900000000002</v>
      </c>
      <c r="X269" s="10">
        <v>-349.62900000000002</v>
      </c>
      <c r="Y269" s="10">
        <v>4.3289999999999997</v>
      </c>
      <c r="Z269" s="10">
        <v>-732.76099999999997</v>
      </c>
      <c r="AA269" s="10">
        <v>411.57299999999998</v>
      </c>
      <c r="AB269" s="10">
        <v>-32.771000000000001</v>
      </c>
      <c r="AC269" s="8">
        <v>0</v>
      </c>
      <c r="AD269" s="8">
        <v>0</v>
      </c>
      <c r="AE269" s="8">
        <v>0</v>
      </c>
      <c r="AF269" s="10">
        <v>0</v>
      </c>
      <c r="AG269" s="8">
        <f>COUNTIF(Y269:AB269,"&gt;0")</f>
        <v>2</v>
      </c>
      <c r="AH269" s="10">
        <v>0</v>
      </c>
      <c r="AI269" s="10">
        <v>415.90199999999999</v>
      </c>
      <c r="AJ269" s="8" t="str">
        <f>IF(ISNUMBER(X269),IF(X269&gt;0,"+",IF(X269&lt;0,"−","0")),IF(ISNUMBER(W269),IF(W269&gt;0,"+",IF(W269&lt;0,"−","0")),"yok"))</f>
        <v>−</v>
      </c>
      <c r="AK269" s="10">
        <f>IF(AND(RIGHT(C269,2)&lt;&gt;"12",ISNUMBER(U269),ISNUMBER(V269)),U269-V269,"")</f>
        <v>-316.858</v>
      </c>
      <c r="AL269" s="11">
        <f>IF(AND(ISNUMBER(AK269),ISNUMBER(V269)),IF(V269&lt;&gt;0,AK269/ABS(V269),""),"")</f>
        <v>-48.103537270381054</v>
      </c>
      <c r="AM269" s="8">
        <f>IF(ISNUMBER(AK269),IF(AK269&gt;1,1,0),"")</f>
        <v>0</v>
      </c>
      <c r="AN269" s="8">
        <f>IF(ISNUMBER(AK269),IF(AK269&gt;0.05*ABS(V269),1,0),"")</f>
        <v>0</v>
      </c>
      <c r="AO269" s="10">
        <v>-349.63099999999997</v>
      </c>
      <c r="AP269" s="10">
        <v>349.63099999999997</v>
      </c>
      <c r="AQ269" s="8" t="s">
        <v>204</v>
      </c>
      <c r="AR269" s="8">
        <v>0</v>
      </c>
      <c r="AS269" s="10">
        <v>779.46500000000003</v>
      </c>
      <c r="AT269" s="10">
        <v>429.834</v>
      </c>
      <c r="AU269" s="8" t="s">
        <v>204</v>
      </c>
      <c r="AV269" s="10">
        <v>411.57299999999998</v>
      </c>
      <c r="AW269" s="11">
        <f>IF(AND(ISNUMBER(AV269),ISNUMBER(AT269)),IF(AT269&lt;&gt;0,AV269/ABS(AT269),""),"")</f>
        <v>0.95751615740029872</v>
      </c>
      <c r="AX269" s="8">
        <v>0</v>
      </c>
      <c r="AY269" s="8">
        <v>0</v>
      </c>
      <c r="AZ269" s="10"/>
      <c r="BA269" s="8">
        <v>0</v>
      </c>
    </row>
    <row r="270" spans="1:53" x14ac:dyDescent="0.2">
      <c r="A270" s="8" t="s">
        <v>397</v>
      </c>
      <c r="B270" s="8" t="s">
        <v>83</v>
      </c>
      <c r="C270" s="8" t="s">
        <v>205</v>
      </c>
      <c r="D270" s="8">
        <v>1</v>
      </c>
      <c r="E270" s="8">
        <v>1</v>
      </c>
      <c r="F270" s="8">
        <f>SUM(G270:M270)</f>
        <v>1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1</v>
      </c>
      <c r="N270" s="8">
        <v>0</v>
      </c>
      <c r="O270" s="8">
        <v>0</v>
      </c>
      <c r="P270" s="8">
        <v>1</v>
      </c>
      <c r="Q270" s="8">
        <v>0</v>
      </c>
      <c r="R270" s="8">
        <v>0</v>
      </c>
      <c r="S270" s="8">
        <v>0</v>
      </c>
      <c r="T270" s="10">
        <v>-34.081000000000003</v>
      </c>
      <c r="U270" s="10">
        <v>-323.44499999999999</v>
      </c>
      <c r="V270" s="10">
        <v>-2.2570000000000001</v>
      </c>
      <c r="W270" s="10">
        <f>IF(RIGHT(C270,2)="12",IF(ISNUMBER(T270),T270,""),IF(COUNT(T270,U270,V270)=3,T270+U270-V270,""))</f>
        <v>-355.26900000000001</v>
      </c>
      <c r="X270" s="10">
        <v>-355.26900000000001</v>
      </c>
      <c r="Y270" s="10">
        <v>-732.76099999999997</v>
      </c>
      <c r="Z270" s="10">
        <v>411.57299999999998</v>
      </c>
      <c r="AA270" s="10">
        <v>-32.771000000000001</v>
      </c>
      <c r="AB270" s="10">
        <v>-1.3089999999999999</v>
      </c>
      <c r="AC270" s="8">
        <v>0</v>
      </c>
      <c r="AD270" s="8">
        <v>0</v>
      </c>
      <c r="AE270" s="8">
        <v>0</v>
      </c>
      <c r="AF270" s="10">
        <v>0</v>
      </c>
      <c r="AG270" s="8">
        <f>COUNTIF(Y270:AB270,"&gt;0")</f>
        <v>1</v>
      </c>
      <c r="AH270" s="10">
        <v>0</v>
      </c>
      <c r="AI270" s="10">
        <v>411.57299999999998</v>
      </c>
      <c r="AJ270" s="8" t="str">
        <f>IF(ISNUMBER(X270),IF(X270&gt;0,"+",IF(X270&lt;0,"−","0")),IF(ISNUMBER(W270),IF(W270&gt;0,"+",IF(W270&lt;0,"−","0")),"yok"))</f>
        <v>−</v>
      </c>
      <c r="AK270" s="10">
        <f>IF(AND(RIGHT(C270,2)&lt;&gt;"12",ISNUMBER(U270),ISNUMBER(V270)),U270-V270,"")</f>
        <v>-321.18799999999999</v>
      </c>
      <c r="AL270" s="11">
        <f>IF(AND(ISNUMBER(AK270),ISNUMBER(V270)),IF(V270&lt;&gt;0,AK270/ABS(V270),""),"")</f>
        <v>-142.30748781568451</v>
      </c>
      <c r="AM270" s="8">
        <f>IF(ISNUMBER(AK270),IF(AK270&gt;1,1,0),"")</f>
        <v>0</v>
      </c>
      <c r="AN270" s="8">
        <f>IF(ISNUMBER(AK270),IF(AK270&gt;0.05*ABS(V270),1,0),"")</f>
        <v>0</v>
      </c>
      <c r="AO270" s="10">
        <v>-355.27100000000002</v>
      </c>
      <c r="AP270" s="10">
        <v>355.27100000000002</v>
      </c>
      <c r="AQ270" s="8" t="s">
        <v>204</v>
      </c>
      <c r="AR270" s="8">
        <v>0</v>
      </c>
      <c r="AS270" s="10">
        <v>335.34899999999999</v>
      </c>
      <c r="AT270" s="10">
        <v>-19.9220000000001</v>
      </c>
      <c r="AU270" s="8" t="s">
        <v>204</v>
      </c>
      <c r="AV270" s="10">
        <v>411.57299999999998</v>
      </c>
      <c r="AW270" s="11">
        <f>IF(AND(ISNUMBER(AV270),ISNUMBER(AT270)),IF(AT270&lt;&gt;0,AV270/ABS(AT270),""),"")</f>
        <v>20.659220961750723</v>
      </c>
      <c r="AX270" s="8">
        <v>0</v>
      </c>
      <c r="AY270" s="8">
        <v>0</v>
      </c>
      <c r="AZ270" s="10"/>
      <c r="BA270" s="8">
        <v>0</v>
      </c>
    </row>
    <row r="271" spans="1:53" x14ac:dyDescent="0.2">
      <c r="A271" s="8" t="s">
        <v>397</v>
      </c>
      <c r="B271" s="8" t="s">
        <v>83</v>
      </c>
      <c r="C271" s="8" t="s">
        <v>215</v>
      </c>
      <c r="D271" s="8">
        <v>1</v>
      </c>
      <c r="E271" s="8">
        <v>1</v>
      </c>
      <c r="F271" s="8">
        <f>SUM(G271:M271)</f>
        <v>3</v>
      </c>
      <c r="G271" s="8">
        <v>0</v>
      </c>
      <c r="H271" s="8">
        <v>0</v>
      </c>
      <c r="I271" s="8">
        <v>1</v>
      </c>
      <c r="J271" s="8">
        <v>0</v>
      </c>
      <c r="K271" s="8">
        <v>0</v>
      </c>
      <c r="L271" s="8">
        <v>1</v>
      </c>
      <c r="M271" s="8">
        <v>1</v>
      </c>
      <c r="N271" s="8">
        <v>1</v>
      </c>
      <c r="O271" s="8">
        <v>0</v>
      </c>
      <c r="P271" s="8">
        <v>1</v>
      </c>
      <c r="Q271" s="8">
        <v>0</v>
      </c>
      <c r="R271" s="8">
        <v>0</v>
      </c>
      <c r="S271" s="8">
        <v>0</v>
      </c>
      <c r="T271" s="10">
        <v>-38.353999999999999</v>
      </c>
      <c r="U271" s="10">
        <v>-323.44499999999999</v>
      </c>
      <c r="V271" s="10">
        <v>-735.01900000000001</v>
      </c>
      <c r="W271" s="10">
        <f>IF(RIGHT(C271,2)="12",IF(ISNUMBER(T271),T271,""),IF(COUNT(T271,U271,V271)=3,T271+U271-V271,""))</f>
        <v>373.22</v>
      </c>
      <c r="X271" s="10">
        <v>373.21899999999999</v>
      </c>
      <c r="Y271" s="10">
        <v>411.57299999999998</v>
      </c>
      <c r="Z271" s="10">
        <v>-32.771000000000001</v>
      </c>
      <c r="AA271" s="10">
        <v>-1.3089999999999999</v>
      </c>
      <c r="AB271" s="10">
        <v>-4.2720000000000002</v>
      </c>
      <c r="AC271" s="8">
        <v>0</v>
      </c>
      <c r="AD271" s="8">
        <v>0</v>
      </c>
      <c r="AE271" s="8">
        <v>0</v>
      </c>
      <c r="AF271" s="10">
        <v>0</v>
      </c>
      <c r="AG271" s="8">
        <f>COUNTIF(Y271:AB271,"&gt;0")</f>
        <v>1</v>
      </c>
      <c r="AH271" s="10">
        <v>0</v>
      </c>
      <c r="AI271" s="10">
        <v>411.57299999999998</v>
      </c>
      <c r="AJ271" s="8" t="str">
        <f>IF(ISNUMBER(X271),IF(X271&gt;0,"+",IF(X271&lt;0,"−","0")),IF(ISNUMBER(W271),IF(W271&gt;0,"+",IF(W271&lt;0,"−","0")),"yok"))</f>
        <v>+</v>
      </c>
      <c r="AK271" s="10">
        <f>IF(AND(RIGHT(C271,2)&lt;&gt;"12",ISNUMBER(U271),ISNUMBER(V271)),U271-V271,"")</f>
        <v>411.57400000000001</v>
      </c>
      <c r="AL271" s="11">
        <f>IF(AND(ISNUMBER(AK271),ISNUMBER(V271)),IF(V271&lt;&gt;0,AK271/ABS(V271),""),"")</f>
        <v>0.55995015094847889</v>
      </c>
      <c r="AM271" s="8">
        <f>IF(ISNUMBER(AK271),IF(AK271&gt;1,1,0),"")</f>
        <v>1</v>
      </c>
      <c r="AN271" s="8">
        <f>IF(ISNUMBER(AK271),IF(AK271&gt;0.05*ABS(V271),1,0),"")</f>
        <v>1</v>
      </c>
      <c r="AO271" s="10">
        <v>373.21899999999999</v>
      </c>
      <c r="AP271" s="10">
        <v>0</v>
      </c>
      <c r="AQ271" s="8" t="s">
        <v>204</v>
      </c>
      <c r="AR271" s="8">
        <v>1</v>
      </c>
      <c r="AS271" s="10">
        <v>-293.92099999999999</v>
      </c>
      <c r="AT271" s="10">
        <v>-293.92099999999999</v>
      </c>
      <c r="AU271" s="8" t="s">
        <v>204</v>
      </c>
      <c r="AV271" s="10">
        <v>411.57400000000001</v>
      </c>
      <c r="AW271" s="11">
        <f>IF(AND(ISNUMBER(AV271),ISNUMBER(AT271)),IF(AT271&lt;&gt;0,AV271/ABS(AT271),""),"")</f>
        <v>1.4002878324447727</v>
      </c>
      <c r="AX271" s="8">
        <v>0</v>
      </c>
      <c r="AY271" s="8">
        <v>1</v>
      </c>
      <c r="AZ271" s="10"/>
      <c r="BA271" s="8">
        <v>0</v>
      </c>
    </row>
    <row r="272" spans="1:53" x14ac:dyDescent="0.2">
      <c r="A272" s="8" t="s">
        <v>398</v>
      </c>
      <c r="B272" s="8" t="s">
        <v>83</v>
      </c>
      <c r="C272" s="8" t="s">
        <v>203</v>
      </c>
      <c r="D272" s="8">
        <v>1</v>
      </c>
      <c r="E272" s="8">
        <v>1</v>
      </c>
      <c r="F272" s="8">
        <f>SUM(G272:M272)</f>
        <v>1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1</v>
      </c>
      <c r="N272" s="8">
        <v>0</v>
      </c>
      <c r="O272" s="8">
        <v>0</v>
      </c>
      <c r="P272" s="8">
        <v>1</v>
      </c>
      <c r="Q272" s="8">
        <v>0</v>
      </c>
      <c r="R272" s="8">
        <v>0</v>
      </c>
      <c r="S272" s="8">
        <v>0</v>
      </c>
      <c r="T272" s="10">
        <v>-304.31200000000001</v>
      </c>
      <c r="U272" s="10">
        <v>-2065.152</v>
      </c>
      <c r="V272" s="10">
        <v>-912.54600000000005</v>
      </c>
      <c r="W272" s="10">
        <f>IF(RIGHT(C272,2)="12",IF(ISNUMBER(T272),T272,""),IF(COUNT(T272,U272,V272)=3,T272+U272-V272,""))</f>
        <v>-1456.9179999999999</v>
      </c>
      <c r="X272" s="10">
        <v>-1456.9179999999999</v>
      </c>
      <c r="Y272" s="10">
        <v>228.64400000000001</v>
      </c>
      <c r="Z272" s="10">
        <v>-821.38599999999997</v>
      </c>
      <c r="AA272" s="10">
        <v>-559.86400000000003</v>
      </c>
      <c r="AB272" s="10">
        <v>-304.31200000000001</v>
      </c>
      <c r="AC272" s="8">
        <v>0</v>
      </c>
      <c r="AD272" s="8">
        <v>0</v>
      </c>
      <c r="AE272" s="8">
        <v>0</v>
      </c>
      <c r="AF272" s="10">
        <v>0</v>
      </c>
      <c r="AG272" s="8">
        <f>COUNTIF(Y272:AB272,"&gt;0")</f>
        <v>1</v>
      </c>
      <c r="AH272" s="10">
        <v>0</v>
      </c>
      <c r="AI272" s="10">
        <v>228.64400000000001</v>
      </c>
      <c r="AJ272" s="8" t="str">
        <f>IF(ISNUMBER(X272),IF(X272&gt;0,"+",IF(X272&lt;0,"−","0")),IF(ISNUMBER(W272),IF(W272&gt;0,"+",IF(W272&lt;0,"−","0")),"yok"))</f>
        <v>−</v>
      </c>
      <c r="AK272" s="10">
        <f>IF(AND(RIGHT(C272,2)&lt;&gt;"12",ISNUMBER(U272),ISNUMBER(V272)),U272-V272,"")</f>
        <v>-1152.606</v>
      </c>
      <c r="AL272" s="11">
        <f>IF(AND(ISNUMBER(AK272),ISNUMBER(V272)),IF(V272&lt;&gt;0,AK272/ABS(V272),""),"")</f>
        <v>-1.2630661906358693</v>
      </c>
      <c r="AM272" s="8">
        <f>IF(ISNUMBER(AK272),IF(AK272&gt;1,1,0),"")</f>
        <v>0</v>
      </c>
      <c r="AN272" s="8">
        <f>IF(ISNUMBER(AK272),IF(AK272&gt;0.05*ABS(V272),1,0),"")</f>
        <v>0</v>
      </c>
      <c r="AO272" s="10">
        <v>-1456.9190000000001</v>
      </c>
      <c r="AP272" s="10">
        <v>1456.9190000000001</v>
      </c>
      <c r="AQ272" s="8" t="s">
        <v>204</v>
      </c>
      <c r="AR272" s="8">
        <v>0</v>
      </c>
      <c r="AS272" s="10">
        <v>2687.7469999999998</v>
      </c>
      <c r="AT272" s="10"/>
      <c r="AU272" s="8" t="s">
        <v>207</v>
      </c>
      <c r="AV272" s="10">
        <v>228.64400000000001</v>
      </c>
      <c r="AW272" s="11" t="str">
        <f>IF(AND(ISNUMBER(AV272),ISNUMBER(AT272)),IF(AT272&lt;&gt;0,AV272/ABS(AT272),""),"")</f>
        <v/>
      </c>
      <c r="AX272" s="8">
        <v>0</v>
      </c>
      <c r="AY272" s="8">
        <v>0</v>
      </c>
      <c r="AZ272" s="10"/>
      <c r="BA272" s="8">
        <v>0</v>
      </c>
    </row>
    <row r="273" spans="1:53" x14ac:dyDescent="0.2">
      <c r="A273" s="8" t="s">
        <v>399</v>
      </c>
      <c r="B273" s="8" t="s">
        <v>82</v>
      </c>
      <c r="C273" s="8" t="s">
        <v>215</v>
      </c>
      <c r="D273" s="8">
        <v>1</v>
      </c>
      <c r="E273" s="8">
        <v>1</v>
      </c>
      <c r="F273" s="8">
        <f>SUM(G273:M273)</f>
        <v>1</v>
      </c>
      <c r="G273" s="8">
        <v>0</v>
      </c>
      <c r="H273" s="8">
        <v>1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1</v>
      </c>
      <c r="Q273" s="8">
        <v>1</v>
      </c>
      <c r="R273" s="8">
        <v>1</v>
      </c>
      <c r="S273" s="8">
        <v>0</v>
      </c>
      <c r="T273" s="10">
        <v>-27.85</v>
      </c>
      <c r="U273" s="10">
        <v>-42.93</v>
      </c>
      <c r="V273" s="10">
        <v>-49.582000000000001</v>
      </c>
      <c r="W273" s="10">
        <f>IF(RIGHT(C273,2)="12",IF(ISNUMBER(T273),T273,""),IF(COUNT(T273,U273,V273)=3,T273+U273-V273,""))</f>
        <v>-21.198</v>
      </c>
      <c r="X273" s="10">
        <v>-21.198</v>
      </c>
      <c r="Y273" s="10">
        <v>6.6520000000000001</v>
      </c>
      <c r="Z273" s="10">
        <v>-9.3460000000000001</v>
      </c>
      <c r="AA273" s="10">
        <v>-10.997</v>
      </c>
      <c r="AB273" s="10">
        <v>-7.5060000000000002</v>
      </c>
      <c r="AC273" s="8">
        <v>0</v>
      </c>
      <c r="AD273" s="8">
        <v>0</v>
      </c>
      <c r="AE273" s="8">
        <v>0</v>
      </c>
      <c r="AF273" s="10">
        <v>0</v>
      </c>
      <c r="AG273" s="8">
        <f>COUNTIF(Y273:AB273,"&gt;0")</f>
        <v>1</v>
      </c>
      <c r="AH273" s="10">
        <v>0</v>
      </c>
      <c r="AI273" s="10">
        <v>6.6520000000000001</v>
      </c>
      <c r="AJ273" s="8" t="str">
        <f>IF(ISNUMBER(X273),IF(X273&gt;0,"+",IF(X273&lt;0,"−","0")),IF(ISNUMBER(W273),IF(W273&gt;0,"+",IF(W273&lt;0,"−","0")),"yok"))</f>
        <v>−</v>
      </c>
      <c r="AK273" s="10">
        <f>IF(AND(RIGHT(C273,2)&lt;&gt;"12",ISNUMBER(U273),ISNUMBER(V273)),U273-V273,"")</f>
        <v>6.652000000000001</v>
      </c>
      <c r="AL273" s="11">
        <f>IF(AND(ISNUMBER(AK273),ISNUMBER(V273)),IF(V273&lt;&gt;0,AK273/ABS(V273),""),"")</f>
        <v>0.13416159089992338</v>
      </c>
      <c r="AM273" s="8">
        <f>IF(ISNUMBER(AK273),IF(AK273&gt;1,1,0),"")</f>
        <v>1</v>
      </c>
      <c r="AN273" s="8">
        <f>IF(ISNUMBER(AK273),IF(AK273&gt;0.05*ABS(V273),1,0),"")</f>
        <v>1</v>
      </c>
      <c r="AO273" s="10">
        <v>-21.198</v>
      </c>
      <c r="AP273" s="10">
        <v>21.198</v>
      </c>
      <c r="AQ273" s="8" t="s">
        <v>204</v>
      </c>
      <c r="AR273" s="8">
        <v>0</v>
      </c>
      <c r="AS273" s="10">
        <v>455.601</v>
      </c>
      <c r="AT273" s="10">
        <v>221.77699999999999</v>
      </c>
      <c r="AU273" s="8" t="s">
        <v>204</v>
      </c>
      <c r="AV273" s="10">
        <v>6.6520000000000001</v>
      </c>
      <c r="AW273" s="11">
        <f>IF(AND(ISNUMBER(AV273),ISNUMBER(AT273)),IF(AT273&lt;&gt;0,AV273/ABS(AT273),""),"")</f>
        <v>2.9994093165657397E-2</v>
      </c>
      <c r="AX273" s="8">
        <v>0</v>
      </c>
      <c r="AY273" s="8">
        <v>1</v>
      </c>
      <c r="AZ273" s="10"/>
      <c r="BA273" s="8">
        <v>0</v>
      </c>
    </row>
    <row r="274" spans="1:53" x14ac:dyDescent="0.2">
      <c r="A274" s="8" t="s">
        <v>400</v>
      </c>
      <c r="B274" s="8" t="s">
        <v>83</v>
      </c>
      <c r="C274" s="8" t="s">
        <v>203</v>
      </c>
      <c r="D274" s="8">
        <v>1</v>
      </c>
      <c r="E274" s="8">
        <v>1</v>
      </c>
      <c r="F274" s="8">
        <f>SUM(G274:M274)</f>
        <v>3</v>
      </c>
      <c r="G274" s="8">
        <v>0</v>
      </c>
      <c r="H274" s="8">
        <v>0</v>
      </c>
      <c r="I274" s="8">
        <v>1</v>
      </c>
      <c r="J274" s="8">
        <v>0</v>
      </c>
      <c r="K274" s="8">
        <v>0</v>
      </c>
      <c r="L274" s="8">
        <v>1</v>
      </c>
      <c r="M274" s="8">
        <v>1</v>
      </c>
      <c r="N274" s="8">
        <v>1</v>
      </c>
      <c r="O274" s="8">
        <v>0</v>
      </c>
      <c r="P274" s="8">
        <v>1</v>
      </c>
      <c r="Q274" s="8">
        <v>0</v>
      </c>
      <c r="R274" s="8">
        <v>0</v>
      </c>
      <c r="S274" s="8">
        <v>0</v>
      </c>
      <c r="T274" s="10">
        <v>-0.53200000000000003</v>
      </c>
      <c r="U274" s="10">
        <v>-17.417000000000002</v>
      </c>
      <c r="V274" s="10">
        <v>-21.055</v>
      </c>
      <c r="W274" s="10">
        <f>IF(RIGHT(C274,2)="12",IF(ISNUMBER(T274),T274,""),IF(COUNT(T274,U274,V274)=3,T274+U274-V274,""))</f>
        <v>3.1059999999999981</v>
      </c>
      <c r="X274" s="10">
        <v>3.105</v>
      </c>
      <c r="Y274" s="10">
        <v>1.4810000000000001</v>
      </c>
      <c r="Z274" s="10">
        <v>1.032</v>
      </c>
      <c r="AA274" s="10">
        <v>1.1240000000000001</v>
      </c>
      <c r="AB274" s="10">
        <v>-0.53200000000000003</v>
      </c>
      <c r="AC274" s="8">
        <v>0</v>
      </c>
      <c r="AD274" s="8">
        <v>0</v>
      </c>
      <c r="AE274" s="8">
        <v>0</v>
      </c>
      <c r="AF274" s="10">
        <v>0</v>
      </c>
      <c r="AG274" s="8">
        <f>COUNTIF(Y274:AB274,"&gt;0")</f>
        <v>3</v>
      </c>
      <c r="AH274" s="10">
        <v>0</v>
      </c>
      <c r="AI274" s="10">
        <v>3.637</v>
      </c>
      <c r="AJ274" s="8" t="str">
        <f>IF(ISNUMBER(X274),IF(X274&gt;0,"+",IF(X274&lt;0,"−","0")),IF(ISNUMBER(W274),IF(W274&gt;0,"+",IF(W274&lt;0,"−","0")),"yok"))</f>
        <v>+</v>
      </c>
      <c r="AK274" s="10">
        <f>IF(AND(RIGHT(C274,2)&lt;&gt;"12",ISNUMBER(U274),ISNUMBER(V274)),U274-V274,"")</f>
        <v>3.6379999999999981</v>
      </c>
      <c r="AL274" s="11">
        <f>IF(AND(ISNUMBER(AK274),ISNUMBER(V274)),IF(V274&lt;&gt;0,AK274/ABS(V274),""),"")</f>
        <v>0.17278556162431719</v>
      </c>
      <c r="AM274" s="8">
        <f>IF(ISNUMBER(AK274),IF(AK274&gt;1,1,0),"")</f>
        <v>1</v>
      </c>
      <c r="AN274" s="8">
        <f>IF(ISNUMBER(AK274),IF(AK274&gt;0.05*ABS(V274),1,0),"")</f>
        <v>1</v>
      </c>
      <c r="AO274" s="10">
        <v>3.1059999999999999</v>
      </c>
      <c r="AP274" s="10">
        <v>0</v>
      </c>
      <c r="AQ274" s="8" t="s">
        <v>204</v>
      </c>
      <c r="AR274" s="8">
        <v>1</v>
      </c>
      <c r="AS274" s="10">
        <v>3138.3690000000001</v>
      </c>
      <c r="AT274" s="10">
        <v>132.339</v>
      </c>
      <c r="AU274" s="8" t="s">
        <v>204</v>
      </c>
      <c r="AV274" s="10">
        <v>3.6379999999999999</v>
      </c>
      <c r="AW274" s="11">
        <f>IF(AND(ISNUMBER(AV274),ISNUMBER(AT274)),IF(AT274&lt;&gt;0,AV274/ABS(AT274),""),"")</f>
        <v>2.7490006725152828E-2</v>
      </c>
      <c r="AX274" s="8">
        <v>0</v>
      </c>
      <c r="AY274" s="8">
        <v>1</v>
      </c>
      <c r="AZ274" s="10"/>
      <c r="BA274" s="8">
        <v>0</v>
      </c>
    </row>
    <row r="275" spans="1:53" x14ac:dyDescent="0.2">
      <c r="A275" s="8" t="s">
        <v>400</v>
      </c>
      <c r="B275" s="8" t="s">
        <v>83</v>
      </c>
      <c r="C275" s="8" t="s">
        <v>205</v>
      </c>
      <c r="D275" s="8">
        <v>1</v>
      </c>
      <c r="E275" s="8">
        <v>1</v>
      </c>
      <c r="F275" s="8">
        <f>SUM(G275:M275)</f>
        <v>3</v>
      </c>
      <c r="G275" s="8">
        <v>0</v>
      </c>
      <c r="H275" s="8">
        <v>0</v>
      </c>
      <c r="I275" s="8">
        <v>1</v>
      </c>
      <c r="J275" s="8">
        <v>0</v>
      </c>
      <c r="K275" s="8">
        <v>0</v>
      </c>
      <c r="L275" s="8">
        <v>1</v>
      </c>
      <c r="M275" s="8">
        <v>1</v>
      </c>
      <c r="N275" s="8">
        <v>1</v>
      </c>
      <c r="O275" s="8">
        <v>0</v>
      </c>
      <c r="P275" s="8">
        <v>1</v>
      </c>
      <c r="Q275" s="8">
        <v>0</v>
      </c>
      <c r="R275" s="8">
        <v>0</v>
      </c>
      <c r="S275" s="8">
        <v>0</v>
      </c>
      <c r="T275" s="10">
        <v>-0.46500000000000002</v>
      </c>
      <c r="U275" s="10">
        <v>-17.417000000000002</v>
      </c>
      <c r="V275" s="10">
        <v>-19.574000000000002</v>
      </c>
      <c r="W275" s="10">
        <f>IF(RIGHT(C275,2)="12",IF(ISNUMBER(T275),T275,""),IF(COUNT(T275,U275,V275)=3,T275+U275-V275,""))</f>
        <v>1.6920000000000002</v>
      </c>
      <c r="X275" s="10">
        <v>1.6910000000000001</v>
      </c>
      <c r="Y275" s="10">
        <v>1.032</v>
      </c>
      <c r="Z275" s="10">
        <v>1.1240000000000001</v>
      </c>
      <c r="AA275" s="10">
        <v>-0.53200000000000003</v>
      </c>
      <c r="AB275" s="10">
        <v>6.7000000000000004E-2</v>
      </c>
      <c r="AC275" s="8">
        <v>0</v>
      </c>
      <c r="AD275" s="8">
        <v>0</v>
      </c>
      <c r="AE275" s="8">
        <v>0</v>
      </c>
      <c r="AF275" s="10">
        <v>0</v>
      </c>
      <c r="AG275" s="8">
        <f>COUNTIF(Y275:AB275,"&gt;0")</f>
        <v>3</v>
      </c>
      <c r="AH275" s="10">
        <v>6.7000000000000004E-2</v>
      </c>
      <c r="AI275" s="10">
        <v>2.1560000000000001</v>
      </c>
      <c r="AJ275" s="8" t="str">
        <f>IF(ISNUMBER(X275),IF(X275&gt;0,"+",IF(X275&lt;0,"−","0")),IF(ISNUMBER(W275),IF(W275&gt;0,"+",IF(W275&lt;0,"−","0")),"yok"))</f>
        <v>+</v>
      </c>
      <c r="AK275" s="10">
        <f>IF(AND(RIGHT(C275,2)&lt;&gt;"12",ISNUMBER(U275),ISNUMBER(V275)),U275-V275,"")</f>
        <v>2.157</v>
      </c>
      <c r="AL275" s="11">
        <f>IF(AND(ISNUMBER(AK275),ISNUMBER(V275)),IF(V275&lt;&gt;0,AK275/ABS(V275),""),"")</f>
        <v>0.11019720036783487</v>
      </c>
      <c r="AM275" s="8">
        <f>IF(ISNUMBER(AK275),IF(AK275&gt;1,1,0),"")</f>
        <v>1</v>
      </c>
      <c r="AN275" s="8">
        <f>IF(ISNUMBER(AK275),IF(AK275&gt;0.05*ABS(V275),1,0),"")</f>
        <v>1</v>
      </c>
      <c r="AO275" s="10">
        <v>1.6919999999999999</v>
      </c>
      <c r="AP275" s="10">
        <v>0</v>
      </c>
      <c r="AQ275" s="8" t="s">
        <v>204</v>
      </c>
      <c r="AR275" s="8">
        <v>1</v>
      </c>
      <c r="AS275" s="10">
        <v>2804.9749999999999</v>
      </c>
      <c r="AT275" s="10">
        <v>-197.947</v>
      </c>
      <c r="AU275" s="8" t="s">
        <v>204</v>
      </c>
      <c r="AV275" s="10">
        <v>2.157</v>
      </c>
      <c r="AW275" s="11">
        <f>IF(AND(ISNUMBER(AV275),ISNUMBER(AT275)),IF(AT275&lt;&gt;0,AV275/ABS(AT275),""),"")</f>
        <v>1.0896856229192663E-2</v>
      </c>
      <c r="AX275" s="8">
        <v>0</v>
      </c>
      <c r="AY275" s="8">
        <v>1</v>
      </c>
      <c r="AZ275" s="10"/>
      <c r="BA275" s="8">
        <v>0</v>
      </c>
    </row>
    <row r="276" spans="1:53" x14ac:dyDescent="0.2">
      <c r="A276" s="8" t="s">
        <v>400</v>
      </c>
      <c r="B276" s="8" t="s">
        <v>83</v>
      </c>
      <c r="C276" s="8" t="s">
        <v>215</v>
      </c>
      <c r="D276" s="8">
        <v>1</v>
      </c>
      <c r="E276" s="8">
        <v>1</v>
      </c>
      <c r="F276" s="8">
        <f>SUM(G276:M276)</f>
        <v>3</v>
      </c>
      <c r="G276" s="8">
        <v>0</v>
      </c>
      <c r="H276" s="8">
        <v>0</v>
      </c>
      <c r="I276" s="8">
        <v>1</v>
      </c>
      <c r="J276" s="8">
        <v>0</v>
      </c>
      <c r="K276" s="8">
        <v>0</v>
      </c>
      <c r="L276" s="8">
        <v>1</v>
      </c>
      <c r="M276" s="8">
        <v>1</v>
      </c>
      <c r="N276" s="8">
        <v>1</v>
      </c>
      <c r="O276" s="8">
        <v>0</v>
      </c>
      <c r="P276" s="8">
        <v>1</v>
      </c>
      <c r="Q276" s="8">
        <v>0</v>
      </c>
      <c r="R276" s="8">
        <v>0</v>
      </c>
      <c r="S276" s="8">
        <v>0</v>
      </c>
      <c r="T276" s="10">
        <v>-0.40400000000000003</v>
      </c>
      <c r="U276" s="10">
        <v>-17.417000000000002</v>
      </c>
      <c r="V276" s="10">
        <v>-18.541</v>
      </c>
      <c r="W276" s="10">
        <f>IF(RIGHT(C276,2)="12",IF(ISNUMBER(T276),T276,""),IF(COUNT(T276,U276,V276)=3,T276+U276-V276,""))</f>
        <v>0.71999999999999886</v>
      </c>
      <c r="X276" s="10">
        <v>0.72</v>
      </c>
      <c r="Y276" s="10">
        <v>1.1240000000000001</v>
      </c>
      <c r="Z276" s="10">
        <v>-0.53200000000000003</v>
      </c>
      <c r="AA276" s="10">
        <v>6.7000000000000004E-2</v>
      </c>
      <c r="AB276" s="10">
        <v>6.0999999999999999E-2</v>
      </c>
      <c r="AC276" s="8">
        <v>0</v>
      </c>
      <c r="AD276" s="8">
        <v>0</v>
      </c>
      <c r="AE276" s="8">
        <v>0</v>
      </c>
      <c r="AF276" s="10">
        <v>0</v>
      </c>
      <c r="AG276" s="8">
        <f>COUNTIF(Y276:AB276,"&gt;0")</f>
        <v>3</v>
      </c>
      <c r="AH276" s="10">
        <v>0.128</v>
      </c>
      <c r="AI276" s="10">
        <v>1.1240000000000001</v>
      </c>
      <c r="AJ276" s="8" t="str">
        <f>IF(ISNUMBER(X276),IF(X276&gt;0,"+",IF(X276&lt;0,"−","0")),IF(ISNUMBER(W276),IF(W276&gt;0,"+",IF(W276&lt;0,"−","0")),"yok"))</f>
        <v>+</v>
      </c>
      <c r="AK276" s="10">
        <f>IF(AND(RIGHT(C276,2)&lt;&gt;"12",ISNUMBER(U276),ISNUMBER(V276)),U276-V276,"")</f>
        <v>1.1239999999999988</v>
      </c>
      <c r="AL276" s="11">
        <f>IF(AND(ISNUMBER(AK276),ISNUMBER(V276)),IF(V276&lt;&gt;0,AK276/ABS(V276),""),"")</f>
        <v>6.0622404401057046E-2</v>
      </c>
      <c r="AM276" s="8">
        <f>IF(ISNUMBER(AK276),IF(AK276&gt;1,1,0),"")</f>
        <v>1</v>
      </c>
      <c r="AN276" s="8">
        <f>IF(ISNUMBER(AK276),IF(AK276&gt;0.05*ABS(V276),1,0),"")</f>
        <v>1</v>
      </c>
      <c r="AO276" s="10">
        <v>0.72099999999999997</v>
      </c>
      <c r="AP276" s="10">
        <v>0</v>
      </c>
      <c r="AQ276" s="8" t="s">
        <v>204</v>
      </c>
      <c r="AR276" s="8">
        <v>1</v>
      </c>
      <c r="AS276" s="10">
        <v>1990.364</v>
      </c>
      <c r="AT276" s="10">
        <v>-1023.197</v>
      </c>
      <c r="AU276" s="8" t="s">
        <v>204</v>
      </c>
      <c r="AV276" s="10">
        <v>1.1240000000000001</v>
      </c>
      <c r="AW276" s="11">
        <f>IF(AND(ISNUMBER(AV276),ISNUMBER(AT276)),IF(AT276&lt;&gt;0,AV276/ABS(AT276),""),"")</f>
        <v>1.0985176852551367E-3</v>
      </c>
      <c r="AX276" s="8">
        <v>0</v>
      </c>
      <c r="AY276" s="8">
        <v>1</v>
      </c>
      <c r="AZ276" s="10"/>
      <c r="BA276" s="8">
        <v>0</v>
      </c>
    </row>
    <row r="277" spans="1:53" x14ac:dyDescent="0.2">
      <c r="A277" s="8" t="s">
        <v>400</v>
      </c>
      <c r="B277" s="8" t="s">
        <v>84</v>
      </c>
      <c r="C277" s="8" t="s">
        <v>208</v>
      </c>
      <c r="D277" s="8">
        <v>1</v>
      </c>
      <c r="E277" s="8">
        <v>1</v>
      </c>
      <c r="F277" s="8">
        <f>SUM(G277:M277)</f>
        <v>1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1</v>
      </c>
      <c r="N277" s="8">
        <v>0</v>
      </c>
      <c r="O277" s="8">
        <v>0</v>
      </c>
      <c r="P277" s="8">
        <v>1</v>
      </c>
      <c r="Q277" s="8">
        <v>0</v>
      </c>
      <c r="R277" s="8">
        <v>0</v>
      </c>
      <c r="S277" s="8">
        <v>0</v>
      </c>
      <c r="T277" s="10">
        <v>0</v>
      </c>
      <c r="U277" s="10">
        <v>-44.107999999999997</v>
      </c>
      <c r="V277" s="10">
        <v>-39.109000000000002</v>
      </c>
      <c r="W277" s="10">
        <f>IF(RIGHT(C277,2)="12",IF(ISNUMBER(T277),T277,""),IF(COUNT(T277,U277,V277)=3,T277+U277-V277,""))</f>
        <v>-4.9989999999999952</v>
      </c>
      <c r="X277" s="10">
        <v>-4.9980000000000002</v>
      </c>
      <c r="Y277" s="10">
        <v>1.0669999999999999</v>
      </c>
      <c r="Z277" s="10">
        <v>-12.991</v>
      </c>
      <c r="AA277" s="10">
        <v>6.9249999999999998</v>
      </c>
      <c r="AB277" s="10">
        <v>0</v>
      </c>
      <c r="AC277" s="8">
        <v>0</v>
      </c>
      <c r="AD277" s="8">
        <v>0</v>
      </c>
      <c r="AE277" s="8">
        <v>0</v>
      </c>
      <c r="AF277" s="10">
        <v>0</v>
      </c>
      <c r="AG277" s="8">
        <f>COUNTIF(Y277:AB277,"&gt;0")</f>
        <v>2</v>
      </c>
      <c r="AH277" s="10">
        <v>0</v>
      </c>
      <c r="AI277" s="10">
        <v>7.992</v>
      </c>
      <c r="AJ277" s="8" t="str">
        <f>IF(ISNUMBER(X277),IF(X277&gt;0,"+",IF(X277&lt;0,"−","0")),IF(ISNUMBER(W277),IF(W277&gt;0,"+",IF(W277&lt;0,"−","0")),"yok"))</f>
        <v>−</v>
      </c>
      <c r="AK277" s="10">
        <f>IF(AND(RIGHT(C277,2)&lt;&gt;"12",ISNUMBER(U277),ISNUMBER(V277)),U277-V277,"")</f>
        <v>-4.9989999999999952</v>
      </c>
      <c r="AL277" s="11">
        <f>IF(AND(ISNUMBER(AK277),ISNUMBER(V277)),IF(V277&lt;&gt;0,AK277/ABS(V277),""),"")</f>
        <v>-0.12782224040502174</v>
      </c>
      <c r="AM277" s="8">
        <f>IF(ISNUMBER(AK277),IF(AK277&gt;1,1,0),"")</f>
        <v>0</v>
      </c>
      <c r="AN277" s="8">
        <f>IF(ISNUMBER(AK277),IF(AK277&gt;0.05*ABS(V277),1,0),"")</f>
        <v>0</v>
      </c>
      <c r="AO277" s="10">
        <v>-4.9989999999999997</v>
      </c>
      <c r="AP277" s="10">
        <v>4.9989999999999997</v>
      </c>
      <c r="AQ277" s="8" t="s">
        <v>204</v>
      </c>
      <c r="AR277" s="8">
        <v>0</v>
      </c>
      <c r="AS277" s="10">
        <v>950.399</v>
      </c>
      <c r="AT277" s="10">
        <v>934.42700000000002</v>
      </c>
      <c r="AU277" s="8" t="s">
        <v>204</v>
      </c>
      <c r="AV277" s="10">
        <v>6.9249999999999998</v>
      </c>
      <c r="AW277" s="11">
        <f>IF(AND(ISNUMBER(AV277),ISNUMBER(AT277)),IF(AT277&lt;&gt;0,AV277/ABS(AT277),""),"")</f>
        <v>7.4109588014901109E-3</v>
      </c>
      <c r="AX277" s="8">
        <v>0</v>
      </c>
      <c r="AY277" s="8">
        <v>0</v>
      </c>
      <c r="AZ277" s="10"/>
      <c r="BA277" s="8">
        <v>0</v>
      </c>
    </row>
    <row r="278" spans="1:53" x14ac:dyDescent="0.2">
      <c r="A278" s="8" t="s">
        <v>400</v>
      </c>
      <c r="B278" s="8" t="s">
        <v>84</v>
      </c>
      <c r="C278" s="8" t="s">
        <v>210</v>
      </c>
      <c r="D278" s="8">
        <v>1</v>
      </c>
      <c r="E278" s="8">
        <v>1</v>
      </c>
      <c r="F278" s="8">
        <f>SUM(G278:M278)</f>
        <v>1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1</v>
      </c>
      <c r="N278" s="8">
        <v>0</v>
      </c>
      <c r="O278" s="8">
        <v>0</v>
      </c>
      <c r="P278" s="8">
        <v>1</v>
      </c>
      <c r="Q278" s="8">
        <v>0</v>
      </c>
      <c r="R278" s="8">
        <v>0</v>
      </c>
      <c r="S278" s="8">
        <v>0</v>
      </c>
      <c r="T278" s="10">
        <v>0</v>
      </c>
      <c r="U278" s="10">
        <v>-44.107999999999997</v>
      </c>
      <c r="V278" s="10">
        <v>-38.042000000000002</v>
      </c>
      <c r="W278" s="10">
        <f>IF(RIGHT(C278,2)="12",IF(ISNUMBER(T278),T278,""),IF(COUNT(T278,U278,V278)=3,T278+U278-V278,""))</f>
        <v>-6.0659999999999954</v>
      </c>
      <c r="X278" s="10">
        <v>-6.0659999999999998</v>
      </c>
      <c r="Y278" s="10">
        <v>-12.991</v>
      </c>
      <c r="Z278" s="10">
        <v>6.9249999999999998</v>
      </c>
      <c r="AA278" s="10">
        <v>0</v>
      </c>
      <c r="AB278" s="10">
        <v>0</v>
      </c>
      <c r="AC278" s="8">
        <v>0</v>
      </c>
      <c r="AD278" s="8">
        <v>0</v>
      </c>
      <c r="AE278" s="8">
        <v>0</v>
      </c>
      <c r="AF278" s="10">
        <v>0</v>
      </c>
      <c r="AG278" s="8">
        <f>COUNTIF(Y278:AB278,"&gt;0")</f>
        <v>1</v>
      </c>
      <c r="AH278" s="10">
        <v>0</v>
      </c>
      <c r="AI278" s="10">
        <v>6.9249999999999998</v>
      </c>
      <c r="AJ278" s="8" t="str">
        <f>IF(ISNUMBER(X278),IF(X278&gt;0,"+",IF(X278&lt;0,"−","0")),IF(ISNUMBER(W278),IF(W278&gt;0,"+",IF(W278&lt;0,"−","0")),"yok"))</f>
        <v>−</v>
      </c>
      <c r="AK278" s="10">
        <f>IF(AND(RIGHT(C278,2)&lt;&gt;"12",ISNUMBER(U278),ISNUMBER(V278)),U278-V278,"")</f>
        <v>-6.0659999999999954</v>
      </c>
      <c r="AL278" s="11">
        <f>IF(AND(ISNUMBER(AK278),ISNUMBER(V278)),IF(V278&lt;&gt;0,AK278/ABS(V278),""),"")</f>
        <v>-0.15945533883602322</v>
      </c>
      <c r="AM278" s="8">
        <f>IF(ISNUMBER(AK278),IF(AK278&gt;1,1,0),"")</f>
        <v>0</v>
      </c>
      <c r="AN278" s="8">
        <f>IF(ISNUMBER(AK278),IF(AK278&gt;0.05*ABS(V278),1,0),"")</f>
        <v>0</v>
      </c>
      <c r="AO278" s="10">
        <v>-6.0659999999999998</v>
      </c>
      <c r="AP278" s="10">
        <v>6.0659999999999998</v>
      </c>
      <c r="AQ278" s="8" t="s">
        <v>204</v>
      </c>
      <c r="AR278" s="8">
        <v>0</v>
      </c>
      <c r="AS278" s="10">
        <v>-160.75899999999999</v>
      </c>
      <c r="AT278" s="10">
        <v>-177.86600000000001</v>
      </c>
      <c r="AU278" s="8" t="s">
        <v>204</v>
      </c>
      <c r="AV278" s="10">
        <v>6.9249999999999998</v>
      </c>
      <c r="AW278" s="11">
        <f>IF(AND(ISNUMBER(AV278),ISNUMBER(AT278)),IF(AT278&lt;&gt;0,AV278/ABS(AT278),""),"")</f>
        <v>3.8933804099715509E-2</v>
      </c>
      <c r="AX278" s="8">
        <v>0</v>
      </c>
      <c r="AY278" s="8">
        <v>0</v>
      </c>
      <c r="AZ278" s="10"/>
      <c r="BA278" s="8">
        <v>0</v>
      </c>
    </row>
    <row r="279" spans="1:53" x14ac:dyDescent="0.2">
      <c r="A279" s="8" t="s">
        <v>401</v>
      </c>
      <c r="B279" s="8" t="s">
        <v>82</v>
      </c>
      <c r="C279" s="8" t="s">
        <v>205</v>
      </c>
      <c r="D279" s="8">
        <v>1</v>
      </c>
      <c r="E279" s="8">
        <v>1</v>
      </c>
      <c r="F279" s="8">
        <f>SUM(G279:M279)</f>
        <v>1</v>
      </c>
      <c r="G279" s="8">
        <v>0</v>
      </c>
      <c r="H279" s="8">
        <v>1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1</v>
      </c>
      <c r="Q279" s="8">
        <v>1</v>
      </c>
      <c r="R279" s="8">
        <v>1</v>
      </c>
      <c r="S279" s="8">
        <v>0</v>
      </c>
      <c r="T279" s="10">
        <v>-9.8559999999999999</v>
      </c>
      <c r="U279" s="10">
        <v>-5.0140000000000002</v>
      </c>
      <c r="V279" s="10">
        <v>-10.343999999999999</v>
      </c>
      <c r="W279" s="10">
        <f>IF(RIGHT(C279,2)="12",IF(ISNUMBER(T279),T279,""),IF(COUNT(T279,U279,V279)=3,T279+U279-V279,""))</f>
        <v>-4.5260000000000016</v>
      </c>
      <c r="X279" s="10">
        <v>-4.5259999999999998</v>
      </c>
      <c r="Y279" s="10">
        <v>4.0170000000000003</v>
      </c>
      <c r="Z279" s="10">
        <v>1.3109999999999999</v>
      </c>
      <c r="AA279" s="10">
        <v>-1.6379999999999999</v>
      </c>
      <c r="AB279" s="10">
        <v>-8.2170000000000005</v>
      </c>
      <c r="AC279" s="8">
        <v>0</v>
      </c>
      <c r="AD279" s="8">
        <v>0</v>
      </c>
      <c r="AE279" s="8">
        <v>0</v>
      </c>
      <c r="AF279" s="10">
        <v>0</v>
      </c>
      <c r="AG279" s="8">
        <f>COUNTIF(Y279:AB279,"&gt;0")</f>
        <v>2</v>
      </c>
      <c r="AH279" s="10">
        <v>0</v>
      </c>
      <c r="AI279" s="10">
        <v>5.3280000000000003</v>
      </c>
      <c r="AJ279" s="8" t="str">
        <f>IF(ISNUMBER(X279),IF(X279&gt;0,"+",IF(X279&lt;0,"−","0")),IF(ISNUMBER(W279),IF(W279&gt;0,"+",IF(W279&lt;0,"−","0")),"yok"))</f>
        <v>−</v>
      </c>
      <c r="AK279" s="10">
        <f>IF(AND(RIGHT(C279,2)&lt;&gt;"12",ISNUMBER(U279),ISNUMBER(V279)),U279-V279,"")</f>
        <v>5.3299999999999992</v>
      </c>
      <c r="AL279" s="11">
        <f>IF(AND(ISNUMBER(AK279),ISNUMBER(V279)),IF(V279&lt;&gt;0,AK279/ABS(V279),""),"")</f>
        <v>0.51527455529775712</v>
      </c>
      <c r="AM279" s="8">
        <f>IF(ISNUMBER(AK279),IF(AK279&gt;1,1,0),"")</f>
        <v>1</v>
      </c>
      <c r="AN279" s="8">
        <f>IF(ISNUMBER(AK279),IF(AK279&gt;0.05*ABS(V279),1,0),"")</f>
        <v>1</v>
      </c>
      <c r="AO279" s="10">
        <v>-4.5270000000000001</v>
      </c>
      <c r="AP279" s="10">
        <v>4.5270000000000001</v>
      </c>
      <c r="AQ279" s="8" t="s">
        <v>204</v>
      </c>
      <c r="AR279" s="8">
        <v>0</v>
      </c>
      <c r="AS279" s="10">
        <v>-664.22199999999998</v>
      </c>
      <c r="AT279" s="10">
        <v>-1035.971</v>
      </c>
      <c r="AU279" s="8" t="s">
        <v>204</v>
      </c>
      <c r="AV279" s="10">
        <v>5.33</v>
      </c>
      <c r="AW279" s="11">
        <f>IF(AND(ISNUMBER(AV279),ISNUMBER(AT279)),IF(AT279&lt;&gt;0,AV279/ABS(AT279),""),"")</f>
        <v>5.1449316631450113E-3</v>
      </c>
      <c r="AX279" s="8">
        <v>0</v>
      </c>
      <c r="AY279" s="8">
        <v>1</v>
      </c>
      <c r="AZ279" s="10"/>
      <c r="BA279" s="8">
        <v>0</v>
      </c>
    </row>
    <row r="280" spans="1:53" x14ac:dyDescent="0.2">
      <c r="A280" s="8" t="s">
        <v>401</v>
      </c>
      <c r="B280" s="8" t="s">
        <v>82</v>
      </c>
      <c r="C280" s="8" t="s">
        <v>215</v>
      </c>
      <c r="D280" s="8">
        <v>1</v>
      </c>
      <c r="E280" s="8">
        <v>1</v>
      </c>
      <c r="F280" s="8">
        <f>SUM(G280:M280)</f>
        <v>1</v>
      </c>
      <c r="G280" s="8">
        <v>0</v>
      </c>
      <c r="H280" s="8">
        <v>1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1</v>
      </c>
      <c r="Q280" s="8">
        <v>1</v>
      </c>
      <c r="R280" s="8">
        <v>1</v>
      </c>
      <c r="S280" s="8">
        <v>0</v>
      </c>
      <c r="T280" s="10">
        <v>-9.8550000000000004</v>
      </c>
      <c r="U280" s="10">
        <v>-5.0140000000000002</v>
      </c>
      <c r="V280" s="10">
        <v>-6.3259999999999996</v>
      </c>
      <c r="W280" s="10">
        <f>IF(RIGHT(C280,2)="12",IF(ISNUMBER(T280),T280,""),IF(COUNT(T280,U280,V280)=3,T280+U280-V280,""))</f>
        <v>-8.5429999999999993</v>
      </c>
      <c r="X280" s="10">
        <v>-8.5440000000000005</v>
      </c>
      <c r="Y280" s="10">
        <v>1.3109999999999999</v>
      </c>
      <c r="Z280" s="10">
        <v>-1.6379999999999999</v>
      </c>
      <c r="AA280" s="10">
        <v>-8.2170000000000005</v>
      </c>
      <c r="AB280" s="10">
        <v>0</v>
      </c>
      <c r="AC280" s="8">
        <v>0</v>
      </c>
      <c r="AD280" s="8">
        <v>0</v>
      </c>
      <c r="AE280" s="8">
        <v>0</v>
      </c>
      <c r="AF280" s="10">
        <v>0</v>
      </c>
      <c r="AG280" s="8">
        <f>COUNTIF(Y280:AB280,"&gt;0")</f>
        <v>1</v>
      </c>
      <c r="AH280" s="10">
        <v>0</v>
      </c>
      <c r="AI280" s="10">
        <v>1.3109999999999999</v>
      </c>
      <c r="AJ280" s="8" t="str">
        <f>IF(ISNUMBER(X280),IF(X280&gt;0,"+",IF(X280&lt;0,"−","0")),IF(ISNUMBER(W280),IF(W280&gt;0,"+",IF(W280&lt;0,"−","0")),"yok"))</f>
        <v>−</v>
      </c>
      <c r="AK280" s="10">
        <f>IF(AND(RIGHT(C280,2)&lt;&gt;"12",ISNUMBER(U280),ISNUMBER(V280)),U280-V280,"")</f>
        <v>1.3119999999999994</v>
      </c>
      <c r="AL280" s="11">
        <f>IF(AND(ISNUMBER(AK280),ISNUMBER(V280)),IF(V280&lt;&gt;0,AK280/ABS(V280),""),"")</f>
        <v>0.20739803983559904</v>
      </c>
      <c r="AM280" s="8">
        <f>IF(ISNUMBER(AK280),IF(AK280&gt;1,1,0),"")</f>
        <v>1</v>
      </c>
      <c r="AN280" s="8">
        <f>IF(ISNUMBER(AK280),IF(AK280&gt;0.05*ABS(V280),1,0),"")</f>
        <v>1</v>
      </c>
      <c r="AO280" s="10">
        <v>-8.5440000000000005</v>
      </c>
      <c r="AP280" s="10">
        <v>8.5440000000000005</v>
      </c>
      <c r="AQ280" s="8" t="s">
        <v>204</v>
      </c>
      <c r="AR280" s="8">
        <v>0</v>
      </c>
      <c r="AS280" s="10">
        <v>-3399.4920000000002</v>
      </c>
      <c r="AT280" s="10">
        <v>-3814.75</v>
      </c>
      <c r="AU280" s="8" t="s">
        <v>204</v>
      </c>
      <c r="AV280" s="10">
        <v>1.3120000000000001</v>
      </c>
      <c r="AW280" s="11">
        <f>IF(AND(ISNUMBER(AV280),ISNUMBER(AT280)),IF(AT280&lt;&gt;0,AV280/ABS(AT280),""),"")</f>
        <v>3.4392817353692904E-4</v>
      </c>
      <c r="AX280" s="8">
        <v>0</v>
      </c>
      <c r="AY280" s="8">
        <v>1</v>
      </c>
      <c r="AZ280" s="10"/>
      <c r="BA280" s="8">
        <v>0</v>
      </c>
    </row>
    <row r="281" spans="1:53" x14ac:dyDescent="0.2">
      <c r="A281" s="8" t="s">
        <v>401</v>
      </c>
      <c r="B281" s="8" t="s">
        <v>82</v>
      </c>
      <c r="C281" s="8" t="s">
        <v>210</v>
      </c>
      <c r="D281" s="8">
        <v>1</v>
      </c>
      <c r="E281" s="8">
        <v>1</v>
      </c>
      <c r="F281" s="8">
        <f>SUM(G281:M281)</f>
        <v>1</v>
      </c>
      <c r="G281" s="8">
        <v>0</v>
      </c>
      <c r="H281" s="8">
        <v>1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1</v>
      </c>
      <c r="Q281" s="8">
        <v>1</v>
      </c>
      <c r="R281" s="8">
        <v>1</v>
      </c>
      <c r="S281" s="8">
        <v>0</v>
      </c>
      <c r="T281" s="10">
        <v>-4.5819999999999999</v>
      </c>
      <c r="U281" s="10">
        <v>-5.8330000000000002</v>
      </c>
      <c r="V281" s="10">
        <v>-9.8559999999999999</v>
      </c>
      <c r="W281" s="10">
        <f>IF(RIGHT(C281,2)="12",IF(ISNUMBER(T281),T281,""),IF(COUNT(T281,U281,V281)=3,T281+U281-V281,""))</f>
        <v>-0.55899999999999928</v>
      </c>
      <c r="X281" s="10">
        <v>-0.56000000000000005</v>
      </c>
      <c r="Y281" s="10">
        <v>0</v>
      </c>
      <c r="Z281" s="10">
        <v>4.0220000000000002</v>
      </c>
      <c r="AA281" s="10">
        <v>-3.5640000000000001</v>
      </c>
      <c r="AB281" s="10">
        <v>-1.0169999999999999</v>
      </c>
      <c r="AC281" s="8">
        <v>0</v>
      </c>
      <c r="AD281" s="8">
        <v>0</v>
      </c>
      <c r="AE281" s="8">
        <v>0</v>
      </c>
      <c r="AF281" s="10">
        <v>0</v>
      </c>
      <c r="AG281" s="8">
        <f>COUNTIF(Y281:AB281,"&gt;0")</f>
        <v>1</v>
      </c>
      <c r="AH281" s="10">
        <v>0</v>
      </c>
      <c r="AI281" s="10">
        <v>4.0220000000000002</v>
      </c>
      <c r="AJ281" s="8" t="str">
        <f>IF(ISNUMBER(X281),IF(X281&gt;0,"+",IF(X281&lt;0,"−","0")),IF(ISNUMBER(W281),IF(W281&gt;0,"+",IF(W281&lt;0,"−","0")),"yok"))</f>
        <v>−</v>
      </c>
      <c r="AK281" s="10">
        <f>IF(AND(RIGHT(C281,2)&lt;&gt;"12",ISNUMBER(U281),ISNUMBER(V281)),U281-V281,"")</f>
        <v>4.0229999999999997</v>
      </c>
      <c r="AL281" s="11">
        <f>IF(AND(ISNUMBER(AK281),ISNUMBER(V281)),IF(V281&lt;&gt;0,AK281/ABS(V281),""),"")</f>
        <v>0.40817775974025972</v>
      </c>
      <c r="AM281" s="8">
        <f>IF(ISNUMBER(AK281),IF(AK281&gt;1,1,0),"")</f>
        <v>1</v>
      </c>
      <c r="AN281" s="8">
        <f>IF(ISNUMBER(AK281),IF(AK281&gt;0.05*ABS(V281),1,0),"")</f>
        <v>1</v>
      </c>
      <c r="AO281" s="10">
        <v>-0.56000000000000105</v>
      </c>
      <c r="AP281" s="10">
        <v>0.56000000000000105</v>
      </c>
      <c r="AQ281" s="8" t="s">
        <v>204</v>
      </c>
      <c r="AR281" s="8">
        <v>0</v>
      </c>
      <c r="AS281" s="10">
        <v>235.60300000000001</v>
      </c>
      <c r="AT281" s="10">
        <v>-91.518000000000001</v>
      </c>
      <c r="AU281" s="8" t="s">
        <v>204</v>
      </c>
      <c r="AV281" s="10">
        <v>4.0229999999999997</v>
      </c>
      <c r="AW281" s="11">
        <f>IF(AND(ISNUMBER(AV281),ISNUMBER(AT281)),IF(AT281&lt;&gt;0,AV281/ABS(AT281),""),"")</f>
        <v>4.3958565528092831E-2</v>
      </c>
      <c r="AX281" s="8">
        <v>0</v>
      </c>
      <c r="AY281" s="8">
        <v>1</v>
      </c>
      <c r="AZ281" s="10"/>
      <c r="BA281" s="8">
        <v>0</v>
      </c>
    </row>
    <row r="282" spans="1:53" x14ac:dyDescent="0.2">
      <c r="A282" s="8" t="s">
        <v>402</v>
      </c>
      <c r="B282" s="8" t="s">
        <v>82</v>
      </c>
      <c r="C282" s="8" t="s">
        <v>215</v>
      </c>
      <c r="D282" s="8">
        <v>1</v>
      </c>
      <c r="E282" s="8">
        <v>1</v>
      </c>
      <c r="F282" s="8">
        <f>SUM(G282:M282)</f>
        <v>1</v>
      </c>
      <c r="G282" s="8">
        <v>0</v>
      </c>
      <c r="H282" s="8">
        <v>1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1</v>
      </c>
      <c r="Q282" s="8">
        <v>1</v>
      </c>
      <c r="R282" s="8">
        <v>1</v>
      </c>
      <c r="S282" s="8">
        <v>1</v>
      </c>
      <c r="T282" s="10">
        <v>-109.956</v>
      </c>
      <c r="U282" s="10">
        <v>-165.72499999999999</v>
      </c>
      <c r="V282" s="10">
        <v>-186.32</v>
      </c>
      <c r="W282" s="10">
        <f>IF(RIGHT(C282,2)="12",IF(ISNUMBER(T282),T282,""),IF(COUNT(T282,U282,V282)=3,T282+U282-V282,""))</f>
        <v>-89.36099999999999</v>
      </c>
      <c r="X282" s="10">
        <v>-89.361000000000004</v>
      </c>
      <c r="Y282" s="10">
        <v>20.594000000000001</v>
      </c>
      <c r="Z282" s="10">
        <v>-23.916</v>
      </c>
      <c r="AA282" s="10">
        <v>1.752</v>
      </c>
      <c r="AB282" s="10">
        <v>-87.790999999999997</v>
      </c>
      <c r="AC282" s="8">
        <v>0</v>
      </c>
      <c r="AD282" s="8">
        <v>0</v>
      </c>
      <c r="AE282" s="8">
        <v>0</v>
      </c>
      <c r="AF282" s="10">
        <v>0</v>
      </c>
      <c r="AG282" s="8">
        <f>COUNTIF(Y282:AB282,"&gt;0")</f>
        <v>2</v>
      </c>
      <c r="AH282" s="10">
        <v>1.752</v>
      </c>
      <c r="AI282" s="10">
        <v>20.594000000000001</v>
      </c>
      <c r="AJ282" s="8" t="str">
        <f>IF(ISNUMBER(X282),IF(X282&gt;0,"+",IF(X282&lt;0,"−","0")),IF(ISNUMBER(W282),IF(W282&gt;0,"+",IF(W282&lt;0,"−","0")),"yok"))</f>
        <v>−</v>
      </c>
      <c r="AK282" s="10">
        <f>IF(AND(RIGHT(C282,2)&lt;&gt;"12",ISNUMBER(U282),ISNUMBER(V282)),U282-V282,"")</f>
        <v>20.594999999999999</v>
      </c>
      <c r="AL282" s="11">
        <f>IF(AND(ISNUMBER(AK282),ISNUMBER(V282)),IF(V282&lt;&gt;0,AK282/ABS(V282),""),"")</f>
        <v>0.11053563761270932</v>
      </c>
      <c r="AM282" s="8">
        <f>IF(ISNUMBER(AK282),IF(AK282&gt;1,1,0),"")</f>
        <v>1</v>
      </c>
      <c r="AN282" s="8">
        <f>IF(ISNUMBER(AK282),IF(AK282&gt;0.05*ABS(V282),1,0),"")</f>
        <v>1</v>
      </c>
      <c r="AO282" s="10">
        <v>-89.361999999999995</v>
      </c>
      <c r="AP282" s="10">
        <v>89.361999999999995</v>
      </c>
      <c r="AQ282" s="8" t="s">
        <v>204</v>
      </c>
      <c r="AR282" s="8">
        <v>0</v>
      </c>
      <c r="AS282" s="10">
        <v>248.678</v>
      </c>
      <c r="AT282" s="10">
        <v>99.849000000000004</v>
      </c>
      <c r="AU282" s="8" t="s">
        <v>204</v>
      </c>
      <c r="AV282" s="10">
        <v>20.594999999999999</v>
      </c>
      <c r="AW282" s="11">
        <f>IF(AND(ISNUMBER(AV282),ISNUMBER(AT282)),IF(AT282&lt;&gt;0,AV282/ABS(AT282),""),"")</f>
        <v>0.20626145479674307</v>
      </c>
      <c r="AX282" s="8">
        <v>0</v>
      </c>
      <c r="AY282" s="8">
        <v>1</v>
      </c>
      <c r="AZ282" s="10"/>
      <c r="BA282" s="8">
        <v>0</v>
      </c>
    </row>
    <row r="283" spans="1:53" x14ac:dyDescent="0.2">
      <c r="A283" s="8" t="s">
        <v>402</v>
      </c>
      <c r="B283" s="8" t="s">
        <v>83</v>
      </c>
      <c r="C283" s="8" t="s">
        <v>203</v>
      </c>
      <c r="D283" s="8">
        <v>1</v>
      </c>
      <c r="E283" s="8">
        <v>1</v>
      </c>
      <c r="F283" s="8">
        <f>SUM(G283:M283)</f>
        <v>1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1</v>
      </c>
      <c r="N283" s="8">
        <v>0</v>
      </c>
      <c r="O283" s="8">
        <v>0</v>
      </c>
      <c r="P283" s="8">
        <v>1</v>
      </c>
      <c r="Q283" s="8">
        <v>0</v>
      </c>
      <c r="R283" s="8">
        <v>0</v>
      </c>
      <c r="S283" s="8">
        <v>0</v>
      </c>
      <c r="T283" s="10">
        <v>-7.6449999999999996</v>
      </c>
      <c r="U283" s="10">
        <v>-67.299000000000007</v>
      </c>
      <c r="V283" s="10">
        <v>-13.387</v>
      </c>
      <c r="W283" s="10">
        <f>IF(RIGHT(C283,2)="12",IF(ISNUMBER(T283),T283,""),IF(COUNT(T283,U283,V283)=3,T283+U283-V283,""))</f>
        <v>-61.557000000000002</v>
      </c>
      <c r="X283" s="10">
        <v>-61.557000000000002</v>
      </c>
      <c r="Y283" s="10">
        <v>2.3290000000000002</v>
      </c>
      <c r="Z283" s="10">
        <v>-15.645</v>
      </c>
      <c r="AA283" s="10">
        <v>-40.595999999999997</v>
      </c>
      <c r="AB283" s="10">
        <v>-7.6449999999999996</v>
      </c>
      <c r="AC283" s="8">
        <v>0</v>
      </c>
      <c r="AD283" s="8">
        <v>0</v>
      </c>
      <c r="AE283" s="8">
        <v>0</v>
      </c>
      <c r="AF283" s="10">
        <v>0</v>
      </c>
      <c r="AG283" s="8">
        <f>COUNTIF(Y283:AB283,"&gt;0")</f>
        <v>1</v>
      </c>
      <c r="AH283" s="10">
        <v>0</v>
      </c>
      <c r="AI283" s="10">
        <v>2.3290000000000002</v>
      </c>
      <c r="AJ283" s="8" t="str">
        <f>IF(ISNUMBER(X283),IF(X283&gt;0,"+",IF(X283&lt;0,"−","0")),IF(ISNUMBER(W283),IF(W283&gt;0,"+",IF(W283&lt;0,"−","0")),"yok"))</f>
        <v>−</v>
      </c>
      <c r="AK283" s="10">
        <f>IF(AND(RIGHT(C283,2)&lt;&gt;"12",ISNUMBER(U283),ISNUMBER(V283)),U283-V283,"")</f>
        <v>-53.912000000000006</v>
      </c>
      <c r="AL283" s="11">
        <f>IF(AND(ISNUMBER(AK283),ISNUMBER(V283)),IF(V283&lt;&gt;0,AK283/ABS(V283),""),"")</f>
        <v>-4.0271905580040341</v>
      </c>
      <c r="AM283" s="8">
        <f>IF(ISNUMBER(AK283),IF(AK283&gt;1,1,0),"")</f>
        <v>0</v>
      </c>
      <c r="AN283" s="8">
        <f>IF(ISNUMBER(AK283),IF(AK283&gt;0.05*ABS(V283),1,0),"")</f>
        <v>0</v>
      </c>
      <c r="AO283" s="10">
        <v>-61.557000000000002</v>
      </c>
      <c r="AP283" s="10">
        <v>61.557000000000002</v>
      </c>
      <c r="AQ283" s="8" t="s">
        <v>204</v>
      </c>
      <c r="AR283" s="8">
        <v>0</v>
      </c>
      <c r="AS283" s="10">
        <v>228.26900000000001</v>
      </c>
      <c r="AT283" s="10">
        <v>35.160999999999902</v>
      </c>
      <c r="AU283" s="8" t="s">
        <v>204</v>
      </c>
      <c r="AV283" s="10">
        <v>2.3290000000000002</v>
      </c>
      <c r="AW283" s="11">
        <f>IF(AND(ISNUMBER(AV283),ISNUMBER(AT283)),IF(AT283&lt;&gt;0,AV283/ABS(AT283),""),"")</f>
        <v>6.6238161599499634E-2</v>
      </c>
      <c r="AX283" s="8">
        <v>0</v>
      </c>
      <c r="AY283" s="8">
        <v>0</v>
      </c>
      <c r="AZ283" s="10"/>
      <c r="BA283" s="8">
        <v>0</v>
      </c>
    </row>
    <row r="284" spans="1:53" x14ac:dyDescent="0.2">
      <c r="A284" s="8" t="s">
        <v>403</v>
      </c>
      <c r="B284" s="8" t="s">
        <v>83</v>
      </c>
      <c r="C284" s="8" t="s">
        <v>203</v>
      </c>
      <c r="D284" s="8">
        <v>1</v>
      </c>
      <c r="E284" s="8">
        <v>1</v>
      </c>
      <c r="F284" s="8">
        <f>SUM(G284:M284)</f>
        <v>1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1</v>
      </c>
      <c r="N284" s="8">
        <v>0</v>
      </c>
      <c r="O284" s="8">
        <v>0</v>
      </c>
      <c r="P284" s="8">
        <v>1</v>
      </c>
      <c r="Q284" s="8">
        <v>0</v>
      </c>
      <c r="R284" s="8">
        <v>0</v>
      </c>
      <c r="S284" s="8">
        <v>0</v>
      </c>
      <c r="T284" s="10">
        <v>-2.032</v>
      </c>
      <c r="U284" s="10">
        <v>-118.268</v>
      </c>
      <c r="V284" s="10">
        <v>-16.146999999999998</v>
      </c>
      <c r="W284" s="10">
        <f>IF(RIGHT(C284,2)="12",IF(ISNUMBER(T284),T284,""),IF(COUNT(T284,U284,V284)=3,T284+U284-V284,""))</f>
        <v>-104.15299999999999</v>
      </c>
      <c r="X284" s="10">
        <v>-104.152</v>
      </c>
      <c r="Y284" s="10">
        <v>-52.774999999999999</v>
      </c>
      <c r="Z284" s="10">
        <v>-59.701999999999998</v>
      </c>
      <c r="AA284" s="10">
        <v>10.356999999999999</v>
      </c>
      <c r="AB284" s="10">
        <v>-2.032</v>
      </c>
      <c r="AC284" s="8">
        <v>0</v>
      </c>
      <c r="AD284" s="8">
        <v>0</v>
      </c>
      <c r="AE284" s="8">
        <v>0</v>
      </c>
      <c r="AF284" s="10">
        <v>0</v>
      </c>
      <c r="AG284" s="8">
        <f>COUNTIF(Y284:AB284,"&gt;0")</f>
        <v>1</v>
      </c>
      <c r="AH284" s="10">
        <v>0</v>
      </c>
      <c r="AI284" s="10">
        <v>10.356999999999999</v>
      </c>
      <c r="AJ284" s="8" t="str">
        <f>IF(ISNUMBER(X284),IF(X284&gt;0,"+",IF(X284&lt;0,"−","0")),IF(ISNUMBER(W284),IF(W284&gt;0,"+",IF(W284&lt;0,"−","0")),"yok"))</f>
        <v>−</v>
      </c>
      <c r="AK284" s="10">
        <f>IF(AND(RIGHT(C284,2)&lt;&gt;"12",ISNUMBER(U284),ISNUMBER(V284)),U284-V284,"")</f>
        <v>-102.12100000000001</v>
      </c>
      <c r="AL284" s="11">
        <f>IF(AND(ISNUMBER(AK284),ISNUMBER(V284)),IF(V284&lt;&gt;0,AK284/ABS(V284),""),"")</f>
        <v>-6.3244565553972887</v>
      </c>
      <c r="AM284" s="8">
        <f>IF(ISNUMBER(AK284),IF(AK284&gt;1,1,0),"")</f>
        <v>0</v>
      </c>
      <c r="AN284" s="8">
        <f>IF(ISNUMBER(AK284),IF(AK284&gt;0.05*ABS(V284),1,0),"")</f>
        <v>0</v>
      </c>
      <c r="AO284" s="10">
        <v>-104.152</v>
      </c>
      <c r="AP284" s="10">
        <v>104.152</v>
      </c>
      <c r="AQ284" s="8" t="s">
        <v>204</v>
      </c>
      <c r="AR284" s="8">
        <v>0</v>
      </c>
      <c r="AS284" s="10">
        <v>342.995</v>
      </c>
      <c r="AT284" s="10">
        <v>238.84299999999999</v>
      </c>
      <c r="AU284" s="8" t="s">
        <v>204</v>
      </c>
      <c r="AV284" s="10">
        <v>10.356999999999999</v>
      </c>
      <c r="AW284" s="11">
        <f>IF(AND(ISNUMBER(AV284),ISNUMBER(AT284)),IF(AT284&lt;&gt;0,AV284/ABS(AT284),""),"")</f>
        <v>4.3363213491707943E-2</v>
      </c>
      <c r="AX284" s="8">
        <v>0</v>
      </c>
      <c r="AY284" s="8">
        <v>0</v>
      </c>
      <c r="AZ284" s="10"/>
      <c r="BA284" s="8">
        <v>0</v>
      </c>
    </row>
    <row r="285" spans="1:53" x14ac:dyDescent="0.2">
      <c r="A285" s="8" t="s">
        <v>403</v>
      </c>
      <c r="B285" s="8" t="s">
        <v>83</v>
      </c>
      <c r="C285" s="8" t="s">
        <v>205</v>
      </c>
      <c r="D285" s="8">
        <v>1</v>
      </c>
      <c r="E285" s="8">
        <v>1</v>
      </c>
      <c r="F285" s="8">
        <f>SUM(G285:M285)</f>
        <v>1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1</v>
      </c>
      <c r="N285" s="8">
        <v>0</v>
      </c>
      <c r="O285" s="8">
        <v>0</v>
      </c>
      <c r="P285" s="8">
        <v>1</v>
      </c>
      <c r="Q285" s="8">
        <v>0</v>
      </c>
      <c r="R285" s="8">
        <v>0</v>
      </c>
      <c r="S285" s="8">
        <v>0</v>
      </c>
      <c r="T285" s="10">
        <v>-5.3609999999999998</v>
      </c>
      <c r="U285" s="10">
        <v>-118.268</v>
      </c>
      <c r="V285" s="10">
        <v>-68.923000000000002</v>
      </c>
      <c r="W285" s="10">
        <f>IF(RIGHT(C285,2)="12",IF(ISNUMBER(T285),T285,""),IF(COUNT(T285,U285,V285)=3,T285+U285-V285,""))</f>
        <v>-54.706000000000003</v>
      </c>
      <c r="X285" s="10">
        <v>-54.706000000000003</v>
      </c>
      <c r="Y285" s="10">
        <v>-59.701999999999998</v>
      </c>
      <c r="Z285" s="10">
        <v>10.356999999999999</v>
      </c>
      <c r="AA285" s="10">
        <v>-2.032</v>
      </c>
      <c r="AB285" s="10">
        <v>-3.3290000000000002</v>
      </c>
      <c r="AC285" s="8">
        <v>0</v>
      </c>
      <c r="AD285" s="8">
        <v>0</v>
      </c>
      <c r="AE285" s="8">
        <v>0</v>
      </c>
      <c r="AF285" s="10">
        <v>0</v>
      </c>
      <c r="AG285" s="8">
        <f>COUNTIF(Y285:AB285,"&gt;0")</f>
        <v>1</v>
      </c>
      <c r="AH285" s="10">
        <v>0</v>
      </c>
      <c r="AI285" s="10">
        <v>10.356999999999999</v>
      </c>
      <c r="AJ285" s="8" t="str">
        <f>IF(ISNUMBER(X285),IF(X285&gt;0,"+",IF(X285&lt;0,"−","0")),IF(ISNUMBER(W285),IF(W285&gt;0,"+",IF(W285&lt;0,"−","0")),"yok"))</f>
        <v>−</v>
      </c>
      <c r="AK285" s="10">
        <f>IF(AND(RIGHT(C285,2)&lt;&gt;"12",ISNUMBER(U285),ISNUMBER(V285)),U285-V285,"")</f>
        <v>-49.344999999999999</v>
      </c>
      <c r="AL285" s="11">
        <f>IF(AND(ISNUMBER(AK285),ISNUMBER(V285)),IF(V285&lt;&gt;0,AK285/ABS(V285),""),"")</f>
        <v>-0.71594387940165105</v>
      </c>
      <c r="AM285" s="8">
        <f>IF(ISNUMBER(AK285),IF(AK285&gt;1,1,0),"")</f>
        <v>0</v>
      </c>
      <c r="AN285" s="8">
        <f>IF(ISNUMBER(AK285),IF(AK285&gt;0.05*ABS(V285),1,0),"")</f>
        <v>0</v>
      </c>
      <c r="AO285" s="10">
        <v>-54.706000000000003</v>
      </c>
      <c r="AP285" s="10">
        <v>54.706000000000003</v>
      </c>
      <c r="AQ285" s="8" t="s">
        <v>204</v>
      </c>
      <c r="AR285" s="8">
        <v>0</v>
      </c>
      <c r="AS285" s="10">
        <v>413.76</v>
      </c>
      <c r="AT285" s="10">
        <v>359.05399999999997</v>
      </c>
      <c r="AU285" s="8" t="s">
        <v>204</v>
      </c>
      <c r="AV285" s="10">
        <v>10.356999999999999</v>
      </c>
      <c r="AW285" s="11">
        <f>IF(AND(ISNUMBER(AV285),ISNUMBER(AT285)),IF(AT285&lt;&gt;0,AV285/ABS(AT285),""),"")</f>
        <v>2.8845243333871784E-2</v>
      </c>
      <c r="AX285" s="8">
        <v>0</v>
      </c>
      <c r="AY285" s="8">
        <v>0</v>
      </c>
      <c r="AZ285" s="10"/>
      <c r="BA285" s="8">
        <v>0</v>
      </c>
    </row>
    <row r="286" spans="1:53" x14ac:dyDescent="0.2">
      <c r="A286" s="8" t="s">
        <v>403</v>
      </c>
      <c r="B286" s="8" t="s">
        <v>83</v>
      </c>
      <c r="C286" s="8" t="s">
        <v>215</v>
      </c>
      <c r="D286" s="8">
        <v>1</v>
      </c>
      <c r="E286" s="8">
        <v>1</v>
      </c>
      <c r="F286" s="8">
        <f>SUM(G286:M286)</f>
        <v>3</v>
      </c>
      <c r="G286" s="8">
        <v>0</v>
      </c>
      <c r="H286" s="8">
        <v>0</v>
      </c>
      <c r="I286" s="8">
        <v>1</v>
      </c>
      <c r="J286" s="8">
        <v>0</v>
      </c>
      <c r="K286" s="8">
        <v>0</v>
      </c>
      <c r="L286" s="8">
        <v>1</v>
      </c>
      <c r="M286" s="8">
        <v>1</v>
      </c>
      <c r="N286" s="8">
        <v>1</v>
      </c>
      <c r="O286" s="8">
        <v>0</v>
      </c>
      <c r="P286" s="8">
        <v>1</v>
      </c>
      <c r="Q286" s="8">
        <v>0</v>
      </c>
      <c r="R286" s="8">
        <v>0</v>
      </c>
      <c r="S286" s="8">
        <v>0</v>
      </c>
      <c r="T286" s="10">
        <v>-5.2</v>
      </c>
      <c r="U286" s="10">
        <v>-118.268</v>
      </c>
      <c r="V286" s="10">
        <v>-128.625</v>
      </c>
      <c r="W286" s="10">
        <f>IF(RIGHT(C286,2)="12",IF(ISNUMBER(T286),T286,""),IF(COUNT(T286,U286,V286)=3,T286+U286-V286,""))</f>
        <v>5.1569999999999965</v>
      </c>
      <c r="X286" s="10">
        <v>5.157</v>
      </c>
      <c r="Y286" s="10">
        <v>10.356999999999999</v>
      </c>
      <c r="Z286" s="10">
        <v>-2.032</v>
      </c>
      <c r="AA286" s="10">
        <v>-3.3290000000000002</v>
      </c>
      <c r="AB286" s="10">
        <v>0.161</v>
      </c>
      <c r="AC286" s="8">
        <v>0</v>
      </c>
      <c r="AD286" s="8">
        <v>0</v>
      </c>
      <c r="AE286" s="8">
        <v>0</v>
      </c>
      <c r="AF286" s="10">
        <v>0</v>
      </c>
      <c r="AG286" s="8">
        <f>COUNTIF(Y286:AB286,"&gt;0")</f>
        <v>2</v>
      </c>
      <c r="AH286" s="10">
        <v>0.161</v>
      </c>
      <c r="AI286" s="10">
        <v>10.356999999999999</v>
      </c>
      <c r="AJ286" s="8" t="str">
        <f>IF(ISNUMBER(X286),IF(X286&gt;0,"+",IF(X286&lt;0,"−","0")),IF(ISNUMBER(W286),IF(W286&gt;0,"+",IF(W286&lt;0,"−","0")),"yok"))</f>
        <v>+</v>
      </c>
      <c r="AK286" s="10">
        <f>IF(AND(RIGHT(C286,2)&lt;&gt;"12",ISNUMBER(U286),ISNUMBER(V286)),U286-V286,"")</f>
        <v>10.356999999999999</v>
      </c>
      <c r="AL286" s="11">
        <f>IF(AND(ISNUMBER(AK286),ISNUMBER(V286)),IF(V286&lt;&gt;0,AK286/ABS(V286),""),"")</f>
        <v>8.052089407191447E-2</v>
      </c>
      <c r="AM286" s="8">
        <f>IF(ISNUMBER(AK286),IF(AK286&gt;1,1,0),"")</f>
        <v>1</v>
      </c>
      <c r="AN286" s="8">
        <f>IF(ISNUMBER(AK286),IF(AK286&gt;0.05*ABS(V286),1,0),"")</f>
        <v>1</v>
      </c>
      <c r="AO286" s="10">
        <v>5.1580000000000004</v>
      </c>
      <c r="AP286" s="10">
        <v>0</v>
      </c>
      <c r="AQ286" s="8" t="s">
        <v>204</v>
      </c>
      <c r="AR286" s="8">
        <v>1</v>
      </c>
      <c r="AS286" s="10">
        <v>281.47399999999999</v>
      </c>
      <c r="AT286" s="10">
        <v>281.47399999999999</v>
      </c>
      <c r="AU286" s="8" t="s">
        <v>204</v>
      </c>
      <c r="AV286" s="10">
        <v>10.356999999999999</v>
      </c>
      <c r="AW286" s="11">
        <f>IF(AND(ISNUMBER(AV286),ISNUMBER(AT286)),IF(AT286&lt;&gt;0,AV286/ABS(AT286),""),"")</f>
        <v>3.679558325102851E-2</v>
      </c>
      <c r="AX286" s="8">
        <v>0</v>
      </c>
      <c r="AY286" s="8">
        <v>1</v>
      </c>
      <c r="AZ286" s="10"/>
      <c r="BA286" s="8">
        <v>0</v>
      </c>
    </row>
    <row r="287" spans="1:53" x14ac:dyDescent="0.2">
      <c r="A287" s="8" t="s">
        <v>404</v>
      </c>
      <c r="B287" s="8" t="s">
        <v>83</v>
      </c>
      <c r="C287" s="8" t="s">
        <v>208</v>
      </c>
      <c r="D287" s="8">
        <v>1</v>
      </c>
      <c r="E287" s="8">
        <v>1</v>
      </c>
      <c r="F287" s="8">
        <f>SUM(G287:M287)</f>
        <v>1</v>
      </c>
      <c r="G287" s="8">
        <v>0</v>
      </c>
      <c r="H287" s="8">
        <v>0</v>
      </c>
      <c r="I287" s="8">
        <v>0</v>
      </c>
      <c r="J287" s="8">
        <v>0</v>
      </c>
      <c r="K287" s="8">
        <v>1</v>
      </c>
      <c r="L287" s="8">
        <v>0</v>
      </c>
      <c r="M287" s="8">
        <v>0</v>
      </c>
      <c r="N287" s="8">
        <v>0</v>
      </c>
      <c r="O287" s="8">
        <v>1</v>
      </c>
      <c r="P287" s="8">
        <v>1</v>
      </c>
      <c r="Q287" s="8">
        <v>0</v>
      </c>
      <c r="R287" s="8">
        <v>0</v>
      </c>
      <c r="S287" s="8">
        <v>0</v>
      </c>
      <c r="T287" s="10">
        <v>25.814</v>
      </c>
      <c r="U287" s="10">
        <v>-95.001000000000005</v>
      </c>
      <c r="V287" s="10">
        <v>-0.41799999999999998</v>
      </c>
      <c r="W287" s="10">
        <f>IF(RIGHT(C287,2)="12",IF(ISNUMBER(T287),T287,""),IF(COUNT(T287,U287,V287)=3,T287+U287-V287,""))</f>
        <v>-68.769000000000005</v>
      </c>
      <c r="X287" s="10">
        <v>-68.768000000000001</v>
      </c>
      <c r="Y287" s="10">
        <v>-19.009</v>
      </c>
      <c r="Z287" s="10">
        <v>-66.132000000000005</v>
      </c>
      <c r="AA287" s="10">
        <v>-9.4410000000000007</v>
      </c>
      <c r="AB287" s="10">
        <v>25.814</v>
      </c>
      <c r="AC287" s="8">
        <v>1</v>
      </c>
      <c r="AD287" s="8">
        <v>0</v>
      </c>
      <c r="AE287" s="8">
        <v>0</v>
      </c>
      <c r="AF287" s="10">
        <v>25.814</v>
      </c>
      <c r="AG287" s="8">
        <f>COUNTIF(Y287:AB287,"&gt;0")</f>
        <v>1</v>
      </c>
      <c r="AH287" s="10">
        <v>0</v>
      </c>
      <c r="AI287" s="10">
        <v>0</v>
      </c>
      <c r="AJ287" s="8" t="str">
        <f>IF(ISNUMBER(X287),IF(X287&gt;0,"+",IF(X287&lt;0,"−","0")),IF(ISNUMBER(W287),IF(W287&gt;0,"+",IF(W287&lt;0,"−","0")),"yok"))</f>
        <v>−</v>
      </c>
      <c r="AK287" s="10">
        <f>IF(AND(RIGHT(C287,2)&lt;&gt;"12",ISNUMBER(U287),ISNUMBER(V287)),U287-V287,"")</f>
        <v>-94.582999999999998</v>
      </c>
      <c r="AL287" s="11">
        <f>IF(AND(ISNUMBER(AK287),ISNUMBER(V287)),IF(V287&lt;&gt;0,AK287/ABS(V287),""),"")</f>
        <v>-226.27511961722487</v>
      </c>
      <c r="AM287" s="8">
        <f>IF(ISNUMBER(AK287),IF(AK287&gt;1,1,0),"")</f>
        <v>0</v>
      </c>
      <c r="AN287" s="8">
        <f>IF(ISNUMBER(AK287),IF(AK287&gt;0.05*ABS(V287),1,0),"")</f>
        <v>0</v>
      </c>
      <c r="AO287" s="10">
        <v>-68.768000000000001</v>
      </c>
      <c r="AP287" s="10">
        <v>68.768000000000001</v>
      </c>
      <c r="AQ287" s="8" t="s">
        <v>204</v>
      </c>
      <c r="AR287" s="8">
        <v>0</v>
      </c>
      <c r="AS287" s="10">
        <v>-343.98099999999999</v>
      </c>
      <c r="AT287" s="10">
        <v>-412.74900000000002</v>
      </c>
      <c r="AU287" s="8" t="s">
        <v>204</v>
      </c>
      <c r="AV287" s="10">
        <v>25.814</v>
      </c>
      <c r="AW287" s="11">
        <f>IF(AND(ISNUMBER(AV287),ISNUMBER(AT287)),IF(AT287&lt;&gt;0,AV287/ABS(AT287),""),"")</f>
        <v>6.2541641530324724E-2</v>
      </c>
      <c r="AX287" s="8">
        <v>1</v>
      </c>
      <c r="AY287" s="8">
        <v>0</v>
      </c>
      <c r="AZ287" s="8" t="s">
        <v>405</v>
      </c>
      <c r="BA287" s="8">
        <v>0</v>
      </c>
    </row>
    <row r="288" spans="1:53" x14ac:dyDescent="0.2">
      <c r="A288" s="8" t="s">
        <v>406</v>
      </c>
      <c r="B288" s="8" t="s">
        <v>83</v>
      </c>
      <c r="C288" s="8" t="s">
        <v>208</v>
      </c>
      <c r="D288" s="8">
        <v>1</v>
      </c>
      <c r="E288" s="8">
        <v>1</v>
      </c>
      <c r="F288" s="8">
        <f>SUM(G288:M288)</f>
        <v>2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1</v>
      </c>
      <c r="M288" s="8">
        <v>1</v>
      </c>
      <c r="N288" s="8">
        <v>1</v>
      </c>
      <c r="O288" s="8">
        <v>0</v>
      </c>
      <c r="P288" s="8">
        <v>1</v>
      </c>
      <c r="Q288" s="8">
        <v>0</v>
      </c>
      <c r="R288" s="8">
        <v>0</v>
      </c>
      <c r="S288" s="8">
        <v>0</v>
      </c>
      <c r="T288" s="10">
        <v>-82.789000000000001</v>
      </c>
      <c r="U288" s="10">
        <v>-133.31</v>
      </c>
      <c r="V288" s="10">
        <v>-598.93600000000004</v>
      </c>
      <c r="W288" s="10">
        <f>IF(RIGHT(C288,2)="12",IF(ISNUMBER(T288),T288,""),IF(COUNT(T288,U288,V288)=3,T288+U288-V288,""))</f>
        <v>382.83700000000005</v>
      </c>
      <c r="X288" s="10">
        <v>382.83600000000001</v>
      </c>
      <c r="Y288" s="10">
        <v>476.27600000000001</v>
      </c>
      <c r="Z288" s="10">
        <v>-0.747</v>
      </c>
      <c r="AA288" s="10">
        <v>-9.9019999999999992</v>
      </c>
      <c r="AB288" s="10">
        <v>-82.789000000000001</v>
      </c>
      <c r="AC288" s="8">
        <v>0</v>
      </c>
      <c r="AD288" s="8">
        <v>0</v>
      </c>
      <c r="AE288" s="8">
        <v>0</v>
      </c>
      <c r="AF288" s="10">
        <v>0</v>
      </c>
      <c r="AG288" s="8">
        <f>COUNTIF(Y288:AB288,"&gt;0")</f>
        <v>1</v>
      </c>
      <c r="AH288" s="10">
        <v>0</v>
      </c>
      <c r="AI288" s="10">
        <v>476.27600000000001</v>
      </c>
      <c r="AJ288" s="8" t="str">
        <f>IF(ISNUMBER(X288),IF(X288&gt;0,"+",IF(X288&lt;0,"−","0")),IF(ISNUMBER(W288),IF(W288&gt;0,"+",IF(W288&lt;0,"−","0")),"yok"))</f>
        <v>+</v>
      </c>
      <c r="AK288" s="10">
        <f>IF(AND(RIGHT(C288,2)&lt;&gt;"12",ISNUMBER(U288),ISNUMBER(V288)),U288-V288,"")</f>
        <v>465.62600000000003</v>
      </c>
      <c r="AL288" s="11">
        <f>IF(AND(ISNUMBER(AK288),ISNUMBER(V288)),IF(V288&lt;&gt;0,AK288/ABS(V288),""),"")</f>
        <v>0.77742196161192512</v>
      </c>
      <c r="AM288" s="8">
        <f>IF(ISNUMBER(AK288),IF(AK288&gt;1,1,0),"")</f>
        <v>1</v>
      </c>
      <c r="AN288" s="8">
        <f>IF(ISNUMBER(AK288),IF(AK288&gt;0.05*ABS(V288),1,0),"")</f>
        <v>1</v>
      </c>
      <c r="AO288" s="10">
        <v>382.83699999999999</v>
      </c>
      <c r="AP288" s="10">
        <v>382.83699999999999</v>
      </c>
      <c r="AQ288" s="8" t="s">
        <v>204</v>
      </c>
      <c r="AR288" s="8">
        <v>0</v>
      </c>
      <c r="AS288" s="10">
        <v>-589.80399999999997</v>
      </c>
      <c r="AT288" s="10"/>
      <c r="AU288" s="8" t="s">
        <v>207</v>
      </c>
      <c r="AV288" s="10">
        <v>465.62599999999998</v>
      </c>
      <c r="AW288" s="11" t="str">
        <f>IF(AND(ISNUMBER(AV288),ISNUMBER(AT288)),IF(AT288&lt;&gt;0,AV288/ABS(AT288),""),"")</f>
        <v/>
      </c>
      <c r="AX288" s="8">
        <v>0</v>
      </c>
      <c r="AY288" s="8">
        <v>1</v>
      </c>
      <c r="AZ288" s="10"/>
      <c r="BA288" s="8">
        <v>0</v>
      </c>
    </row>
    <row r="289" spans="1:53" x14ac:dyDescent="0.2">
      <c r="A289" s="8" t="s">
        <v>407</v>
      </c>
      <c r="B289" s="8" t="s">
        <v>83</v>
      </c>
      <c r="C289" s="8" t="s">
        <v>203</v>
      </c>
      <c r="D289" s="8">
        <v>1</v>
      </c>
      <c r="E289" s="8">
        <v>1</v>
      </c>
      <c r="F289" s="8">
        <f>SUM(G289:M289)</f>
        <v>1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1</v>
      </c>
      <c r="N289" s="8">
        <v>0</v>
      </c>
      <c r="O289" s="8">
        <v>0</v>
      </c>
      <c r="P289" s="8">
        <v>1</v>
      </c>
      <c r="Q289" s="8">
        <v>0</v>
      </c>
      <c r="R289" s="8">
        <v>0</v>
      </c>
      <c r="S289" s="8">
        <v>0</v>
      </c>
      <c r="T289" s="10">
        <v>-271.00200000000001</v>
      </c>
      <c r="U289" s="10">
        <v>-1183.652</v>
      </c>
      <c r="V289" s="10">
        <v>-879.20100000000002</v>
      </c>
      <c r="W289" s="10">
        <f>IF(RIGHT(C289,2)="12",IF(ISNUMBER(T289),T289,""),IF(COUNT(T289,U289,V289)=3,T289+U289-V289,""))</f>
        <v>-575.45299999999997</v>
      </c>
      <c r="X289" s="10">
        <v>-575.45299999999997</v>
      </c>
      <c r="Y289" s="10">
        <v>191.63900000000001</v>
      </c>
      <c r="Z289" s="10">
        <v>-138.93700000000001</v>
      </c>
      <c r="AA289" s="10">
        <v>-357.15199999999999</v>
      </c>
      <c r="AB289" s="10">
        <v>-271.00200000000001</v>
      </c>
      <c r="AC289" s="8">
        <v>0</v>
      </c>
      <c r="AD289" s="8">
        <v>0</v>
      </c>
      <c r="AE289" s="8">
        <v>0</v>
      </c>
      <c r="AF289" s="10">
        <v>0</v>
      </c>
      <c r="AG289" s="8">
        <f>COUNTIF(Y289:AB289,"&gt;0")</f>
        <v>1</v>
      </c>
      <c r="AH289" s="10">
        <v>0</v>
      </c>
      <c r="AI289" s="10">
        <v>191.63900000000001</v>
      </c>
      <c r="AJ289" s="8" t="str">
        <f>IF(ISNUMBER(X289),IF(X289&gt;0,"+",IF(X289&lt;0,"−","0")),IF(ISNUMBER(W289),IF(W289&gt;0,"+",IF(W289&lt;0,"−","0")),"yok"))</f>
        <v>−</v>
      </c>
      <c r="AK289" s="10">
        <f>IF(AND(RIGHT(C289,2)&lt;&gt;"12",ISNUMBER(U289),ISNUMBER(V289)),U289-V289,"")</f>
        <v>-304.45100000000002</v>
      </c>
      <c r="AL289" s="11">
        <f>IF(AND(ISNUMBER(AK289),ISNUMBER(V289)),IF(V289&lt;&gt;0,AK289/ABS(V289),""),"")</f>
        <v>-0.34628145327405224</v>
      </c>
      <c r="AM289" s="8">
        <f>IF(ISNUMBER(AK289),IF(AK289&gt;1,1,0),"")</f>
        <v>0</v>
      </c>
      <c r="AN289" s="8">
        <f>IF(ISNUMBER(AK289),IF(AK289&gt;0.05*ABS(V289),1,0),"")</f>
        <v>0</v>
      </c>
      <c r="AO289" s="10">
        <v>-575.45399999999995</v>
      </c>
      <c r="AP289" s="10">
        <v>575.45399999999995</v>
      </c>
      <c r="AQ289" s="8" t="s">
        <v>204</v>
      </c>
      <c r="AR289" s="8">
        <v>0</v>
      </c>
      <c r="AS289" s="10">
        <v>-4767.8119999999999</v>
      </c>
      <c r="AT289" s="10">
        <v>-5343.2659999999996</v>
      </c>
      <c r="AU289" s="8" t="s">
        <v>204</v>
      </c>
      <c r="AV289" s="10">
        <v>191.63900000000001</v>
      </c>
      <c r="AW289" s="11">
        <f>IF(AND(ISNUMBER(AV289),ISNUMBER(AT289)),IF(AT289&lt;&gt;0,AV289/ABS(AT289),""),"")</f>
        <v>3.5865517456926163E-2</v>
      </c>
      <c r="AX289" s="8">
        <v>0</v>
      </c>
      <c r="AY289" s="8">
        <v>0</v>
      </c>
      <c r="AZ289" s="10"/>
      <c r="BA289" s="8">
        <v>0</v>
      </c>
    </row>
    <row r="290" spans="1:53" x14ac:dyDescent="0.2">
      <c r="A290" s="8" t="s">
        <v>408</v>
      </c>
      <c r="B290" s="8" t="s">
        <v>82</v>
      </c>
      <c r="C290" s="8" t="s">
        <v>208</v>
      </c>
      <c r="D290" s="8">
        <v>1</v>
      </c>
      <c r="E290" s="8">
        <v>1</v>
      </c>
      <c r="F290" s="8">
        <f>SUM(G290:M290)</f>
        <v>1</v>
      </c>
      <c r="G290" s="8">
        <v>0</v>
      </c>
      <c r="H290" s="8">
        <v>0</v>
      </c>
      <c r="I290" s="8">
        <v>0</v>
      </c>
      <c r="J290" s="8">
        <v>1</v>
      </c>
      <c r="K290" s="8">
        <v>0</v>
      </c>
      <c r="L290" s="8">
        <v>0</v>
      </c>
      <c r="M290" s="8">
        <v>0</v>
      </c>
      <c r="N290" s="8">
        <v>0</v>
      </c>
      <c r="O290" s="8">
        <v>1</v>
      </c>
      <c r="P290" s="8">
        <v>1</v>
      </c>
      <c r="Q290" s="8">
        <v>0</v>
      </c>
      <c r="R290" s="8">
        <v>1</v>
      </c>
      <c r="S290" s="8">
        <v>0</v>
      </c>
      <c r="T290" s="10">
        <v>0.48599999999999999</v>
      </c>
      <c r="U290" s="10">
        <v>-30.689</v>
      </c>
      <c r="V290" s="10">
        <v>-20.841999999999999</v>
      </c>
      <c r="W290" s="10">
        <f>IF(RIGHT(C290,2)="12",IF(ISNUMBER(T290),T290,""),IF(COUNT(T290,U290,V290)=3,T290+U290-V290,""))</f>
        <v>-9.3610000000000007</v>
      </c>
      <c r="X290" s="10">
        <v>-9.36</v>
      </c>
      <c r="Y290" s="10">
        <v>4.4930000000000003</v>
      </c>
      <c r="Z290" s="10">
        <v>-7.3639999999999999</v>
      </c>
      <c r="AA290" s="10">
        <v>-6.976</v>
      </c>
      <c r="AB290" s="10">
        <v>0.48599999999999999</v>
      </c>
      <c r="AC290" s="8">
        <v>1</v>
      </c>
      <c r="AD290" s="8">
        <v>0</v>
      </c>
      <c r="AE290" s="8">
        <v>0</v>
      </c>
      <c r="AF290" s="10">
        <v>0.48599999999999999</v>
      </c>
      <c r="AG290" s="8">
        <f>COUNTIF(Y290:AB290,"&gt;0")</f>
        <v>2</v>
      </c>
      <c r="AH290" s="10">
        <v>0</v>
      </c>
      <c r="AI290" s="10">
        <v>4.4930000000000003</v>
      </c>
      <c r="AJ290" s="8" t="str">
        <f>IF(ISNUMBER(X290),IF(X290&gt;0,"+",IF(X290&lt;0,"−","0")),IF(ISNUMBER(W290),IF(W290&gt;0,"+",IF(W290&lt;0,"−","0")),"yok"))</f>
        <v>−</v>
      </c>
      <c r="AK290" s="10">
        <f>IF(AND(RIGHT(C290,2)&lt;&gt;"12",ISNUMBER(U290),ISNUMBER(V290)),U290-V290,"")</f>
        <v>-9.8470000000000013</v>
      </c>
      <c r="AL290" s="11">
        <f>IF(AND(ISNUMBER(AK290),ISNUMBER(V290)),IF(V290&lt;&gt;0,AK290/ABS(V290),""),"")</f>
        <v>-0.47245945686594387</v>
      </c>
      <c r="AM290" s="8">
        <f>IF(ISNUMBER(AK290),IF(AK290&gt;1,1,0),"")</f>
        <v>0</v>
      </c>
      <c r="AN290" s="8">
        <f>IF(ISNUMBER(AK290),IF(AK290&gt;0.05*ABS(V290),1,0),"")</f>
        <v>0</v>
      </c>
      <c r="AO290" s="10">
        <v>-9.3610000000000007</v>
      </c>
      <c r="AP290" s="10">
        <v>9.3610000000000007</v>
      </c>
      <c r="AQ290" s="8" t="s">
        <v>204</v>
      </c>
      <c r="AR290" s="8">
        <v>0</v>
      </c>
      <c r="AS290" s="10">
        <v>400.84899999999999</v>
      </c>
      <c r="AT290" s="10">
        <v>-542.35</v>
      </c>
      <c r="AU290" s="8" t="s">
        <v>204</v>
      </c>
      <c r="AV290" s="10">
        <v>0.48599999999999999</v>
      </c>
      <c r="AW290" s="11">
        <f>IF(AND(ISNUMBER(AV290),ISNUMBER(AT290)),IF(AT290&lt;&gt;0,AV290/ABS(AT290),""),"")</f>
        <v>8.9610030423158474E-4</v>
      </c>
      <c r="AX290" s="8">
        <v>1</v>
      </c>
      <c r="AY290" s="8">
        <v>0</v>
      </c>
      <c r="AZ290" s="8" t="s">
        <v>409</v>
      </c>
      <c r="BA290" s="8">
        <v>0</v>
      </c>
    </row>
    <row r="291" spans="1:53" x14ac:dyDescent="0.2">
      <c r="A291" s="8" t="s">
        <v>410</v>
      </c>
      <c r="B291" s="8" t="s">
        <v>82</v>
      </c>
      <c r="C291" s="8" t="s">
        <v>208</v>
      </c>
      <c r="D291" s="8">
        <v>1</v>
      </c>
      <c r="E291" s="8">
        <v>1</v>
      </c>
      <c r="F291" s="8">
        <f>SUM(G291:M291)</f>
        <v>1</v>
      </c>
      <c r="G291" s="8">
        <v>1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1</v>
      </c>
      <c r="O291" s="8">
        <v>0</v>
      </c>
      <c r="P291" s="8">
        <v>1</v>
      </c>
      <c r="Q291" s="8">
        <v>1</v>
      </c>
      <c r="R291" s="8">
        <v>1</v>
      </c>
      <c r="S291" s="8">
        <v>0</v>
      </c>
      <c r="T291" s="10">
        <v>-95.902000000000001</v>
      </c>
      <c r="U291" s="10">
        <v>-105.532</v>
      </c>
      <c r="V291" s="10">
        <v>-313.90100000000001</v>
      </c>
      <c r="W291" s="10">
        <f>IF(RIGHT(C291,2)="12",IF(ISNUMBER(T291),T291,""),IF(COUNT(T291,U291,V291)=3,T291+U291-V291,""))</f>
        <v>112.46700000000001</v>
      </c>
      <c r="X291" s="10">
        <v>112.46599999999999</v>
      </c>
      <c r="Y291" s="10">
        <v>-225.38300000000001</v>
      </c>
      <c r="Z291" s="10">
        <v>-12.295999999999999</v>
      </c>
      <c r="AA291" s="10">
        <v>446.048</v>
      </c>
      <c r="AB291" s="10">
        <v>-95.902000000000001</v>
      </c>
      <c r="AC291" s="8">
        <v>0</v>
      </c>
      <c r="AD291" s="8">
        <v>0</v>
      </c>
      <c r="AE291" s="8">
        <v>0</v>
      </c>
      <c r="AF291" s="10">
        <v>0</v>
      </c>
      <c r="AG291" s="8">
        <f>COUNTIF(Y291:AB291,"&gt;0")</f>
        <v>1</v>
      </c>
      <c r="AH291" s="10">
        <v>0</v>
      </c>
      <c r="AI291" s="10">
        <v>446.048</v>
      </c>
      <c r="AJ291" s="8" t="str">
        <f>IF(ISNUMBER(X291),IF(X291&gt;0,"+",IF(X291&lt;0,"−","0")),IF(ISNUMBER(W291),IF(W291&gt;0,"+",IF(W291&lt;0,"−","0")),"yok"))</f>
        <v>+</v>
      </c>
      <c r="AK291" s="10">
        <f>IF(AND(RIGHT(C291,2)&lt;&gt;"12",ISNUMBER(U291),ISNUMBER(V291)),U291-V291,"")</f>
        <v>208.36900000000003</v>
      </c>
      <c r="AL291" s="11">
        <f>IF(AND(ISNUMBER(AK291),ISNUMBER(V291)),IF(V291&lt;&gt;0,AK291/ABS(V291),""),"")</f>
        <v>0.66380483018531322</v>
      </c>
      <c r="AM291" s="8">
        <f>IF(ISNUMBER(AK291),IF(AK291&gt;1,1,0),"")</f>
        <v>1</v>
      </c>
      <c r="AN291" s="8">
        <f>IF(ISNUMBER(AK291),IF(AK291&gt;0.05*ABS(V291),1,0),"")</f>
        <v>1</v>
      </c>
      <c r="AO291" s="10">
        <v>112.46599999999999</v>
      </c>
      <c r="AP291" s="10">
        <v>0</v>
      </c>
      <c r="AQ291" s="8" t="s">
        <v>204</v>
      </c>
      <c r="AR291" s="8">
        <v>1</v>
      </c>
      <c r="AS291" s="10">
        <v>415.74200000000002</v>
      </c>
      <c r="AT291" s="10">
        <v>-439.61</v>
      </c>
      <c r="AU291" s="8" t="s">
        <v>204</v>
      </c>
      <c r="AV291" s="10">
        <v>208.369</v>
      </c>
      <c r="AW291" s="11">
        <f>IF(AND(ISNUMBER(AV291),ISNUMBER(AT291)),IF(AT291&lt;&gt;0,AV291/ABS(AT291),""),"")</f>
        <v>0.47398603307477083</v>
      </c>
      <c r="AX291" s="8">
        <v>0</v>
      </c>
      <c r="AY291" s="8">
        <v>1</v>
      </c>
      <c r="AZ291" s="10"/>
      <c r="BA291" s="8">
        <v>0</v>
      </c>
    </row>
    <row r="292" spans="1:53" x14ac:dyDescent="0.2">
      <c r="A292" s="8" t="s">
        <v>410</v>
      </c>
      <c r="B292" s="8" t="s">
        <v>82</v>
      </c>
      <c r="C292" s="8" t="s">
        <v>210</v>
      </c>
      <c r="D292" s="8">
        <v>1</v>
      </c>
      <c r="E292" s="8">
        <v>1</v>
      </c>
      <c r="F292" s="8">
        <f>SUM(G292:M292)</f>
        <v>1</v>
      </c>
      <c r="G292" s="8">
        <v>1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1</v>
      </c>
      <c r="O292" s="8">
        <v>0</v>
      </c>
      <c r="P292" s="8">
        <v>1</v>
      </c>
      <c r="Q292" s="8">
        <v>1</v>
      </c>
      <c r="R292" s="8">
        <v>1</v>
      </c>
      <c r="S292" s="8">
        <v>0</v>
      </c>
      <c r="T292" s="10">
        <v>-302.93700000000001</v>
      </c>
      <c r="U292" s="10">
        <v>-105.532</v>
      </c>
      <c r="V292" s="10">
        <v>-539.28499999999997</v>
      </c>
      <c r="W292" s="10">
        <f>IF(RIGHT(C292,2)="12",IF(ISNUMBER(T292),T292,""),IF(COUNT(T292,U292,V292)=3,T292+U292-V292,""))</f>
        <v>130.81599999999997</v>
      </c>
      <c r="X292" s="10">
        <v>130.815</v>
      </c>
      <c r="Y292" s="10">
        <v>-12.295999999999999</v>
      </c>
      <c r="Z292" s="10">
        <v>446.048</v>
      </c>
      <c r="AA292" s="10">
        <v>-95.902000000000001</v>
      </c>
      <c r="AB292" s="10">
        <v>-207.03399999999999</v>
      </c>
      <c r="AC292" s="8">
        <v>0</v>
      </c>
      <c r="AD292" s="8">
        <v>0</v>
      </c>
      <c r="AE292" s="8">
        <v>0</v>
      </c>
      <c r="AF292" s="10">
        <v>0</v>
      </c>
      <c r="AG292" s="8">
        <f>COUNTIF(Y292:AB292,"&gt;0")</f>
        <v>1</v>
      </c>
      <c r="AH292" s="10">
        <v>0</v>
      </c>
      <c r="AI292" s="10">
        <v>446.048</v>
      </c>
      <c r="AJ292" s="8" t="str">
        <f>IF(ISNUMBER(X292),IF(X292&gt;0,"+",IF(X292&lt;0,"−","0")),IF(ISNUMBER(W292),IF(W292&gt;0,"+",IF(W292&lt;0,"−","0")),"yok"))</f>
        <v>+</v>
      </c>
      <c r="AK292" s="10">
        <f>IF(AND(RIGHT(C292,2)&lt;&gt;"12",ISNUMBER(U292),ISNUMBER(V292)),U292-V292,"")</f>
        <v>433.75299999999999</v>
      </c>
      <c r="AL292" s="11">
        <f>IF(AND(ISNUMBER(AK292),ISNUMBER(V292)),IF(V292&lt;&gt;0,AK292/ABS(V292),""),"")</f>
        <v>0.80431126398842911</v>
      </c>
      <c r="AM292" s="8">
        <f>IF(ISNUMBER(AK292),IF(AK292&gt;1,1,0),"")</f>
        <v>1</v>
      </c>
      <c r="AN292" s="8">
        <f>IF(ISNUMBER(AK292),IF(AK292&gt;0.05*ABS(V292),1,0),"")</f>
        <v>1</v>
      </c>
      <c r="AO292" s="10">
        <v>130.815</v>
      </c>
      <c r="AP292" s="10">
        <v>0</v>
      </c>
      <c r="AQ292" s="8" t="s">
        <v>204</v>
      </c>
      <c r="AR292" s="8">
        <v>1</v>
      </c>
      <c r="AS292" s="10">
        <v>-80.698000000000107</v>
      </c>
      <c r="AT292" s="10">
        <v>-617.43200000000002</v>
      </c>
      <c r="AU292" s="8" t="s">
        <v>204</v>
      </c>
      <c r="AV292" s="10">
        <v>433.75299999999999</v>
      </c>
      <c r="AW292" s="11">
        <f>IF(AND(ISNUMBER(AV292),ISNUMBER(AT292)),IF(AT292&lt;&gt;0,AV292/ABS(AT292),""),"")</f>
        <v>0.70251136967309757</v>
      </c>
      <c r="AX292" s="8">
        <v>0</v>
      </c>
      <c r="AY292" s="8">
        <v>1</v>
      </c>
      <c r="AZ292" s="10"/>
      <c r="BA292" s="8">
        <v>0</v>
      </c>
    </row>
    <row r="293" spans="1:53" x14ac:dyDescent="0.2">
      <c r="A293" s="8" t="s">
        <v>410</v>
      </c>
      <c r="B293" s="8" t="s">
        <v>83</v>
      </c>
      <c r="C293" s="8" t="s">
        <v>208</v>
      </c>
      <c r="D293" s="8">
        <v>1</v>
      </c>
      <c r="E293" s="8">
        <v>1</v>
      </c>
      <c r="F293" s="8">
        <f>SUM(G293:M293)</f>
        <v>1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1</v>
      </c>
      <c r="N293" s="8">
        <v>0</v>
      </c>
      <c r="O293" s="8">
        <v>0</v>
      </c>
      <c r="P293" s="8">
        <v>1</v>
      </c>
      <c r="Q293" s="8">
        <v>0</v>
      </c>
      <c r="R293" s="8">
        <v>0</v>
      </c>
      <c r="S293" s="8">
        <v>0</v>
      </c>
      <c r="T293" s="10">
        <v>-176.02799999999999</v>
      </c>
      <c r="U293" s="10">
        <v>-600.51599999999996</v>
      </c>
      <c r="V293" s="10">
        <v>-269.16500000000002</v>
      </c>
      <c r="W293" s="10">
        <f>IF(RIGHT(C293,2)="12",IF(ISNUMBER(T293),T293,""),IF(COUNT(T293,U293,V293)=3,T293+U293-V293,""))</f>
        <v>-507.37899999999996</v>
      </c>
      <c r="X293" s="10">
        <v>-507.37900000000002</v>
      </c>
      <c r="Y293" s="10">
        <v>-578.95500000000004</v>
      </c>
      <c r="Z293" s="10">
        <v>-176.04599999999999</v>
      </c>
      <c r="AA293" s="10">
        <v>423.65</v>
      </c>
      <c r="AB293" s="10">
        <v>-176.02799999999999</v>
      </c>
      <c r="AC293" s="8">
        <v>0</v>
      </c>
      <c r="AD293" s="8">
        <v>0</v>
      </c>
      <c r="AE293" s="8">
        <v>0</v>
      </c>
      <c r="AF293" s="10">
        <v>0</v>
      </c>
      <c r="AG293" s="8">
        <f>COUNTIF(Y293:AB293,"&gt;0")</f>
        <v>1</v>
      </c>
      <c r="AH293" s="10">
        <v>0</v>
      </c>
      <c r="AI293" s="10">
        <v>423.65</v>
      </c>
      <c r="AJ293" s="8" t="str">
        <f>IF(ISNUMBER(X293),IF(X293&gt;0,"+",IF(X293&lt;0,"−","0")),IF(ISNUMBER(W293),IF(W293&gt;0,"+",IF(W293&lt;0,"−","0")),"yok"))</f>
        <v>−</v>
      </c>
      <c r="AK293" s="10">
        <f>IF(AND(RIGHT(C293,2)&lt;&gt;"12",ISNUMBER(U293),ISNUMBER(V293)),U293-V293,"")</f>
        <v>-331.35099999999994</v>
      </c>
      <c r="AL293" s="11">
        <f>IF(AND(ISNUMBER(AK293),ISNUMBER(V293)),IF(V293&lt;&gt;0,AK293/ABS(V293),""),"")</f>
        <v>-1.2310330094923185</v>
      </c>
      <c r="AM293" s="8">
        <f>IF(ISNUMBER(AK293),IF(AK293&gt;1,1,0),"")</f>
        <v>0</v>
      </c>
      <c r="AN293" s="8">
        <f>IF(ISNUMBER(AK293),IF(AK293&gt;0.05*ABS(V293),1,0),"")</f>
        <v>0</v>
      </c>
      <c r="AO293" s="10">
        <v>-507.38</v>
      </c>
      <c r="AP293" s="10">
        <v>507.38</v>
      </c>
      <c r="AQ293" s="8" t="s">
        <v>204</v>
      </c>
      <c r="AR293" s="8">
        <v>0</v>
      </c>
      <c r="AS293" s="10">
        <v>415.74200000000002</v>
      </c>
      <c r="AT293" s="10">
        <v>-439.61</v>
      </c>
      <c r="AU293" s="8" t="s">
        <v>204</v>
      </c>
      <c r="AV293" s="10">
        <v>423.65</v>
      </c>
      <c r="AW293" s="11">
        <f>IF(AND(ISNUMBER(AV293),ISNUMBER(AT293)),IF(AT293&lt;&gt;0,AV293/ABS(AT293),""),"")</f>
        <v>0.96369509337822157</v>
      </c>
      <c r="AX293" s="8">
        <v>0</v>
      </c>
      <c r="AY293" s="8">
        <v>0</v>
      </c>
      <c r="AZ293" s="10"/>
      <c r="BA293" s="8">
        <v>0</v>
      </c>
    </row>
    <row r="294" spans="1:53" x14ac:dyDescent="0.2">
      <c r="A294" s="8" t="s">
        <v>410</v>
      </c>
      <c r="B294" s="8" t="s">
        <v>83</v>
      </c>
      <c r="C294" s="8" t="s">
        <v>210</v>
      </c>
      <c r="D294" s="8">
        <v>1</v>
      </c>
      <c r="E294" s="8">
        <v>1</v>
      </c>
      <c r="F294" s="8">
        <f>SUM(G294:M294)</f>
        <v>2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1</v>
      </c>
      <c r="M294" s="8">
        <v>1</v>
      </c>
      <c r="N294" s="8">
        <v>0</v>
      </c>
      <c r="O294" s="8">
        <v>0</v>
      </c>
      <c r="P294" s="8">
        <v>1</v>
      </c>
      <c r="Q294" s="8">
        <v>0</v>
      </c>
      <c r="R294" s="8">
        <v>0</v>
      </c>
      <c r="S294" s="8">
        <v>0</v>
      </c>
      <c r="T294" s="10">
        <v>-435.59800000000001</v>
      </c>
      <c r="U294" s="10">
        <v>-600.51599999999996</v>
      </c>
      <c r="V294" s="10">
        <v>-848.12099999999998</v>
      </c>
      <c r="W294" s="10">
        <f>IF(RIGHT(C294,2)="12",IF(ISNUMBER(T294),T294,""),IF(COUNT(T294,U294,V294)=3,T294+U294-V294,""))</f>
        <v>-187.99300000000005</v>
      </c>
      <c r="X294" s="10">
        <v>-187.99299999999999</v>
      </c>
      <c r="Y294" s="10">
        <v>-176.04599999999999</v>
      </c>
      <c r="Z294" s="10">
        <v>423.65</v>
      </c>
      <c r="AA294" s="10">
        <v>-176.02799999999999</v>
      </c>
      <c r="AB294" s="10">
        <v>-259.56900000000002</v>
      </c>
      <c r="AC294" s="8">
        <v>0</v>
      </c>
      <c r="AD294" s="8">
        <v>0</v>
      </c>
      <c r="AE294" s="8">
        <v>0</v>
      </c>
      <c r="AF294" s="10">
        <v>0</v>
      </c>
      <c r="AG294" s="8">
        <f>COUNTIF(Y294:AB294,"&gt;0")</f>
        <v>1</v>
      </c>
      <c r="AH294" s="10">
        <v>0</v>
      </c>
      <c r="AI294" s="10">
        <v>423.65</v>
      </c>
      <c r="AJ294" s="8" t="str">
        <f>IF(ISNUMBER(X294),IF(X294&gt;0,"+",IF(X294&lt;0,"−","0")),IF(ISNUMBER(W294),IF(W294&gt;0,"+",IF(W294&lt;0,"−","0")),"yok"))</f>
        <v>−</v>
      </c>
      <c r="AK294" s="10">
        <f>IF(AND(RIGHT(C294,2)&lt;&gt;"12",ISNUMBER(U294),ISNUMBER(V294)),U294-V294,"")</f>
        <v>247.60500000000002</v>
      </c>
      <c r="AL294" s="11">
        <f>IF(AND(ISNUMBER(AK294),ISNUMBER(V294)),IF(V294&lt;&gt;0,AK294/ABS(V294),""),"")</f>
        <v>0.29194537100248669</v>
      </c>
      <c r="AM294" s="8">
        <f>IF(ISNUMBER(AK294),IF(AK294&gt;1,1,0),"")</f>
        <v>1</v>
      </c>
      <c r="AN294" s="8">
        <f>IF(ISNUMBER(AK294),IF(AK294&gt;0.05*ABS(V294),1,0),"")</f>
        <v>1</v>
      </c>
      <c r="AO294" s="10">
        <v>-187.994</v>
      </c>
      <c r="AP294" s="10">
        <v>187.994</v>
      </c>
      <c r="AQ294" s="8" t="s">
        <v>204</v>
      </c>
      <c r="AR294" s="8">
        <v>0</v>
      </c>
      <c r="AS294" s="10">
        <v>-80.698000000000107</v>
      </c>
      <c r="AT294" s="10">
        <v>-617.43200000000002</v>
      </c>
      <c r="AU294" s="8" t="s">
        <v>204</v>
      </c>
      <c r="AV294" s="10">
        <v>247.60499999999999</v>
      </c>
      <c r="AW294" s="11">
        <f>IF(AND(ISNUMBER(AV294),ISNUMBER(AT294)),IF(AT294&lt;&gt;0,AV294/ABS(AT294),""),"")</f>
        <v>0.40102391842340529</v>
      </c>
      <c r="AX294" s="8">
        <v>0</v>
      </c>
      <c r="AY294" s="8">
        <v>1</v>
      </c>
      <c r="AZ294" s="10"/>
      <c r="BA294" s="8">
        <v>0</v>
      </c>
    </row>
    <row r="295" spans="1:53" x14ac:dyDescent="0.2">
      <c r="A295" s="8" t="s">
        <v>410</v>
      </c>
      <c r="B295" s="8" t="s">
        <v>84</v>
      </c>
      <c r="C295" s="8" t="s">
        <v>208</v>
      </c>
      <c r="D295" s="8">
        <v>1</v>
      </c>
      <c r="E295" s="8">
        <v>1</v>
      </c>
      <c r="F295" s="8">
        <f>SUM(G295:M295)</f>
        <v>1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1</v>
      </c>
      <c r="N295" s="8">
        <v>0</v>
      </c>
      <c r="O295" s="8">
        <v>0</v>
      </c>
      <c r="P295" s="8">
        <v>1</v>
      </c>
      <c r="Q295" s="8">
        <v>0</v>
      </c>
      <c r="R295" s="8">
        <v>0</v>
      </c>
      <c r="S295" s="8">
        <v>0</v>
      </c>
      <c r="T295" s="10">
        <v>-2.3029999999999999</v>
      </c>
      <c r="U295" s="10">
        <v>-345.66699999999997</v>
      </c>
      <c r="V295" s="10">
        <v>0</v>
      </c>
      <c r="W295" s="10">
        <f>IF(RIGHT(C295,2)="12",IF(ISNUMBER(T295),T295,""),IF(COUNT(T295,U295,V295)=3,T295+U295-V295,""))</f>
        <v>-347.96999999999997</v>
      </c>
      <c r="X295" s="10">
        <v>-347.971</v>
      </c>
      <c r="Y295" s="10">
        <v>0</v>
      </c>
      <c r="Z295" s="10">
        <v>-1054.825</v>
      </c>
      <c r="AA295" s="10">
        <v>709.15700000000004</v>
      </c>
      <c r="AB295" s="10">
        <v>-2.3029999999999999</v>
      </c>
      <c r="AC295" s="8">
        <v>0</v>
      </c>
      <c r="AD295" s="8">
        <v>0</v>
      </c>
      <c r="AE295" s="8">
        <v>0</v>
      </c>
      <c r="AF295" s="10">
        <v>0</v>
      </c>
      <c r="AG295" s="8">
        <f>COUNTIF(Y295:AB295,"&gt;0")</f>
        <v>1</v>
      </c>
      <c r="AH295" s="10">
        <v>0</v>
      </c>
      <c r="AI295" s="10">
        <v>709.15700000000004</v>
      </c>
      <c r="AJ295" s="8" t="str">
        <f>IF(ISNUMBER(X295),IF(X295&gt;0,"+",IF(X295&lt;0,"−","0")),IF(ISNUMBER(W295),IF(W295&gt;0,"+",IF(W295&lt;0,"−","0")),"yok"))</f>
        <v>−</v>
      </c>
      <c r="AK295" s="10">
        <f>IF(AND(RIGHT(C295,2)&lt;&gt;"12",ISNUMBER(U295),ISNUMBER(V295)),U295-V295,"")</f>
        <v>-345.66699999999997</v>
      </c>
      <c r="AL295" s="11" t="str">
        <f>IF(AND(ISNUMBER(AK295),ISNUMBER(V295)),IF(V295&lt;&gt;0,AK295/ABS(V295),""),"")</f>
        <v/>
      </c>
      <c r="AM295" s="8">
        <f>IF(ISNUMBER(AK295),IF(AK295&gt;1,1,0),"")</f>
        <v>0</v>
      </c>
      <c r="AN295" s="8">
        <f>IF(ISNUMBER(AK295),IF(AK295&gt;0.05*ABS(V295),1,0),"")</f>
        <v>0</v>
      </c>
      <c r="AO295" s="10">
        <v>-347.97199999999998</v>
      </c>
      <c r="AP295" s="10">
        <v>347.97199999999998</v>
      </c>
      <c r="AQ295" s="8" t="s">
        <v>204</v>
      </c>
      <c r="AR295" s="8">
        <v>0</v>
      </c>
      <c r="AS295" s="10">
        <v>415.74200000000002</v>
      </c>
      <c r="AT295" s="10">
        <v>-439.61</v>
      </c>
      <c r="AU295" s="8" t="s">
        <v>204</v>
      </c>
      <c r="AV295" s="10">
        <v>709.15700000000004</v>
      </c>
      <c r="AW295" s="11">
        <f>IF(AND(ISNUMBER(AV295),ISNUMBER(AT295)),IF(AT295&lt;&gt;0,AV295/ABS(AT295),""),"")</f>
        <v>1.6131502923045427</v>
      </c>
      <c r="AX295" s="8">
        <v>0</v>
      </c>
      <c r="AY295" s="8">
        <v>0</v>
      </c>
      <c r="AZ295" s="10"/>
      <c r="BA295" s="8">
        <v>0</v>
      </c>
    </row>
    <row r="296" spans="1:53" x14ac:dyDescent="0.2">
      <c r="A296" s="8" t="s">
        <v>410</v>
      </c>
      <c r="B296" s="8" t="s">
        <v>84</v>
      </c>
      <c r="C296" s="8" t="s">
        <v>210</v>
      </c>
      <c r="D296" s="8">
        <v>1</v>
      </c>
      <c r="E296" s="8">
        <v>1</v>
      </c>
      <c r="F296" s="8">
        <f>SUM(G296:M296)</f>
        <v>1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1</v>
      </c>
      <c r="N296" s="8">
        <v>0</v>
      </c>
      <c r="O296" s="8">
        <v>0</v>
      </c>
      <c r="P296" s="8">
        <v>1</v>
      </c>
      <c r="Q296" s="8">
        <v>0</v>
      </c>
      <c r="R296" s="8">
        <v>0</v>
      </c>
      <c r="S296" s="8">
        <v>0</v>
      </c>
      <c r="T296" s="10">
        <v>-3.0720000000000001</v>
      </c>
      <c r="U296" s="10">
        <v>-345.66699999999997</v>
      </c>
      <c r="V296" s="10">
        <v>0</v>
      </c>
      <c r="W296" s="10">
        <f>IF(RIGHT(C296,2)="12",IF(ISNUMBER(T296),T296,""),IF(COUNT(T296,U296,V296)=3,T296+U296-V296,""))</f>
        <v>-348.73899999999998</v>
      </c>
      <c r="X296" s="10">
        <v>-348.73899999999998</v>
      </c>
      <c r="Y296" s="10">
        <v>-1054.825</v>
      </c>
      <c r="Z296" s="10">
        <v>709.15700000000004</v>
      </c>
      <c r="AA296" s="10">
        <v>-2.3029999999999999</v>
      </c>
      <c r="AB296" s="10">
        <v>-0.76800000000000002</v>
      </c>
      <c r="AC296" s="8">
        <v>0</v>
      </c>
      <c r="AD296" s="8">
        <v>0</v>
      </c>
      <c r="AE296" s="8">
        <v>0</v>
      </c>
      <c r="AF296" s="10">
        <v>0</v>
      </c>
      <c r="AG296" s="8">
        <f>COUNTIF(Y296:AB296,"&gt;0")</f>
        <v>1</v>
      </c>
      <c r="AH296" s="10">
        <v>0</v>
      </c>
      <c r="AI296" s="10">
        <v>709.15700000000004</v>
      </c>
      <c r="AJ296" s="8" t="str">
        <f>IF(ISNUMBER(X296),IF(X296&gt;0,"+",IF(X296&lt;0,"−","0")),IF(ISNUMBER(W296),IF(W296&gt;0,"+",IF(W296&lt;0,"−","0")),"yok"))</f>
        <v>−</v>
      </c>
      <c r="AK296" s="10">
        <f>IF(AND(RIGHT(C296,2)&lt;&gt;"12",ISNUMBER(U296),ISNUMBER(V296)),U296-V296,"")</f>
        <v>-345.66699999999997</v>
      </c>
      <c r="AL296" s="11" t="str">
        <f>IF(AND(ISNUMBER(AK296),ISNUMBER(V296)),IF(V296&lt;&gt;0,AK296/ABS(V296),""),"")</f>
        <v/>
      </c>
      <c r="AM296" s="8">
        <f>IF(ISNUMBER(AK296),IF(AK296&gt;1,1,0),"")</f>
        <v>0</v>
      </c>
      <c r="AN296" s="8">
        <f>IF(ISNUMBER(AK296),IF(AK296&gt;0.05*ABS(V296),1,0),"")</f>
        <v>0</v>
      </c>
      <c r="AO296" s="10">
        <v>-348.74</v>
      </c>
      <c r="AP296" s="10">
        <v>348.74</v>
      </c>
      <c r="AQ296" s="8" t="s">
        <v>204</v>
      </c>
      <c r="AR296" s="8">
        <v>0</v>
      </c>
      <c r="AS296" s="10">
        <v>-80.698000000000107</v>
      </c>
      <c r="AT296" s="10">
        <v>-617.43200000000002</v>
      </c>
      <c r="AU296" s="8" t="s">
        <v>204</v>
      </c>
      <c r="AV296" s="10">
        <v>709.15700000000004</v>
      </c>
      <c r="AW296" s="11">
        <f>IF(AND(ISNUMBER(AV296),ISNUMBER(AT296)),IF(AT296&lt;&gt;0,AV296/ABS(AT296),""),"")</f>
        <v>1.1485588696407054</v>
      </c>
      <c r="AX296" s="8">
        <v>0</v>
      </c>
      <c r="AY296" s="8">
        <v>0</v>
      </c>
      <c r="AZ296" s="10"/>
      <c r="BA296" s="8">
        <v>0</v>
      </c>
    </row>
    <row r="297" spans="1:53" x14ac:dyDescent="0.2">
      <c r="A297" s="8" t="s">
        <v>411</v>
      </c>
      <c r="B297" s="8" t="s">
        <v>83</v>
      </c>
      <c r="C297" s="8" t="s">
        <v>208</v>
      </c>
      <c r="D297" s="8">
        <v>1</v>
      </c>
      <c r="E297" s="8">
        <v>1</v>
      </c>
      <c r="F297" s="8">
        <f>SUM(G297:M297)</f>
        <v>1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1</v>
      </c>
      <c r="N297" s="8">
        <v>0</v>
      </c>
      <c r="O297" s="8">
        <v>0</v>
      </c>
      <c r="P297" s="8">
        <v>1</v>
      </c>
      <c r="Q297" s="8">
        <v>0</v>
      </c>
      <c r="R297" s="8">
        <v>0</v>
      </c>
      <c r="S297" s="8">
        <v>0</v>
      </c>
      <c r="T297" s="10"/>
      <c r="U297" s="10">
        <v>-0.34499999999999997</v>
      </c>
      <c r="V297" s="10"/>
      <c r="W297" s="10" t="str">
        <f>IF(RIGHT(C297,2)="12",IF(ISNUMBER(T297),T297,""),IF(COUNT(T297,U297,V297)=3,T297+U297-V297,""))</f>
        <v/>
      </c>
      <c r="X297" s="10"/>
      <c r="Y297" s="10"/>
      <c r="Z297" s="10">
        <v>849.38</v>
      </c>
      <c r="AA297" s="10">
        <v>0</v>
      </c>
      <c r="AB297" s="10"/>
      <c r="AC297" s="8">
        <v>0</v>
      </c>
      <c r="AD297" s="8">
        <v>0</v>
      </c>
      <c r="AE297" s="8">
        <v>0</v>
      </c>
      <c r="AF297" s="10">
        <v>0</v>
      </c>
      <c r="AG297" s="8">
        <f>COUNTIF(Y297:AB297,"&gt;0")</f>
        <v>1</v>
      </c>
      <c r="AH297" s="10">
        <v>0</v>
      </c>
      <c r="AI297" s="10">
        <v>849.38</v>
      </c>
      <c r="AJ297" s="8" t="str">
        <f>IF(ISNUMBER(X297),IF(X297&gt;0,"+",IF(X297&lt;0,"−","0")),IF(ISNUMBER(W297),IF(W297&gt;0,"+",IF(W297&lt;0,"−","0")),"yok"))</f>
        <v>yok</v>
      </c>
      <c r="AK297" s="10" t="str">
        <f>IF(AND(RIGHT(C297,2)&lt;&gt;"12",ISNUMBER(U297),ISNUMBER(V297)),U297-V297,"")</f>
        <v/>
      </c>
      <c r="AL297" s="11" t="str">
        <f>IF(AND(ISNUMBER(AK297),ISNUMBER(V297)),IF(V297&lt;&gt;0,AK297/ABS(V297),""),"")</f>
        <v/>
      </c>
      <c r="AM297" s="8" t="str">
        <f>IF(ISNUMBER(AK297),IF(AK297&gt;1,1,0),"")</f>
        <v/>
      </c>
      <c r="AN297" s="8" t="str">
        <f>IF(ISNUMBER(AK297),IF(AK297&gt;0.05*ABS(V297),1,0),"")</f>
        <v/>
      </c>
      <c r="AO297" s="10"/>
      <c r="AP297" s="10"/>
      <c r="AQ297" s="8" t="s">
        <v>207</v>
      </c>
      <c r="AR297" s="8">
        <v>0</v>
      </c>
      <c r="AS297" s="10">
        <v>-88.516000000000005</v>
      </c>
      <c r="AT297" s="10"/>
      <c r="AU297" s="8" t="s">
        <v>207</v>
      </c>
      <c r="AV297" s="10">
        <v>849.38</v>
      </c>
      <c r="AW297" s="11" t="str">
        <f>IF(AND(ISNUMBER(AV297),ISNUMBER(AT297)),IF(AT297&lt;&gt;0,AV297/ABS(AT297),""),"")</f>
        <v/>
      </c>
      <c r="AX297" s="8">
        <v>0</v>
      </c>
      <c r="AY297" s="8">
        <v>0</v>
      </c>
      <c r="AZ297" s="10"/>
      <c r="BA297" s="8">
        <v>0</v>
      </c>
    </row>
    <row r="298" spans="1:53" x14ac:dyDescent="0.2">
      <c r="A298" s="8" t="s">
        <v>411</v>
      </c>
      <c r="B298" s="8" t="s">
        <v>83</v>
      </c>
      <c r="C298" s="8" t="s">
        <v>210</v>
      </c>
      <c r="D298" s="8">
        <v>1</v>
      </c>
      <c r="E298" s="8">
        <v>1</v>
      </c>
      <c r="F298" s="8">
        <f>SUM(G298:M298)</f>
        <v>2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1</v>
      </c>
      <c r="M298" s="8">
        <v>1</v>
      </c>
      <c r="N298" s="8">
        <v>1</v>
      </c>
      <c r="O298" s="8">
        <v>0</v>
      </c>
      <c r="P298" s="8">
        <v>1</v>
      </c>
      <c r="Q298" s="8">
        <v>0</v>
      </c>
      <c r="R298" s="8">
        <v>0</v>
      </c>
      <c r="S298" s="8">
        <v>0</v>
      </c>
      <c r="T298" s="10">
        <v>-5.1999999999999998E-2</v>
      </c>
      <c r="U298" s="10">
        <v>-0.34499999999999997</v>
      </c>
      <c r="V298" s="10">
        <v>-849.726</v>
      </c>
      <c r="W298" s="10">
        <f>IF(RIGHT(C298,2)="12",IF(ISNUMBER(T298),T298,""),IF(COUNT(T298,U298,V298)=3,T298+U298-V298,""))</f>
        <v>849.32899999999995</v>
      </c>
      <c r="X298" s="10">
        <v>849.32799999999997</v>
      </c>
      <c r="Y298" s="10">
        <v>849.38</v>
      </c>
      <c r="Z298" s="10">
        <v>0</v>
      </c>
      <c r="AA298" s="10"/>
      <c r="AB298" s="10"/>
      <c r="AC298" s="8">
        <v>0</v>
      </c>
      <c r="AD298" s="8">
        <v>0</v>
      </c>
      <c r="AE298" s="8">
        <v>0</v>
      </c>
      <c r="AF298" s="10">
        <v>0</v>
      </c>
      <c r="AG298" s="8">
        <f>COUNTIF(Y298:AB298,"&gt;0")</f>
        <v>1</v>
      </c>
      <c r="AH298" s="10">
        <v>0</v>
      </c>
      <c r="AI298" s="10">
        <v>849.38</v>
      </c>
      <c r="AJ298" s="8" t="str">
        <f>IF(ISNUMBER(X298),IF(X298&gt;0,"+",IF(X298&lt;0,"−","0")),IF(ISNUMBER(W298),IF(W298&gt;0,"+",IF(W298&lt;0,"−","0")),"yok"))</f>
        <v>+</v>
      </c>
      <c r="AK298" s="10">
        <f>IF(AND(RIGHT(C298,2)&lt;&gt;"12",ISNUMBER(U298),ISNUMBER(V298)),U298-V298,"")</f>
        <v>849.38099999999997</v>
      </c>
      <c r="AL298" s="11">
        <f>IF(AND(ISNUMBER(AK298),ISNUMBER(V298)),IF(V298&lt;&gt;0,AK298/ABS(V298),""),"")</f>
        <v>0.99959398676749911</v>
      </c>
      <c r="AM298" s="8">
        <f>IF(ISNUMBER(AK298),IF(AK298&gt;1,1,0),"")</f>
        <v>1</v>
      </c>
      <c r="AN298" s="8">
        <f>IF(ISNUMBER(AK298),IF(AK298&gt;0.05*ABS(V298),1,0),"")</f>
        <v>1</v>
      </c>
      <c r="AO298" s="10"/>
      <c r="AP298" s="10"/>
      <c r="AQ298" s="8" t="s">
        <v>207</v>
      </c>
      <c r="AR298" s="8">
        <v>0</v>
      </c>
      <c r="AS298" s="10">
        <v>-910.46100000000001</v>
      </c>
      <c r="AT298" s="10"/>
      <c r="AU298" s="8" t="s">
        <v>207</v>
      </c>
      <c r="AV298" s="10">
        <v>849.38099999999997</v>
      </c>
      <c r="AW298" s="11" t="str">
        <f>IF(AND(ISNUMBER(AV298),ISNUMBER(AT298)),IF(AT298&lt;&gt;0,AV298/ABS(AT298),""),"")</f>
        <v/>
      </c>
      <c r="AX298" s="8">
        <v>0</v>
      </c>
      <c r="AY298" s="8">
        <v>1</v>
      </c>
      <c r="AZ298" s="10"/>
      <c r="BA298" s="8">
        <v>0</v>
      </c>
    </row>
    <row r="299" spans="1:53" x14ac:dyDescent="0.2">
      <c r="A299" s="8" t="s">
        <v>412</v>
      </c>
      <c r="B299" s="8" t="s">
        <v>83</v>
      </c>
      <c r="C299" s="8" t="s">
        <v>203</v>
      </c>
      <c r="D299" s="8">
        <v>1</v>
      </c>
      <c r="E299" s="8">
        <v>1</v>
      </c>
      <c r="F299" s="8">
        <f>SUM(G299:M299)</f>
        <v>1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1</v>
      </c>
      <c r="N299" s="8">
        <v>0</v>
      </c>
      <c r="O299" s="8">
        <v>0</v>
      </c>
      <c r="P299" s="8">
        <v>1</v>
      </c>
      <c r="Q299" s="8">
        <v>0</v>
      </c>
      <c r="R299" s="8">
        <v>0</v>
      </c>
      <c r="S299" s="8">
        <v>0</v>
      </c>
      <c r="T299" s="10">
        <v>-62.924999999999997</v>
      </c>
      <c r="U299" s="10">
        <v>-1253.5219999999999</v>
      </c>
      <c r="V299" s="10">
        <v>-513.17899999999997</v>
      </c>
      <c r="W299" s="10">
        <f>IF(RIGHT(C299,2)="12",IF(ISNUMBER(T299),T299,""),IF(COUNT(T299,U299,V299)=3,T299+U299-V299,""))</f>
        <v>-803.26799999999992</v>
      </c>
      <c r="X299" s="10">
        <v>-803.26900000000001</v>
      </c>
      <c r="Y299" s="10">
        <v>-453.096</v>
      </c>
      <c r="Z299" s="10">
        <v>-483.87599999999998</v>
      </c>
      <c r="AA299" s="10">
        <v>196.62899999999999</v>
      </c>
      <c r="AB299" s="10">
        <v>-62.924999999999997</v>
      </c>
      <c r="AC299" s="8">
        <v>0</v>
      </c>
      <c r="AD299" s="8">
        <v>0</v>
      </c>
      <c r="AE299" s="8">
        <v>0</v>
      </c>
      <c r="AF299" s="10">
        <v>0</v>
      </c>
      <c r="AG299" s="8">
        <f>COUNTIF(Y299:AB299,"&gt;0")</f>
        <v>1</v>
      </c>
      <c r="AH299" s="10">
        <v>0</v>
      </c>
      <c r="AI299" s="10">
        <v>196.62899999999999</v>
      </c>
      <c r="AJ299" s="8" t="str">
        <f>IF(ISNUMBER(X299),IF(X299&gt;0,"+",IF(X299&lt;0,"−","0")),IF(ISNUMBER(W299),IF(W299&gt;0,"+",IF(W299&lt;0,"−","0")),"yok"))</f>
        <v>−</v>
      </c>
      <c r="AK299" s="10">
        <f>IF(AND(RIGHT(C299,2)&lt;&gt;"12",ISNUMBER(U299),ISNUMBER(V299)),U299-V299,"")</f>
        <v>-740.34299999999996</v>
      </c>
      <c r="AL299" s="11">
        <f>IF(AND(ISNUMBER(AK299),ISNUMBER(V299)),IF(V299&lt;&gt;0,AK299/ABS(V299),""),"")</f>
        <v>-1.4426603582765467</v>
      </c>
      <c r="AM299" s="8">
        <f>IF(ISNUMBER(AK299),IF(AK299&gt;1,1,0),"")</f>
        <v>0</v>
      </c>
      <c r="AN299" s="8">
        <f>IF(ISNUMBER(AK299),IF(AK299&gt;0.05*ABS(V299),1,0),"")</f>
        <v>0</v>
      </c>
      <c r="AO299" s="10">
        <v>-803.26900000000001</v>
      </c>
      <c r="AP299" s="10">
        <v>803.26900000000001</v>
      </c>
      <c r="AQ299" s="8" t="s">
        <v>204</v>
      </c>
      <c r="AR299" s="8">
        <v>0</v>
      </c>
      <c r="AS299" s="10">
        <v>-844.42</v>
      </c>
      <c r="AT299" s="10">
        <v>-1647.6890000000001</v>
      </c>
      <c r="AU299" s="8" t="s">
        <v>204</v>
      </c>
      <c r="AV299" s="10">
        <v>196.62899999999999</v>
      </c>
      <c r="AW299" s="11">
        <f>IF(AND(ISNUMBER(AV299),ISNUMBER(AT299)),IF(AT299&lt;&gt;0,AV299/ABS(AT299),""),"")</f>
        <v>0.11933623396162746</v>
      </c>
      <c r="AX299" s="8">
        <v>0</v>
      </c>
      <c r="AY299" s="8">
        <v>0</v>
      </c>
      <c r="AZ299" s="10"/>
      <c r="BA299" s="8">
        <v>0</v>
      </c>
    </row>
    <row r="300" spans="1:53" x14ac:dyDescent="0.2">
      <c r="A300" s="8" t="s">
        <v>412</v>
      </c>
      <c r="B300" s="8" t="s">
        <v>83</v>
      </c>
      <c r="C300" s="8" t="s">
        <v>205</v>
      </c>
      <c r="D300" s="8">
        <v>1</v>
      </c>
      <c r="E300" s="8">
        <v>1</v>
      </c>
      <c r="F300" s="8">
        <f>SUM(G300:M300)</f>
        <v>1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1</v>
      </c>
      <c r="N300" s="8">
        <v>0</v>
      </c>
      <c r="O300" s="8">
        <v>0</v>
      </c>
      <c r="P300" s="8">
        <v>1</v>
      </c>
      <c r="Q300" s="8">
        <v>0</v>
      </c>
      <c r="R300" s="8">
        <v>0</v>
      </c>
      <c r="S300" s="8">
        <v>0</v>
      </c>
      <c r="T300" s="10">
        <v>-274.71800000000002</v>
      </c>
      <c r="U300" s="10">
        <v>-1253.5219999999999</v>
      </c>
      <c r="V300" s="10">
        <v>-966.27599999999995</v>
      </c>
      <c r="W300" s="10">
        <f>IF(RIGHT(C300,2)="12",IF(ISNUMBER(T300),T300,""),IF(COUNT(T300,U300,V300)=3,T300+U300-V300,""))</f>
        <v>-561.96400000000006</v>
      </c>
      <c r="X300" s="10">
        <v>-561.96400000000006</v>
      </c>
      <c r="Y300" s="10">
        <v>-483.87599999999998</v>
      </c>
      <c r="Z300" s="10">
        <v>196.62899999999999</v>
      </c>
      <c r="AA300" s="10">
        <v>-62.924999999999997</v>
      </c>
      <c r="AB300" s="10">
        <v>-211.792</v>
      </c>
      <c r="AC300" s="8">
        <v>0</v>
      </c>
      <c r="AD300" s="8">
        <v>0</v>
      </c>
      <c r="AE300" s="8">
        <v>0</v>
      </c>
      <c r="AF300" s="10">
        <v>0</v>
      </c>
      <c r="AG300" s="8">
        <f>COUNTIF(Y300:AB300,"&gt;0")</f>
        <v>1</v>
      </c>
      <c r="AH300" s="10">
        <v>0</v>
      </c>
      <c r="AI300" s="10">
        <v>196.62899999999999</v>
      </c>
      <c r="AJ300" s="8" t="str">
        <f>IF(ISNUMBER(X300),IF(X300&gt;0,"+",IF(X300&lt;0,"−","0")),IF(ISNUMBER(W300),IF(W300&gt;0,"+",IF(W300&lt;0,"−","0")),"yok"))</f>
        <v>−</v>
      </c>
      <c r="AK300" s="10">
        <f>IF(AND(RIGHT(C300,2)&lt;&gt;"12",ISNUMBER(U300),ISNUMBER(V300)),U300-V300,"")</f>
        <v>-287.24599999999998</v>
      </c>
      <c r="AL300" s="11">
        <f>IF(AND(ISNUMBER(AK300),ISNUMBER(V300)),IF(V300&lt;&gt;0,AK300/ABS(V300),""),"")</f>
        <v>-0.297271173039587</v>
      </c>
      <c r="AM300" s="8">
        <f>IF(ISNUMBER(AK300),IF(AK300&gt;1,1,0),"")</f>
        <v>0</v>
      </c>
      <c r="AN300" s="8">
        <f>IF(ISNUMBER(AK300),IF(AK300&gt;0.05*ABS(V300),1,0),"")</f>
        <v>0</v>
      </c>
      <c r="AO300" s="10">
        <v>-561.96500000000003</v>
      </c>
      <c r="AP300" s="10">
        <v>561.96500000000003</v>
      </c>
      <c r="AQ300" s="8" t="s">
        <v>204</v>
      </c>
      <c r="AR300" s="8">
        <v>0</v>
      </c>
      <c r="AS300" s="10">
        <v>-50.515000000000001</v>
      </c>
      <c r="AT300" s="10">
        <v>-612.48</v>
      </c>
      <c r="AU300" s="8" t="s">
        <v>204</v>
      </c>
      <c r="AV300" s="10">
        <v>196.62899999999999</v>
      </c>
      <c r="AW300" s="11">
        <f>IF(AND(ISNUMBER(AV300),ISNUMBER(AT300)),IF(AT300&lt;&gt;0,AV300/ABS(AT300),""),"")</f>
        <v>0.32103742163009402</v>
      </c>
      <c r="AX300" s="8">
        <v>0</v>
      </c>
      <c r="AY300" s="8">
        <v>0</v>
      </c>
      <c r="AZ300" s="10"/>
      <c r="BA300" s="8">
        <v>0</v>
      </c>
    </row>
    <row r="301" spans="1:53" x14ac:dyDescent="0.2">
      <c r="A301" s="8" t="s">
        <v>412</v>
      </c>
      <c r="B301" s="8" t="s">
        <v>83</v>
      </c>
      <c r="C301" s="8" t="s">
        <v>215</v>
      </c>
      <c r="D301" s="8">
        <v>1</v>
      </c>
      <c r="E301" s="8">
        <v>1</v>
      </c>
      <c r="F301" s="8">
        <f>SUM(G301:M301)</f>
        <v>2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1</v>
      </c>
      <c r="M301" s="8">
        <v>1</v>
      </c>
      <c r="N301" s="8">
        <v>0</v>
      </c>
      <c r="O301" s="8">
        <v>0</v>
      </c>
      <c r="P301" s="8">
        <v>1</v>
      </c>
      <c r="Q301" s="8">
        <v>0</v>
      </c>
      <c r="R301" s="8">
        <v>0</v>
      </c>
      <c r="S301" s="8">
        <v>0</v>
      </c>
      <c r="T301" s="10">
        <v>-824.923</v>
      </c>
      <c r="U301" s="10">
        <v>-1253.5219999999999</v>
      </c>
      <c r="V301" s="10">
        <v>-1450.152</v>
      </c>
      <c r="W301" s="10">
        <f>IF(RIGHT(C301,2)="12",IF(ISNUMBER(T301),T301,""),IF(COUNT(T301,U301,V301)=3,T301+U301-V301,""))</f>
        <v>-628.29299999999967</v>
      </c>
      <c r="X301" s="10">
        <v>-628.29300000000001</v>
      </c>
      <c r="Y301" s="10">
        <v>196.62899999999999</v>
      </c>
      <c r="Z301" s="10">
        <v>-62.924999999999997</v>
      </c>
      <c r="AA301" s="10">
        <v>-211.792</v>
      </c>
      <c r="AB301" s="10">
        <v>-550.20500000000004</v>
      </c>
      <c r="AC301" s="8">
        <v>0</v>
      </c>
      <c r="AD301" s="8">
        <v>0</v>
      </c>
      <c r="AE301" s="8">
        <v>0</v>
      </c>
      <c r="AF301" s="10">
        <v>0</v>
      </c>
      <c r="AG301" s="8">
        <f>COUNTIF(Y301:AB301,"&gt;0")</f>
        <v>1</v>
      </c>
      <c r="AH301" s="10">
        <v>0</v>
      </c>
      <c r="AI301" s="10">
        <v>196.62899999999999</v>
      </c>
      <c r="AJ301" s="8" t="str">
        <f>IF(ISNUMBER(X301),IF(X301&gt;0,"+",IF(X301&lt;0,"−","0")),IF(ISNUMBER(W301),IF(W301&gt;0,"+",IF(W301&lt;0,"−","0")),"yok"))</f>
        <v>−</v>
      </c>
      <c r="AK301" s="10">
        <f>IF(AND(RIGHT(C301,2)&lt;&gt;"12",ISNUMBER(U301),ISNUMBER(V301)),U301-V301,"")</f>
        <v>196.63000000000011</v>
      </c>
      <c r="AL301" s="11">
        <f>IF(AND(ISNUMBER(AK301),ISNUMBER(V301)),IF(V301&lt;&gt;0,AK301/ABS(V301),""),"")</f>
        <v>0.13559268269808966</v>
      </c>
      <c r="AM301" s="8">
        <f>IF(ISNUMBER(AK301),IF(AK301&gt;1,1,0),"")</f>
        <v>1</v>
      </c>
      <c r="AN301" s="8">
        <f>IF(ISNUMBER(AK301),IF(AK301&gt;0.05*ABS(V301),1,0),"")</f>
        <v>1</v>
      </c>
      <c r="AO301" s="10">
        <v>-628.29300000000001</v>
      </c>
      <c r="AP301" s="10">
        <v>628.29300000000001</v>
      </c>
      <c r="AQ301" s="8" t="s">
        <v>204</v>
      </c>
      <c r="AR301" s="8">
        <v>0</v>
      </c>
      <c r="AS301" s="10">
        <v>603.05700000000002</v>
      </c>
      <c r="AT301" s="10">
        <v>-25.235999999999901</v>
      </c>
      <c r="AU301" s="8" t="s">
        <v>204</v>
      </c>
      <c r="AV301" s="10">
        <v>196.63</v>
      </c>
      <c r="AW301" s="11">
        <f>IF(AND(ISNUMBER(AV301),ISNUMBER(AT301)),IF(AT301&lt;&gt;0,AV301/ABS(AT301),""),"")</f>
        <v>7.7916468537010921</v>
      </c>
      <c r="AX301" s="8">
        <v>0</v>
      </c>
      <c r="AY301" s="8">
        <v>1</v>
      </c>
      <c r="AZ301" s="10"/>
      <c r="BA301" s="8">
        <v>0</v>
      </c>
    </row>
    <row r="302" spans="1:53" x14ac:dyDescent="0.2">
      <c r="A302" s="8" t="s">
        <v>413</v>
      </c>
      <c r="B302" s="8" t="s">
        <v>82</v>
      </c>
      <c r="C302" s="8" t="s">
        <v>210</v>
      </c>
      <c r="D302" s="8">
        <v>1</v>
      </c>
      <c r="E302" s="8">
        <v>1</v>
      </c>
      <c r="F302" s="8">
        <f>SUM(G302:M302)</f>
        <v>1</v>
      </c>
      <c r="G302" s="8">
        <v>0</v>
      </c>
      <c r="H302" s="8">
        <v>1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1</v>
      </c>
      <c r="Q302" s="8">
        <v>1</v>
      </c>
      <c r="R302" s="8">
        <v>1</v>
      </c>
      <c r="S302" s="8">
        <v>0</v>
      </c>
      <c r="T302" s="10">
        <v>-37.36</v>
      </c>
      <c r="U302" s="10">
        <v>-32.1</v>
      </c>
      <c r="V302" s="10">
        <v>-44.006999999999998</v>
      </c>
      <c r="W302" s="10">
        <f>IF(RIGHT(C302,2)="12",IF(ISNUMBER(T302),T302,""),IF(COUNT(T302,U302,V302)=3,T302+U302-V302,""))</f>
        <v>-25.45300000000001</v>
      </c>
      <c r="X302" s="10">
        <v>-25.454000000000001</v>
      </c>
      <c r="Y302" s="10">
        <v>-0.61499999999999999</v>
      </c>
      <c r="Z302" s="10">
        <v>12.521000000000001</v>
      </c>
      <c r="AA302" s="10">
        <v>-27.620999999999999</v>
      </c>
      <c r="AB302" s="10">
        <v>-9.7390000000000008</v>
      </c>
      <c r="AC302" s="8">
        <v>0</v>
      </c>
      <c r="AD302" s="8">
        <v>0</v>
      </c>
      <c r="AE302" s="8">
        <v>0</v>
      </c>
      <c r="AF302" s="10">
        <v>0</v>
      </c>
      <c r="AG302" s="8">
        <f>COUNTIF(Y302:AB302,"&gt;0")</f>
        <v>1</v>
      </c>
      <c r="AH302" s="10">
        <v>0</v>
      </c>
      <c r="AI302" s="10">
        <v>12.521000000000001</v>
      </c>
      <c r="AJ302" s="8" t="str">
        <f>IF(ISNUMBER(X302),IF(X302&gt;0,"+",IF(X302&lt;0,"−","0")),IF(ISNUMBER(W302),IF(W302&gt;0,"+",IF(W302&lt;0,"−","0")),"yok"))</f>
        <v>−</v>
      </c>
      <c r="AK302" s="10">
        <f>IF(AND(RIGHT(C302,2)&lt;&gt;"12",ISNUMBER(U302),ISNUMBER(V302)),U302-V302,"")</f>
        <v>11.906999999999996</v>
      </c>
      <c r="AL302" s="11">
        <f>IF(AND(ISNUMBER(AK302),ISNUMBER(V302)),IF(V302&lt;&gt;0,AK302/ABS(V302),""),"")</f>
        <v>0.27057059104233411</v>
      </c>
      <c r="AM302" s="8">
        <f>IF(ISNUMBER(AK302),IF(AK302&gt;1,1,0),"")</f>
        <v>1</v>
      </c>
      <c r="AN302" s="8">
        <f>IF(ISNUMBER(AK302),IF(AK302&gt;0.05*ABS(V302),1,0),"")</f>
        <v>1</v>
      </c>
      <c r="AO302" s="10">
        <v>-25.454999999999998</v>
      </c>
      <c r="AP302" s="10">
        <v>25.454999999999998</v>
      </c>
      <c r="AQ302" s="8" t="s">
        <v>204</v>
      </c>
      <c r="AR302" s="8">
        <v>0</v>
      </c>
      <c r="AS302" s="10">
        <v>-156.83099999999999</v>
      </c>
      <c r="AT302" s="10">
        <v>-256.77199999999999</v>
      </c>
      <c r="AU302" s="8" t="s">
        <v>204</v>
      </c>
      <c r="AV302" s="10">
        <v>11.907</v>
      </c>
      <c r="AW302" s="11">
        <f>IF(AND(ISNUMBER(AV302),ISNUMBER(AT302)),IF(AT302&lt;&gt;0,AV302/ABS(AT302),""),"")</f>
        <v>4.6371878553736388E-2</v>
      </c>
      <c r="AX302" s="8">
        <v>0</v>
      </c>
      <c r="AY302" s="8">
        <v>1</v>
      </c>
      <c r="AZ302" s="10"/>
      <c r="BA302" s="8">
        <v>0</v>
      </c>
    </row>
    <row r="303" spans="1:53" x14ac:dyDescent="0.2">
      <c r="A303" s="8" t="s">
        <v>414</v>
      </c>
      <c r="B303" s="8" t="s">
        <v>83</v>
      </c>
      <c r="C303" s="8" t="s">
        <v>208</v>
      </c>
      <c r="D303" s="8">
        <v>1</v>
      </c>
      <c r="E303" s="8">
        <v>1</v>
      </c>
      <c r="F303" s="8">
        <f>SUM(G303:M303)</f>
        <v>1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1</v>
      </c>
      <c r="N303" s="8">
        <v>0</v>
      </c>
      <c r="O303" s="8">
        <v>0</v>
      </c>
      <c r="P303" s="8">
        <v>1</v>
      </c>
      <c r="Q303" s="8">
        <v>0</v>
      </c>
      <c r="R303" s="8">
        <v>0</v>
      </c>
      <c r="S303" s="8">
        <v>0</v>
      </c>
      <c r="T303" s="10">
        <v>-1.974</v>
      </c>
      <c r="U303" s="10">
        <v>-48.468000000000004</v>
      </c>
      <c r="V303" s="10">
        <v>-39.274000000000001</v>
      </c>
      <c r="W303" s="10">
        <f>IF(RIGHT(C303,2)="12",IF(ISNUMBER(T303),T303,""),IF(COUNT(T303,U303,V303)=3,T303+U303-V303,""))</f>
        <v>-11.167999999999999</v>
      </c>
      <c r="X303" s="10">
        <v>-11.167999999999999</v>
      </c>
      <c r="Y303" s="10">
        <v>-17.417000000000002</v>
      </c>
      <c r="Z303" s="10">
        <v>-22.536999999999999</v>
      </c>
      <c r="AA303" s="10">
        <v>30.760999999999999</v>
      </c>
      <c r="AB303" s="10">
        <v>-1.974</v>
      </c>
      <c r="AC303" s="8">
        <v>0</v>
      </c>
      <c r="AD303" s="8">
        <v>0</v>
      </c>
      <c r="AE303" s="8">
        <v>0</v>
      </c>
      <c r="AF303" s="10">
        <v>0</v>
      </c>
      <c r="AG303" s="8">
        <f>COUNTIF(Y303:AB303,"&gt;0")</f>
        <v>1</v>
      </c>
      <c r="AH303" s="10">
        <v>0</v>
      </c>
      <c r="AI303" s="10">
        <v>30.760999999999999</v>
      </c>
      <c r="AJ303" s="8" t="str">
        <f>IF(ISNUMBER(X303),IF(X303&gt;0,"+",IF(X303&lt;0,"−","0")),IF(ISNUMBER(W303),IF(W303&gt;0,"+",IF(W303&lt;0,"−","0")),"yok"))</f>
        <v>−</v>
      </c>
      <c r="AK303" s="10">
        <f>IF(AND(RIGHT(C303,2)&lt;&gt;"12",ISNUMBER(U303),ISNUMBER(V303)),U303-V303,"")</f>
        <v>-9.1940000000000026</v>
      </c>
      <c r="AL303" s="11">
        <f>IF(AND(ISNUMBER(AK303),ISNUMBER(V303)),IF(V303&lt;&gt;0,AK303/ABS(V303),""),"")</f>
        <v>-0.2340988949432195</v>
      </c>
      <c r="AM303" s="8">
        <f>IF(ISNUMBER(AK303),IF(AK303&gt;1,1,0),"")</f>
        <v>0</v>
      </c>
      <c r="AN303" s="8">
        <f>IF(ISNUMBER(AK303),IF(AK303&gt;0.05*ABS(V303),1,0),"")</f>
        <v>0</v>
      </c>
      <c r="AO303" s="10">
        <v>-11.169</v>
      </c>
      <c r="AP303" s="10">
        <v>11.169</v>
      </c>
      <c r="AQ303" s="8" t="s">
        <v>204</v>
      </c>
      <c r="AR303" s="8">
        <v>0</v>
      </c>
      <c r="AS303" s="10">
        <v>127.85899999999999</v>
      </c>
      <c r="AT303" s="10">
        <v>116.28</v>
      </c>
      <c r="AU303" s="8" t="s">
        <v>204</v>
      </c>
      <c r="AV303" s="10">
        <v>30.760999999999999</v>
      </c>
      <c r="AW303" s="11">
        <f>IF(AND(ISNUMBER(AV303),ISNUMBER(AT303)),IF(AT303&lt;&gt;0,AV303/ABS(AT303),""),"")</f>
        <v>0.26454248366013072</v>
      </c>
      <c r="AX303" s="8">
        <v>0</v>
      </c>
      <c r="AY303" s="8">
        <v>0</v>
      </c>
      <c r="AZ303" s="10"/>
      <c r="BA303" s="8">
        <v>0</v>
      </c>
    </row>
    <row r="304" spans="1:53" x14ac:dyDescent="0.2">
      <c r="A304" s="8" t="s">
        <v>414</v>
      </c>
      <c r="B304" s="8" t="s">
        <v>83</v>
      </c>
      <c r="C304" s="8" t="s">
        <v>210</v>
      </c>
      <c r="D304" s="8">
        <v>1</v>
      </c>
      <c r="E304" s="8">
        <v>1</v>
      </c>
      <c r="F304" s="8">
        <f>SUM(G304:M304)</f>
        <v>2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1</v>
      </c>
      <c r="M304" s="8">
        <v>1</v>
      </c>
      <c r="N304" s="8">
        <v>1</v>
      </c>
      <c r="O304" s="8">
        <v>0</v>
      </c>
      <c r="P304" s="8">
        <v>1</v>
      </c>
      <c r="Q304" s="8">
        <v>0</v>
      </c>
      <c r="R304" s="8">
        <v>0</v>
      </c>
      <c r="S304" s="8">
        <v>0</v>
      </c>
      <c r="T304" s="10">
        <v>-2.7650000000000001</v>
      </c>
      <c r="U304" s="10">
        <v>-48.468000000000004</v>
      </c>
      <c r="V304" s="10">
        <v>-56.692</v>
      </c>
      <c r="W304" s="10">
        <f>IF(RIGHT(C304,2)="12",IF(ISNUMBER(T304),T304,""),IF(COUNT(T304,U304,V304)=3,T304+U304-V304,""))</f>
        <v>5.4589999999999961</v>
      </c>
      <c r="X304" s="10">
        <v>5.4569999999999999</v>
      </c>
      <c r="Y304" s="10">
        <v>-22.536999999999999</v>
      </c>
      <c r="Z304" s="10">
        <v>30.760999999999999</v>
      </c>
      <c r="AA304" s="10">
        <v>-1.974</v>
      </c>
      <c r="AB304" s="10">
        <v>-0.79100000000000004</v>
      </c>
      <c r="AC304" s="8">
        <v>0</v>
      </c>
      <c r="AD304" s="8">
        <v>0</v>
      </c>
      <c r="AE304" s="8">
        <v>0</v>
      </c>
      <c r="AF304" s="10">
        <v>0</v>
      </c>
      <c r="AG304" s="8">
        <f>COUNTIF(Y304:AB304,"&gt;0")</f>
        <v>1</v>
      </c>
      <c r="AH304" s="10">
        <v>0</v>
      </c>
      <c r="AI304" s="10">
        <v>30.760999999999999</v>
      </c>
      <c r="AJ304" s="8" t="str">
        <f>IF(ISNUMBER(X304),IF(X304&gt;0,"+",IF(X304&lt;0,"−","0")),IF(ISNUMBER(W304),IF(W304&gt;0,"+",IF(W304&lt;0,"−","0")),"yok"))</f>
        <v>+</v>
      </c>
      <c r="AK304" s="10">
        <f>IF(AND(RIGHT(C304,2)&lt;&gt;"12",ISNUMBER(U304),ISNUMBER(V304)),U304-V304,"")</f>
        <v>8.2239999999999966</v>
      </c>
      <c r="AL304" s="11">
        <f>IF(AND(ISNUMBER(AK304),ISNUMBER(V304)),IF(V304&lt;&gt;0,AK304/ABS(V304),""),"")</f>
        <v>0.14506455937345653</v>
      </c>
      <c r="AM304" s="8">
        <f>IF(ISNUMBER(AK304),IF(AK304&gt;1,1,0),"")</f>
        <v>1</v>
      </c>
      <c r="AN304" s="8">
        <f>IF(ISNUMBER(AK304),IF(AK304&gt;0.05*ABS(V304),1,0),"")</f>
        <v>1</v>
      </c>
      <c r="AO304" s="10">
        <v>5.4580000000000002</v>
      </c>
      <c r="AP304" s="10">
        <v>5.4580000000000002</v>
      </c>
      <c r="AQ304" s="8" t="s">
        <v>204</v>
      </c>
      <c r="AR304" s="8">
        <v>0</v>
      </c>
      <c r="AS304" s="10">
        <v>207.95699999999999</v>
      </c>
      <c r="AT304" s="10"/>
      <c r="AU304" s="8" t="s">
        <v>207</v>
      </c>
      <c r="AV304" s="10">
        <v>8.2240000000000002</v>
      </c>
      <c r="AW304" s="11" t="str">
        <f>IF(AND(ISNUMBER(AV304),ISNUMBER(AT304)),IF(AT304&lt;&gt;0,AV304/ABS(AT304),""),"")</f>
        <v/>
      </c>
      <c r="AX304" s="8">
        <v>0</v>
      </c>
      <c r="AY304" s="8">
        <v>1</v>
      </c>
      <c r="AZ304" s="10"/>
      <c r="BA304" s="8">
        <v>0</v>
      </c>
    </row>
    <row r="305" spans="1:53" x14ac:dyDescent="0.2">
      <c r="A305" s="8" t="s">
        <v>415</v>
      </c>
      <c r="B305" s="8" t="s">
        <v>82</v>
      </c>
      <c r="C305" s="8" t="s">
        <v>205</v>
      </c>
      <c r="D305" s="8">
        <v>1</v>
      </c>
      <c r="E305" s="8">
        <v>1</v>
      </c>
      <c r="F305" s="8">
        <f>SUM(G305:M305)</f>
        <v>1</v>
      </c>
      <c r="G305" s="8">
        <v>0</v>
      </c>
      <c r="H305" s="8">
        <v>0</v>
      </c>
      <c r="I305" s="8">
        <v>0</v>
      </c>
      <c r="J305" s="8">
        <v>1</v>
      </c>
      <c r="K305" s="8">
        <v>0</v>
      </c>
      <c r="L305" s="8">
        <v>0</v>
      </c>
      <c r="M305" s="8">
        <v>0</v>
      </c>
      <c r="N305" s="8">
        <v>0</v>
      </c>
      <c r="O305" s="8">
        <v>1</v>
      </c>
      <c r="P305" s="8">
        <v>1</v>
      </c>
      <c r="Q305" s="8">
        <v>0</v>
      </c>
      <c r="R305" s="8">
        <v>0</v>
      </c>
      <c r="S305" s="8">
        <v>1</v>
      </c>
      <c r="T305" s="10">
        <v>2.9350000000000001</v>
      </c>
      <c r="U305" s="10">
        <v>-225.72900000000001</v>
      </c>
      <c r="V305" s="10">
        <v>-44.645000000000003</v>
      </c>
      <c r="W305" s="10">
        <f>IF(RIGHT(C305,2)="12",IF(ISNUMBER(T305),T305,""),IF(COUNT(T305,U305,V305)=3,T305+U305-V305,""))</f>
        <v>-178.149</v>
      </c>
      <c r="X305" s="10">
        <v>-178.148</v>
      </c>
      <c r="Y305" s="10">
        <v>-15.763999999999999</v>
      </c>
      <c r="Z305" s="10">
        <v>-165.31899999999999</v>
      </c>
      <c r="AA305" s="10">
        <v>-26.475000000000001</v>
      </c>
      <c r="AB305" s="10">
        <v>29.41</v>
      </c>
      <c r="AC305" s="8">
        <v>1</v>
      </c>
      <c r="AD305" s="8">
        <v>0</v>
      </c>
      <c r="AE305" s="8">
        <v>0</v>
      </c>
      <c r="AF305" s="10">
        <v>2.9350000000000001</v>
      </c>
      <c r="AG305" s="8">
        <f>COUNTIF(Y305:AB305,"&gt;0")</f>
        <v>1</v>
      </c>
      <c r="AH305" s="10">
        <v>29.41</v>
      </c>
      <c r="AI305" s="10">
        <v>0</v>
      </c>
      <c r="AJ305" s="8" t="str">
        <f>IF(ISNUMBER(X305),IF(X305&gt;0,"+",IF(X305&lt;0,"−","0")),IF(ISNUMBER(W305),IF(W305&gt;0,"+",IF(W305&lt;0,"−","0")),"yok"))</f>
        <v>−</v>
      </c>
      <c r="AK305" s="10">
        <f>IF(AND(RIGHT(C305,2)&lt;&gt;"12",ISNUMBER(U305),ISNUMBER(V305)),U305-V305,"")</f>
        <v>-181.084</v>
      </c>
      <c r="AL305" s="11">
        <f>IF(AND(ISNUMBER(AK305),ISNUMBER(V305)),IF(V305&lt;&gt;0,AK305/ABS(V305),""),"")</f>
        <v>-4.0560869078284236</v>
      </c>
      <c r="AM305" s="8">
        <f>IF(ISNUMBER(AK305),IF(AK305&gt;1,1,0),"")</f>
        <v>0</v>
      </c>
      <c r="AN305" s="8">
        <f>IF(ISNUMBER(AK305),IF(AK305&gt;0.05*ABS(V305),1,0),"")</f>
        <v>0</v>
      </c>
      <c r="AO305" s="10">
        <v>-178.15</v>
      </c>
      <c r="AP305" s="10">
        <v>178.15</v>
      </c>
      <c r="AQ305" s="8" t="s">
        <v>204</v>
      </c>
      <c r="AR305" s="8">
        <v>0</v>
      </c>
      <c r="AS305" s="10">
        <v>270.83800000000002</v>
      </c>
      <c r="AT305" s="10">
        <v>-128.006</v>
      </c>
      <c r="AU305" s="8" t="s">
        <v>204</v>
      </c>
      <c r="AV305" s="10">
        <v>2.9350000000000001</v>
      </c>
      <c r="AW305" s="11">
        <f>IF(AND(ISNUMBER(AV305),ISNUMBER(AT305)),IF(AT305&lt;&gt;0,AV305/ABS(AT305),""),"")</f>
        <v>2.2928612721278691E-2</v>
      </c>
      <c r="AX305" s="8">
        <v>1</v>
      </c>
      <c r="AY305" s="8">
        <v>0</v>
      </c>
      <c r="AZ305" s="8" t="s">
        <v>416</v>
      </c>
      <c r="BA305" s="8">
        <v>0</v>
      </c>
    </row>
    <row r="306" spans="1:53" x14ac:dyDescent="0.2">
      <c r="A306" s="8" t="s">
        <v>415</v>
      </c>
      <c r="B306" s="8" t="s">
        <v>82</v>
      </c>
      <c r="C306" s="8" t="s">
        <v>215</v>
      </c>
      <c r="D306" s="8">
        <v>1</v>
      </c>
      <c r="E306" s="8">
        <v>1</v>
      </c>
      <c r="F306" s="8">
        <f>SUM(G306:M306)</f>
        <v>1</v>
      </c>
      <c r="G306" s="8">
        <v>0</v>
      </c>
      <c r="H306" s="8">
        <v>0</v>
      </c>
      <c r="I306" s="8">
        <v>0</v>
      </c>
      <c r="J306" s="8">
        <v>1</v>
      </c>
      <c r="K306" s="8">
        <v>0</v>
      </c>
      <c r="L306" s="8">
        <v>0</v>
      </c>
      <c r="M306" s="8">
        <v>0</v>
      </c>
      <c r="N306" s="8">
        <v>0</v>
      </c>
      <c r="O306" s="8">
        <v>1</v>
      </c>
      <c r="P306" s="8">
        <v>1</v>
      </c>
      <c r="Q306" s="8">
        <v>0</v>
      </c>
      <c r="R306" s="8">
        <v>0</v>
      </c>
      <c r="S306" s="8">
        <v>1</v>
      </c>
      <c r="T306" s="10">
        <v>5.6210000000000004</v>
      </c>
      <c r="U306" s="10">
        <v>-225.72900000000001</v>
      </c>
      <c r="V306" s="10">
        <v>-60.41</v>
      </c>
      <c r="W306" s="10">
        <f>IF(RIGHT(C306,2)="12",IF(ISNUMBER(T306),T306,""),IF(COUNT(T306,U306,V306)=3,T306+U306-V306,""))</f>
        <v>-159.69800000000001</v>
      </c>
      <c r="X306" s="10">
        <v>-159.69800000000001</v>
      </c>
      <c r="Y306" s="10">
        <v>-165.31899999999999</v>
      </c>
      <c r="Z306" s="10">
        <v>-26.475000000000001</v>
      </c>
      <c r="AA306" s="10">
        <v>29.41</v>
      </c>
      <c r="AB306" s="10">
        <v>2.6850000000000001</v>
      </c>
      <c r="AC306" s="8">
        <v>1</v>
      </c>
      <c r="AD306" s="8">
        <v>0</v>
      </c>
      <c r="AE306" s="8">
        <v>0</v>
      </c>
      <c r="AF306" s="10">
        <v>5.6210000000000004</v>
      </c>
      <c r="AG306" s="8">
        <f>COUNTIF(Y306:AB306,"&gt;0")</f>
        <v>2</v>
      </c>
      <c r="AH306" s="10">
        <v>32.094999999999999</v>
      </c>
      <c r="AI306" s="10">
        <v>0</v>
      </c>
      <c r="AJ306" s="8" t="str">
        <f>IF(ISNUMBER(X306),IF(X306&gt;0,"+",IF(X306&lt;0,"−","0")),IF(ISNUMBER(W306),IF(W306&gt;0,"+",IF(W306&lt;0,"−","0")),"yok"))</f>
        <v>−</v>
      </c>
      <c r="AK306" s="10">
        <f>IF(AND(RIGHT(C306,2)&lt;&gt;"12",ISNUMBER(U306),ISNUMBER(V306)),U306-V306,"")</f>
        <v>-165.31900000000002</v>
      </c>
      <c r="AL306" s="11">
        <f>IF(AND(ISNUMBER(AK306),ISNUMBER(V306)),IF(V306&lt;&gt;0,AK306/ABS(V306),""),"")</f>
        <v>-2.7366164542294324</v>
      </c>
      <c r="AM306" s="8">
        <f>IF(ISNUMBER(AK306),IF(AK306&gt;1,1,0),"")</f>
        <v>0</v>
      </c>
      <c r="AN306" s="8">
        <f>IF(ISNUMBER(AK306),IF(AK306&gt;0.05*ABS(V306),1,0),"")</f>
        <v>0</v>
      </c>
      <c r="AO306" s="10">
        <v>-159.69900000000001</v>
      </c>
      <c r="AP306" s="10">
        <v>159.69900000000001</v>
      </c>
      <c r="AQ306" s="8" t="s">
        <v>204</v>
      </c>
      <c r="AR306" s="8">
        <v>0</v>
      </c>
      <c r="AS306" s="10">
        <v>28.42</v>
      </c>
      <c r="AT306" s="10">
        <v>-276.91399999999999</v>
      </c>
      <c r="AU306" s="8" t="s">
        <v>204</v>
      </c>
      <c r="AV306" s="10">
        <v>5.6210000000000004</v>
      </c>
      <c r="AW306" s="11">
        <f>IF(AND(ISNUMBER(AV306),ISNUMBER(AT306)),IF(AT306&lt;&gt;0,AV306/ABS(AT306),""),"")</f>
        <v>2.0298720902518472E-2</v>
      </c>
      <c r="AX306" s="8">
        <v>1</v>
      </c>
      <c r="AY306" s="8">
        <v>0</v>
      </c>
      <c r="AZ306" s="8" t="s">
        <v>417</v>
      </c>
      <c r="BA306" s="8">
        <v>0</v>
      </c>
    </row>
    <row r="307" spans="1:53" x14ac:dyDescent="0.2">
      <c r="A307" s="8" t="s">
        <v>415</v>
      </c>
      <c r="B307" s="8" t="s">
        <v>82</v>
      </c>
      <c r="C307" s="8" t="s">
        <v>208</v>
      </c>
      <c r="D307" s="8">
        <v>1</v>
      </c>
      <c r="E307" s="8">
        <v>1</v>
      </c>
      <c r="F307" s="8">
        <f>SUM(G307:M307)</f>
        <v>1</v>
      </c>
      <c r="G307" s="8">
        <v>0</v>
      </c>
      <c r="H307" s="8">
        <v>1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1</v>
      </c>
      <c r="Q307" s="8">
        <v>1</v>
      </c>
      <c r="R307" s="8">
        <v>1</v>
      </c>
      <c r="S307" s="8">
        <v>0</v>
      </c>
      <c r="T307" s="10">
        <v>-24.771000000000001</v>
      </c>
      <c r="U307" s="10">
        <v>-1.919</v>
      </c>
      <c r="V307" s="10">
        <v>-26.475000000000001</v>
      </c>
      <c r="W307" s="10">
        <f>IF(RIGHT(C307,2)="12",IF(ISNUMBER(T307),T307,""),IF(COUNT(T307,U307,V307)=3,T307+U307-V307,""))</f>
        <v>-0.21499999999999986</v>
      </c>
      <c r="X307" s="10">
        <v>-0.215</v>
      </c>
      <c r="Y307" s="10">
        <v>29.41</v>
      </c>
      <c r="Z307" s="10">
        <v>2.6850000000000001</v>
      </c>
      <c r="AA307" s="10">
        <v>-7.54</v>
      </c>
      <c r="AB307" s="10">
        <v>-24.771000000000001</v>
      </c>
      <c r="AC307" s="8">
        <v>0</v>
      </c>
      <c r="AD307" s="8">
        <v>0</v>
      </c>
      <c r="AE307" s="8">
        <v>0</v>
      </c>
      <c r="AF307" s="10">
        <v>0</v>
      </c>
      <c r="AG307" s="8">
        <f>COUNTIF(Y307:AB307,"&gt;0")</f>
        <v>2</v>
      </c>
      <c r="AH307" s="10">
        <v>0</v>
      </c>
      <c r="AI307" s="10">
        <v>32.094999999999999</v>
      </c>
      <c r="AJ307" s="8" t="str">
        <f>IF(ISNUMBER(X307),IF(X307&gt;0,"+",IF(X307&lt;0,"−","0")),IF(ISNUMBER(W307),IF(W307&gt;0,"+",IF(W307&lt;0,"−","0")),"yok"))</f>
        <v>−</v>
      </c>
      <c r="AK307" s="10">
        <f>IF(AND(RIGHT(C307,2)&lt;&gt;"12",ISNUMBER(U307),ISNUMBER(V307)),U307-V307,"")</f>
        <v>24.556000000000001</v>
      </c>
      <c r="AL307" s="11">
        <f>IF(AND(ISNUMBER(AK307),ISNUMBER(V307)),IF(V307&lt;&gt;0,AK307/ABS(V307),""),"")</f>
        <v>0.92751652502360715</v>
      </c>
      <c r="AM307" s="8">
        <f>IF(ISNUMBER(AK307),IF(AK307&gt;1,1,0),"")</f>
        <v>1</v>
      </c>
      <c r="AN307" s="8">
        <f>IF(ISNUMBER(AK307),IF(AK307&gt;0.05*ABS(V307),1,0),"")</f>
        <v>1</v>
      </c>
      <c r="AO307" s="10">
        <v>-0.215</v>
      </c>
      <c r="AP307" s="10">
        <v>0.215</v>
      </c>
      <c r="AQ307" s="8" t="s">
        <v>204</v>
      </c>
      <c r="AR307" s="8">
        <v>0</v>
      </c>
      <c r="AS307" s="10">
        <v>139.40199999999999</v>
      </c>
      <c r="AT307" s="10">
        <v>-6.5989999999999904</v>
      </c>
      <c r="AU307" s="8" t="s">
        <v>204</v>
      </c>
      <c r="AV307" s="10">
        <v>24.556000000000001</v>
      </c>
      <c r="AW307" s="11">
        <f>IF(AND(ISNUMBER(AV307),ISNUMBER(AT307)),IF(AT307&lt;&gt;0,AV307/ABS(AT307),""),"")</f>
        <v>3.7211698742233725</v>
      </c>
      <c r="AX307" s="8">
        <v>0</v>
      </c>
      <c r="AY307" s="8">
        <v>1</v>
      </c>
      <c r="AZ307" s="10"/>
      <c r="BA307" s="8">
        <v>0</v>
      </c>
    </row>
    <row r="308" spans="1:53" x14ac:dyDescent="0.2">
      <c r="A308" s="8" t="s">
        <v>415</v>
      </c>
      <c r="B308" s="8" t="s">
        <v>82</v>
      </c>
      <c r="C308" s="8" t="s">
        <v>210</v>
      </c>
      <c r="D308" s="8">
        <v>1</v>
      </c>
      <c r="E308" s="8">
        <v>1</v>
      </c>
      <c r="F308" s="8">
        <f>SUM(G308:M308)</f>
        <v>1</v>
      </c>
      <c r="G308" s="8">
        <v>0</v>
      </c>
      <c r="H308" s="8">
        <v>0</v>
      </c>
      <c r="I308" s="8">
        <v>0</v>
      </c>
      <c r="J308" s="8">
        <v>1</v>
      </c>
      <c r="K308" s="8">
        <v>0</v>
      </c>
      <c r="L308" s="8">
        <v>0</v>
      </c>
      <c r="M308" s="8">
        <v>0</v>
      </c>
      <c r="N308" s="8">
        <v>0</v>
      </c>
      <c r="O308" s="8">
        <v>1</v>
      </c>
      <c r="P308" s="8">
        <v>1</v>
      </c>
      <c r="Q308" s="8">
        <v>0</v>
      </c>
      <c r="R308" s="8">
        <v>1</v>
      </c>
      <c r="S308" s="8">
        <v>0</v>
      </c>
      <c r="T308" s="10">
        <v>-68.614999999999995</v>
      </c>
      <c r="U308" s="10">
        <v>-1.919</v>
      </c>
      <c r="V308" s="10">
        <v>2.9350000000000001</v>
      </c>
      <c r="W308" s="10">
        <f>IF(RIGHT(C308,2)="12",IF(ISNUMBER(T308),T308,""),IF(COUNT(T308,U308,V308)=3,T308+U308-V308,""))</f>
        <v>-73.468999999999994</v>
      </c>
      <c r="X308" s="10">
        <v>-73.47</v>
      </c>
      <c r="Y308" s="10">
        <v>2.6850000000000001</v>
      </c>
      <c r="Z308" s="10">
        <v>-7.54</v>
      </c>
      <c r="AA308" s="10">
        <v>-24.771000000000001</v>
      </c>
      <c r="AB308" s="10">
        <v>-43.843000000000004</v>
      </c>
      <c r="AC308" s="8">
        <v>0</v>
      </c>
      <c r="AD308" s="8">
        <v>0</v>
      </c>
      <c r="AE308" s="8">
        <v>1</v>
      </c>
      <c r="AF308" s="10">
        <v>2.9350000000000001</v>
      </c>
      <c r="AG308" s="8">
        <f>COUNTIF(Y308:AB308,"&gt;0")</f>
        <v>1</v>
      </c>
      <c r="AH308" s="10">
        <v>0</v>
      </c>
      <c r="AI308" s="10">
        <v>2.6850000000000001</v>
      </c>
      <c r="AJ308" s="8" t="str">
        <f>IF(ISNUMBER(X308),IF(X308&gt;0,"+",IF(X308&lt;0,"−","0")),IF(ISNUMBER(W308),IF(W308&gt;0,"+",IF(W308&lt;0,"−","0")),"yok"))</f>
        <v>−</v>
      </c>
      <c r="AK308" s="10">
        <f>IF(AND(RIGHT(C308,2)&lt;&gt;"12",ISNUMBER(U308),ISNUMBER(V308)),U308-V308,"")</f>
        <v>-4.8540000000000001</v>
      </c>
      <c r="AL308" s="11">
        <f>IF(AND(ISNUMBER(AK308),ISNUMBER(V308)),IF(V308&lt;&gt;0,AK308/ABS(V308),""),"")</f>
        <v>-1.6538330494037479</v>
      </c>
      <c r="AM308" s="8">
        <f>IF(ISNUMBER(AK308),IF(AK308&gt;1,1,0),"")</f>
        <v>0</v>
      </c>
      <c r="AN308" s="8">
        <f>IF(ISNUMBER(AK308),IF(AK308&gt;0.05*ABS(V308),1,0),"")</f>
        <v>0</v>
      </c>
      <c r="AO308" s="10">
        <v>-73.47</v>
      </c>
      <c r="AP308" s="10">
        <v>73.47</v>
      </c>
      <c r="AQ308" s="8" t="s">
        <v>204</v>
      </c>
      <c r="AR308" s="8">
        <v>0</v>
      </c>
      <c r="AS308" s="10">
        <v>360.64499999999998</v>
      </c>
      <c r="AT308" s="10">
        <v>144.57</v>
      </c>
      <c r="AU308" s="8" t="s">
        <v>204</v>
      </c>
      <c r="AV308" s="10">
        <v>2.9350000000000001</v>
      </c>
      <c r="AW308" s="11">
        <f>IF(AND(ISNUMBER(AV308),ISNUMBER(AT308)),IF(AT308&lt;&gt;0,AV308/ABS(AT308),""),"")</f>
        <v>2.0301584007747113E-2</v>
      </c>
      <c r="AX308" s="8">
        <v>1</v>
      </c>
      <c r="AY308" s="8">
        <v>0</v>
      </c>
      <c r="AZ308" s="8" t="s">
        <v>418</v>
      </c>
      <c r="BA308" s="8">
        <v>0</v>
      </c>
    </row>
    <row r="309" spans="1:53" x14ac:dyDescent="0.2">
      <c r="A309" s="8" t="s">
        <v>419</v>
      </c>
      <c r="B309" s="8" t="s">
        <v>83</v>
      </c>
      <c r="C309" s="8" t="s">
        <v>203</v>
      </c>
      <c r="D309" s="8">
        <v>1</v>
      </c>
      <c r="E309" s="8">
        <v>1</v>
      </c>
      <c r="F309" s="8">
        <f>SUM(G309:M309)</f>
        <v>1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1</v>
      </c>
      <c r="N309" s="8">
        <v>0</v>
      </c>
      <c r="O309" s="8">
        <v>0</v>
      </c>
      <c r="P309" s="8">
        <v>1</v>
      </c>
      <c r="Q309" s="8">
        <v>0</v>
      </c>
      <c r="R309" s="8">
        <v>0</v>
      </c>
      <c r="S309" s="8">
        <v>0</v>
      </c>
      <c r="T309" s="10">
        <v>-40.241</v>
      </c>
      <c r="U309" s="10">
        <v>-19.824999999999999</v>
      </c>
      <c r="V309" s="10">
        <v>-4.7069999999999999</v>
      </c>
      <c r="W309" s="10">
        <f>IF(RIGHT(C309,2)="12",IF(ISNUMBER(T309),T309,""),IF(COUNT(T309,U309,V309)=3,T309+U309-V309,""))</f>
        <v>-55.359000000000002</v>
      </c>
      <c r="X309" s="10">
        <v>-55.359000000000002</v>
      </c>
      <c r="Y309" s="10">
        <v>-82.778000000000006</v>
      </c>
      <c r="Z309" s="10">
        <v>79.028999999999996</v>
      </c>
      <c r="AA309" s="10">
        <v>-11.368</v>
      </c>
      <c r="AB309" s="10">
        <v>-40.241</v>
      </c>
      <c r="AC309" s="8">
        <v>0</v>
      </c>
      <c r="AD309" s="8">
        <v>0</v>
      </c>
      <c r="AE309" s="8">
        <v>0</v>
      </c>
      <c r="AF309" s="10">
        <v>0</v>
      </c>
      <c r="AG309" s="8">
        <f>COUNTIF(Y309:AB309,"&gt;0")</f>
        <v>1</v>
      </c>
      <c r="AH309" s="10">
        <v>0</v>
      </c>
      <c r="AI309" s="10">
        <v>79.028999999999996</v>
      </c>
      <c r="AJ309" s="8" t="str">
        <f>IF(ISNUMBER(X309),IF(X309&gt;0,"+",IF(X309&lt;0,"−","0")),IF(ISNUMBER(W309),IF(W309&gt;0,"+",IF(W309&lt;0,"−","0")),"yok"))</f>
        <v>−</v>
      </c>
      <c r="AK309" s="10">
        <f>IF(AND(RIGHT(C309,2)&lt;&gt;"12",ISNUMBER(U309),ISNUMBER(V309)),U309-V309,"")</f>
        <v>-15.117999999999999</v>
      </c>
      <c r="AL309" s="11">
        <f>IF(AND(ISNUMBER(AK309),ISNUMBER(V309)),IF(V309&lt;&gt;0,AK309/ABS(V309),""),"")</f>
        <v>-3.2118121946037812</v>
      </c>
      <c r="AM309" s="8">
        <f>IF(ISNUMBER(AK309),IF(AK309&gt;1,1,0),"")</f>
        <v>0</v>
      </c>
      <c r="AN309" s="8">
        <f>IF(ISNUMBER(AK309),IF(AK309&gt;0.05*ABS(V309),1,0),"")</f>
        <v>0</v>
      </c>
      <c r="AO309" s="10">
        <v>-19.824999999999999</v>
      </c>
      <c r="AP309" s="10">
        <v>19.824999999999999</v>
      </c>
      <c r="AQ309" s="8" t="s">
        <v>209</v>
      </c>
      <c r="AR309" s="8">
        <v>0</v>
      </c>
      <c r="AS309" s="10">
        <v>-412.697</v>
      </c>
      <c r="AT309" s="10">
        <v>-432.52199999999999</v>
      </c>
      <c r="AU309" s="8" t="s">
        <v>209</v>
      </c>
      <c r="AV309" s="10">
        <v>79.028999999999996</v>
      </c>
      <c r="AW309" s="11">
        <f>IF(AND(ISNUMBER(AV309),ISNUMBER(AT309)),IF(AT309&lt;&gt;0,AV309/ABS(AT309),""),"")</f>
        <v>0.18271671729992925</v>
      </c>
      <c r="AX309" s="8">
        <v>0</v>
      </c>
      <c r="AY309" s="8">
        <v>0</v>
      </c>
      <c r="AZ309" s="10"/>
      <c r="BA309" s="8">
        <v>0</v>
      </c>
    </row>
    <row r="310" spans="1:53" x14ac:dyDescent="0.2">
      <c r="A310" s="8" t="s">
        <v>419</v>
      </c>
      <c r="B310" s="8" t="s">
        <v>83</v>
      </c>
      <c r="C310" s="8" t="s">
        <v>205</v>
      </c>
      <c r="D310" s="8">
        <v>1</v>
      </c>
      <c r="E310" s="8">
        <v>1</v>
      </c>
      <c r="F310" s="8">
        <f>SUM(G310:M310)</f>
        <v>2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1</v>
      </c>
      <c r="M310" s="8">
        <v>1</v>
      </c>
      <c r="N310" s="8">
        <v>0</v>
      </c>
      <c r="O310" s="8">
        <v>0</v>
      </c>
      <c r="P310" s="8">
        <v>1</v>
      </c>
      <c r="Q310" s="8">
        <v>0</v>
      </c>
      <c r="R310" s="8">
        <v>0</v>
      </c>
      <c r="S310" s="8">
        <v>0</v>
      </c>
      <c r="T310" s="10">
        <v>-73.741</v>
      </c>
      <c r="U310" s="10">
        <v>-19.824999999999999</v>
      </c>
      <c r="V310" s="10">
        <v>-87.486000000000004</v>
      </c>
      <c r="W310" s="10">
        <f>IF(RIGHT(C310,2)="12",IF(ISNUMBER(T310),T310,""),IF(COUNT(T310,U310,V310)=3,T310+U310-V310,""))</f>
        <v>-6.0799999999999983</v>
      </c>
      <c r="X310" s="10">
        <v>-6.08</v>
      </c>
      <c r="Y310" s="10">
        <v>79.028999999999996</v>
      </c>
      <c r="Z310" s="10">
        <v>-11.368</v>
      </c>
      <c r="AA310" s="10">
        <v>-40.241</v>
      </c>
      <c r="AB310" s="10">
        <v>-33.5</v>
      </c>
      <c r="AC310" s="8">
        <v>0</v>
      </c>
      <c r="AD310" s="8">
        <v>0</v>
      </c>
      <c r="AE310" s="8">
        <v>0</v>
      </c>
      <c r="AF310" s="10">
        <v>0</v>
      </c>
      <c r="AG310" s="8">
        <f>COUNTIF(Y310:AB310,"&gt;0")</f>
        <v>1</v>
      </c>
      <c r="AH310" s="10">
        <v>0</v>
      </c>
      <c r="AI310" s="10">
        <v>79.028999999999996</v>
      </c>
      <c r="AJ310" s="8" t="str">
        <f>IF(ISNUMBER(X310),IF(X310&gt;0,"+",IF(X310&lt;0,"−","0")),IF(ISNUMBER(W310),IF(W310&gt;0,"+",IF(W310&lt;0,"−","0")),"yok"))</f>
        <v>−</v>
      </c>
      <c r="AK310" s="10">
        <f>IF(AND(RIGHT(C310,2)&lt;&gt;"12",ISNUMBER(U310),ISNUMBER(V310)),U310-V310,"")</f>
        <v>67.661000000000001</v>
      </c>
      <c r="AL310" s="11">
        <f>IF(AND(ISNUMBER(AK310),ISNUMBER(V310)),IF(V310&lt;&gt;0,AK310/ABS(V310),""),"")</f>
        <v>0.77339231419884324</v>
      </c>
      <c r="AM310" s="8">
        <f>IF(ISNUMBER(AK310),IF(AK310&gt;1,1,0),"")</f>
        <v>1</v>
      </c>
      <c r="AN310" s="8">
        <f>IF(ISNUMBER(AK310),IF(AK310&gt;0.05*ABS(V310),1,0),"")</f>
        <v>1</v>
      </c>
      <c r="AO310" s="10">
        <v>-55.359000000000002</v>
      </c>
      <c r="AP310" s="10">
        <v>55.359000000000002</v>
      </c>
      <c r="AQ310" s="8" t="s">
        <v>209</v>
      </c>
      <c r="AR310" s="8">
        <v>0</v>
      </c>
      <c r="AS310" s="10">
        <v>-631.79499999999996</v>
      </c>
      <c r="AT310" s="10">
        <v>-687.154</v>
      </c>
      <c r="AU310" s="8" t="s">
        <v>209</v>
      </c>
      <c r="AV310" s="10">
        <v>67.661000000000001</v>
      </c>
      <c r="AW310" s="11">
        <f>IF(AND(ISNUMBER(AV310),ISNUMBER(AT310)),IF(AT310&lt;&gt;0,AV310/ABS(AT310),""),"")</f>
        <v>9.8465555028421581E-2</v>
      </c>
      <c r="AX310" s="8">
        <v>0</v>
      </c>
      <c r="AY310" s="8">
        <v>1</v>
      </c>
      <c r="AZ310" s="10"/>
      <c r="BA310" s="8">
        <v>0</v>
      </c>
    </row>
    <row r="311" spans="1:53" x14ac:dyDescent="0.2">
      <c r="A311" s="8" t="s">
        <v>420</v>
      </c>
      <c r="B311" s="8" t="s">
        <v>82</v>
      </c>
      <c r="C311" s="8" t="s">
        <v>203</v>
      </c>
      <c r="D311" s="8">
        <v>1</v>
      </c>
      <c r="E311" s="8">
        <v>1</v>
      </c>
      <c r="F311" s="8">
        <f>SUM(G311:M311)</f>
        <v>1</v>
      </c>
      <c r="G311" s="8">
        <v>1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1</v>
      </c>
      <c r="O311" s="8">
        <v>1</v>
      </c>
      <c r="P311" s="8">
        <v>1</v>
      </c>
      <c r="Q311" s="8">
        <v>0</v>
      </c>
      <c r="R311" s="8">
        <v>1</v>
      </c>
      <c r="S311" s="8">
        <v>0</v>
      </c>
      <c r="T311" s="10">
        <v>2.085</v>
      </c>
      <c r="U311" s="10">
        <v>1.377</v>
      </c>
      <c r="V311" s="10">
        <v>1.877</v>
      </c>
      <c r="W311" s="10">
        <f>IF(RIGHT(C311,2)="12",IF(ISNUMBER(T311),T311,""),IF(COUNT(T311,U311,V311)=3,T311+U311-V311,""))</f>
        <v>1.5849999999999997</v>
      </c>
      <c r="X311" s="10">
        <v>1.585</v>
      </c>
      <c r="Y311" s="10">
        <v>0</v>
      </c>
      <c r="Z311" s="10">
        <v>-5.6749999999999998</v>
      </c>
      <c r="AA311" s="10">
        <v>5.1749999999999998</v>
      </c>
      <c r="AB311" s="10">
        <v>2.085</v>
      </c>
      <c r="AC311" s="8">
        <v>1</v>
      </c>
      <c r="AD311" s="8">
        <v>1</v>
      </c>
      <c r="AE311" s="8">
        <v>1</v>
      </c>
      <c r="AF311" s="10">
        <v>2.085</v>
      </c>
      <c r="AG311" s="8">
        <f>COUNTIF(Y311:AB311,"&gt;0")</f>
        <v>2</v>
      </c>
      <c r="AH311" s="10">
        <v>0</v>
      </c>
      <c r="AI311" s="10">
        <v>5.1749999999999998</v>
      </c>
      <c r="AJ311" s="8" t="str">
        <f>IF(ISNUMBER(X311),IF(X311&gt;0,"+",IF(X311&lt;0,"−","0")),IF(ISNUMBER(W311),IF(W311&gt;0,"+",IF(W311&lt;0,"−","0")),"yok"))</f>
        <v>+</v>
      </c>
      <c r="AK311" s="10">
        <f>IF(AND(RIGHT(C311,2)&lt;&gt;"12",ISNUMBER(U311),ISNUMBER(V311)),U311-V311,"")</f>
        <v>-0.5</v>
      </c>
      <c r="AL311" s="11">
        <f>IF(AND(ISNUMBER(AK311),ISNUMBER(V311)),IF(V311&lt;&gt;0,AK311/ABS(V311),""),"")</f>
        <v>-0.26638252530633988</v>
      </c>
      <c r="AM311" s="8">
        <f>IF(ISNUMBER(AK311),IF(AK311&gt;1,1,0),"")</f>
        <v>0</v>
      </c>
      <c r="AN311" s="8">
        <f>IF(ISNUMBER(AK311),IF(AK311&gt;0.05*ABS(V311),1,0),"")</f>
        <v>0</v>
      </c>
      <c r="AO311" s="10">
        <v>1.5860000000000001</v>
      </c>
      <c r="AP311" s="10">
        <v>1.5860000000000001</v>
      </c>
      <c r="AQ311" s="8" t="s">
        <v>204</v>
      </c>
      <c r="AR311" s="8">
        <v>0</v>
      </c>
      <c r="AS311" s="10">
        <v>-34.883000000000003</v>
      </c>
      <c r="AT311" s="10"/>
      <c r="AU311" s="8" t="s">
        <v>207</v>
      </c>
      <c r="AV311" s="10">
        <v>2.085</v>
      </c>
      <c r="AW311" s="11" t="str">
        <f>IF(AND(ISNUMBER(AV311),ISNUMBER(AT311)),IF(AT311&lt;&gt;0,AV311/ABS(AT311),""),"")</f>
        <v/>
      </c>
      <c r="AX311" s="8">
        <v>1</v>
      </c>
      <c r="AY311" s="8">
        <v>0</v>
      </c>
      <c r="AZ311" s="8" t="s">
        <v>421</v>
      </c>
      <c r="BA311" s="8">
        <v>0</v>
      </c>
    </row>
    <row r="312" spans="1:53" x14ac:dyDescent="0.2">
      <c r="A312" s="8" t="s">
        <v>420</v>
      </c>
      <c r="B312" s="8" t="s">
        <v>82</v>
      </c>
      <c r="C312" s="8" t="s">
        <v>205</v>
      </c>
      <c r="D312" s="8">
        <v>1</v>
      </c>
      <c r="E312" s="8">
        <v>1</v>
      </c>
      <c r="F312" s="8">
        <f>SUM(G312:M312)</f>
        <v>1</v>
      </c>
      <c r="G312" s="8">
        <v>0</v>
      </c>
      <c r="H312" s="8">
        <v>0</v>
      </c>
      <c r="I312" s="8">
        <v>0</v>
      </c>
      <c r="J312" s="8">
        <v>1</v>
      </c>
      <c r="K312" s="8">
        <v>0</v>
      </c>
      <c r="L312" s="8">
        <v>0</v>
      </c>
      <c r="M312" s="8">
        <v>0</v>
      </c>
      <c r="N312" s="8">
        <v>0</v>
      </c>
      <c r="O312" s="8">
        <v>1</v>
      </c>
      <c r="P312" s="8">
        <v>1</v>
      </c>
      <c r="Q312" s="8">
        <v>0</v>
      </c>
      <c r="R312" s="8">
        <v>1</v>
      </c>
      <c r="S312" s="8">
        <v>0</v>
      </c>
      <c r="T312" s="10">
        <v>-2.331</v>
      </c>
      <c r="U312" s="10">
        <v>1.377</v>
      </c>
      <c r="V312" s="10">
        <v>1.877</v>
      </c>
      <c r="W312" s="10">
        <f>IF(RIGHT(C312,2)="12",IF(ISNUMBER(T312),T312,""),IF(COUNT(T312,U312,V312)=3,T312+U312-V312,""))</f>
        <v>-2.831</v>
      </c>
      <c r="X312" s="10">
        <v>-2.831</v>
      </c>
      <c r="Y312" s="10">
        <v>-5.6749999999999998</v>
      </c>
      <c r="Z312" s="10">
        <v>5.1749999999999998</v>
      </c>
      <c r="AA312" s="10">
        <v>2.085</v>
      </c>
      <c r="AB312" s="10">
        <v>-4.4169999999999998</v>
      </c>
      <c r="AC312" s="8">
        <v>0</v>
      </c>
      <c r="AD312" s="8">
        <v>1</v>
      </c>
      <c r="AE312" s="8">
        <v>1</v>
      </c>
      <c r="AF312" s="10">
        <v>1.877</v>
      </c>
      <c r="AG312" s="8">
        <f>COUNTIF(Y312:AB312,"&gt;0")</f>
        <v>2</v>
      </c>
      <c r="AH312" s="10">
        <v>0</v>
      </c>
      <c r="AI312" s="10">
        <v>5.1749999999999998</v>
      </c>
      <c r="AJ312" s="8" t="str">
        <f>IF(ISNUMBER(X312),IF(X312&gt;0,"+",IF(X312&lt;0,"−","0")),IF(ISNUMBER(W312),IF(W312&gt;0,"+",IF(W312&lt;0,"−","0")),"yok"))</f>
        <v>−</v>
      </c>
      <c r="AK312" s="10">
        <f>IF(AND(RIGHT(C312,2)&lt;&gt;"12",ISNUMBER(U312),ISNUMBER(V312)),U312-V312,"")</f>
        <v>-0.5</v>
      </c>
      <c r="AL312" s="11">
        <f>IF(AND(ISNUMBER(AK312),ISNUMBER(V312)),IF(V312&lt;&gt;0,AK312/ABS(V312),""),"")</f>
        <v>-0.26638252530633988</v>
      </c>
      <c r="AM312" s="8">
        <f>IF(ISNUMBER(AK312),IF(AK312&gt;1,1,0),"")</f>
        <v>0</v>
      </c>
      <c r="AN312" s="8">
        <f>IF(ISNUMBER(AK312),IF(AK312&gt;0.05*ABS(V312),1,0),"")</f>
        <v>0</v>
      </c>
      <c r="AO312" s="10">
        <v>-2.8319999999999999</v>
      </c>
      <c r="AP312" s="10">
        <v>2.8319999999999999</v>
      </c>
      <c r="AQ312" s="8" t="s">
        <v>204</v>
      </c>
      <c r="AR312" s="8">
        <v>0</v>
      </c>
      <c r="AS312" s="10">
        <v>59.05</v>
      </c>
      <c r="AT312" s="10"/>
      <c r="AU312" s="8" t="s">
        <v>207</v>
      </c>
      <c r="AV312" s="10">
        <v>1.877</v>
      </c>
      <c r="AW312" s="11" t="str">
        <f>IF(AND(ISNUMBER(AV312),ISNUMBER(AT312)),IF(AT312&lt;&gt;0,AV312/ABS(AT312),""),"")</f>
        <v/>
      </c>
      <c r="AX312" s="8">
        <v>1</v>
      </c>
      <c r="AY312" s="8">
        <v>0</v>
      </c>
      <c r="AZ312" s="8" t="s">
        <v>422</v>
      </c>
      <c r="BA312" s="8">
        <v>0</v>
      </c>
    </row>
    <row r="313" spans="1:53" x14ac:dyDescent="0.2">
      <c r="A313" s="8" t="s">
        <v>420</v>
      </c>
      <c r="B313" s="8" t="s">
        <v>82</v>
      </c>
      <c r="C313" s="8" t="s">
        <v>215</v>
      </c>
      <c r="D313" s="8">
        <v>1</v>
      </c>
      <c r="E313" s="8">
        <v>1</v>
      </c>
      <c r="F313" s="8">
        <f>SUM(G313:M313)</f>
        <v>2</v>
      </c>
      <c r="G313" s="8">
        <v>1</v>
      </c>
      <c r="H313" s="8">
        <v>1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1</v>
      </c>
      <c r="O313" s="8">
        <v>1</v>
      </c>
      <c r="P313" s="8">
        <v>1</v>
      </c>
      <c r="Q313" s="8">
        <v>1</v>
      </c>
      <c r="R313" s="8">
        <v>1</v>
      </c>
      <c r="S313" s="8">
        <v>0</v>
      </c>
      <c r="T313" s="10">
        <v>-1.653</v>
      </c>
      <c r="U313" s="10">
        <v>1.377</v>
      </c>
      <c r="V313" s="10">
        <v>-3.798</v>
      </c>
      <c r="W313" s="10">
        <f>IF(RIGHT(C313,2)="12",IF(ISNUMBER(T313),T313,""),IF(COUNT(T313,U313,V313)=3,T313+U313-V313,""))</f>
        <v>3.5220000000000002</v>
      </c>
      <c r="X313" s="10">
        <v>3.5219999999999998</v>
      </c>
      <c r="Y313" s="10">
        <v>5.1749999999999998</v>
      </c>
      <c r="Z313" s="10">
        <v>2.085</v>
      </c>
      <c r="AA313" s="10">
        <v>-4.4169999999999998</v>
      </c>
      <c r="AB313" s="10">
        <v>0.67800000000000005</v>
      </c>
      <c r="AC313" s="8">
        <v>0</v>
      </c>
      <c r="AD313" s="8">
        <v>1</v>
      </c>
      <c r="AE313" s="8">
        <v>0</v>
      </c>
      <c r="AF313" s="10">
        <v>1.377</v>
      </c>
      <c r="AG313" s="8">
        <f>COUNTIF(Y313:AB313,"&gt;0")</f>
        <v>3</v>
      </c>
      <c r="AH313" s="10">
        <v>0.67800000000000005</v>
      </c>
      <c r="AI313" s="10">
        <v>5.1749999999999998</v>
      </c>
      <c r="AJ313" s="8" t="str">
        <f>IF(ISNUMBER(X313),IF(X313&gt;0,"+",IF(X313&lt;0,"−","0")),IF(ISNUMBER(W313),IF(W313&gt;0,"+",IF(W313&lt;0,"−","0")),"yok"))</f>
        <v>+</v>
      </c>
      <c r="AK313" s="10">
        <f>IF(AND(RIGHT(C313,2)&lt;&gt;"12",ISNUMBER(U313),ISNUMBER(V313)),U313-V313,"")</f>
        <v>5.1749999999999998</v>
      </c>
      <c r="AL313" s="11">
        <f>IF(AND(ISNUMBER(AK313),ISNUMBER(V313)),IF(V313&lt;&gt;0,AK313/ABS(V313),""),"")</f>
        <v>1.3625592417061612</v>
      </c>
      <c r="AM313" s="8">
        <f>IF(ISNUMBER(AK313),IF(AK313&gt;1,1,0),"")</f>
        <v>1</v>
      </c>
      <c r="AN313" s="8">
        <f>IF(ISNUMBER(AK313),IF(AK313&gt;0.05*ABS(V313),1,0),"")</f>
        <v>1</v>
      </c>
      <c r="AO313" s="10">
        <v>3.5209999999999999</v>
      </c>
      <c r="AP313" s="10">
        <v>3.5209999999999999</v>
      </c>
      <c r="AQ313" s="8" t="s">
        <v>204</v>
      </c>
      <c r="AR313" s="8">
        <v>0</v>
      </c>
      <c r="AS313" s="10">
        <v>147.29599999999999</v>
      </c>
      <c r="AT313" s="10"/>
      <c r="AU313" s="8" t="s">
        <v>207</v>
      </c>
      <c r="AV313" s="10">
        <v>1.377</v>
      </c>
      <c r="AW313" s="11" t="str">
        <f>IF(AND(ISNUMBER(AV313),ISNUMBER(AT313)),IF(AT313&lt;&gt;0,AV313/ABS(AT313),""),"")</f>
        <v/>
      </c>
      <c r="AX313" s="8">
        <v>1</v>
      </c>
      <c r="AY313" s="8">
        <v>0</v>
      </c>
      <c r="AZ313" s="8" t="s">
        <v>423</v>
      </c>
      <c r="BA313" s="8">
        <v>0</v>
      </c>
    </row>
    <row r="314" spans="1:53" x14ac:dyDescent="0.2">
      <c r="A314" s="8" t="s">
        <v>420</v>
      </c>
      <c r="B314" s="8" t="s">
        <v>82</v>
      </c>
      <c r="C314" s="8" t="s">
        <v>208</v>
      </c>
      <c r="D314" s="8">
        <v>1</v>
      </c>
      <c r="E314" s="8">
        <v>1</v>
      </c>
      <c r="F314" s="8">
        <f>SUM(G314:M314)</f>
        <v>1</v>
      </c>
      <c r="G314" s="8">
        <v>0</v>
      </c>
      <c r="H314" s="8">
        <v>0</v>
      </c>
      <c r="I314" s="8">
        <v>0</v>
      </c>
      <c r="J314" s="8">
        <v>1</v>
      </c>
      <c r="K314" s="8">
        <v>0</v>
      </c>
      <c r="L314" s="8">
        <v>0</v>
      </c>
      <c r="M314" s="8">
        <v>0</v>
      </c>
      <c r="N314" s="8">
        <v>0</v>
      </c>
      <c r="O314" s="8">
        <v>1</v>
      </c>
      <c r="P314" s="8">
        <v>1</v>
      </c>
      <c r="Q314" s="8">
        <v>0</v>
      </c>
      <c r="R314" s="8">
        <v>0</v>
      </c>
      <c r="S314" s="8">
        <v>0</v>
      </c>
      <c r="T314" s="10">
        <v>4.0380000000000003</v>
      </c>
      <c r="U314" s="10">
        <v>-391.32299999999998</v>
      </c>
      <c r="V314" s="10">
        <v>2.085</v>
      </c>
      <c r="W314" s="10">
        <f>IF(RIGHT(C314,2)="12",IF(ISNUMBER(T314),T314,""),IF(COUNT(T314,U314,V314)=3,T314+U314-V314,""))</f>
        <v>-389.36999999999995</v>
      </c>
      <c r="X314" s="10">
        <v>-389.37</v>
      </c>
      <c r="Y314" s="10">
        <v>-4.4169999999999998</v>
      </c>
      <c r="Z314" s="10">
        <v>0.67800000000000005</v>
      </c>
      <c r="AA314" s="10">
        <v>-389.66899999999998</v>
      </c>
      <c r="AB314" s="10">
        <v>4.0380000000000003</v>
      </c>
      <c r="AC314" s="8">
        <v>1</v>
      </c>
      <c r="AD314" s="8">
        <v>0</v>
      </c>
      <c r="AE314" s="8">
        <v>1</v>
      </c>
      <c r="AF314" s="10">
        <v>4.0380000000000003</v>
      </c>
      <c r="AG314" s="8">
        <f>COUNTIF(Y314:AB314,"&gt;0")</f>
        <v>2</v>
      </c>
      <c r="AH314" s="10">
        <v>0</v>
      </c>
      <c r="AI314" s="10">
        <v>0.67800000000000005</v>
      </c>
      <c r="AJ314" s="8" t="str">
        <f>IF(ISNUMBER(X314),IF(X314&gt;0,"+",IF(X314&lt;0,"−","0")),IF(ISNUMBER(W314),IF(W314&gt;0,"+",IF(W314&lt;0,"−","0")),"yok"))</f>
        <v>−</v>
      </c>
      <c r="AK314" s="10">
        <f>IF(AND(RIGHT(C314,2)&lt;&gt;"12",ISNUMBER(U314),ISNUMBER(V314)),U314-V314,"")</f>
        <v>-393.40799999999996</v>
      </c>
      <c r="AL314" s="11">
        <f>IF(AND(ISNUMBER(AK314),ISNUMBER(V314)),IF(V314&lt;&gt;0,AK314/ABS(V314),""),"")</f>
        <v>-188.6848920863309</v>
      </c>
      <c r="AM314" s="8">
        <f>IF(ISNUMBER(AK314),IF(AK314&gt;1,1,0),"")</f>
        <v>0</v>
      </c>
      <c r="AN314" s="8">
        <f>IF(ISNUMBER(AK314),IF(AK314&gt;0.05*ABS(V314),1,0),"")</f>
        <v>0</v>
      </c>
      <c r="AO314" s="10">
        <v>-389.37099999999998</v>
      </c>
      <c r="AP314" s="10">
        <v>389.37099999999998</v>
      </c>
      <c r="AQ314" s="8" t="s">
        <v>204</v>
      </c>
      <c r="AR314" s="8">
        <v>0</v>
      </c>
      <c r="AS314" s="10">
        <v>-474.72500000000002</v>
      </c>
      <c r="AT314" s="10"/>
      <c r="AU314" s="8" t="s">
        <v>207</v>
      </c>
      <c r="AV314" s="10">
        <v>4.0380000000000003</v>
      </c>
      <c r="AW314" s="11" t="str">
        <f>IF(AND(ISNUMBER(AV314),ISNUMBER(AT314)),IF(AT314&lt;&gt;0,AV314/ABS(AT314),""),"")</f>
        <v/>
      </c>
      <c r="AX314" s="8">
        <v>1</v>
      </c>
      <c r="AY314" s="8">
        <v>0</v>
      </c>
      <c r="AZ314" s="8" t="s">
        <v>424</v>
      </c>
      <c r="BA314" s="8">
        <v>0</v>
      </c>
    </row>
    <row r="315" spans="1:53" x14ac:dyDescent="0.2">
      <c r="A315" s="8" t="s">
        <v>420</v>
      </c>
      <c r="B315" s="8" t="s">
        <v>83</v>
      </c>
      <c r="C315" s="8" t="s">
        <v>203</v>
      </c>
      <c r="D315" s="8">
        <v>1</v>
      </c>
      <c r="E315" s="8">
        <v>1</v>
      </c>
      <c r="F315" s="8">
        <f>SUM(G315:M315)</f>
        <v>1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1</v>
      </c>
      <c r="N315" s="8">
        <v>0</v>
      </c>
      <c r="O315" s="8">
        <v>0</v>
      </c>
      <c r="P315" s="8">
        <v>1</v>
      </c>
      <c r="Q315" s="8">
        <v>0</v>
      </c>
      <c r="R315" s="8">
        <v>0</v>
      </c>
      <c r="S315" s="8">
        <v>0</v>
      </c>
      <c r="T315" s="10"/>
      <c r="U315" s="10">
        <v>-177.08500000000001</v>
      </c>
      <c r="V315" s="10">
        <v>-16.678999999999998</v>
      </c>
      <c r="W315" s="10" t="str">
        <f>IF(RIGHT(C315,2)="12",IF(ISNUMBER(T315),T315,""),IF(COUNT(T315,U315,V315)=3,T315+U315-V315,""))</f>
        <v/>
      </c>
      <c r="X315" s="10"/>
      <c r="Y315" s="10">
        <v>0</v>
      </c>
      <c r="Z315" s="10">
        <v>14.422000000000001</v>
      </c>
      <c r="AA315" s="10">
        <v>-174.827</v>
      </c>
      <c r="AB315" s="10"/>
      <c r="AC315" s="8">
        <v>0</v>
      </c>
      <c r="AD315" s="8">
        <v>0</v>
      </c>
      <c r="AE315" s="8">
        <v>0</v>
      </c>
      <c r="AF315" s="10">
        <v>0</v>
      </c>
      <c r="AG315" s="8">
        <f>COUNTIF(Y315:AB315,"&gt;0")</f>
        <v>1</v>
      </c>
      <c r="AH315" s="10">
        <v>0</v>
      </c>
      <c r="AI315" s="10">
        <v>14.422000000000001</v>
      </c>
      <c r="AJ315" s="8" t="str">
        <f>IF(ISNUMBER(X315),IF(X315&gt;0,"+",IF(X315&lt;0,"−","0")),IF(ISNUMBER(W315),IF(W315&gt;0,"+",IF(W315&lt;0,"−","0")),"yok"))</f>
        <v>yok</v>
      </c>
      <c r="AK315" s="10">
        <f>IF(AND(RIGHT(C315,2)&lt;&gt;"12",ISNUMBER(U315),ISNUMBER(V315)),U315-V315,"")</f>
        <v>-160.40600000000001</v>
      </c>
      <c r="AL315" s="11">
        <f>IF(AND(ISNUMBER(AK315),ISNUMBER(V315)),IF(V315&lt;&gt;0,AK315/ABS(V315),""),"")</f>
        <v>-9.6172432400023986</v>
      </c>
      <c r="AM315" s="8">
        <f>IF(ISNUMBER(AK315),IF(AK315&gt;1,1,0),"")</f>
        <v>0</v>
      </c>
      <c r="AN315" s="8">
        <f>IF(ISNUMBER(AK315),IF(AK315&gt;0.05*ABS(V315),1,0),"")</f>
        <v>0</v>
      </c>
      <c r="AO315" s="10"/>
      <c r="AP315" s="10"/>
      <c r="AQ315" s="8" t="s">
        <v>207</v>
      </c>
      <c r="AR315" s="8">
        <v>0</v>
      </c>
      <c r="AS315" s="10">
        <v>-34.883000000000003</v>
      </c>
      <c r="AT315" s="10"/>
      <c r="AU315" s="8" t="s">
        <v>207</v>
      </c>
      <c r="AV315" s="10">
        <v>14.422000000000001</v>
      </c>
      <c r="AW315" s="11" t="str">
        <f>IF(AND(ISNUMBER(AV315),ISNUMBER(AT315)),IF(AT315&lt;&gt;0,AV315/ABS(AT315),""),"")</f>
        <v/>
      </c>
      <c r="AX315" s="8">
        <v>0</v>
      </c>
      <c r="AY315" s="8">
        <v>0</v>
      </c>
      <c r="AZ315" s="10"/>
      <c r="BA315" s="8">
        <v>0</v>
      </c>
    </row>
    <row r="316" spans="1:53" x14ac:dyDescent="0.2">
      <c r="A316" s="8" t="s">
        <v>420</v>
      </c>
      <c r="B316" s="8" t="s">
        <v>83</v>
      </c>
      <c r="C316" s="8" t="s">
        <v>205</v>
      </c>
      <c r="D316" s="8">
        <v>1</v>
      </c>
      <c r="E316" s="8">
        <v>1</v>
      </c>
      <c r="F316" s="8">
        <f>SUM(G316:M316)</f>
        <v>1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1</v>
      </c>
      <c r="N316" s="8">
        <v>0</v>
      </c>
      <c r="O316" s="8">
        <v>0</v>
      </c>
      <c r="P316" s="8">
        <v>1</v>
      </c>
      <c r="Q316" s="8">
        <v>0</v>
      </c>
      <c r="R316" s="8">
        <v>0</v>
      </c>
      <c r="S316" s="8">
        <v>0</v>
      </c>
      <c r="T316" s="10">
        <v>-96.525999999999996</v>
      </c>
      <c r="U316" s="10">
        <v>-177.08500000000001</v>
      </c>
      <c r="V316" s="10">
        <v>-16.678999999999998</v>
      </c>
      <c r="W316" s="10">
        <f>IF(RIGHT(C316,2)="12",IF(ISNUMBER(T316),T316,""),IF(COUNT(T316,U316,V316)=3,T316+U316-V316,""))</f>
        <v>-256.93200000000002</v>
      </c>
      <c r="X316" s="10">
        <v>-256.93200000000002</v>
      </c>
      <c r="Y316" s="10">
        <v>14.422000000000001</v>
      </c>
      <c r="Z316" s="10">
        <v>-174.827</v>
      </c>
      <c r="AA316" s="10"/>
      <c r="AB316" s="10"/>
      <c r="AC316" s="8">
        <v>0</v>
      </c>
      <c r="AD316" s="8">
        <v>0</v>
      </c>
      <c r="AE316" s="8">
        <v>0</v>
      </c>
      <c r="AF316" s="10">
        <v>0</v>
      </c>
      <c r="AG316" s="8">
        <f>COUNTIF(Y316:AB316,"&gt;0")</f>
        <v>1</v>
      </c>
      <c r="AH316" s="10">
        <v>0</v>
      </c>
      <c r="AI316" s="10">
        <v>14.422000000000001</v>
      </c>
      <c r="AJ316" s="8" t="str">
        <f>IF(ISNUMBER(X316),IF(X316&gt;0,"+",IF(X316&lt;0,"−","0")),IF(ISNUMBER(W316),IF(W316&gt;0,"+",IF(W316&lt;0,"−","0")),"yok"))</f>
        <v>−</v>
      </c>
      <c r="AK316" s="10">
        <f>IF(AND(RIGHT(C316,2)&lt;&gt;"12",ISNUMBER(U316),ISNUMBER(V316)),U316-V316,"")</f>
        <v>-160.40600000000001</v>
      </c>
      <c r="AL316" s="11">
        <f>IF(AND(ISNUMBER(AK316),ISNUMBER(V316)),IF(V316&lt;&gt;0,AK316/ABS(V316),""),"")</f>
        <v>-9.6172432400023986</v>
      </c>
      <c r="AM316" s="8">
        <f>IF(ISNUMBER(AK316),IF(AK316&gt;1,1,0),"")</f>
        <v>0</v>
      </c>
      <c r="AN316" s="8">
        <f>IF(ISNUMBER(AK316),IF(AK316&gt;0.05*ABS(V316),1,0),"")</f>
        <v>0</v>
      </c>
      <c r="AO316" s="10"/>
      <c r="AP316" s="10"/>
      <c r="AQ316" s="8" t="s">
        <v>207</v>
      </c>
      <c r="AR316" s="8">
        <v>0</v>
      </c>
      <c r="AS316" s="10">
        <v>59.05</v>
      </c>
      <c r="AT316" s="10"/>
      <c r="AU316" s="8" t="s">
        <v>207</v>
      </c>
      <c r="AV316" s="10">
        <v>14.422000000000001</v>
      </c>
      <c r="AW316" s="11" t="str">
        <f>IF(AND(ISNUMBER(AV316),ISNUMBER(AT316)),IF(AT316&lt;&gt;0,AV316/ABS(AT316),""),"")</f>
        <v/>
      </c>
      <c r="AX316" s="8">
        <v>0</v>
      </c>
      <c r="AY316" s="8">
        <v>0</v>
      </c>
      <c r="AZ316" s="10"/>
      <c r="BA316" s="8">
        <v>0</v>
      </c>
    </row>
    <row r="317" spans="1:53" x14ac:dyDescent="0.2">
      <c r="A317" s="8" t="s">
        <v>420</v>
      </c>
      <c r="B317" s="8" t="s">
        <v>83</v>
      </c>
      <c r="C317" s="8" t="s">
        <v>208</v>
      </c>
      <c r="D317" s="8">
        <v>1</v>
      </c>
      <c r="E317" s="8">
        <v>1</v>
      </c>
      <c r="F317" s="8">
        <f>SUM(G317:M317)</f>
        <v>1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1</v>
      </c>
      <c r="N317" s="8">
        <v>0</v>
      </c>
      <c r="O317" s="8">
        <v>1</v>
      </c>
      <c r="P317" s="8">
        <v>1</v>
      </c>
      <c r="Q317" s="8">
        <v>0</v>
      </c>
      <c r="R317" s="8">
        <v>0</v>
      </c>
      <c r="S317" s="8">
        <v>0</v>
      </c>
      <c r="T317" s="10"/>
      <c r="U317" s="10">
        <v>859.09100000000001</v>
      </c>
      <c r="V317" s="10"/>
      <c r="W317" s="10" t="str">
        <f>IF(RIGHT(C317,2)="12",IF(ISNUMBER(T317),T317,""),IF(COUNT(T317,U317,V317)=3,T317+U317-V317,""))</f>
        <v/>
      </c>
      <c r="X317" s="10"/>
      <c r="Y317" s="10"/>
      <c r="Z317" s="10">
        <v>96.525999999999996</v>
      </c>
      <c r="AA317" s="10">
        <v>859.09100000000001</v>
      </c>
      <c r="AB317" s="10"/>
      <c r="AC317" s="8">
        <v>0</v>
      </c>
      <c r="AD317" s="8">
        <v>1</v>
      </c>
      <c r="AE317" s="8">
        <v>0</v>
      </c>
      <c r="AF317" s="10">
        <v>859.09100000000001</v>
      </c>
      <c r="AG317" s="8">
        <f>COUNTIF(Y317:AB317,"&gt;0")</f>
        <v>2</v>
      </c>
      <c r="AH317" s="10">
        <v>0</v>
      </c>
      <c r="AI317" s="10">
        <v>955.61699999999996</v>
      </c>
      <c r="AJ317" s="8" t="str">
        <f>IF(ISNUMBER(X317),IF(X317&gt;0,"+",IF(X317&lt;0,"−","0")),IF(ISNUMBER(W317),IF(W317&gt;0,"+",IF(W317&lt;0,"−","0")),"yok"))</f>
        <v>yok</v>
      </c>
      <c r="AK317" s="10" t="str">
        <f>IF(AND(RIGHT(C317,2)&lt;&gt;"12",ISNUMBER(U317),ISNUMBER(V317)),U317-V317,"")</f>
        <v/>
      </c>
      <c r="AL317" s="11" t="str">
        <f>IF(AND(ISNUMBER(AK317),ISNUMBER(V317)),IF(V317&lt;&gt;0,AK317/ABS(V317),""),"")</f>
        <v/>
      </c>
      <c r="AM317" s="8" t="str">
        <f>IF(ISNUMBER(AK317),IF(AK317&gt;1,1,0),"")</f>
        <v/>
      </c>
      <c r="AN317" s="8" t="str">
        <f>IF(ISNUMBER(AK317),IF(AK317&gt;0.05*ABS(V317),1,0),"")</f>
        <v/>
      </c>
      <c r="AO317" s="10"/>
      <c r="AP317" s="10"/>
      <c r="AQ317" s="8" t="s">
        <v>207</v>
      </c>
      <c r="AR317" s="8">
        <v>0</v>
      </c>
      <c r="AS317" s="10">
        <v>-474.72500000000002</v>
      </c>
      <c r="AT317" s="10"/>
      <c r="AU317" s="8" t="s">
        <v>207</v>
      </c>
      <c r="AV317" s="10">
        <v>859.09100000000001</v>
      </c>
      <c r="AW317" s="11" t="str">
        <f>IF(AND(ISNUMBER(AV317),ISNUMBER(AT317)),IF(AT317&lt;&gt;0,AV317/ABS(AT317),""),"")</f>
        <v/>
      </c>
      <c r="AX317" s="8">
        <v>1</v>
      </c>
      <c r="AY317" s="8">
        <v>0</v>
      </c>
      <c r="AZ317" s="8" t="s">
        <v>425</v>
      </c>
      <c r="BA317" s="8">
        <v>0</v>
      </c>
    </row>
    <row r="318" spans="1:53" x14ac:dyDescent="0.2">
      <c r="A318" s="8" t="s">
        <v>420</v>
      </c>
      <c r="B318" s="8" t="s">
        <v>83</v>
      </c>
      <c r="C318" s="8" t="s">
        <v>210</v>
      </c>
      <c r="D318" s="8">
        <v>1</v>
      </c>
      <c r="E318" s="8">
        <v>1</v>
      </c>
      <c r="F318" s="8">
        <f>SUM(G318:M318)</f>
        <v>1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1</v>
      </c>
      <c r="N318" s="8">
        <v>0</v>
      </c>
      <c r="O318" s="8">
        <v>1</v>
      </c>
      <c r="P318" s="8">
        <v>1</v>
      </c>
      <c r="Q318" s="8">
        <v>0</v>
      </c>
      <c r="R318" s="8">
        <v>0</v>
      </c>
      <c r="S318" s="8">
        <v>0</v>
      </c>
      <c r="T318" s="10"/>
      <c r="U318" s="10">
        <v>859.09100000000001</v>
      </c>
      <c r="V318" s="10">
        <v>-96.525999999999996</v>
      </c>
      <c r="W318" s="10" t="str">
        <f>IF(RIGHT(C318,2)="12",IF(ISNUMBER(T318),T318,""),IF(COUNT(T318,U318,V318)=3,T318+U318-V318,""))</f>
        <v/>
      </c>
      <c r="X318" s="10"/>
      <c r="Y318" s="10">
        <v>96.525999999999996</v>
      </c>
      <c r="Z318" s="10">
        <v>859.09100000000001</v>
      </c>
      <c r="AA318" s="10"/>
      <c r="AB318" s="10"/>
      <c r="AC318" s="8">
        <v>0</v>
      </c>
      <c r="AD318" s="8">
        <v>1</v>
      </c>
      <c r="AE318" s="8">
        <v>0</v>
      </c>
      <c r="AF318" s="10">
        <v>859.09100000000001</v>
      </c>
      <c r="AG318" s="8">
        <f>COUNTIF(Y318:AB318,"&gt;0")</f>
        <v>2</v>
      </c>
      <c r="AH318" s="10">
        <v>0</v>
      </c>
      <c r="AI318" s="10">
        <v>955.61699999999996</v>
      </c>
      <c r="AJ318" s="8" t="str">
        <f>IF(ISNUMBER(X318),IF(X318&gt;0,"+",IF(X318&lt;0,"−","0")),IF(ISNUMBER(W318),IF(W318&gt;0,"+",IF(W318&lt;0,"−","0")),"yok"))</f>
        <v>yok</v>
      </c>
      <c r="AK318" s="10">
        <f>IF(AND(RIGHT(C318,2)&lt;&gt;"12",ISNUMBER(U318),ISNUMBER(V318)),U318-V318,"")</f>
        <v>955.61699999999996</v>
      </c>
      <c r="AL318" s="11">
        <f>IF(AND(ISNUMBER(AK318),ISNUMBER(V318)),IF(V318&lt;&gt;0,AK318/ABS(V318),""),"")</f>
        <v>9.9000994550690997</v>
      </c>
      <c r="AM318" s="8">
        <f>IF(ISNUMBER(AK318),IF(AK318&gt;1,1,0),"")</f>
        <v>1</v>
      </c>
      <c r="AN318" s="8">
        <f>IF(ISNUMBER(AK318),IF(AK318&gt;0.05*ABS(V318),1,0),"")</f>
        <v>1</v>
      </c>
      <c r="AO318" s="10"/>
      <c r="AP318" s="10"/>
      <c r="AQ318" s="8" t="s">
        <v>207</v>
      </c>
      <c r="AR318" s="8">
        <v>0</v>
      </c>
      <c r="AS318" s="10"/>
      <c r="AT318" s="10"/>
      <c r="AU318" s="8" t="s">
        <v>207</v>
      </c>
      <c r="AV318" s="10">
        <v>859.09100000000001</v>
      </c>
      <c r="AW318" s="11" t="str">
        <f>IF(AND(ISNUMBER(AV318),ISNUMBER(AT318)),IF(AT318&lt;&gt;0,AV318/ABS(AT318),""),"")</f>
        <v/>
      </c>
      <c r="AX318" s="8">
        <v>1</v>
      </c>
      <c r="AY318" s="8">
        <v>0</v>
      </c>
      <c r="AZ318" s="8" t="s">
        <v>425</v>
      </c>
      <c r="BA318" s="8">
        <v>0</v>
      </c>
    </row>
    <row r="319" spans="1:53" x14ac:dyDescent="0.2">
      <c r="A319" s="8" t="s">
        <v>426</v>
      </c>
      <c r="B319" s="8" t="s">
        <v>83</v>
      </c>
      <c r="C319" s="8" t="s">
        <v>208</v>
      </c>
      <c r="D319" s="8">
        <v>1</v>
      </c>
      <c r="E319" s="8">
        <v>1</v>
      </c>
      <c r="F319" s="8">
        <f>SUM(G319:M319)</f>
        <v>1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1</v>
      </c>
      <c r="N319" s="8">
        <v>0</v>
      </c>
      <c r="O319" s="8">
        <v>0</v>
      </c>
      <c r="P319" s="8">
        <v>1</v>
      </c>
      <c r="Q319" s="8">
        <v>0</v>
      </c>
      <c r="R319" s="8">
        <v>0</v>
      </c>
      <c r="S319" s="8">
        <v>0</v>
      </c>
      <c r="T319" s="10">
        <v>-1023.788</v>
      </c>
      <c r="U319" s="10">
        <v>-1804.2629999999999</v>
      </c>
      <c r="V319" s="10">
        <v>-150.73400000000001</v>
      </c>
      <c r="W319" s="10">
        <f>IF(RIGHT(C319,2)="12",IF(ISNUMBER(T319),T319,""),IF(COUNT(T319,U319,V319)=3,T319+U319-V319,""))</f>
        <v>-2677.317</v>
      </c>
      <c r="X319" s="10">
        <v>-2677.317</v>
      </c>
      <c r="Y319" s="10">
        <v>54.084000000000003</v>
      </c>
      <c r="Z319" s="10">
        <v>-83.358000000000004</v>
      </c>
      <c r="AA319" s="10">
        <v>-1624.2529999999999</v>
      </c>
      <c r="AB319" s="10">
        <v>-1023.788</v>
      </c>
      <c r="AC319" s="8">
        <v>0</v>
      </c>
      <c r="AD319" s="8">
        <v>0</v>
      </c>
      <c r="AE319" s="8">
        <v>0</v>
      </c>
      <c r="AF319" s="10">
        <v>0</v>
      </c>
      <c r="AG319" s="8">
        <f>COUNTIF(Y319:AB319,"&gt;0")</f>
        <v>1</v>
      </c>
      <c r="AH319" s="10">
        <v>0</v>
      </c>
      <c r="AI319" s="10">
        <v>54.084000000000003</v>
      </c>
      <c r="AJ319" s="8" t="str">
        <f>IF(ISNUMBER(X319),IF(X319&gt;0,"+",IF(X319&lt;0,"−","0")),IF(ISNUMBER(W319),IF(W319&gt;0,"+",IF(W319&lt;0,"−","0")),"yok"))</f>
        <v>−</v>
      </c>
      <c r="AK319" s="10">
        <f>IF(AND(RIGHT(C319,2)&lt;&gt;"12",ISNUMBER(U319),ISNUMBER(V319)),U319-V319,"")</f>
        <v>-1653.529</v>
      </c>
      <c r="AL319" s="11">
        <f>IF(AND(ISNUMBER(AK319),ISNUMBER(V319)),IF(V319&lt;&gt;0,AK319/ABS(V319),""),"")</f>
        <v>-10.969847546008198</v>
      </c>
      <c r="AM319" s="8">
        <f>IF(ISNUMBER(AK319),IF(AK319&gt;1,1,0),"")</f>
        <v>0</v>
      </c>
      <c r="AN319" s="8">
        <f>IF(ISNUMBER(AK319),IF(AK319&gt;0.05*ABS(V319),1,0),"")</f>
        <v>0</v>
      </c>
      <c r="AO319" s="10">
        <v>-2677.317</v>
      </c>
      <c r="AP319" s="10">
        <v>2677.317</v>
      </c>
      <c r="AQ319" s="8" t="s">
        <v>204</v>
      </c>
      <c r="AR319" s="8">
        <v>0</v>
      </c>
      <c r="AS319" s="10">
        <v>1228.616</v>
      </c>
      <c r="AT319" s="10">
        <v>-1448.701</v>
      </c>
      <c r="AU319" s="8" t="s">
        <v>204</v>
      </c>
      <c r="AV319" s="10">
        <v>54.084000000000003</v>
      </c>
      <c r="AW319" s="11">
        <f>IF(AND(ISNUMBER(AV319),ISNUMBER(AT319)),IF(AT319&lt;&gt;0,AV319/ABS(AT319),""),"")</f>
        <v>3.7332755344270489E-2</v>
      </c>
      <c r="AX319" s="8">
        <v>0</v>
      </c>
      <c r="AY319" s="8">
        <v>0</v>
      </c>
      <c r="AZ319" s="10"/>
      <c r="BA319" s="8">
        <v>0</v>
      </c>
    </row>
    <row r="320" spans="1:53" x14ac:dyDescent="0.2">
      <c r="A320" s="8" t="s">
        <v>427</v>
      </c>
      <c r="B320" s="8" t="s">
        <v>82</v>
      </c>
      <c r="C320" s="8" t="s">
        <v>290</v>
      </c>
      <c r="D320" s="8">
        <v>1</v>
      </c>
      <c r="E320" s="8">
        <v>1</v>
      </c>
      <c r="F320" s="8">
        <f>SUM(G320:M320)</f>
        <v>1</v>
      </c>
      <c r="G320" s="8">
        <v>1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1</v>
      </c>
      <c r="O320" s="8">
        <v>1</v>
      </c>
      <c r="P320" s="8">
        <v>1</v>
      </c>
      <c r="Q320" s="8">
        <v>0</v>
      </c>
      <c r="R320" s="8">
        <v>0</v>
      </c>
      <c r="S320" s="8">
        <v>1</v>
      </c>
      <c r="T320" s="10">
        <v>5.2030000000000003</v>
      </c>
      <c r="U320" s="10"/>
      <c r="V320" s="10"/>
      <c r="W320" s="10">
        <f>IF(RIGHT(C320,2)="12",IF(ISNUMBER(T320),T320,""),IF(COUNT(T320,U320,V320)=3,T320+U320-V320,""))</f>
        <v>5.2030000000000003</v>
      </c>
      <c r="X320" s="10">
        <v>5.2030000000000003</v>
      </c>
      <c r="Y320" s="10"/>
      <c r="Z320" s="10"/>
      <c r="AA320" s="10">
        <v>7.2629999999999999</v>
      </c>
      <c r="AB320" s="10">
        <v>4.8000000000000001E-2</v>
      </c>
      <c r="AC320" s="8">
        <v>1</v>
      </c>
      <c r="AD320" s="8">
        <v>0</v>
      </c>
      <c r="AE320" s="8">
        <v>0</v>
      </c>
      <c r="AF320" s="10">
        <v>5.2030000000000003</v>
      </c>
      <c r="AG320" s="8">
        <f>COUNTIF(Y320:AB320,"&gt;0")</f>
        <v>2</v>
      </c>
      <c r="AH320" s="10">
        <v>7.3109999999999999</v>
      </c>
      <c r="AI320" s="10">
        <v>0</v>
      </c>
      <c r="AJ320" s="8" t="str">
        <f>IF(ISNUMBER(X320),IF(X320&gt;0,"+",IF(X320&lt;0,"−","0")),IF(ISNUMBER(W320),IF(W320&gt;0,"+",IF(W320&lt;0,"−","0")),"yok"))</f>
        <v>+</v>
      </c>
      <c r="AK320" s="10" t="str">
        <f>IF(AND(RIGHT(C320,2)&lt;&gt;"12",ISNUMBER(U320),ISNUMBER(V320)),U320-V320,"")</f>
        <v/>
      </c>
      <c r="AL320" s="11" t="str">
        <f>IF(AND(ISNUMBER(AK320),ISNUMBER(V320)),IF(V320&lt;&gt;0,AK320/ABS(V320),""),"")</f>
        <v/>
      </c>
      <c r="AM320" s="8" t="str">
        <f>IF(ISNUMBER(AK320),IF(AK320&gt;1,1,0),"")</f>
        <v/>
      </c>
      <c r="AN320" s="8" t="str">
        <f>IF(ISNUMBER(AK320),IF(AK320&gt;0.05*ABS(V320),1,0),"")</f>
        <v/>
      </c>
      <c r="AO320" s="10">
        <v>5.2030000000000003</v>
      </c>
      <c r="AP320" s="10">
        <v>0</v>
      </c>
      <c r="AQ320" s="8" t="s">
        <v>209</v>
      </c>
      <c r="AR320" s="8">
        <v>1</v>
      </c>
      <c r="AS320" s="10">
        <v>71.840999999999994</v>
      </c>
      <c r="AT320" s="10">
        <v>-73.254999999999995</v>
      </c>
      <c r="AU320" s="8" t="s">
        <v>209</v>
      </c>
      <c r="AV320" s="10">
        <v>5.2030000000000003</v>
      </c>
      <c r="AW320" s="11">
        <f>IF(AND(ISNUMBER(AV320),ISNUMBER(AT320)),IF(AT320&lt;&gt;0,AV320/ABS(AT320),""),"")</f>
        <v>7.1025868541396503E-2</v>
      </c>
      <c r="AX320" s="8">
        <v>1</v>
      </c>
      <c r="AY320" s="8">
        <v>0</v>
      </c>
      <c r="AZ320" s="8" t="s">
        <v>428</v>
      </c>
      <c r="BA320" s="8">
        <v>0</v>
      </c>
    </row>
    <row r="321" spans="1:53" x14ac:dyDescent="0.2">
      <c r="A321" s="8" t="s">
        <v>427</v>
      </c>
      <c r="B321" s="8" t="s">
        <v>82</v>
      </c>
      <c r="C321" s="8" t="s">
        <v>210</v>
      </c>
      <c r="D321" s="8">
        <v>1</v>
      </c>
      <c r="E321" s="8">
        <v>1</v>
      </c>
      <c r="F321" s="8">
        <f>SUM(G321:M321)</f>
        <v>1</v>
      </c>
      <c r="G321" s="8">
        <v>1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1</v>
      </c>
      <c r="O321" s="8">
        <v>1</v>
      </c>
      <c r="P321" s="8">
        <v>1</v>
      </c>
      <c r="Q321" s="8">
        <v>1</v>
      </c>
      <c r="R321" s="8">
        <v>1</v>
      </c>
      <c r="S321" s="8">
        <v>0</v>
      </c>
      <c r="T321" s="10">
        <v>-3.5529999999999999</v>
      </c>
      <c r="U321" s="10">
        <v>5.2030000000000003</v>
      </c>
      <c r="V321" s="10">
        <v>-2.1080000000000001</v>
      </c>
      <c r="W321" s="10">
        <f>IF(RIGHT(C321,2)="12",IF(ISNUMBER(T321),T321,""),IF(COUNT(T321,U321,V321)=3,T321+U321-V321,""))</f>
        <v>3.7580000000000005</v>
      </c>
      <c r="X321" s="10">
        <v>3.7570000000000001</v>
      </c>
      <c r="Y321" s="10">
        <v>7.2629999999999999</v>
      </c>
      <c r="Z321" s="10">
        <v>4.8000000000000001E-2</v>
      </c>
      <c r="AA321" s="10"/>
      <c r="AB321" s="10"/>
      <c r="AC321" s="8">
        <v>0</v>
      </c>
      <c r="AD321" s="8">
        <v>1</v>
      </c>
      <c r="AE321" s="8">
        <v>0</v>
      </c>
      <c r="AF321" s="10">
        <v>5.2030000000000003</v>
      </c>
      <c r="AG321" s="8">
        <f>COUNTIF(Y321:AB321,"&gt;0")</f>
        <v>2</v>
      </c>
      <c r="AH321" s="10">
        <v>0</v>
      </c>
      <c r="AI321" s="10">
        <v>7.3109999999999999</v>
      </c>
      <c r="AJ321" s="8" t="str">
        <f>IF(ISNUMBER(X321),IF(X321&gt;0,"+",IF(X321&lt;0,"−","0")),IF(ISNUMBER(W321),IF(W321&gt;0,"+",IF(W321&lt;0,"−","0")),"yok"))</f>
        <v>+</v>
      </c>
      <c r="AK321" s="10">
        <f>IF(AND(RIGHT(C321,2)&lt;&gt;"12",ISNUMBER(U321),ISNUMBER(V321)),U321-V321,"")</f>
        <v>7.3109999999999999</v>
      </c>
      <c r="AL321" s="11">
        <f>IF(AND(ISNUMBER(AK321),ISNUMBER(V321)),IF(V321&lt;&gt;0,AK321/ABS(V321),""),"")</f>
        <v>3.4682163187855783</v>
      </c>
      <c r="AM321" s="8">
        <f>IF(ISNUMBER(AK321),IF(AK321&gt;1,1,0),"")</f>
        <v>1</v>
      </c>
      <c r="AN321" s="8">
        <f>IF(ISNUMBER(AK321),IF(AK321&gt;0.05*ABS(V321),1,0),"")</f>
        <v>1</v>
      </c>
      <c r="AO321" s="10">
        <v>3.7570000000000001</v>
      </c>
      <c r="AP321" s="10">
        <v>0</v>
      </c>
      <c r="AQ321" s="8" t="s">
        <v>209</v>
      </c>
      <c r="AR321" s="8">
        <v>1</v>
      </c>
      <c r="AS321" s="10">
        <v>-278.16399999999999</v>
      </c>
      <c r="AT321" s="10">
        <v>-478.177323</v>
      </c>
      <c r="AU321" s="8" t="s">
        <v>209</v>
      </c>
      <c r="AV321" s="10">
        <v>5.2030000000000003</v>
      </c>
      <c r="AW321" s="11">
        <f>IF(AND(ISNUMBER(AV321),ISNUMBER(AT321)),IF(AT321&lt;&gt;0,AV321/ABS(AT321),""),"")</f>
        <v>1.0880900765760489E-2</v>
      </c>
      <c r="AX321" s="8">
        <v>1</v>
      </c>
      <c r="AY321" s="8">
        <v>0</v>
      </c>
      <c r="AZ321" s="8" t="s">
        <v>429</v>
      </c>
      <c r="BA321" s="8">
        <v>0</v>
      </c>
    </row>
    <row r="322" spans="1:53" x14ac:dyDescent="0.2">
      <c r="A322" s="8" t="s">
        <v>427</v>
      </c>
      <c r="B322" s="8" t="s">
        <v>83</v>
      </c>
      <c r="C322" s="8" t="s">
        <v>203</v>
      </c>
      <c r="D322" s="8">
        <v>1</v>
      </c>
      <c r="E322" s="8">
        <v>1</v>
      </c>
      <c r="F322" s="8">
        <f>SUM(G322:M322)</f>
        <v>1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1</v>
      </c>
      <c r="N322" s="8">
        <v>0</v>
      </c>
      <c r="O322" s="8">
        <v>0</v>
      </c>
      <c r="P322" s="8">
        <v>1</v>
      </c>
      <c r="Q322" s="8">
        <v>0</v>
      </c>
      <c r="R322" s="8">
        <v>0</v>
      </c>
      <c r="S322" s="8">
        <v>0</v>
      </c>
      <c r="T322" s="10">
        <v>-91.86</v>
      </c>
      <c r="U322" s="10">
        <v>-142.62200000000001</v>
      </c>
      <c r="V322" s="10">
        <v>-58.039000000000001</v>
      </c>
      <c r="W322" s="10">
        <f>IF(RIGHT(C322,2)="12",IF(ISNUMBER(T322),T322,""),IF(COUNT(T322,U322,V322)=3,T322+U322-V322,""))</f>
        <v>-176.44300000000004</v>
      </c>
      <c r="X322" s="10">
        <v>-176.44300000000001</v>
      </c>
      <c r="Y322" s="10">
        <v>-27.600999999999999</v>
      </c>
      <c r="Z322" s="10">
        <v>-78.429000000000002</v>
      </c>
      <c r="AA322" s="10">
        <v>21.446999999999999</v>
      </c>
      <c r="AB322" s="10">
        <v>-91.86</v>
      </c>
      <c r="AC322" s="8">
        <v>0</v>
      </c>
      <c r="AD322" s="8">
        <v>0</v>
      </c>
      <c r="AE322" s="8">
        <v>0</v>
      </c>
      <c r="AF322" s="10">
        <v>0</v>
      </c>
      <c r="AG322" s="8">
        <f>COUNTIF(Y322:AB322,"&gt;0")</f>
        <v>1</v>
      </c>
      <c r="AH322" s="10">
        <v>0</v>
      </c>
      <c r="AI322" s="10">
        <v>21.446999999999999</v>
      </c>
      <c r="AJ322" s="8" t="str">
        <f>IF(ISNUMBER(X322),IF(X322&gt;0,"+",IF(X322&lt;0,"−","0")),IF(ISNUMBER(W322),IF(W322&gt;0,"+",IF(W322&lt;0,"−","0")),"yok"))</f>
        <v>−</v>
      </c>
      <c r="AK322" s="10">
        <f>IF(AND(RIGHT(C322,2)&lt;&gt;"12",ISNUMBER(U322),ISNUMBER(V322)),U322-V322,"")</f>
        <v>-84.583000000000013</v>
      </c>
      <c r="AL322" s="11">
        <f>IF(AND(ISNUMBER(AK322),ISNUMBER(V322)),IF(V322&lt;&gt;0,AK322/ABS(V322),""),"")</f>
        <v>-1.4573476455486829</v>
      </c>
      <c r="AM322" s="8">
        <f>IF(ISNUMBER(AK322),IF(AK322&gt;1,1,0),"")</f>
        <v>0</v>
      </c>
      <c r="AN322" s="8">
        <f>IF(ISNUMBER(AK322),IF(AK322&gt;0.05*ABS(V322),1,0),"")</f>
        <v>0</v>
      </c>
      <c r="AO322" s="10">
        <v>-176.44300000000001</v>
      </c>
      <c r="AP322" s="10">
        <v>176.44300000000001</v>
      </c>
      <c r="AQ322" s="8" t="s">
        <v>204</v>
      </c>
      <c r="AR322" s="8">
        <v>0</v>
      </c>
      <c r="AS322" s="10">
        <v>804.47199999999998</v>
      </c>
      <c r="AT322" s="10">
        <v>621.04017499999998</v>
      </c>
      <c r="AU322" s="8" t="s">
        <v>209</v>
      </c>
      <c r="AV322" s="10">
        <v>21.446999999999999</v>
      </c>
      <c r="AW322" s="11">
        <f>IF(AND(ISNUMBER(AV322),ISNUMBER(AT322)),IF(AT322&lt;&gt;0,AV322/ABS(AT322),""),"")</f>
        <v>3.4533997740162303E-2</v>
      </c>
      <c r="AX322" s="8">
        <v>0</v>
      </c>
      <c r="AY322" s="8">
        <v>0</v>
      </c>
      <c r="AZ322" s="10"/>
      <c r="BA322" s="8">
        <v>0</v>
      </c>
    </row>
    <row r="323" spans="1:53" x14ac:dyDescent="0.2">
      <c r="A323" s="8" t="s">
        <v>427</v>
      </c>
      <c r="B323" s="8" t="s">
        <v>83</v>
      </c>
      <c r="C323" s="8" t="s">
        <v>205</v>
      </c>
      <c r="D323" s="8">
        <v>1</v>
      </c>
      <c r="E323" s="8">
        <v>1</v>
      </c>
      <c r="F323" s="8">
        <f>SUM(G323:M323)</f>
        <v>1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1</v>
      </c>
      <c r="N323" s="8">
        <v>0</v>
      </c>
      <c r="O323" s="8">
        <v>0</v>
      </c>
      <c r="P323" s="8">
        <v>1</v>
      </c>
      <c r="Q323" s="8">
        <v>0</v>
      </c>
      <c r="R323" s="8">
        <v>0</v>
      </c>
      <c r="S323" s="8">
        <v>0</v>
      </c>
      <c r="T323" s="10">
        <v>-164.75399999999999</v>
      </c>
      <c r="U323" s="10">
        <v>-142.62200000000001</v>
      </c>
      <c r="V323" s="10">
        <v>-85.64</v>
      </c>
      <c r="W323" s="10">
        <f>IF(RIGHT(C323,2)="12",IF(ISNUMBER(T323),T323,""),IF(COUNT(T323,U323,V323)=3,T323+U323-V323,""))</f>
        <v>-221.73599999999999</v>
      </c>
      <c r="X323" s="10">
        <v>-221.73599999999999</v>
      </c>
      <c r="Y323" s="10">
        <v>-78.429000000000002</v>
      </c>
      <c r="Z323" s="10">
        <v>21.446999999999999</v>
      </c>
      <c r="AA323" s="10">
        <v>-91.86</v>
      </c>
      <c r="AB323" s="10">
        <v>-72.894000000000005</v>
      </c>
      <c r="AC323" s="8">
        <v>0</v>
      </c>
      <c r="AD323" s="8">
        <v>0</v>
      </c>
      <c r="AE323" s="8">
        <v>0</v>
      </c>
      <c r="AF323" s="10">
        <v>0</v>
      </c>
      <c r="AG323" s="8">
        <f>COUNTIF(Y323:AB323,"&gt;0")</f>
        <v>1</v>
      </c>
      <c r="AH323" s="10">
        <v>0</v>
      </c>
      <c r="AI323" s="10">
        <v>21.446999999999999</v>
      </c>
      <c r="AJ323" s="8" t="str">
        <f>IF(ISNUMBER(X323),IF(X323&gt;0,"+",IF(X323&lt;0,"−","0")),IF(ISNUMBER(W323),IF(W323&gt;0,"+",IF(W323&lt;0,"−","0")),"yok"))</f>
        <v>−</v>
      </c>
      <c r="AK323" s="10">
        <f>IF(AND(RIGHT(C323,2)&lt;&gt;"12",ISNUMBER(U323),ISNUMBER(V323)),U323-V323,"")</f>
        <v>-56.982000000000014</v>
      </c>
      <c r="AL323" s="11">
        <f>IF(AND(ISNUMBER(AK323),ISNUMBER(V323)),IF(V323&lt;&gt;0,AK323/ABS(V323),""),"")</f>
        <v>-0.66536665109761806</v>
      </c>
      <c r="AM323" s="8">
        <f>IF(ISNUMBER(AK323),IF(AK323&gt;1,1,0),"")</f>
        <v>0</v>
      </c>
      <c r="AN323" s="8">
        <f>IF(ISNUMBER(AK323),IF(AK323&gt;0.05*ABS(V323),1,0),"")</f>
        <v>0</v>
      </c>
      <c r="AO323" s="10">
        <v>-221.73699999999999</v>
      </c>
      <c r="AP323" s="10">
        <v>221.73699999999999</v>
      </c>
      <c r="AQ323" s="8" t="s">
        <v>204</v>
      </c>
      <c r="AR323" s="8">
        <v>0</v>
      </c>
      <c r="AS323" s="10">
        <v>457.959</v>
      </c>
      <c r="AT323" s="10">
        <v>228.946</v>
      </c>
      <c r="AU323" s="8" t="s">
        <v>209</v>
      </c>
      <c r="AV323" s="10">
        <v>21.446999999999999</v>
      </c>
      <c r="AW323" s="11">
        <f>IF(AND(ISNUMBER(AV323),ISNUMBER(AT323)),IF(AT323&lt;&gt;0,AV323/ABS(AT323),""),"")</f>
        <v>9.3677111633310911E-2</v>
      </c>
      <c r="AX323" s="8">
        <v>0</v>
      </c>
      <c r="AY323" s="8">
        <v>0</v>
      </c>
      <c r="AZ323" s="10"/>
      <c r="BA323" s="8">
        <v>0</v>
      </c>
    </row>
    <row r="324" spans="1:53" x14ac:dyDescent="0.2">
      <c r="A324" s="8" t="s">
        <v>427</v>
      </c>
      <c r="B324" s="8" t="s">
        <v>83</v>
      </c>
      <c r="C324" s="8" t="s">
        <v>215</v>
      </c>
      <c r="D324" s="8">
        <v>1</v>
      </c>
      <c r="E324" s="8">
        <v>1</v>
      </c>
      <c r="F324" s="8">
        <f>SUM(G324:M324)</f>
        <v>2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1</v>
      </c>
      <c r="M324" s="8">
        <v>1</v>
      </c>
      <c r="N324" s="8">
        <v>0</v>
      </c>
      <c r="O324" s="8">
        <v>0</v>
      </c>
      <c r="P324" s="8">
        <v>1</v>
      </c>
      <c r="Q324" s="8">
        <v>0</v>
      </c>
      <c r="R324" s="8">
        <v>0</v>
      </c>
      <c r="S324" s="8">
        <v>0</v>
      </c>
      <c r="T324" s="10">
        <v>-278.12200000000001</v>
      </c>
      <c r="U324" s="10">
        <v>-142.62200000000001</v>
      </c>
      <c r="V324" s="10">
        <v>-164.07</v>
      </c>
      <c r="W324" s="10">
        <f>IF(RIGHT(C324,2)="12",IF(ISNUMBER(T324),T324,""),IF(COUNT(T324,U324,V324)=3,T324+U324-V324,""))</f>
        <v>-256.67400000000004</v>
      </c>
      <c r="X324" s="10">
        <v>-256.67399999999998</v>
      </c>
      <c r="Y324" s="10">
        <v>21.446999999999999</v>
      </c>
      <c r="Z324" s="10">
        <v>-91.86</v>
      </c>
      <c r="AA324" s="10">
        <v>-72.894000000000005</v>
      </c>
      <c r="AB324" s="10">
        <v>-113.367</v>
      </c>
      <c r="AC324" s="8">
        <v>0</v>
      </c>
      <c r="AD324" s="8">
        <v>0</v>
      </c>
      <c r="AE324" s="8">
        <v>0</v>
      </c>
      <c r="AF324" s="10">
        <v>0</v>
      </c>
      <c r="AG324" s="8">
        <f>COUNTIF(Y324:AB324,"&gt;0")</f>
        <v>1</v>
      </c>
      <c r="AH324" s="10">
        <v>0</v>
      </c>
      <c r="AI324" s="10">
        <v>21.446999999999999</v>
      </c>
      <c r="AJ324" s="8" t="str">
        <f>IF(ISNUMBER(X324),IF(X324&gt;0,"+",IF(X324&lt;0,"−","0")),IF(ISNUMBER(W324),IF(W324&gt;0,"+",IF(W324&lt;0,"−","0")),"yok"))</f>
        <v>−</v>
      </c>
      <c r="AK324" s="10">
        <f>IF(AND(RIGHT(C324,2)&lt;&gt;"12",ISNUMBER(U324),ISNUMBER(V324)),U324-V324,"")</f>
        <v>21.447999999999979</v>
      </c>
      <c r="AL324" s="11">
        <f>IF(AND(ISNUMBER(AK324),ISNUMBER(V324)),IF(V324&lt;&gt;0,AK324/ABS(V324),""),"")</f>
        <v>0.13072469068080686</v>
      </c>
      <c r="AM324" s="8">
        <f>IF(ISNUMBER(AK324),IF(AK324&gt;1,1,0),"")</f>
        <v>1</v>
      </c>
      <c r="AN324" s="8">
        <f>IF(ISNUMBER(AK324),IF(AK324&gt;0.05*ABS(V324),1,0),"")</f>
        <v>1</v>
      </c>
      <c r="AO324" s="10">
        <v>-256.67399999999998</v>
      </c>
      <c r="AP324" s="10">
        <v>256.67399999999998</v>
      </c>
      <c r="AQ324" s="8" t="s">
        <v>204</v>
      </c>
      <c r="AR324" s="8">
        <v>0</v>
      </c>
      <c r="AS324" s="10">
        <v>201.47300000000001</v>
      </c>
      <c r="AT324" s="10"/>
      <c r="AU324" s="8" t="s">
        <v>207</v>
      </c>
      <c r="AV324" s="10">
        <v>21.448</v>
      </c>
      <c r="AW324" s="11" t="str">
        <f>IF(AND(ISNUMBER(AV324),ISNUMBER(AT324)),IF(AT324&lt;&gt;0,AV324/ABS(AT324),""),"")</f>
        <v/>
      </c>
      <c r="AX324" s="8">
        <v>0</v>
      </c>
      <c r="AY324" s="8">
        <v>1</v>
      </c>
      <c r="AZ324" s="10"/>
      <c r="BA324" s="8">
        <v>0</v>
      </c>
    </row>
    <row r="325" spans="1:53" x14ac:dyDescent="0.2">
      <c r="A325" s="8" t="s">
        <v>427</v>
      </c>
      <c r="B325" s="8" t="s">
        <v>83</v>
      </c>
      <c r="C325" s="8" t="s">
        <v>208</v>
      </c>
      <c r="D325" s="8">
        <v>1</v>
      </c>
      <c r="E325" s="8">
        <v>1</v>
      </c>
      <c r="F325" s="8">
        <f>SUM(G325:M325)</f>
        <v>1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1</v>
      </c>
      <c r="N325" s="8">
        <v>0</v>
      </c>
      <c r="O325" s="8">
        <v>0</v>
      </c>
      <c r="P325" s="8">
        <v>1</v>
      </c>
      <c r="Q325" s="8">
        <v>0</v>
      </c>
      <c r="R325" s="8">
        <v>0</v>
      </c>
      <c r="S325" s="8">
        <v>0</v>
      </c>
      <c r="T325" s="10">
        <v>-97.866</v>
      </c>
      <c r="U325" s="10">
        <v>-145.095</v>
      </c>
      <c r="V325" s="10">
        <v>-91.86</v>
      </c>
      <c r="W325" s="10">
        <f>IF(RIGHT(C325,2)="12",IF(ISNUMBER(T325),T325,""),IF(COUNT(T325,U325,V325)=3,T325+U325-V325,""))</f>
        <v>-151.101</v>
      </c>
      <c r="X325" s="10">
        <v>-151.101</v>
      </c>
      <c r="Y325" s="10">
        <v>-72.894000000000005</v>
      </c>
      <c r="Z325" s="10">
        <v>-113.367</v>
      </c>
      <c r="AA325" s="10">
        <v>133.02600000000001</v>
      </c>
      <c r="AB325" s="10">
        <v>-97.866</v>
      </c>
      <c r="AC325" s="8">
        <v>0</v>
      </c>
      <c r="AD325" s="8">
        <v>0</v>
      </c>
      <c r="AE325" s="8">
        <v>0</v>
      </c>
      <c r="AF325" s="10">
        <v>0</v>
      </c>
      <c r="AG325" s="8">
        <f>COUNTIF(Y325:AB325,"&gt;0")</f>
        <v>1</v>
      </c>
      <c r="AH325" s="10">
        <v>0</v>
      </c>
      <c r="AI325" s="10">
        <v>133.02600000000001</v>
      </c>
      <c r="AJ325" s="8" t="str">
        <f>IF(ISNUMBER(X325),IF(X325&gt;0,"+",IF(X325&lt;0,"−","0")),IF(ISNUMBER(W325),IF(W325&gt;0,"+",IF(W325&lt;0,"−","0")),"yok"))</f>
        <v>−</v>
      </c>
      <c r="AK325" s="10">
        <f>IF(AND(RIGHT(C325,2)&lt;&gt;"12",ISNUMBER(U325),ISNUMBER(V325)),U325-V325,"")</f>
        <v>-53.234999999999999</v>
      </c>
      <c r="AL325" s="11">
        <f>IF(AND(ISNUMBER(AK325),ISNUMBER(V325)),IF(V325&lt;&gt;0,AK325/ABS(V325),""),"")</f>
        <v>-0.57952318745917697</v>
      </c>
      <c r="AM325" s="8">
        <f>IF(ISNUMBER(AK325),IF(AK325&gt;1,1,0),"")</f>
        <v>0</v>
      </c>
      <c r="AN325" s="8">
        <f>IF(ISNUMBER(AK325),IF(AK325&gt;0.05*ABS(V325),1,0),"")</f>
        <v>0</v>
      </c>
      <c r="AO325" s="10">
        <v>-151.102</v>
      </c>
      <c r="AP325" s="10">
        <v>151.102</v>
      </c>
      <c r="AQ325" s="8" t="s">
        <v>204</v>
      </c>
      <c r="AR325" s="8">
        <v>0</v>
      </c>
      <c r="AS325" s="10">
        <v>-351.14699999999999</v>
      </c>
      <c r="AT325" s="10"/>
      <c r="AU325" s="8" t="s">
        <v>207</v>
      </c>
      <c r="AV325" s="10">
        <v>133.02600000000001</v>
      </c>
      <c r="AW325" s="11" t="str">
        <f>IF(AND(ISNUMBER(AV325),ISNUMBER(AT325)),IF(AT325&lt;&gt;0,AV325/ABS(AT325),""),"")</f>
        <v/>
      </c>
      <c r="AX325" s="8">
        <v>0</v>
      </c>
      <c r="AY325" s="8">
        <v>0</v>
      </c>
      <c r="AZ325" s="10"/>
      <c r="BA325" s="8">
        <v>0</v>
      </c>
    </row>
    <row r="326" spans="1:53" x14ac:dyDescent="0.2">
      <c r="A326" s="8" t="s">
        <v>427</v>
      </c>
      <c r="B326" s="8" t="s">
        <v>83</v>
      </c>
      <c r="C326" s="8" t="s">
        <v>210</v>
      </c>
      <c r="D326" s="8">
        <v>1</v>
      </c>
      <c r="E326" s="8">
        <v>1</v>
      </c>
      <c r="F326" s="8">
        <f>SUM(G326:M326)</f>
        <v>2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1</v>
      </c>
      <c r="M326" s="8">
        <v>1</v>
      </c>
      <c r="N326" s="8">
        <v>0</v>
      </c>
      <c r="O326" s="8">
        <v>0</v>
      </c>
      <c r="P326" s="8">
        <v>1</v>
      </c>
      <c r="Q326" s="8">
        <v>0</v>
      </c>
      <c r="R326" s="8">
        <v>0</v>
      </c>
      <c r="S326" s="8">
        <v>0</v>
      </c>
      <c r="T326" s="10">
        <v>-203.61600000000001</v>
      </c>
      <c r="U326" s="10">
        <v>-145.095</v>
      </c>
      <c r="V326" s="10">
        <v>-164.75399999999999</v>
      </c>
      <c r="W326" s="10">
        <f>IF(RIGHT(C326,2)="12",IF(ISNUMBER(T326),T326,""),IF(COUNT(T326,U326,V326)=3,T326+U326-V326,""))</f>
        <v>-183.95700000000002</v>
      </c>
      <c r="X326" s="10">
        <v>-183.958</v>
      </c>
      <c r="Y326" s="10">
        <v>-113.367</v>
      </c>
      <c r="Z326" s="10">
        <v>133.02600000000001</v>
      </c>
      <c r="AA326" s="10">
        <v>-97.866</v>
      </c>
      <c r="AB326" s="10">
        <v>-105.75</v>
      </c>
      <c r="AC326" s="8">
        <v>0</v>
      </c>
      <c r="AD326" s="8">
        <v>0</v>
      </c>
      <c r="AE326" s="8">
        <v>0</v>
      </c>
      <c r="AF326" s="10">
        <v>0</v>
      </c>
      <c r="AG326" s="8">
        <f>COUNTIF(Y326:AB326,"&gt;0")</f>
        <v>1</v>
      </c>
      <c r="AH326" s="10">
        <v>0</v>
      </c>
      <c r="AI326" s="10">
        <v>133.02600000000001</v>
      </c>
      <c r="AJ326" s="8" t="str">
        <f>IF(ISNUMBER(X326),IF(X326&gt;0,"+",IF(X326&lt;0,"−","0")),IF(ISNUMBER(W326),IF(W326&gt;0,"+",IF(W326&lt;0,"−","0")),"yok"))</f>
        <v>−</v>
      </c>
      <c r="AK326" s="10">
        <f>IF(AND(RIGHT(C326,2)&lt;&gt;"12",ISNUMBER(U326),ISNUMBER(V326)),U326-V326,"")</f>
        <v>19.658999999999992</v>
      </c>
      <c r="AL326" s="11">
        <f>IF(AND(ISNUMBER(AK326),ISNUMBER(V326)),IF(V326&lt;&gt;0,AK326/ABS(V326),""),"")</f>
        <v>0.11932335481991328</v>
      </c>
      <c r="AM326" s="8">
        <f>IF(ISNUMBER(AK326),IF(AK326&gt;1,1,0),"")</f>
        <v>1</v>
      </c>
      <c r="AN326" s="8">
        <f>IF(ISNUMBER(AK326),IF(AK326&gt;0.05*ABS(V326),1,0),"")</f>
        <v>1</v>
      </c>
      <c r="AO326" s="10">
        <v>-183.958</v>
      </c>
      <c r="AP326" s="10">
        <v>183.958</v>
      </c>
      <c r="AQ326" s="8" t="s">
        <v>204</v>
      </c>
      <c r="AR326" s="8">
        <v>0</v>
      </c>
      <c r="AS326" s="10">
        <v>-278.16399999999999</v>
      </c>
      <c r="AT326" s="10">
        <v>-478.177323</v>
      </c>
      <c r="AU326" s="8" t="s">
        <v>209</v>
      </c>
      <c r="AV326" s="10">
        <v>19.658999999999999</v>
      </c>
      <c r="AW326" s="11">
        <f>IF(AND(ISNUMBER(AV326),ISNUMBER(AT326)),IF(AT326&lt;&gt;0,AV326/ABS(AT326),""),"")</f>
        <v>4.1112363665978362E-2</v>
      </c>
      <c r="AX326" s="8">
        <v>0</v>
      </c>
      <c r="AY326" s="8">
        <v>1</v>
      </c>
      <c r="AZ326" s="10"/>
      <c r="BA326" s="8">
        <v>0</v>
      </c>
    </row>
    <row r="327" spans="1:53" x14ac:dyDescent="0.2">
      <c r="A327" s="8" t="s">
        <v>427</v>
      </c>
      <c r="B327" s="8" t="s">
        <v>84</v>
      </c>
      <c r="C327" s="8" t="s">
        <v>290</v>
      </c>
      <c r="D327" s="8">
        <v>1</v>
      </c>
      <c r="E327" s="8">
        <v>1</v>
      </c>
      <c r="F327" s="8">
        <f>SUM(G327:M327)</f>
        <v>1</v>
      </c>
      <c r="G327" s="8">
        <v>0</v>
      </c>
      <c r="H327" s="8">
        <v>0</v>
      </c>
      <c r="I327" s="8">
        <v>1</v>
      </c>
      <c r="J327" s="8">
        <v>0</v>
      </c>
      <c r="K327" s="8">
        <v>0</v>
      </c>
      <c r="L327" s="8">
        <v>0</v>
      </c>
      <c r="M327" s="8">
        <v>0</v>
      </c>
      <c r="N327" s="8">
        <v>1</v>
      </c>
      <c r="O327" s="8">
        <v>1</v>
      </c>
      <c r="P327" s="8">
        <v>0</v>
      </c>
      <c r="Q327" s="8">
        <v>0</v>
      </c>
      <c r="R327" s="8">
        <v>0</v>
      </c>
      <c r="S327" s="8">
        <v>0</v>
      </c>
      <c r="T327" s="10">
        <v>58.878999999999998</v>
      </c>
      <c r="U327" s="10"/>
      <c r="V327" s="10"/>
      <c r="W327" s="10">
        <f>IF(RIGHT(C327,2)="12",IF(ISNUMBER(T327),T327,""),IF(COUNT(T327,U327,V327)=3,T327+U327-V327,""))</f>
        <v>58.878999999999998</v>
      </c>
      <c r="X327" s="10">
        <v>58.878999999999998</v>
      </c>
      <c r="Y327" s="10"/>
      <c r="Z327" s="10"/>
      <c r="AA327" s="10"/>
      <c r="AB327" s="10">
        <v>-2.5640000000000001</v>
      </c>
      <c r="AC327" s="8">
        <v>1</v>
      </c>
      <c r="AD327" s="8">
        <v>0</v>
      </c>
      <c r="AE327" s="8">
        <v>0</v>
      </c>
      <c r="AF327" s="10">
        <v>58.878999999999998</v>
      </c>
      <c r="AG327" s="8">
        <f>COUNTIF(Y327:AB327,"&gt;0")</f>
        <v>0</v>
      </c>
      <c r="AH327" s="10">
        <v>0</v>
      </c>
      <c r="AI327" s="10">
        <v>0</v>
      </c>
      <c r="AJ327" s="8" t="str">
        <f>IF(ISNUMBER(X327),IF(X327&gt;0,"+",IF(X327&lt;0,"−","0")),IF(ISNUMBER(W327),IF(W327&gt;0,"+",IF(W327&lt;0,"−","0")),"yok"))</f>
        <v>+</v>
      </c>
      <c r="AK327" s="10" t="str">
        <f>IF(AND(RIGHT(C327,2)&lt;&gt;"12",ISNUMBER(U327),ISNUMBER(V327)),U327-V327,"")</f>
        <v/>
      </c>
      <c r="AL327" s="11" t="str">
        <f>IF(AND(ISNUMBER(AK327),ISNUMBER(V327)),IF(V327&lt;&gt;0,AK327/ABS(V327),""),"")</f>
        <v/>
      </c>
      <c r="AM327" s="8" t="str">
        <f>IF(ISNUMBER(AK327),IF(AK327&gt;1,1,0),"")</f>
        <v/>
      </c>
      <c r="AN327" s="8" t="str">
        <f>IF(ISNUMBER(AK327),IF(AK327&gt;0.05*ABS(V327),1,0),"")</f>
        <v/>
      </c>
      <c r="AO327" s="10">
        <v>58.88</v>
      </c>
      <c r="AP327" s="10">
        <v>0</v>
      </c>
      <c r="AQ327" s="8" t="s">
        <v>209</v>
      </c>
      <c r="AR327" s="8">
        <v>1</v>
      </c>
      <c r="AS327" s="10">
        <v>71.840999999999994</v>
      </c>
      <c r="AT327" s="10">
        <v>-73.254999999999995</v>
      </c>
      <c r="AU327" s="8" t="s">
        <v>209</v>
      </c>
      <c r="AV327" s="10">
        <v>58.878999999999998</v>
      </c>
      <c r="AW327" s="11">
        <f>IF(AND(ISNUMBER(AV327),ISNUMBER(AT327)),IF(AT327&lt;&gt;0,AV327/ABS(AT327),""),"")</f>
        <v>0.80375400996519009</v>
      </c>
      <c r="AX327" s="8">
        <v>1</v>
      </c>
      <c r="AY327" s="8">
        <v>0</v>
      </c>
      <c r="AZ327" s="8" t="s">
        <v>430</v>
      </c>
      <c r="BA327" s="8">
        <v>0</v>
      </c>
    </row>
    <row r="328" spans="1:53" x14ac:dyDescent="0.2">
      <c r="A328" s="8" t="s">
        <v>431</v>
      </c>
      <c r="B328" s="8" t="s">
        <v>83</v>
      </c>
      <c r="C328" s="8" t="s">
        <v>203</v>
      </c>
      <c r="D328" s="8">
        <v>1</v>
      </c>
      <c r="E328" s="8">
        <v>1</v>
      </c>
      <c r="F328" s="8">
        <f>SUM(G328:M328)</f>
        <v>1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1</v>
      </c>
      <c r="N328" s="8">
        <v>0</v>
      </c>
      <c r="O328" s="8">
        <v>0</v>
      </c>
      <c r="P328" s="8">
        <v>1</v>
      </c>
      <c r="Q328" s="8">
        <v>0</v>
      </c>
      <c r="R328" s="8">
        <v>0</v>
      </c>
      <c r="S328" s="8">
        <v>0</v>
      </c>
      <c r="T328" s="10">
        <v>-21.213999999999999</v>
      </c>
      <c r="U328" s="10">
        <v>-53.363999999999997</v>
      </c>
      <c r="V328" s="10"/>
      <c r="W328" s="10" t="str">
        <f>IF(RIGHT(C328,2)="12",IF(ISNUMBER(T328),T328,""),IF(COUNT(T328,U328,V328)=3,T328+U328-V328,""))</f>
        <v/>
      </c>
      <c r="X328" s="10">
        <v>-62.320999999999998</v>
      </c>
      <c r="Y328" s="10"/>
      <c r="Z328" s="10">
        <v>-50.276000000000003</v>
      </c>
      <c r="AA328" s="10">
        <v>50.595999999999997</v>
      </c>
      <c r="AB328" s="10">
        <v>-21.213999999999999</v>
      </c>
      <c r="AC328" s="8">
        <v>0</v>
      </c>
      <c r="AD328" s="8">
        <v>0</v>
      </c>
      <c r="AE328" s="8">
        <v>0</v>
      </c>
      <c r="AF328" s="10">
        <v>0</v>
      </c>
      <c r="AG328" s="8">
        <f>COUNTIF(Y328:AB328,"&gt;0")</f>
        <v>1</v>
      </c>
      <c r="AH328" s="10">
        <v>0</v>
      </c>
      <c r="AI328" s="10">
        <v>50.595999999999997</v>
      </c>
      <c r="AJ328" s="8" t="str">
        <f>IF(ISNUMBER(X328),IF(X328&gt;0,"+",IF(X328&lt;0,"−","0")),IF(ISNUMBER(W328),IF(W328&gt;0,"+",IF(W328&lt;0,"−","0")),"yok"))</f>
        <v>−</v>
      </c>
      <c r="AK328" s="10" t="str">
        <f>IF(AND(RIGHT(C328,2)&lt;&gt;"12",ISNUMBER(U328),ISNUMBER(V328)),U328-V328,"")</f>
        <v/>
      </c>
      <c r="AL328" s="11" t="str">
        <f>IF(AND(ISNUMBER(AK328),ISNUMBER(V328)),IF(V328&lt;&gt;0,AK328/ABS(V328),""),"")</f>
        <v/>
      </c>
      <c r="AM328" s="8" t="str">
        <f>IF(ISNUMBER(AK328),IF(AK328&gt;1,1,0),"")</f>
        <v/>
      </c>
      <c r="AN328" s="8" t="str">
        <f>IF(ISNUMBER(AK328),IF(AK328&gt;0.05*ABS(V328),1,0),"")</f>
        <v/>
      </c>
      <c r="AO328" s="10"/>
      <c r="AP328" s="10"/>
      <c r="AQ328" s="8" t="s">
        <v>207</v>
      </c>
      <c r="AR328" s="8">
        <v>0</v>
      </c>
      <c r="AS328" s="10"/>
      <c r="AT328" s="10"/>
      <c r="AU328" s="8" t="s">
        <v>207</v>
      </c>
      <c r="AV328" s="10">
        <v>50.595999999999997</v>
      </c>
      <c r="AW328" s="11" t="str">
        <f>IF(AND(ISNUMBER(AV328),ISNUMBER(AT328)),IF(AT328&lt;&gt;0,AV328/ABS(AT328),""),"")</f>
        <v/>
      </c>
      <c r="AX328" s="8">
        <v>0</v>
      </c>
      <c r="AY328" s="8">
        <v>0</v>
      </c>
      <c r="AZ328" s="10"/>
      <c r="BA328" s="8">
        <v>0</v>
      </c>
    </row>
    <row r="329" spans="1:53" x14ac:dyDescent="0.2">
      <c r="A329" s="8" t="s">
        <v>431</v>
      </c>
      <c r="B329" s="8" t="s">
        <v>83</v>
      </c>
      <c r="C329" s="8" t="s">
        <v>205</v>
      </c>
      <c r="D329" s="8">
        <v>1</v>
      </c>
      <c r="E329" s="8">
        <v>1</v>
      </c>
      <c r="F329" s="8">
        <f>SUM(G329:M329)</f>
        <v>1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1</v>
      </c>
      <c r="N329" s="8">
        <v>0</v>
      </c>
      <c r="O329" s="8">
        <v>0</v>
      </c>
      <c r="P329" s="8">
        <v>1</v>
      </c>
      <c r="Q329" s="8">
        <v>0</v>
      </c>
      <c r="R329" s="8">
        <v>0</v>
      </c>
      <c r="S329" s="8">
        <v>0</v>
      </c>
      <c r="T329" s="10">
        <v>-67.876999999999995</v>
      </c>
      <c r="U329" s="10">
        <v>-53.363999999999997</v>
      </c>
      <c r="V329" s="10">
        <v>-53.683999999999997</v>
      </c>
      <c r="W329" s="10">
        <f>IF(RIGHT(C329,2)="12",IF(ISNUMBER(T329),T329,""),IF(COUNT(T329,U329,V329)=3,T329+U329-V329,""))</f>
        <v>-67.556999999999988</v>
      </c>
      <c r="X329" s="10">
        <v>-67.557000000000002</v>
      </c>
      <c r="Y329" s="10">
        <v>-50.276000000000003</v>
      </c>
      <c r="Z329" s="10">
        <v>50.595999999999997</v>
      </c>
      <c r="AA329" s="10">
        <v>-21.213999999999999</v>
      </c>
      <c r="AB329" s="10">
        <v>-46.662999999999997</v>
      </c>
      <c r="AC329" s="8">
        <v>0</v>
      </c>
      <c r="AD329" s="8">
        <v>0</v>
      </c>
      <c r="AE329" s="8">
        <v>0</v>
      </c>
      <c r="AF329" s="10">
        <v>0</v>
      </c>
      <c r="AG329" s="8">
        <f>COUNTIF(Y329:AB329,"&gt;0")</f>
        <v>1</v>
      </c>
      <c r="AH329" s="10">
        <v>0</v>
      </c>
      <c r="AI329" s="10">
        <v>50.595999999999997</v>
      </c>
      <c r="AJ329" s="8" t="str">
        <f>IF(ISNUMBER(X329),IF(X329&gt;0,"+",IF(X329&lt;0,"−","0")),IF(ISNUMBER(W329),IF(W329&gt;0,"+",IF(W329&lt;0,"−","0")),"yok"))</f>
        <v>−</v>
      </c>
      <c r="AK329" s="10">
        <f>IF(AND(RIGHT(C329,2)&lt;&gt;"12",ISNUMBER(U329),ISNUMBER(V329)),U329-V329,"")</f>
        <v>0.32000000000000028</v>
      </c>
      <c r="AL329" s="11">
        <f>IF(AND(ISNUMBER(AK329),ISNUMBER(V329)),IF(V329&lt;&gt;0,AK329/ABS(V329),""),"")</f>
        <v>5.9608076894419248E-3</v>
      </c>
      <c r="AM329" s="8">
        <f>IF(ISNUMBER(AK329),IF(AK329&gt;1,1,0),"")</f>
        <v>0</v>
      </c>
      <c r="AN329" s="8">
        <f>IF(ISNUMBER(AK329),IF(AK329&gt;0.05*ABS(V329),1,0),"")</f>
        <v>0</v>
      </c>
      <c r="AO329" s="10"/>
      <c r="AP329" s="10"/>
      <c r="AQ329" s="8" t="s">
        <v>207</v>
      </c>
      <c r="AR329" s="8">
        <v>0</v>
      </c>
      <c r="AS329" s="10">
        <v>140.38800000000001</v>
      </c>
      <c r="AT329" s="10"/>
      <c r="AU329" s="8" t="s">
        <v>207</v>
      </c>
      <c r="AV329" s="10">
        <v>0.32</v>
      </c>
      <c r="AW329" s="11" t="str">
        <f>IF(AND(ISNUMBER(AV329),ISNUMBER(AT329)),IF(AT329&lt;&gt;0,AV329/ABS(AT329),""),"")</f>
        <v/>
      </c>
      <c r="AX329" s="8">
        <v>0</v>
      </c>
      <c r="AY329" s="8">
        <v>0</v>
      </c>
      <c r="AZ329" s="10"/>
      <c r="BA329" s="8">
        <v>0</v>
      </c>
    </row>
    <row r="330" spans="1:53" x14ac:dyDescent="0.2">
      <c r="A330" s="8" t="s">
        <v>431</v>
      </c>
      <c r="B330" s="8" t="s">
        <v>83</v>
      </c>
      <c r="C330" s="8" t="s">
        <v>215</v>
      </c>
      <c r="D330" s="8">
        <v>1</v>
      </c>
      <c r="E330" s="8">
        <v>1</v>
      </c>
      <c r="F330" s="8">
        <f>SUM(G330:M330)</f>
        <v>2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1</v>
      </c>
      <c r="M330" s="8">
        <v>1</v>
      </c>
      <c r="N330" s="8">
        <v>0</v>
      </c>
      <c r="O330" s="8">
        <v>0</v>
      </c>
      <c r="P330" s="8">
        <v>1</v>
      </c>
      <c r="Q330" s="8">
        <v>0</v>
      </c>
      <c r="R330" s="8">
        <v>0</v>
      </c>
      <c r="S330" s="8">
        <v>0</v>
      </c>
      <c r="T330" s="10">
        <v>-68.736999999999995</v>
      </c>
      <c r="U330" s="10">
        <v>-53.363999999999997</v>
      </c>
      <c r="V330" s="10">
        <v>-103.961</v>
      </c>
      <c r="W330" s="10">
        <f>IF(RIGHT(C330,2)="12",IF(ISNUMBER(T330),T330,""),IF(COUNT(T330,U330,V330)=3,T330+U330-V330,""))</f>
        <v>-18.14</v>
      </c>
      <c r="X330" s="10">
        <v>-18.14</v>
      </c>
      <c r="Y330" s="10">
        <v>50.595999999999997</v>
      </c>
      <c r="Z330" s="10">
        <v>-21.213999999999999</v>
      </c>
      <c r="AA330" s="10">
        <v>-46.662999999999997</v>
      </c>
      <c r="AB330" s="10">
        <v>-0.85899999999999999</v>
      </c>
      <c r="AC330" s="8">
        <v>0</v>
      </c>
      <c r="AD330" s="8">
        <v>0</v>
      </c>
      <c r="AE330" s="8">
        <v>0</v>
      </c>
      <c r="AF330" s="10">
        <v>0</v>
      </c>
      <c r="AG330" s="8">
        <f>COUNTIF(Y330:AB330,"&gt;0")</f>
        <v>1</v>
      </c>
      <c r="AH330" s="10">
        <v>0</v>
      </c>
      <c r="AI330" s="10">
        <v>50.595999999999997</v>
      </c>
      <c r="AJ330" s="8" t="str">
        <f>IF(ISNUMBER(X330),IF(X330&gt;0,"+",IF(X330&lt;0,"−","0")),IF(ISNUMBER(W330),IF(W330&gt;0,"+",IF(W330&lt;0,"−","0")),"yok"))</f>
        <v>−</v>
      </c>
      <c r="AK330" s="10">
        <f>IF(AND(RIGHT(C330,2)&lt;&gt;"12",ISNUMBER(U330),ISNUMBER(V330)),U330-V330,"")</f>
        <v>50.597000000000001</v>
      </c>
      <c r="AL330" s="11">
        <f>IF(AND(ISNUMBER(AK330),ISNUMBER(V330)),IF(V330&lt;&gt;0,AK330/ABS(V330),""),"")</f>
        <v>0.48669212493146469</v>
      </c>
      <c r="AM330" s="8">
        <f>IF(ISNUMBER(AK330),IF(AK330&gt;1,1,0),"")</f>
        <v>1</v>
      </c>
      <c r="AN330" s="8">
        <f>IF(ISNUMBER(AK330),IF(AK330&gt;0.05*ABS(V330),1,0),"")</f>
        <v>1</v>
      </c>
      <c r="AO330" s="10"/>
      <c r="AP330" s="10"/>
      <c r="AQ330" s="8" t="s">
        <v>207</v>
      </c>
      <c r="AR330" s="8">
        <v>0</v>
      </c>
      <c r="AS330" s="10">
        <v>270.31299999999999</v>
      </c>
      <c r="AT330" s="10"/>
      <c r="AU330" s="8" t="s">
        <v>207</v>
      </c>
      <c r="AV330" s="10">
        <v>50.597000000000001</v>
      </c>
      <c r="AW330" s="11" t="str">
        <f>IF(AND(ISNUMBER(AV330),ISNUMBER(AT330)),IF(AT330&lt;&gt;0,AV330/ABS(AT330),""),"")</f>
        <v/>
      </c>
      <c r="AX330" s="8">
        <v>0</v>
      </c>
      <c r="AY330" s="8">
        <v>1</v>
      </c>
      <c r="AZ330" s="10"/>
      <c r="BA330" s="8">
        <v>0</v>
      </c>
    </row>
    <row r="331" spans="1:53" x14ac:dyDescent="0.2">
      <c r="A331" s="8" t="s">
        <v>432</v>
      </c>
      <c r="B331" s="8" t="s">
        <v>83</v>
      </c>
      <c r="C331" s="8" t="s">
        <v>203</v>
      </c>
      <c r="D331" s="8">
        <v>1</v>
      </c>
      <c r="E331" s="8">
        <v>1</v>
      </c>
      <c r="F331" s="8">
        <f>SUM(G331:M331)</f>
        <v>1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1</v>
      </c>
      <c r="N331" s="8">
        <v>0</v>
      </c>
      <c r="O331" s="8">
        <v>0</v>
      </c>
      <c r="P331" s="8">
        <v>1</v>
      </c>
      <c r="Q331" s="8">
        <v>0</v>
      </c>
      <c r="R331" s="8">
        <v>0</v>
      </c>
      <c r="S331" s="8">
        <v>0</v>
      </c>
      <c r="T331" s="10">
        <v>-136.03100000000001</v>
      </c>
      <c r="U331" s="10">
        <v>-788.44399999999996</v>
      </c>
      <c r="V331" s="10">
        <v>-199.87700000000001</v>
      </c>
      <c r="W331" s="10">
        <f>IF(RIGHT(C331,2)="12",IF(ISNUMBER(T331),T331,""),IF(COUNT(T331,U331,V331)=3,T331+U331-V331,""))</f>
        <v>-724.59799999999996</v>
      </c>
      <c r="X331" s="10">
        <v>-724.59699999999998</v>
      </c>
      <c r="Y331" s="10">
        <v>181.78299999999999</v>
      </c>
      <c r="Z331" s="10">
        <v>-502.274</v>
      </c>
      <c r="AA331" s="10">
        <v>-268.07400000000001</v>
      </c>
      <c r="AB331" s="10">
        <v>-136.03100000000001</v>
      </c>
      <c r="AC331" s="8">
        <v>0</v>
      </c>
      <c r="AD331" s="8">
        <v>0</v>
      </c>
      <c r="AE331" s="8">
        <v>0</v>
      </c>
      <c r="AF331" s="10">
        <v>0</v>
      </c>
      <c r="AG331" s="8">
        <f>COUNTIF(Y331:AB331,"&gt;0")</f>
        <v>1</v>
      </c>
      <c r="AH331" s="10">
        <v>0</v>
      </c>
      <c r="AI331" s="10">
        <v>181.78299999999999</v>
      </c>
      <c r="AJ331" s="8" t="str">
        <f>IF(ISNUMBER(X331),IF(X331&gt;0,"+",IF(X331&lt;0,"−","0")),IF(ISNUMBER(W331),IF(W331&gt;0,"+",IF(W331&lt;0,"−","0")),"yok"))</f>
        <v>−</v>
      </c>
      <c r="AK331" s="10">
        <f>IF(AND(RIGHT(C331,2)&lt;&gt;"12",ISNUMBER(U331),ISNUMBER(V331)),U331-V331,"")</f>
        <v>-588.56700000000001</v>
      </c>
      <c r="AL331" s="11">
        <f>IF(AND(ISNUMBER(AK331),ISNUMBER(V331)),IF(V331&lt;&gt;0,AK331/ABS(V331),""),"")</f>
        <v>-2.9446459572637171</v>
      </c>
      <c r="AM331" s="8">
        <f>IF(ISNUMBER(AK331),IF(AK331&gt;1,1,0),"")</f>
        <v>0</v>
      </c>
      <c r="AN331" s="8">
        <f>IF(ISNUMBER(AK331),IF(AK331&gt;0.05*ABS(V331),1,0),"")</f>
        <v>0</v>
      </c>
      <c r="AO331" s="10">
        <v>-724.59699999999998</v>
      </c>
      <c r="AP331" s="10">
        <v>724.59699999999998</v>
      </c>
      <c r="AQ331" s="8" t="s">
        <v>204</v>
      </c>
      <c r="AR331" s="8">
        <v>0</v>
      </c>
      <c r="AS331" s="10">
        <v>863.55899999999997</v>
      </c>
      <c r="AT331" s="10">
        <v>138.96199999999999</v>
      </c>
      <c r="AU331" s="8" t="s">
        <v>204</v>
      </c>
      <c r="AV331" s="10">
        <v>181.78299999999999</v>
      </c>
      <c r="AW331" s="11">
        <f>IF(AND(ISNUMBER(AV331),ISNUMBER(AT331)),IF(AT331&lt;&gt;0,AV331/ABS(AT331),""),"")</f>
        <v>1.3081489903714685</v>
      </c>
      <c r="AX331" s="8">
        <v>0</v>
      </c>
      <c r="AY331" s="8">
        <v>0</v>
      </c>
      <c r="AZ331" s="10"/>
      <c r="BA331" s="8">
        <v>0</v>
      </c>
    </row>
    <row r="332" spans="1:53" x14ac:dyDescent="0.2">
      <c r="A332" s="8" t="s">
        <v>433</v>
      </c>
      <c r="B332" s="8" t="s">
        <v>83</v>
      </c>
      <c r="C332" s="8" t="s">
        <v>203</v>
      </c>
      <c r="D332" s="8">
        <v>1</v>
      </c>
      <c r="E332" s="8">
        <v>1</v>
      </c>
      <c r="F332" s="8">
        <f>SUM(G332:M332)</f>
        <v>1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1</v>
      </c>
      <c r="N332" s="8">
        <v>0</v>
      </c>
      <c r="O332" s="8">
        <v>0</v>
      </c>
      <c r="P332" s="8">
        <v>1</v>
      </c>
      <c r="Q332" s="8">
        <v>0</v>
      </c>
      <c r="R332" s="8">
        <v>0</v>
      </c>
      <c r="S332" s="8">
        <v>0</v>
      </c>
      <c r="T332" s="10">
        <v>-86.820999999999998</v>
      </c>
      <c r="U332" s="10">
        <v>-287.19099999999997</v>
      </c>
      <c r="V332" s="10">
        <v>-74.45</v>
      </c>
      <c r="W332" s="10">
        <f>IF(RIGHT(C332,2)="12",IF(ISNUMBER(T332),T332,""),IF(COUNT(T332,U332,V332)=3,T332+U332-V332,""))</f>
        <v>-299.56199999999995</v>
      </c>
      <c r="X332" s="10">
        <v>-299.56200000000001</v>
      </c>
      <c r="Y332" s="10">
        <v>-246.363</v>
      </c>
      <c r="Z332" s="10">
        <v>159.00399999999999</v>
      </c>
      <c r="AA332" s="10">
        <v>-125.381</v>
      </c>
      <c r="AB332" s="10">
        <v>-86.820999999999998</v>
      </c>
      <c r="AC332" s="8">
        <v>0</v>
      </c>
      <c r="AD332" s="8">
        <v>0</v>
      </c>
      <c r="AE332" s="8">
        <v>0</v>
      </c>
      <c r="AF332" s="10">
        <v>0</v>
      </c>
      <c r="AG332" s="8">
        <f>COUNTIF(Y332:AB332,"&gt;0")</f>
        <v>1</v>
      </c>
      <c r="AH332" s="10">
        <v>0</v>
      </c>
      <c r="AI332" s="10">
        <v>159.00399999999999</v>
      </c>
      <c r="AJ332" s="8" t="str">
        <f>IF(ISNUMBER(X332),IF(X332&gt;0,"+",IF(X332&lt;0,"−","0")),IF(ISNUMBER(W332),IF(W332&gt;0,"+",IF(W332&lt;0,"−","0")),"yok"))</f>
        <v>−</v>
      </c>
      <c r="AK332" s="10">
        <f>IF(AND(RIGHT(C332,2)&lt;&gt;"12",ISNUMBER(U332),ISNUMBER(V332)),U332-V332,"")</f>
        <v>-212.74099999999999</v>
      </c>
      <c r="AL332" s="11">
        <f>IF(AND(ISNUMBER(AK332),ISNUMBER(V332)),IF(V332&lt;&gt;0,AK332/ABS(V332),""),"")</f>
        <v>-2.8575016789791805</v>
      </c>
      <c r="AM332" s="8">
        <f>IF(ISNUMBER(AK332),IF(AK332&gt;1,1,0),"")</f>
        <v>0</v>
      </c>
      <c r="AN332" s="8">
        <f>IF(ISNUMBER(AK332),IF(AK332&gt;0.05*ABS(V332),1,0),"")</f>
        <v>0</v>
      </c>
      <c r="AO332" s="10">
        <v>-299.56200000000001</v>
      </c>
      <c r="AP332" s="10">
        <v>299.56200000000001</v>
      </c>
      <c r="AQ332" s="8" t="s">
        <v>204</v>
      </c>
      <c r="AR332" s="8">
        <v>0</v>
      </c>
      <c r="AS332" s="10">
        <v>151.08799999999999</v>
      </c>
      <c r="AT332" s="10">
        <v>-148.47399999999999</v>
      </c>
      <c r="AU332" s="8" t="s">
        <v>204</v>
      </c>
      <c r="AV332" s="10">
        <v>159.00399999999999</v>
      </c>
      <c r="AW332" s="11">
        <f>IF(AND(ISNUMBER(AV332),ISNUMBER(AT332)),IF(AT332&lt;&gt;0,AV332/ABS(AT332),""),"")</f>
        <v>1.0709215081428398</v>
      </c>
      <c r="AX332" s="8">
        <v>0</v>
      </c>
      <c r="AY332" s="8">
        <v>0</v>
      </c>
      <c r="AZ332" s="10"/>
      <c r="BA332" s="8">
        <v>0</v>
      </c>
    </row>
    <row r="333" spans="1:53" x14ac:dyDescent="0.2">
      <c r="A333" s="8" t="s">
        <v>433</v>
      </c>
      <c r="B333" s="8" t="s">
        <v>83</v>
      </c>
      <c r="C333" s="8" t="s">
        <v>205</v>
      </c>
      <c r="D333" s="8">
        <v>1</v>
      </c>
      <c r="E333" s="8">
        <v>1</v>
      </c>
      <c r="F333" s="8">
        <f>SUM(G333:M333)</f>
        <v>2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1</v>
      </c>
      <c r="M333" s="8">
        <v>1</v>
      </c>
      <c r="N333" s="8">
        <v>0</v>
      </c>
      <c r="O333" s="8">
        <v>0</v>
      </c>
      <c r="P333" s="8">
        <v>1</v>
      </c>
      <c r="Q333" s="8">
        <v>0</v>
      </c>
      <c r="R333" s="8">
        <v>0</v>
      </c>
      <c r="S333" s="8">
        <v>0</v>
      </c>
      <c r="T333" s="10">
        <v>-197.59800000000001</v>
      </c>
      <c r="U333" s="10">
        <v>-287.19099999999997</v>
      </c>
      <c r="V333" s="10">
        <v>-320.81400000000002</v>
      </c>
      <c r="W333" s="10">
        <f>IF(RIGHT(C333,2)="12",IF(ISNUMBER(T333),T333,""),IF(COUNT(T333,U333,V333)=3,T333+U333-V333,""))</f>
        <v>-163.97499999999997</v>
      </c>
      <c r="X333" s="10">
        <v>-163.97399999999999</v>
      </c>
      <c r="Y333" s="10">
        <v>159.00399999999999</v>
      </c>
      <c r="Z333" s="10">
        <v>-125.381</v>
      </c>
      <c r="AA333" s="10">
        <v>-86.820999999999998</v>
      </c>
      <c r="AB333" s="10">
        <v>-110.776</v>
      </c>
      <c r="AC333" s="8">
        <v>0</v>
      </c>
      <c r="AD333" s="8">
        <v>0</v>
      </c>
      <c r="AE333" s="8">
        <v>0</v>
      </c>
      <c r="AF333" s="10">
        <v>0</v>
      </c>
      <c r="AG333" s="8">
        <f>COUNTIF(Y333:AB333,"&gt;0")</f>
        <v>1</v>
      </c>
      <c r="AH333" s="10">
        <v>0</v>
      </c>
      <c r="AI333" s="10">
        <v>159.00399999999999</v>
      </c>
      <c r="AJ333" s="8" t="str">
        <f>IF(ISNUMBER(X333),IF(X333&gt;0,"+",IF(X333&lt;0,"−","0")),IF(ISNUMBER(W333),IF(W333&gt;0,"+",IF(W333&lt;0,"−","0")),"yok"))</f>
        <v>−</v>
      </c>
      <c r="AK333" s="10">
        <f>IF(AND(RIGHT(C333,2)&lt;&gt;"12",ISNUMBER(U333),ISNUMBER(V333)),U333-V333,"")</f>
        <v>33.623000000000047</v>
      </c>
      <c r="AL333" s="11">
        <f>IF(AND(ISNUMBER(AK333),ISNUMBER(V333)),IF(V333&lt;&gt;0,AK333/ABS(V333),""),"")</f>
        <v>0.10480527657770561</v>
      </c>
      <c r="AM333" s="8">
        <f>IF(ISNUMBER(AK333),IF(AK333&gt;1,1,0),"")</f>
        <v>1</v>
      </c>
      <c r="AN333" s="8">
        <f>IF(ISNUMBER(AK333),IF(AK333&gt;0.05*ABS(V333),1,0),"")</f>
        <v>1</v>
      </c>
      <c r="AO333" s="10">
        <v>-163.97399999999999</v>
      </c>
      <c r="AP333" s="10">
        <v>163.97399999999999</v>
      </c>
      <c r="AQ333" s="8" t="s">
        <v>204</v>
      </c>
      <c r="AR333" s="8">
        <v>0</v>
      </c>
      <c r="AS333" s="10">
        <v>223.66200000000001</v>
      </c>
      <c r="AT333" s="10">
        <v>59.688000000000102</v>
      </c>
      <c r="AU333" s="8" t="s">
        <v>204</v>
      </c>
      <c r="AV333" s="10">
        <v>33.623000000000097</v>
      </c>
      <c r="AW333" s="11">
        <f>IF(AND(ISNUMBER(AV333),ISNUMBER(AT333)),IF(AT333&lt;&gt;0,AV333/ABS(AT333),""),"")</f>
        <v>0.56331255863825291</v>
      </c>
      <c r="AX333" s="8">
        <v>0</v>
      </c>
      <c r="AY333" s="8">
        <v>1</v>
      </c>
      <c r="AZ333" s="10"/>
      <c r="BA333" s="8">
        <v>0</v>
      </c>
    </row>
    <row r="334" spans="1:53" x14ac:dyDescent="0.2">
      <c r="A334" s="8" t="s">
        <v>434</v>
      </c>
      <c r="B334" s="8" t="s">
        <v>83</v>
      </c>
      <c r="C334" s="8" t="s">
        <v>203</v>
      </c>
      <c r="D334" s="8">
        <v>1</v>
      </c>
      <c r="E334" s="8">
        <v>1</v>
      </c>
      <c r="F334" s="8">
        <f>SUM(G334:M334)</f>
        <v>3</v>
      </c>
      <c r="G334" s="8">
        <v>0</v>
      </c>
      <c r="H334" s="8">
        <v>0</v>
      </c>
      <c r="I334" s="8">
        <v>1</v>
      </c>
      <c r="J334" s="8">
        <v>0</v>
      </c>
      <c r="K334" s="8">
        <v>0</v>
      </c>
      <c r="L334" s="8">
        <v>1</v>
      </c>
      <c r="M334" s="8">
        <v>1</v>
      </c>
      <c r="N334" s="8">
        <v>1</v>
      </c>
      <c r="O334" s="8">
        <v>0</v>
      </c>
      <c r="P334" s="8">
        <v>1</v>
      </c>
      <c r="Q334" s="8">
        <v>0</v>
      </c>
      <c r="R334" s="8">
        <v>0</v>
      </c>
      <c r="S334" s="8">
        <v>0</v>
      </c>
      <c r="T334" s="10">
        <v>-3.548</v>
      </c>
      <c r="U334" s="10">
        <v>-66.376000000000005</v>
      </c>
      <c r="V334" s="10">
        <v>-145.53899999999999</v>
      </c>
      <c r="W334" s="10">
        <f>IF(RIGHT(C334,2)="12",IF(ISNUMBER(T334),T334,""),IF(COUNT(T334,U334,V334)=3,T334+U334-V334,""))</f>
        <v>75.614999999999981</v>
      </c>
      <c r="X334" s="10">
        <v>75.614000000000004</v>
      </c>
      <c r="Y334" s="10">
        <v>-9.1430000000000007</v>
      </c>
      <c r="Z334" s="10">
        <v>-7.8849999999999998</v>
      </c>
      <c r="AA334" s="10">
        <v>96.191999999999993</v>
      </c>
      <c r="AB334" s="10">
        <v>-3.548</v>
      </c>
      <c r="AC334" s="8">
        <v>0</v>
      </c>
      <c r="AD334" s="8">
        <v>0</v>
      </c>
      <c r="AE334" s="8">
        <v>0</v>
      </c>
      <c r="AF334" s="10">
        <v>0</v>
      </c>
      <c r="AG334" s="8">
        <f>COUNTIF(Y334:AB334,"&gt;0")</f>
        <v>1</v>
      </c>
      <c r="AH334" s="10">
        <v>0</v>
      </c>
      <c r="AI334" s="10">
        <v>96.191999999999993</v>
      </c>
      <c r="AJ334" s="8" t="str">
        <f>IF(ISNUMBER(X334),IF(X334&gt;0,"+",IF(X334&lt;0,"−","0")),IF(ISNUMBER(W334),IF(W334&gt;0,"+",IF(W334&lt;0,"−","0")),"yok"))</f>
        <v>+</v>
      </c>
      <c r="AK334" s="10">
        <f>IF(AND(RIGHT(C334,2)&lt;&gt;"12",ISNUMBER(U334),ISNUMBER(V334)),U334-V334,"")</f>
        <v>79.162999999999982</v>
      </c>
      <c r="AL334" s="11">
        <f>IF(AND(ISNUMBER(AK334),ISNUMBER(V334)),IF(V334&lt;&gt;0,AK334/ABS(V334),""),"")</f>
        <v>0.54392980575653249</v>
      </c>
      <c r="AM334" s="8">
        <f>IF(ISNUMBER(AK334),IF(AK334&gt;1,1,0),"")</f>
        <v>1</v>
      </c>
      <c r="AN334" s="8">
        <f>IF(ISNUMBER(AK334),IF(AK334&gt;0.05*ABS(V334),1,0),"")</f>
        <v>1</v>
      </c>
      <c r="AO334" s="10">
        <v>75.614000000000004</v>
      </c>
      <c r="AP334" s="10">
        <v>0</v>
      </c>
      <c r="AQ334" s="8" t="s">
        <v>204</v>
      </c>
      <c r="AR334" s="8">
        <v>1</v>
      </c>
      <c r="AS334" s="10">
        <v>-129.53100000000001</v>
      </c>
      <c r="AT334" s="10">
        <v>-168.94596100000001</v>
      </c>
      <c r="AU334" s="8" t="s">
        <v>209</v>
      </c>
      <c r="AV334" s="10">
        <v>79.162999999999997</v>
      </c>
      <c r="AW334" s="11">
        <f>IF(AND(ISNUMBER(AV334),ISNUMBER(AT334)),IF(AT334&lt;&gt;0,AV334/ABS(AT334),""),"")</f>
        <v>0.46856994704951832</v>
      </c>
      <c r="AX334" s="8">
        <v>0</v>
      </c>
      <c r="AY334" s="8">
        <v>1</v>
      </c>
      <c r="AZ334" s="10"/>
      <c r="BA334" s="8">
        <v>0</v>
      </c>
    </row>
    <row r="335" spans="1:53" x14ac:dyDescent="0.2">
      <c r="A335" s="8" t="s">
        <v>434</v>
      </c>
      <c r="B335" s="8" t="s">
        <v>83</v>
      </c>
      <c r="C335" s="8" t="s">
        <v>205</v>
      </c>
      <c r="D335" s="8">
        <v>1</v>
      </c>
      <c r="E335" s="8">
        <v>1</v>
      </c>
      <c r="F335" s="8">
        <f>SUM(G335:M335)</f>
        <v>2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1</v>
      </c>
      <c r="M335" s="8">
        <v>1</v>
      </c>
      <c r="N335" s="8">
        <v>1</v>
      </c>
      <c r="O335" s="8">
        <v>0</v>
      </c>
      <c r="P335" s="8">
        <v>1</v>
      </c>
      <c r="Q335" s="8">
        <v>0</v>
      </c>
      <c r="R335" s="8">
        <v>0</v>
      </c>
      <c r="S335" s="8">
        <v>0</v>
      </c>
      <c r="T335" s="10">
        <v>-8.0619999999999994</v>
      </c>
      <c r="U335" s="10">
        <v>-66.376000000000005</v>
      </c>
      <c r="V335" s="10">
        <v>-154.68299999999999</v>
      </c>
      <c r="W335" s="10">
        <f>IF(RIGHT(C335,2)="12",IF(ISNUMBER(T335),T335,""),IF(COUNT(T335,U335,V335)=3,T335+U335-V335,""))</f>
        <v>80.24499999999999</v>
      </c>
      <c r="X335" s="10">
        <v>80.244</v>
      </c>
      <c r="Y335" s="10">
        <v>-7.8849999999999998</v>
      </c>
      <c r="Z335" s="10">
        <v>96.191999999999993</v>
      </c>
      <c r="AA335" s="10">
        <v>-3.548</v>
      </c>
      <c r="AB335" s="10">
        <v>-4.5129999999999999</v>
      </c>
      <c r="AC335" s="8">
        <v>0</v>
      </c>
      <c r="AD335" s="8">
        <v>0</v>
      </c>
      <c r="AE335" s="8">
        <v>0</v>
      </c>
      <c r="AF335" s="10">
        <v>0</v>
      </c>
      <c r="AG335" s="8">
        <f>COUNTIF(Y335:AB335,"&gt;0")</f>
        <v>1</v>
      </c>
      <c r="AH335" s="10">
        <v>0</v>
      </c>
      <c r="AI335" s="10">
        <v>96.191999999999993</v>
      </c>
      <c r="AJ335" s="8" t="str">
        <f>IF(ISNUMBER(X335),IF(X335&gt;0,"+",IF(X335&lt;0,"−","0")),IF(ISNUMBER(W335),IF(W335&gt;0,"+",IF(W335&lt;0,"−","0")),"yok"))</f>
        <v>+</v>
      </c>
      <c r="AK335" s="10">
        <f>IF(AND(RIGHT(C335,2)&lt;&gt;"12",ISNUMBER(U335),ISNUMBER(V335)),U335-V335,"")</f>
        <v>88.306999999999988</v>
      </c>
      <c r="AL335" s="11">
        <f>IF(AND(ISNUMBER(AK335),ISNUMBER(V335)),IF(V335&lt;&gt;0,AK335/ABS(V335),""),"")</f>
        <v>0.5708901430667882</v>
      </c>
      <c r="AM335" s="8">
        <f>IF(ISNUMBER(AK335),IF(AK335&gt;1,1,0),"")</f>
        <v>1</v>
      </c>
      <c r="AN335" s="8">
        <f>IF(ISNUMBER(AK335),IF(AK335&gt;0.05*ABS(V335),1,0),"")</f>
        <v>1</v>
      </c>
      <c r="AO335" s="10">
        <v>80.244</v>
      </c>
      <c r="AP335" s="10">
        <v>80.244</v>
      </c>
      <c r="AQ335" s="8" t="s">
        <v>204</v>
      </c>
      <c r="AR335" s="8">
        <v>0</v>
      </c>
      <c r="AS335" s="10">
        <v>-72.67</v>
      </c>
      <c r="AT335" s="10"/>
      <c r="AU335" s="8" t="s">
        <v>207</v>
      </c>
      <c r="AV335" s="10">
        <v>88.307000000000002</v>
      </c>
      <c r="AW335" s="11" t="str">
        <f>IF(AND(ISNUMBER(AV335),ISNUMBER(AT335)),IF(AT335&lt;&gt;0,AV335/ABS(AT335),""),"")</f>
        <v/>
      </c>
      <c r="AX335" s="8">
        <v>0</v>
      </c>
      <c r="AY335" s="8">
        <v>1</v>
      </c>
      <c r="AZ335" s="10"/>
      <c r="BA335" s="8">
        <v>0</v>
      </c>
    </row>
    <row r="336" spans="1:53" x14ac:dyDescent="0.2">
      <c r="A336" s="8" t="s">
        <v>434</v>
      </c>
      <c r="B336" s="8" t="s">
        <v>83</v>
      </c>
      <c r="C336" s="8" t="s">
        <v>215</v>
      </c>
      <c r="D336" s="8">
        <v>1</v>
      </c>
      <c r="E336" s="8">
        <v>1</v>
      </c>
      <c r="F336" s="8">
        <f>SUM(G336:M336)</f>
        <v>2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1</v>
      </c>
      <c r="M336" s="8">
        <v>1</v>
      </c>
      <c r="N336" s="8">
        <v>1</v>
      </c>
      <c r="O336" s="8">
        <v>0</v>
      </c>
      <c r="P336" s="8">
        <v>1</v>
      </c>
      <c r="Q336" s="8">
        <v>0</v>
      </c>
      <c r="R336" s="8">
        <v>0</v>
      </c>
      <c r="S336" s="8">
        <v>0</v>
      </c>
      <c r="T336" s="10">
        <v>-61.88</v>
      </c>
      <c r="U336" s="10">
        <v>-66.376000000000005</v>
      </c>
      <c r="V336" s="10">
        <v>-162.56899999999999</v>
      </c>
      <c r="W336" s="10">
        <f>IF(RIGHT(C336,2)="12",IF(ISNUMBER(T336),T336,""),IF(COUNT(T336,U336,V336)=3,T336+U336-V336,""))</f>
        <v>34.312999999999988</v>
      </c>
      <c r="X336" s="10">
        <v>34.311</v>
      </c>
      <c r="Y336" s="10">
        <v>96.191999999999993</v>
      </c>
      <c r="Z336" s="10">
        <v>-3.548</v>
      </c>
      <c r="AA336" s="10">
        <v>-4.5129999999999999</v>
      </c>
      <c r="AB336" s="10">
        <v>-53.817999999999998</v>
      </c>
      <c r="AC336" s="8">
        <v>0</v>
      </c>
      <c r="AD336" s="8">
        <v>0</v>
      </c>
      <c r="AE336" s="8">
        <v>0</v>
      </c>
      <c r="AF336" s="10">
        <v>0</v>
      </c>
      <c r="AG336" s="8">
        <f>COUNTIF(Y336:AB336,"&gt;0")</f>
        <v>1</v>
      </c>
      <c r="AH336" s="10">
        <v>0</v>
      </c>
      <c r="AI336" s="10">
        <v>96.191999999999993</v>
      </c>
      <c r="AJ336" s="8" t="str">
        <f>IF(ISNUMBER(X336),IF(X336&gt;0,"+",IF(X336&lt;0,"−","0")),IF(ISNUMBER(W336),IF(W336&gt;0,"+",IF(W336&lt;0,"−","0")),"yok"))</f>
        <v>+</v>
      </c>
      <c r="AK336" s="10">
        <f>IF(AND(RIGHT(C336,2)&lt;&gt;"12",ISNUMBER(U336),ISNUMBER(V336)),U336-V336,"")</f>
        <v>96.192999999999984</v>
      </c>
      <c r="AL336" s="11">
        <f>IF(AND(ISNUMBER(AK336),ISNUMBER(V336)),IF(V336&lt;&gt;0,AK336/ABS(V336),""),"")</f>
        <v>0.59170567574383792</v>
      </c>
      <c r="AM336" s="8">
        <f>IF(ISNUMBER(AK336),IF(AK336&gt;1,1,0),"")</f>
        <v>1</v>
      </c>
      <c r="AN336" s="8">
        <f>IF(ISNUMBER(AK336),IF(AK336&gt;0.05*ABS(V336),1,0),"")</f>
        <v>1</v>
      </c>
      <c r="AO336" s="10">
        <v>34.311</v>
      </c>
      <c r="AP336" s="10">
        <v>34.311</v>
      </c>
      <c r="AQ336" s="8" t="s">
        <v>204</v>
      </c>
      <c r="AR336" s="8">
        <v>0</v>
      </c>
      <c r="AS336" s="10">
        <v>-147.577</v>
      </c>
      <c r="AT336" s="10"/>
      <c r="AU336" s="8" t="s">
        <v>207</v>
      </c>
      <c r="AV336" s="10">
        <v>96.192999999999998</v>
      </c>
      <c r="AW336" s="11" t="str">
        <f>IF(AND(ISNUMBER(AV336),ISNUMBER(AT336)),IF(AT336&lt;&gt;0,AV336/ABS(AT336),""),"")</f>
        <v/>
      </c>
      <c r="AX336" s="8">
        <v>0</v>
      </c>
      <c r="AY336" s="8">
        <v>1</v>
      </c>
      <c r="AZ336" s="10"/>
      <c r="BA336" s="8">
        <v>0</v>
      </c>
    </row>
    <row r="337" spans="1:53" x14ac:dyDescent="0.2">
      <c r="A337" s="8" t="s">
        <v>435</v>
      </c>
      <c r="B337" s="8" t="s">
        <v>83</v>
      </c>
      <c r="C337" s="8" t="s">
        <v>215</v>
      </c>
      <c r="D337" s="8">
        <v>1</v>
      </c>
      <c r="E337" s="8">
        <v>1</v>
      </c>
      <c r="F337" s="8">
        <f>SUM(G337:M337)</f>
        <v>1</v>
      </c>
      <c r="G337" s="8">
        <v>0</v>
      </c>
      <c r="H337" s="8">
        <v>0</v>
      </c>
      <c r="I337" s="8">
        <v>0</v>
      </c>
      <c r="J337" s="8">
        <v>0</v>
      </c>
      <c r="K337" s="8">
        <v>1</v>
      </c>
      <c r="L337" s="8">
        <v>0</v>
      </c>
      <c r="M337" s="8">
        <v>0</v>
      </c>
      <c r="N337" s="8">
        <v>0</v>
      </c>
      <c r="O337" s="8">
        <v>1</v>
      </c>
      <c r="P337" s="8">
        <v>1</v>
      </c>
      <c r="Q337" s="8">
        <v>0</v>
      </c>
      <c r="R337" s="8">
        <v>0</v>
      </c>
      <c r="S337" s="8">
        <v>1</v>
      </c>
      <c r="T337" s="10">
        <v>0.31900000000000001</v>
      </c>
      <c r="U337" s="10">
        <v>-467.005</v>
      </c>
      <c r="V337" s="10">
        <v>0.35799999999999998</v>
      </c>
      <c r="W337" s="10">
        <f>IF(RIGHT(C337,2)="12",IF(ISNUMBER(T337),T337,""),IF(COUNT(T337,U337,V337)=3,T337+U337-V337,""))</f>
        <v>-467.04399999999998</v>
      </c>
      <c r="X337" s="10">
        <v>-467.04399999999998</v>
      </c>
      <c r="Y337" s="10">
        <v>-467.36399999999998</v>
      </c>
      <c r="Z337" s="10">
        <v>-125.95399999999999</v>
      </c>
      <c r="AA337" s="10">
        <v>-121.11199999999999</v>
      </c>
      <c r="AB337" s="10">
        <v>247.387</v>
      </c>
      <c r="AC337" s="8">
        <v>1</v>
      </c>
      <c r="AD337" s="8">
        <v>0</v>
      </c>
      <c r="AE337" s="8">
        <v>1</v>
      </c>
      <c r="AF337" s="10">
        <v>0.35799999999999998</v>
      </c>
      <c r="AG337" s="8">
        <f>COUNTIF(Y337:AB337,"&gt;0")</f>
        <v>1</v>
      </c>
      <c r="AH337" s="10">
        <v>247.387</v>
      </c>
      <c r="AI337" s="10">
        <v>0</v>
      </c>
      <c r="AJ337" s="8" t="str">
        <f>IF(ISNUMBER(X337),IF(X337&gt;0,"+",IF(X337&lt;0,"−","0")),IF(ISNUMBER(W337),IF(W337&gt;0,"+",IF(W337&lt;0,"−","0")),"yok"))</f>
        <v>−</v>
      </c>
      <c r="AK337" s="10">
        <f>IF(AND(RIGHT(C337,2)&lt;&gt;"12",ISNUMBER(U337),ISNUMBER(V337)),U337-V337,"")</f>
        <v>-467.363</v>
      </c>
      <c r="AL337" s="11">
        <f>IF(AND(ISNUMBER(AK337),ISNUMBER(V337)),IF(V337&lt;&gt;0,AK337/ABS(V337),""),"")</f>
        <v>-1305.4832402234638</v>
      </c>
      <c r="AM337" s="8">
        <f>IF(ISNUMBER(AK337),IF(AK337&gt;1,1,0),"")</f>
        <v>0</v>
      </c>
      <c r="AN337" s="8">
        <f>IF(ISNUMBER(AK337),IF(AK337&gt;0.05*ABS(V337),1,0),"")</f>
        <v>0</v>
      </c>
      <c r="AO337" s="10">
        <v>-467.04399999999998</v>
      </c>
      <c r="AP337" s="10">
        <v>467.04399999999998</v>
      </c>
      <c r="AQ337" s="8" t="s">
        <v>204</v>
      </c>
      <c r="AR337" s="8">
        <v>0</v>
      </c>
      <c r="AS337" s="10">
        <v>1072.4169999999999</v>
      </c>
      <c r="AT337" s="10"/>
      <c r="AU337" s="8" t="s">
        <v>207</v>
      </c>
      <c r="AV337" s="10">
        <v>0.35799999999999998</v>
      </c>
      <c r="AW337" s="11" t="str">
        <f>IF(AND(ISNUMBER(AV337),ISNUMBER(AT337)),IF(AT337&lt;&gt;0,AV337/ABS(AT337),""),"")</f>
        <v/>
      </c>
      <c r="AX337" s="8">
        <v>1</v>
      </c>
      <c r="AY337" s="8">
        <v>0</v>
      </c>
      <c r="AZ337" s="8" t="s">
        <v>436</v>
      </c>
      <c r="BA337" s="8">
        <v>0</v>
      </c>
    </row>
    <row r="338" spans="1:53" x14ac:dyDescent="0.2">
      <c r="A338" s="8" t="s">
        <v>435</v>
      </c>
      <c r="B338" s="8" t="s">
        <v>83</v>
      </c>
      <c r="C338" s="8" t="s">
        <v>208</v>
      </c>
      <c r="D338" s="8">
        <v>1</v>
      </c>
      <c r="E338" s="8">
        <v>1</v>
      </c>
      <c r="F338" s="8">
        <f>SUM(G338:M338)</f>
        <v>1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1</v>
      </c>
      <c r="N338" s="8">
        <v>0</v>
      </c>
      <c r="O338" s="8">
        <v>0</v>
      </c>
      <c r="P338" s="8">
        <v>1</v>
      </c>
      <c r="Q338" s="8">
        <v>0</v>
      </c>
      <c r="R338" s="8">
        <v>0</v>
      </c>
      <c r="S338" s="8">
        <v>0</v>
      </c>
      <c r="T338" s="10">
        <v>-141.07599999999999</v>
      </c>
      <c r="U338" s="10">
        <v>-557.06100000000004</v>
      </c>
      <c r="V338" s="10">
        <v>-125.95399999999999</v>
      </c>
      <c r="W338" s="10">
        <f>IF(RIGHT(C338,2)="12",IF(ISNUMBER(T338),T338,""),IF(COUNT(T338,U338,V338)=3,T338+U338-V338,""))</f>
        <v>-572.18300000000011</v>
      </c>
      <c r="X338" s="10">
        <v>-572.18299999999999</v>
      </c>
      <c r="Y338" s="10">
        <v>-121.11199999999999</v>
      </c>
      <c r="Z338" s="10">
        <v>247.387</v>
      </c>
      <c r="AA338" s="10">
        <v>-557.38099999999997</v>
      </c>
      <c r="AB338" s="10">
        <v>-141.07599999999999</v>
      </c>
      <c r="AC338" s="8">
        <v>0</v>
      </c>
      <c r="AD338" s="8">
        <v>0</v>
      </c>
      <c r="AE338" s="8">
        <v>0</v>
      </c>
      <c r="AF338" s="10">
        <v>0</v>
      </c>
      <c r="AG338" s="8">
        <f>COUNTIF(Y338:AB338,"&gt;0")</f>
        <v>1</v>
      </c>
      <c r="AH338" s="10">
        <v>0</v>
      </c>
      <c r="AI338" s="10">
        <v>247.387</v>
      </c>
      <c r="AJ338" s="8" t="str">
        <f>IF(ISNUMBER(X338),IF(X338&gt;0,"+",IF(X338&lt;0,"−","0")),IF(ISNUMBER(W338),IF(W338&gt;0,"+",IF(W338&lt;0,"−","0")),"yok"))</f>
        <v>−</v>
      </c>
      <c r="AK338" s="10">
        <f>IF(AND(RIGHT(C338,2)&lt;&gt;"12",ISNUMBER(U338),ISNUMBER(V338)),U338-V338,"")</f>
        <v>-431.10700000000003</v>
      </c>
      <c r="AL338" s="11">
        <f>IF(AND(ISNUMBER(AK338),ISNUMBER(V338)),IF(V338&lt;&gt;0,AK338/ABS(V338),""),"")</f>
        <v>-3.4227336964288555</v>
      </c>
      <c r="AM338" s="8">
        <f>IF(ISNUMBER(AK338),IF(AK338&gt;1,1,0),"")</f>
        <v>0</v>
      </c>
      <c r="AN338" s="8">
        <f>IF(ISNUMBER(AK338),IF(AK338&gt;0.05*ABS(V338),1,0),"")</f>
        <v>0</v>
      </c>
      <c r="AO338" s="10">
        <v>-572.18299999999999</v>
      </c>
      <c r="AP338" s="10">
        <v>572.18299999999999</v>
      </c>
      <c r="AQ338" s="8" t="s">
        <v>204</v>
      </c>
      <c r="AR338" s="8">
        <v>0</v>
      </c>
      <c r="AS338" s="10">
        <v>1297.194</v>
      </c>
      <c r="AT338" s="10"/>
      <c r="AU338" s="8" t="s">
        <v>207</v>
      </c>
      <c r="AV338" s="10">
        <v>247.387</v>
      </c>
      <c r="AW338" s="11" t="str">
        <f>IF(AND(ISNUMBER(AV338),ISNUMBER(AT338)),IF(AT338&lt;&gt;0,AV338/ABS(AT338),""),"")</f>
        <v/>
      </c>
      <c r="AX338" s="8">
        <v>0</v>
      </c>
      <c r="AY338" s="8">
        <v>0</v>
      </c>
      <c r="AZ338" s="10"/>
      <c r="BA338" s="8">
        <v>0</v>
      </c>
    </row>
    <row r="339" spans="1:53" x14ac:dyDescent="0.2">
      <c r="A339" s="8" t="s">
        <v>435</v>
      </c>
      <c r="B339" s="8" t="s">
        <v>83</v>
      </c>
      <c r="C339" s="8" t="s">
        <v>210</v>
      </c>
      <c r="D339" s="8">
        <v>1</v>
      </c>
      <c r="E339" s="8">
        <v>1</v>
      </c>
      <c r="F339" s="8">
        <f>SUM(G339:M339)</f>
        <v>1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1</v>
      </c>
      <c r="N339" s="8">
        <v>0</v>
      </c>
      <c r="O339" s="8">
        <v>0</v>
      </c>
      <c r="P339" s="8">
        <v>1</v>
      </c>
      <c r="Q339" s="8">
        <v>0</v>
      </c>
      <c r="R339" s="8">
        <v>0</v>
      </c>
      <c r="S339" s="8">
        <v>0</v>
      </c>
      <c r="T339" s="10">
        <v>-269.12799999999999</v>
      </c>
      <c r="U339" s="10">
        <v>-557.06100000000004</v>
      </c>
      <c r="V339" s="10">
        <v>-247.06700000000001</v>
      </c>
      <c r="W339" s="10">
        <f>IF(RIGHT(C339,2)="12",IF(ISNUMBER(T339),T339,""),IF(COUNT(T339,U339,V339)=3,T339+U339-V339,""))</f>
        <v>-579.12200000000007</v>
      </c>
      <c r="X339" s="10">
        <v>-579.12199999999996</v>
      </c>
      <c r="Y339" s="10">
        <v>247.387</v>
      </c>
      <c r="Z339" s="10">
        <v>-557.38099999999997</v>
      </c>
      <c r="AA339" s="10">
        <v>-141.07599999999999</v>
      </c>
      <c r="AB339" s="10">
        <v>-128.05199999999999</v>
      </c>
      <c r="AC339" s="8">
        <v>0</v>
      </c>
      <c r="AD339" s="8">
        <v>0</v>
      </c>
      <c r="AE339" s="8">
        <v>0</v>
      </c>
      <c r="AF339" s="10">
        <v>0</v>
      </c>
      <c r="AG339" s="8">
        <f>COUNTIF(Y339:AB339,"&gt;0")</f>
        <v>1</v>
      </c>
      <c r="AH339" s="10">
        <v>0</v>
      </c>
      <c r="AI339" s="10">
        <v>247.387</v>
      </c>
      <c r="AJ339" s="8" t="str">
        <f>IF(ISNUMBER(X339),IF(X339&gt;0,"+",IF(X339&lt;0,"−","0")),IF(ISNUMBER(W339),IF(W339&gt;0,"+",IF(W339&lt;0,"−","0")),"yok"))</f>
        <v>−</v>
      </c>
      <c r="AK339" s="10">
        <f>IF(AND(RIGHT(C339,2)&lt;&gt;"12",ISNUMBER(U339),ISNUMBER(V339)),U339-V339,"")</f>
        <v>-309.99400000000003</v>
      </c>
      <c r="AL339" s="11">
        <f>IF(AND(ISNUMBER(AK339),ISNUMBER(V339)),IF(V339&lt;&gt;0,AK339/ABS(V339),""),"")</f>
        <v>-1.2546960945816317</v>
      </c>
      <c r="AM339" s="8">
        <f>IF(ISNUMBER(AK339),IF(AK339&gt;1,1,0),"")</f>
        <v>0</v>
      </c>
      <c r="AN339" s="8">
        <f>IF(ISNUMBER(AK339),IF(AK339&gt;0.05*ABS(V339),1,0),"")</f>
        <v>0</v>
      </c>
      <c r="AO339" s="10">
        <v>-579.12300000000005</v>
      </c>
      <c r="AP339" s="10">
        <v>579.12300000000005</v>
      </c>
      <c r="AQ339" s="8" t="s">
        <v>204</v>
      </c>
      <c r="AR339" s="8">
        <v>0</v>
      </c>
      <c r="AS339" s="10">
        <v>1382.902</v>
      </c>
      <c r="AT339" s="10"/>
      <c r="AU339" s="8" t="s">
        <v>207</v>
      </c>
      <c r="AV339" s="10">
        <v>247.387</v>
      </c>
      <c r="AW339" s="11" t="str">
        <f>IF(AND(ISNUMBER(AV339),ISNUMBER(AT339)),IF(AT339&lt;&gt;0,AV339/ABS(AT339),""),"")</f>
        <v/>
      </c>
      <c r="AX339" s="8">
        <v>0</v>
      </c>
      <c r="AY339" s="8">
        <v>0</v>
      </c>
      <c r="AZ339" s="10"/>
      <c r="BA339" s="8">
        <v>0</v>
      </c>
    </row>
    <row r="340" spans="1:53" x14ac:dyDescent="0.2">
      <c r="A340" s="8" t="s">
        <v>437</v>
      </c>
      <c r="B340" s="8" t="s">
        <v>82</v>
      </c>
      <c r="C340" s="8" t="s">
        <v>203</v>
      </c>
      <c r="D340" s="8">
        <v>1</v>
      </c>
      <c r="E340" s="8">
        <v>1</v>
      </c>
      <c r="F340" s="8">
        <f>SUM(G340:M340)</f>
        <v>1</v>
      </c>
      <c r="G340" s="8">
        <v>0</v>
      </c>
      <c r="H340" s="8">
        <v>1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1</v>
      </c>
      <c r="Q340" s="8">
        <v>1</v>
      </c>
      <c r="R340" s="8">
        <v>1</v>
      </c>
      <c r="S340" s="8">
        <v>0</v>
      </c>
      <c r="T340" s="10">
        <v>-43.819000000000003</v>
      </c>
      <c r="U340" s="10">
        <v>-30.597999999999999</v>
      </c>
      <c r="V340" s="10">
        <v>-33.770000000000003</v>
      </c>
      <c r="W340" s="10">
        <f>IF(RIGHT(C340,2)="12",IF(ISNUMBER(T340),T340,""),IF(COUNT(T340,U340,V340)=3,T340+U340-V340,""))</f>
        <v>-40.646999999999998</v>
      </c>
      <c r="X340" s="10">
        <v>-40.648000000000003</v>
      </c>
      <c r="Y340" s="10">
        <v>-53.969000000000001</v>
      </c>
      <c r="Z340" s="10">
        <v>7.1849999999999996</v>
      </c>
      <c r="AA340" s="10">
        <v>49.954999999999998</v>
      </c>
      <c r="AB340" s="10">
        <v>-43.819000000000003</v>
      </c>
      <c r="AC340" s="8">
        <v>0</v>
      </c>
      <c r="AD340" s="8">
        <v>0</v>
      </c>
      <c r="AE340" s="8">
        <v>0</v>
      </c>
      <c r="AF340" s="10">
        <v>0</v>
      </c>
      <c r="AG340" s="8">
        <f>COUNTIF(Y340:AB340,"&gt;0")</f>
        <v>2</v>
      </c>
      <c r="AH340" s="10">
        <v>0</v>
      </c>
      <c r="AI340" s="10">
        <v>57.14</v>
      </c>
      <c r="AJ340" s="8" t="str">
        <f>IF(ISNUMBER(X340),IF(X340&gt;0,"+",IF(X340&lt;0,"−","0")),IF(ISNUMBER(W340),IF(W340&gt;0,"+",IF(W340&lt;0,"−","0")),"yok"))</f>
        <v>−</v>
      </c>
      <c r="AK340" s="10">
        <f>IF(AND(RIGHT(C340,2)&lt;&gt;"12",ISNUMBER(U340),ISNUMBER(V340)),U340-V340,"")</f>
        <v>3.1720000000000041</v>
      </c>
      <c r="AL340" s="11">
        <f>IF(AND(ISNUMBER(AK340),ISNUMBER(V340)),IF(V340&lt;&gt;0,AK340/ABS(V340),""),"")</f>
        <v>9.3929523245484273E-2</v>
      </c>
      <c r="AM340" s="8">
        <f>IF(ISNUMBER(AK340),IF(AK340&gt;1,1,0),"")</f>
        <v>1</v>
      </c>
      <c r="AN340" s="8">
        <f>IF(ISNUMBER(AK340),IF(AK340&gt;0.05*ABS(V340),1,0),"")</f>
        <v>1</v>
      </c>
      <c r="AO340" s="10">
        <v>-40.648000000000003</v>
      </c>
      <c r="AP340" s="10">
        <v>40.648000000000003</v>
      </c>
      <c r="AQ340" s="8" t="s">
        <v>204</v>
      </c>
      <c r="AR340" s="8">
        <v>0</v>
      </c>
      <c r="AS340" s="10">
        <v>1474.0319999999999</v>
      </c>
      <c r="AT340" s="10">
        <v>363.96600000000001</v>
      </c>
      <c r="AU340" s="8" t="s">
        <v>204</v>
      </c>
      <c r="AV340" s="10">
        <v>3.1720000000000002</v>
      </c>
      <c r="AW340" s="11">
        <f>IF(AND(ISNUMBER(AV340),ISNUMBER(AT340)),IF(AT340&lt;&gt;0,AV340/ABS(AT340),""),"")</f>
        <v>8.7150997620656871E-3</v>
      </c>
      <c r="AX340" s="8">
        <v>0</v>
      </c>
      <c r="AY340" s="8">
        <v>1</v>
      </c>
      <c r="AZ340" s="10"/>
      <c r="BA340" s="8">
        <v>0</v>
      </c>
    </row>
    <row r="341" spans="1:53" x14ac:dyDescent="0.2">
      <c r="A341" s="8" t="s">
        <v>437</v>
      </c>
      <c r="B341" s="8" t="s">
        <v>82</v>
      </c>
      <c r="C341" s="8" t="s">
        <v>205</v>
      </c>
      <c r="D341" s="8">
        <v>1</v>
      </c>
      <c r="E341" s="8">
        <v>1</v>
      </c>
      <c r="F341" s="8">
        <f>SUM(G341:M341)</f>
        <v>1</v>
      </c>
      <c r="G341" s="8">
        <v>0</v>
      </c>
      <c r="H341" s="8">
        <v>1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1</v>
      </c>
      <c r="Q341" s="8">
        <v>1</v>
      </c>
      <c r="R341" s="8">
        <v>1</v>
      </c>
      <c r="S341" s="8">
        <v>0</v>
      </c>
      <c r="T341" s="10">
        <v>-78.725999999999999</v>
      </c>
      <c r="U341" s="10">
        <v>-30.597999999999999</v>
      </c>
      <c r="V341" s="10">
        <v>-87.739000000000004</v>
      </c>
      <c r="W341" s="10">
        <f>IF(RIGHT(C341,2)="12",IF(ISNUMBER(T341),T341,""),IF(COUNT(T341,U341,V341)=3,T341+U341-V341,""))</f>
        <v>-21.584999999999994</v>
      </c>
      <c r="X341" s="10">
        <v>-21.585000000000001</v>
      </c>
      <c r="Y341" s="10">
        <v>7.1849999999999996</v>
      </c>
      <c r="Z341" s="10">
        <v>49.954999999999998</v>
      </c>
      <c r="AA341" s="10">
        <v>-43.819000000000003</v>
      </c>
      <c r="AB341" s="10">
        <v>-34.906999999999996</v>
      </c>
      <c r="AC341" s="8">
        <v>0</v>
      </c>
      <c r="AD341" s="8">
        <v>0</v>
      </c>
      <c r="AE341" s="8">
        <v>0</v>
      </c>
      <c r="AF341" s="10">
        <v>0</v>
      </c>
      <c r="AG341" s="8">
        <f>COUNTIF(Y341:AB341,"&gt;0")</f>
        <v>2</v>
      </c>
      <c r="AH341" s="10">
        <v>0</v>
      </c>
      <c r="AI341" s="10">
        <v>57.14</v>
      </c>
      <c r="AJ341" s="8" t="str">
        <f>IF(ISNUMBER(X341),IF(X341&gt;0,"+",IF(X341&lt;0,"−","0")),IF(ISNUMBER(W341),IF(W341&gt;0,"+",IF(W341&lt;0,"−","0")),"yok"))</f>
        <v>−</v>
      </c>
      <c r="AK341" s="10">
        <f>IF(AND(RIGHT(C341,2)&lt;&gt;"12",ISNUMBER(U341),ISNUMBER(V341)),U341-V341,"")</f>
        <v>57.141000000000005</v>
      </c>
      <c r="AL341" s="11">
        <f>IF(AND(ISNUMBER(AK341),ISNUMBER(V341)),IF(V341&lt;&gt;0,AK341/ABS(V341),""),"")</f>
        <v>0.65126112675093173</v>
      </c>
      <c r="AM341" s="8">
        <f>IF(ISNUMBER(AK341),IF(AK341&gt;1,1,0),"")</f>
        <v>1</v>
      </c>
      <c r="AN341" s="8">
        <f>IF(ISNUMBER(AK341),IF(AK341&gt;0.05*ABS(V341),1,0),"")</f>
        <v>1</v>
      </c>
      <c r="AO341" s="10">
        <v>-21.585000000000001</v>
      </c>
      <c r="AP341" s="10">
        <v>21.585000000000001</v>
      </c>
      <c r="AQ341" s="8" t="s">
        <v>204</v>
      </c>
      <c r="AR341" s="8">
        <v>0</v>
      </c>
      <c r="AS341" s="10">
        <v>2134.8209999999999</v>
      </c>
      <c r="AT341" s="10">
        <v>952.43600000000004</v>
      </c>
      <c r="AU341" s="8" t="s">
        <v>204</v>
      </c>
      <c r="AV341" s="10">
        <v>57.140999999999998</v>
      </c>
      <c r="AW341" s="11">
        <f>IF(AND(ISNUMBER(AV341),ISNUMBER(AT341)),IF(AT341&lt;&gt;0,AV341/ABS(AT341),""),"")</f>
        <v>5.9994582313142295E-2</v>
      </c>
      <c r="AX341" s="8">
        <v>0</v>
      </c>
      <c r="AY341" s="8">
        <v>1</v>
      </c>
      <c r="AZ341" s="10"/>
      <c r="BA341" s="8">
        <v>0</v>
      </c>
    </row>
    <row r="342" spans="1:53" x14ac:dyDescent="0.2">
      <c r="A342" s="8" t="s">
        <v>437</v>
      </c>
      <c r="B342" s="8" t="s">
        <v>82</v>
      </c>
      <c r="C342" s="8" t="s">
        <v>215</v>
      </c>
      <c r="D342" s="8">
        <v>1</v>
      </c>
      <c r="E342" s="8">
        <v>1</v>
      </c>
      <c r="F342" s="8">
        <f>SUM(G342:M342)</f>
        <v>1</v>
      </c>
      <c r="G342" s="8">
        <v>0</v>
      </c>
      <c r="H342" s="8">
        <v>1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1</v>
      </c>
      <c r="Q342" s="8">
        <v>1</v>
      </c>
      <c r="R342" s="8">
        <v>1</v>
      </c>
      <c r="S342" s="8">
        <v>0</v>
      </c>
      <c r="T342" s="10">
        <v>-86.481999999999999</v>
      </c>
      <c r="U342" s="10">
        <v>-30.597999999999999</v>
      </c>
      <c r="V342" s="10">
        <v>-80.554000000000002</v>
      </c>
      <c r="W342" s="10">
        <f>IF(RIGHT(C342,2)="12",IF(ISNUMBER(T342),T342,""),IF(COUNT(T342,U342,V342)=3,T342+U342-V342,""))</f>
        <v>-36.525999999999996</v>
      </c>
      <c r="X342" s="10">
        <v>-36.526000000000003</v>
      </c>
      <c r="Y342" s="10">
        <v>49.954999999999998</v>
      </c>
      <c r="Z342" s="10">
        <v>-43.819000000000003</v>
      </c>
      <c r="AA342" s="10">
        <v>-34.906999999999996</v>
      </c>
      <c r="AB342" s="10">
        <v>-7.7539999999999996</v>
      </c>
      <c r="AC342" s="8">
        <v>0</v>
      </c>
      <c r="AD342" s="8">
        <v>0</v>
      </c>
      <c r="AE342" s="8">
        <v>0</v>
      </c>
      <c r="AF342" s="10">
        <v>0</v>
      </c>
      <c r="AG342" s="8">
        <f>COUNTIF(Y342:AB342,"&gt;0")</f>
        <v>1</v>
      </c>
      <c r="AH342" s="10">
        <v>0</v>
      </c>
      <c r="AI342" s="10">
        <v>49.954999999999998</v>
      </c>
      <c r="AJ342" s="8" t="str">
        <f>IF(ISNUMBER(X342),IF(X342&gt;0,"+",IF(X342&lt;0,"−","0")),IF(ISNUMBER(W342),IF(W342&gt;0,"+",IF(W342&lt;0,"−","0")),"yok"))</f>
        <v>−</v>
      </c>
      <c r="AK342" s="10">
        <f>IF(AND(RIGHT(C342,2)&lt;&gt;"12",ISNUMBER(U342),ISNUMBER(V342)),U342-V342,"")</f>
        <v>49.956000000000003</v>
      </c>
      <c r="AL342" s="11">
        <f>IF(AND(ISNUMBER(AK342),ISNUMBER(V342)),IF(V342&lt;&gt;0,AK342/ABS(V342),""),"")</f>
        <v>0.62015542369094023</v>
      </c>
      <c r="AM342" s="8">
        <f>IF(ISNUMBER(AK342),IF(AK342&gt;1,1,0),"")</f>
        <v>1</v>
      </c>
      <c r="AN342" s="8">
        <f>IF(ISNUMBER(AK342),IF(AK342&gt;0.05*ABS(V342),1,0),"")</f>
        <v>1</v>
      </c>
      <c r="AO342" s="10">
        <v>-36.526000000000003</v>
      </c>
      <c r="AP342" s="10">
        <v>36.526000000000003</v>
      </c>
      <c r="AQ342" s="8" t="s">
        <v>204</v>
      </c>
      <c r="AR342" s="8">
        <v>0</v>
      </c>
      <c r="AS342" s="10">
        <v>1821.825</v>
      </c>
      <c r="AT342" s="10">
        <v>302.34899999999999</v>
      </c>
      <c r="AU342" s="8" t="s">
        <v>204</v>
      </c>
      <c r="AV342" s="10">
        <v>49.956000000000003</v>
      </c>
      <c r="AW342" s="11">
        <f>IF(AND(ISNUMBER(AV342),ISNUMBER(AT342)),IF(AT342&lt;&gt;0,AV342/ABS(AT342),""),"")</f>
        <v>0.16522627824137009</v>
      </c>
      <c r="AX342" s="8">
        <v>0</v>
      </c>
      <c r="AY342" s="8">
        <v>1</v>
      </c>
      <c r="AZ342" s="10"/>
      <c r="BA342" s="8">
        <v>0</v>
      </c>
    </row>
    <row r="343" spans="1:53" x14ac:dyDescent="0.2">
      <c r="A343" s="8" t="s">
        <v>438</v>
      </c>
      <c r="B343" s="8" t="s">
        <v>83</v>
      </c>
      <c r="C343" s="8" t="s">
        <v>208</v>
      </c>
      <c r="D343" s="8">
        <v>1</v>
      </c>
      <c r="E343" s="8">
        <v>1</v>
      </c>
      <c r="F343" s="8">
        <f>SUM(G343:M343)</f>
        <v>2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1</v>
      </c>
      <c r="M343" s="8">
        <v>1</v>
      </c>
      <c r="N343" s="8">
        <v>0</v>
      </c>
      <c r="O343" s="8">
        <v>0</v>
      </c>
      <c r="P343" s="8">
        <v>1</v>
      </c>
      <c r="Q343" s="8">
        <v>0</v>
      </c>
      <c r="R343" s="8">
        <v>0</v>
      </c>
      <c r="S343" s="8">
        <v>0</v>
      </c>
      <c r="T343" s="10">
        <v>-1502.0070000000001</v>
      </c>
      <c r="U343" s="10">
        <v>-1162.277</v>
      </c>
      <c r="V343" s="10">
        <v>-2071.0430000000001</v>
      </c>
      <c r="W343" s="10">
        <f>IF(RIGHT(C343,2)="12",IF(ISNUMBER(T343),T343,""),IF(COUNT(T343,U343,V343)=3,T343+U343-V343,""))</f>
        <v>-593.24099999999999</v>
      </c>
      <c r="X343" s="10">
        <v>-593.24199999999996</v>
      </c>
      <c r="Y343" s="10">
        <v>-1854.3610000000001</v>
      </c>
      <c r="Z343" s="10">
        <v>-1725.3910000000001</v>
      </c>
      <c r="AA343" s="10">
        <v>4488.5190000000002</v>
      </c>
      <c r="AB343" s="10">
        <v>-1502.0070000000001</v>
      </c>
      <c r="AC343" s="8">
        <v>0</v>
      </c>
      <c r="AD343" s="8">
        <v>0</v>
      </c>
      <c r="AE343" s="8">
        <v>0</v>
      </c>
      <c r="AF343" s="10">
        <v>0</v>
      </c>
      <c r="AG343" s="8">
        <f>COUNTIF(Y343:AB343,"&gt;0")</f>
        <v>1</v>
      </c>
      <c r="AH343" s="10">
        <v>0</v>
      </c>
      <c r="AI343" s="10">
        <v>4488.5190000000002</v>
      </c>
      <c r="AJ343" s="8" t="str">
        <f>IF(ISNUMBER(X343),IF(X343&gt;0,"+",IF(X343&lt;0,"−","0")),IF(ISNUMBER(W343),IF(W343&gt;0,"+",IF(W343&lt;0,"−","0")),"yok"))</f>
        <v>−</v>
      </c>
      <c r="AK343" s="10">
        <f>IF(AND(RIGHT(C343,2)&lt;&gt;"12",ISNUMBER(U343),ISNUMBER(V343)),U343-V343,"")</f>
        <v>908.76600000000008</v>
      </c>
      <c r="AL343" s="11">
        <f>IF(AND(ISNUMBER(AK343),ISNUMBER(V343)),IF(V343&lt;&gt;0,AK343/ABS(V343),""),"")</f>
        <v>0.43879629732458475</v>
      </c>
      <c r="AM343" s="8">
        <f>IF(ISNUMBER(AK343),IF(AK343&gt;1,1,0),"")</f>
        <v>1</v>
      </c>
      <c r="AN343" s="8">
        <f>IF(ISNUMBER(AK343),IF(AK343&gt;0.05*ABS(V343),1,0),"")</f>
        <v>1</v>
      </c>
      <c r="AO343" s="10">
        <v>-593.24199999999996</v>
      </c>
      <c r="AP343" s="10">
        <v>593.24199999999996</v>
      </c>
      <c r="AQ343" s="8" t="s">
        <v>204</v>
      </c>
      <c r="AR343" s="8">
        <v>0</v>
      </c>
      <c r="AS343" s="10">
        <v>2585.5459999999998</v>
      </c>
      <c r="AT343" s="10">
        <v>1143.3679999999999</v>
      </c>
      <c r="AU343" s="8" t="s">
        <v>204</v>
      </c>
      <c r="AV343" s="10">
        <v>908.76599999999996</v>
      </c>
      <c r="AW343" s="11">
        <f>IF(AND(ISNUMBER(AV343),ISNUMBER(AT343)),IF(AT343&lt;&gt;0,AV343/ABS(AT343),""),"")</f>
        <v>0.79481496770943394</v>
      </c>
      <c r="AX343" s="8">
        <v>0</v>
      </c>
      <c r="AY343" s="8">
        <v>1</v>
      </c>
      <c r="AZ343" s="10"/>
      <c r="BA343" s="8">
        <v>1</v>
      </c>
    </row>
    <row r="344" spans="1:53" x14ac:dyDescent="0.2">
      <c r="A344" s="8" t="s">
        <v>438</v>
      </c>
      <c r="B344" s="8" t="s">
        <v>83</v>
      </c>
      <c r="C344" s="8" t="s">
        <v>210</v>
      </c>
      <c r="D344" s="8">
        <v>1</v>
      </c>
      <c r="E344" s="8">
        <v>1</v>
      </c>
      <c r="F344" s="8">
        <f>SUM(G344:M344)</f>
        <v>2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1</v>
      </c>
      <c r="M344" s="8">
        <v>1</v>
      </c>
      <c r="N344" s="8">
        <v>0</v>
      </c>
      <c r="O344" s="8">
        <v>0</v>
      </c>
      <c r="P344" s="8">
        <v>1</v>
      </c>
      <c r="Q344" s="8">
        <v>0</v>
      </c>
      <c r="R344" s="8">
        <v>0</v>
      </c>
      <c r="S344" s="8">
        <v>0</v>
      </c>
      <c r="T344" s="10">
        <v>-3341.9940000000001</v>
      </c>
      <c r="U344" s="10">
        <v>-1162.277</v>
      </c>
      <c r="V344" s="10">
        <v>-3925.4050000000002</v>
      </c>
      <c r="W344" s="10">
        <f>IF(RIGHT(C344,2)="12",IF(ISNUMBER(T344),T344,""),IF(COUNT(T344,U344,V344)=3,T344+U344-V344,""))</f>
        <v>-578.86600000000044</v>
      </c>
      <c r="X344" s="10">
        <v>-578.86599999999999</v>
      </c>
      <c r="Y344" s="10">
        <v>-1725.3910000000001</v>
      </c>
      <c r="Z344" s="10">
        <v>4488.5190000000002</v>
      </c>
      <c r="AA344" s="10">
        <v>-1502.0070000000001</v>
      </c>
      <c r="AB344" s="10">
        <v>-1839.9860000000001</v>
      </c>
      <c r="AC344" s="8">
        <v>0</v>
      </c>
      <c r="AD344" s="8">
        <v>0</v>
      </c>
      <c r="AE344" s="8">
        <v>0</v>
      </c>
      <c r="AF344" s="10">
        <v>0</v>
      </c>
      <c r="AG344" s="8">
        <f>COUNTIF(Y344:AB344,"&gt;0")</f>
        <v>1</v>
      </c>
      <c r="AH344" s="10">
        <v>0</v>
      </c>
      <c r="AI344" s="10">
        <v>4488.5190000000002</v>
      </c>
      <c r="AJ344" s="8" t="str">
        <f>IF(ISNUMBER(X344),IF(X344&gt;0,"+",IF(X344&lt;0,"−","0")),IF(ISNUMBER(W344),IF(W344&gt;0,"+",IF(W344&lt;0,"−","0")),"yok"))</f>
        <v>−</v>
      </c>
      <c r="AK344" s="10">
        <f>IF(AND(RIGHT(C344,2)&lt;&gt;"12",ISNUMBER(U344),ISNUMBER(V344)),U344-V344,"")</f>
        <v>2763.1280000000002</v>
      </c>
      <c r="AL344" s="11">
        <f>IF(AND(ISNUMBER(AK344),ISNUMBER(V344)),IF(V344&lt;&gt;0,AK344/ABS(V344),""),"")</f>
        <v>0.70390902340013328</v>
      </c>
      <c r="AM344" s="8">
        <f>IF(ISNUMBER(AK344),IF(AK344&gt;1,1,0),"")</f>
        <v>1</v>
      </c>
      <c r="AN344" s="8">
        <f>IF(ISNUMBER(AK344),IF(AK344&gt;0.05*ABS(V344),1,0),"")</f>
        <v>1</v>
      </c>
      <c r="AO344" s="10">
        <v>-578.86599999999999</v>
      </c>
      <c r="AP344" s="10">
        <v>578.86599999999999</v>
      </c>
      <c r="AQ344" s="8" t="s">
        <v>204</v>
      </c>
      <c r="AR344" s="8">
        <v>0</v>
      </c>
      <c r="AS344" s="10">
        <v>20.204999999999899</v>
      </c>
      <c r="AT344" s="10">
        <v>-1391.809</v>
      </c>
      <c r="AU344" s="8" t="s">
        <v>204</v>
      </c>
      <c r="AV344" s="10">
        <v>2763.1280000000002</v>
      </c>
      <c r="AW344" s="11">
        <f>IF(AND(ISNUMBER(AV344),ISNUMBER(AT344)),IF(AT344&lt;&gt;0,AV344/ABS(AT344),""),"")</f>
        <v>1.9852781523901628</v>
      </c>
      <c r="AX344" s="8">
        <v>0</v>
      </c>
      <c r="AY344" s="8">
        <v>1</v>
      </c>
      <c r="AZ344" s="10"/>
      <c r="BA344" s="8">
        <v>1</v>
      </c>
    </row>
    <row r="345" spans="1:53" x14ac:dyDescent="0.2">
      <c r="A345" s="8" t="s">
        <v>439</v>
      </c>
      <c r="B345" s="8" t="s">
        <v>82</v>
      </c>
      <c r="C345" s="8" t="s">
        <v>205</v>
      </c>
      <c r="D345" s="8">
        <v>1</v>
      </c>
      <c r="E345" s="8">
        <v>1</v>
      </c>
      <c r="F345" s="8">
        <f>SUM(G345:M345)</f>
        <v>1</v>
      </c>
      <c r="G345" s="8">
        <v>1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1</v>
      </c>
      <c r="O345" s="8">
        <v>1</v>
      </c>
      <c r="P345" s="8">
        <v>1</v>
      </c>
      <c r="Q345" s="8">
        <v>1</v>
      </c>
      <c r="R345" s="8">
        <v>1</v>
      </c>
      <c r="S345" s="8">
        <v>0</v>
      </c>
      <c r="T345" s="10">
        <v>14.471</v>
      </c>
      <c r="U345" s="10">
        <v>223.78399999999999</v>
      </c>
      <c r="V345" s="10">
        <v>-50.735999999999997</v>
      </c>
      <c r="W345" s="10">
        <f>IF(RIGHT(C345,2)="12",IF(ISNUMBER(T345),T345,""),IF(COUNT(T345,U345,V345)=3,T345+U345-V345,""))</f>
        <v>288.99099999999999</v>
      </c>
      <c r="X345" s="10">
        <v>288.99099999999999</v>
      </c>
      <c r="Y345" s="10">
        <v>11.874000000000001</v>
      </c>
      <c r="Z345" s="10">
        <v>262.64499999999998</v>
      </c>
      <c r="AA345" s="10"/>
      <c r="AB345" s="10"/>
      <c r="AC345" s="8">
        <v>1</v>
      </c>
      <c r="AD345" s="8">
        <v>1</v>
      </c>
      <c r="AE345" s="8">
        <v>0</v>
      </c>
      <c r="AF345" s="10">
        <v>223.78399999999999</v>
      </c>
      <c r="AG345" s="8">
        <f>COUNTIF(Y345:AB345,"&gt;0")</f>
        <v>2</v>
      </c>
      <c r="AH345" s="10">
        <v>0</v>
      </c>
      <c r="AI345" s="10">
        <v>274.51900000000001</v>
      </c>
      <c r="AJ345" s="8" t="str">
        <f>IF(ISNUMBER(X345),IF(X345&gt;0,"+",IF(X345&lt;0,"−","0")),IF(ISNUMBER(W345),IF(W345&gt;0,"+",IF(W345&lt;0,"−","0")),"yok"))</f>
        <v>+</v>
      </c>
      <c r="AK345" s="10">
        <f>IF(AND(RIGHT(C345,2)&lt;&gt;"12",ISNUMBER(U345),ISNUMBER(V345)),U345-V345,"")</f>
        <v>274.52</v>
      </c>
      <c r="AL345" s="11">
        <f>IF(AND(ISNUMBER(AK345),ISNUMBER(V345)),IF(V345&lt;&gt;0,AK345/ABS(V345),""),"")</f>
        <v>5.4107537054556918</v>
      </c>
      <c r="AM345" s="8">
        <f>IF(ISNUMBER(AK345),IF(AK345&gt;1,1,0),"")</f>
        <v>1</v>
      </c>
      <c r="AN345" s="8">
        <f>IF(ISNUMBER(AK345),IF(AK345&gt;0.05*ABS(V345),1,0),"")</f>
        <v>1</v>
      </c>
      <c r="AO345" s="10">
        <v>288.99099999999999</v>
      </c>
      <c r="AP345" s="10">
        <v>0</v>
      </c>
      <c r="AQ345" s="8" t="s">
        <v>209</v>
      </c>
      <c r="AR345" s="8">
        <v>1</v>
      </c>
      <c r="AS345" s="10">
        <v>3677.6149999999998</v>
      </c>
      <c r="AT345" s="10">
        <v>1851.8340000000001</v>
      </c>
      <c r="AU345" s="8" t="s">
        <v>209</v>
      </c>
      <c r="AV345" s="10">
        <v>223.78399999999999</v>
      </c>
      <c r="AW345" s="11">
        <f>IF(AND(ISNUMBER(AV345),ISNUMBER(AT345)),IF(AT345&lt;&gt;0,AV345/ABS(AT345),""),"")</f>
        <v>0.12084452494122043</v>
      </c>
      <c r="AX345" s="8">
        <v>1</v>
      </c>
      <c r="AY345" s="8">
        <v>0</v>
      </c>
      <c r="AZ345" s="8" t="s">
        <v>440</v>
      </c>
      <c r="BA345" s="8">
        <v>0</v>
      </c>
    </row>
    <row r="346" spans="1:53" x14ac:dyDescent="0.2">
      <c r="A346" s="8" t="s">
        <v>439</v>
      </c>
      <c r="B346" s="8" t="s">
        <v>82</v>
      </c>
      <c r="C346" s="8" t="s">
        <v>215</v>
      </c>
      <c r="D346" s="8">
        <v>1</v>
      </c>
      <c r="E346" s="8">
        <v>1</v>
      </c>
      <c r="F346" s="8">
        <f>SUM(G346:M346)</f>
        <v>1</v>
      </c>
      <c r="G346" s="8">
        <v>1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1</v>
      </c>
      <c r="O346" s="8">
        <v>1</v>
      </c>
      <c r="P346" s="8">
        <v>1</v>
      </c>
      <c r="Q346" s="8">
        <v>1</v>
      </c>
      <c r="R346" s="8">
        <v>1</v>
      </c>
      <c r="S346" s="8">
        <v>1</v>
      </c>
      <c r="T346" s="10">
        <v>17.812999999999999</v>
      </c>
      <c r="U346" s="10">
        <v>223.78399999999999</v>
      </c>
      <c r="V346" s="10">
        <v>-38.860999999999997</v>
      </c>
      <c r="W346" s="10">
        <f>IF(RIGHT(C346,2)="12",IF(ISNUMBER(T346),T346,""),IF(COUNT(T346,U346,V346)=3,T346+U346-V346,""))</f>
        <v>280.45799999999997</v>
      </c>
      <c r="X346" s="10">
        <v>280.459</v>
      </c>
      <c r="Y346" s="10">
        <v>262.64499999999998</v>
      </c>
      <c r="Z346" s="10"/>
      <c r="AA346" s="10"/>
      <c r="AB346" s="10">
        <v>3.3420000000000001</v>
      </c>
      <c r="AC346" s="8">
        <v>1</v>
      </c>
      <c r="AD346" s="8">
        <v>1</v>
      </c>
      <c r="AE346" s="8">
        <v>0</v>
      </c>
      <c r="AF346" s="10">
        <v>223.78399999999999</v>
      </c>
      <c r="AG346" s="8">
        <f>COUNTIF(Y346:AB346,"&gt;0")</f>
        <v>2</v>
      </c>
      <c r="AH346" s="10">
        <v>3.3420000000000001</v>
      </c>
      <c r="AI346" s="10">
        <v>262.64499999999998</v>
      </c>
      <c r="AJ346" s="8" t="str">
        <f>IF(ISNUMBER(X346),IF(X346&gt;0,"+",IF(X346&lt;0,"−","0")),IF(ISNUMBER(W346),IF(W346&gt;0,"+",IF(W346&lt;0,"−","0")),"yok"))</f>
        <v>+</v>
      </c>
      <c r="AK346" s="10">
        <f>IF(AND(RIGHT(C346,2)&lt;&gt;"12",ISNUMBER(U346),ISNUMBER(V346)),U346-V346,"")</f>
        <v>262.64499999999998</v>
      </c>
      <c r="AL346" s="11">
        <f>IF(AND(ISNUMBER(AK346),ISNUMBER(V346)),IF(V346&lt;&gt;0,AK346/ABS(V346),""),"")</f>
        <v>6.7585754355266205</v>
      </c>
      <c r="AM346" s="8">
        <f>IF(ISNUMBER(AK346),IF(AK346&gt;1,1,0),"")</f>
        <v>1</v>
      </c>
      <c r="AN346" s="8">
        <f>IF(ISNUMBER(AK346),IF(AK346&gt;0.05*ABS(V346),1,0),"")</f>
        <v>1</v>
      </c>
      <c r="AO346" s="10">
        <v>280.459</v>
      </c>
      <c r="AP346" s="10">
        <v>0</v>
      </c>
      <c r="AQ346" s="8" t="s">
        <v>209</v>
      </c>
      <c r="AR346" s="8">
        <v>1</v>
      </c>
      <c r="AS346" s="10">
        <v>3630.0770000000002</v>
      </c>
      <c r="AT346" s="10">
        <v>2011.66</v>
      </c>
      <c r="AU346" s="8" t="s">
        <v>209</v>
      </c>
      <c r="AV346" s="10">
        <v>223.78399999999999</v>
      </c>
      <c r="AW346" s="11">
        <f>IF(AND(ISNUMBER(AV346),ISNUMBER(AT346)),IF(AT346&lt;&gt;0,AV346/ABS(AT346),""),"")</f>
        <v>0.11124345068252089</v>
      </c>
      <c r="AX346" s="8">
        <v>1</v>
      </c>
      <c r="AY346" s="8">
        <v>0</v>
      </c>
      <c r="AZ346" s="8" t="s">
        <v>441</v>
      </c>
      <c r="BA346" s="8">
        <v>0</v>
      </c>
    </row>
    <row r="347" spans="1:53" x14ac:dyDescent="0.2">
      <c r="A347" s="8" t="s">
        <v>439</v>
      </c>
      <c r="B347" s="8" t="s">
        <v>82</v>
      </c>
      <c r="C347" s="8" t="s">
        <v>210</v>
      </c>
      <c r="D347" s="8">
        <v>1</v>
      </c>
      <c r="E347" s="8">
        <v>1</v>
      </c>
      <c r="F347" s="8">
        <f>SUM(G347:M347)</f>
        <v>1</v>
      </c>
      <c r="G347" s="8">
        <v>0</v>
      </c>
      <c r="H347" s="8">
        <v>0</v>
      </c>
      <c r="I347" s="8">
        <v>0</v>
      </c>
      <c r="J347" s="8">
        <v>1</v>
      </c>
      <c r="K347" s="8">
        <v>0</v>
      </c>
      <c r="L347" s="8">
        <v>0</v>
      </c>
      <c r="M347" s="8">
        <v>0</v>
      </c>
      <c r="N347" s="8">
        <v>0</v>
      </c>
      <c r="O347" s="8">
        <v>1</v>
      </c>
      <c r="P347" s="8">
        <v>1</v>
      </c>
      <c r="Q347" s="8">
        <v>0</v>
      </c>
      <c r="R347" s="8">
        <v>1</v>
      </c>
      <c r="S347" s="8">
        <v>0</v>
      </c>
      <c r="T347" s="10">
        <v>-4.28</v>
      </c>
      <c r="U347" s="10">
        <v>-6.6429999999999998</v>
      </c>
      <c r="V347" s="10">
        <v>14.471</v>
      </c>
      <c r="W347" s="10">
        <f>IF(RIGHT(C347,2)="12",IF(ISNUMBER(T347),T347,""),IF(COUNT(T347,U347,V347)=3,T347+U347-V347,""))</f>
        <v>-25.393999999999998</v>
      </c>
      <c r="X347" s="10">
        <v>-25.393999999999998</v>
      </c>
      <c r="Y347" s="10">
        <v>3.3420000000000001</v>
      </c>
      <c r="Z347" s="10">
        <v>-24.456</v>
      </c>
      <c r="AA347" s="10"/>
      <c r="AB347" s="10"/>
      <c r="AC347" s="8">
        <v>0</v>
      </c>
      <c r="AD347" s="8">
        <v>0</v>
      </c>
      <c r="AE347" s="8">
        <v>1</v>
      </c>
      <c r="AF347" s="10">
        <v>14.471</v>
      </c>
      <c r="AG347" s="8">
        <f>COUNTIF(Y347:AB347,"&gt;0")</f>
        <v>1</v>
      </c>
      <c r="AH347" s="10">
        <v>0</v>
      </c>
      <c r="AI347" s="10">
        <v>3.3420000000000001</v>
      </c>
      <c r="AJ347" s="8" t="str">
        <f>IF(ISNUMBER(X347),IF(X347&gt;0,"+",IF(X347&lt;0,"−","0")),IF(ISNUMBER(W347),IF(W347&gt;0,"+",IF(W347&lt;0,"−","0")),"yok"))</f>
        <v>−</v>
      </c>
      <c r="AK347" s="10">
        <f>IF(AND(RIGHT(C347,2)&lt;&gt;"12",ISNUMBER(U347),ISNUMBER(V347)),U347-V347,"")</f>
        <v>-21.114000000000001</v>
      </c>
      <c r="AL347" s="11">
        <f>IF(AND(ISNUMBER(AK347),ISNUMBER(V347)),IF(V347&lt;&gt;0,AK347/ABS(V347),""),"")</f>
        <v>-1.4590560431207242</v>
      </c>
      <c r="AM347" s="8">
        <f>IF(ISNUMBER(AK347),IF(AK347&gt;1,1,0),"")</f>
        <v>0</v>
      </c>
      <c r="AN347" s="8">
        <f>IF(ISNUMBER(AK347),IF(AK347&gt;0.05*ABS(V347),1,0),"")</f>
        <v>0</v>
      </c>
      <c r="AO347" s="10"/>
      <c r="AP347" s="10"/>
      <c r="AQ347" s="8" t="s">
        <v>207</v>
      </c>
      <c r="AR347" s="8">
        <v>0</v>
      </c>
      <c r="AS347" s="10">
        <v>2782.768</v>
      </c>
      <c r="AT347" s="10"/>
      <c r="AU347" s="8" t="s">
        <v>207</v>
      </c>
      <c r="AV347" s="10">
        <v>14.471</v>
      </c>
      <c r="AW347" s="11" t="str">
        <f>IF(AND(ISNUMBER(AV347),ISNUMBER(AT347)),IF(AT347&lt;&gt;0,AV347/ABS(AT347),""),"")</f>
        <v/>
      </c>
      <c r="AX347" s="8">
        <v>1</v>
      </c>
      <c r="AY347" s="8">
        <v>0</v>
      </c>
      <c r="AZ347" s="8" t="s">
        <v>442</v>
      </c>
      <c r="BA347" s="8">
        <v>0</v>
      </c>
    </row>
    <row r="348" spans="1:53" x14ac:dyDescent="0.2">
      <c r="A348" s="8" t="s">
        <v>443</v>
      </c>
      <c r="B348" s="8" t="s">
        <v>82</v>
      </c>
      <c r="C348" s="8" t="s">
        <v>203</v>
      </c>
      <c r="D348" s="8">
        <v>1</v>
      </c>
      <c r="E348" s="8">
        <v>1</v>
      </c>
      <c r="F348" s="8">
        <f>SUM(G348:M348)</f>
        <v>1</v>
      </c>
      <c r="G348" s="8">
        <v>1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1</v>
      </c>
      <c r="O348" s="8">
        <v>1</v>
      </c>
      <c r="P348" s="8">
        <v>1</v>
      </c>
      <c r="Q348" s="8">
        <v>1</v>
      </c>
      <c r="R348" s="8">
        <v>1</v>
      </c>
      <c r="S348" s="8">
        <v>0</v>
      </c>
      <c r="T348" s="10">
        <v>-6.9029999999999996</v>
      </c>
      <c r="U348" s="10">
        <v>140.03700000000001</v>
      </c>
      <c r="V348" s="10">
        <v>0.90800000000000003</v>
      </c>
      <c r="W348" s="10">
        <f>IF(RIGHT(C348,2)="12",IF(ISNUMBER(T348),T348,""),IF(COUNT(T348,U348,V348)=3,T348+U348-V348,""))</f>
        <v>132.22600000000003</v>
      </c>
      <c r="X348" s="10">
        <v>132.22499999999999</v>
      </c>
      <c r="Y348" s="10">
        <v>493.55200000000002</v>
      </c>
      <c r="Z348" s="10">
        <v>64.948999999999998</v>
      </c>
      <c r="AA348" s="10">
        <v>-419.37200000000001</v>
      </c>
      <c r="AB348" s="10">
        <v>-6.9029999999999996</v>
      </c>
      <c r="AC348" s="8">
        <v>0</v>
      </c>
      <c r="AD348" s="8">
        <v>1</v>
      </c>
      <c r="AE348" s="8">
        <v>1</v>
      </c>
      <c r="AF348" s="10">
        <v>140.03700000000001</v>
      </c>
      <c r="AG348" s="8">
        <f>COUNTIF(Y348:AB348,"&gt;0")</f>
        <v>2</v>
      </c>
      <c r="AH348" s="10">
        <v>0</v>
      </c>
      <c r="AI348" s="10">
        <v>558.50099999999998</v>
      </c>
      <c r="AJ348" s="8" t="str">
        <f>IF(ISNUMBER(X348),IF(X348&gt;0,"+",IF(X348&lt;0,"−","0")),IF(ISNUMBER(W348),IF(W348&gt;0,"+",IF(W348&lt;0,"−","0")),"yok"))</f>
        <v>+</v>
      </c>
      <c r="AK348" s="10">
        <f>IF(AND(RIGHT(C348,2)&lt;&gt;"12",ISNUMBER(U348),ISNUMBER(V348)),U348-V348,"")</f>
        <v>139.12900000000002</v>
      </c>
      <c r="AL348" s="11">
        <f>IF(AND(ISNUMBER(AK348),ISNUMBER(V348)),IF(V348&lt;&gt;0,AK348/ABS(V348),""),"")</f>
        <v>153.22577092511014</v>
      </c>
      <c r="AM348" s="8">
        <f>IF(ISNUMBER(AK348),IF(AK348&gt;1,1,0),"")</f>
        <v>1</v>
      </c>
      <c r="AN348" s="8">
        <f>IF(ISNUMBER(AK348),IF(AK348&gt;0.05*ABS(V348),1,0),"")</f>
        <v>1</v>
      </c>
      <c r="AO348" s="10">
        <v>132.226</v>
      </c>
      <c r="AP348" s="10">
        <v>0</v>
      </c>
      <c r="AQ348" s="8" t="s">
        <v>204</v>
      </c>
      <c r="AR348" s="8">
        <v>1</v>
      </c>
      <c r="AS348" s="10">
        <v>1709.655</v>
      </c>
      <c r="AT348" s="10">
        <v>-3625.123</v>
      </c>
      <c r="AU348" s="8" t="s">
        <v>204</v>
      </c>
      <c r="AV348" s="10">
        <v>140.03700000000001</v>
      </c>
      <c r="AW348" s="11">
        <f>IF(AND(ISNUMBER(AV348),ISNUMBER(AT348)),IF(AT348&lt;&gt;0,AV348/ABS(AT348),""),"")</f>
        <v>3.8629585809915969E-2</v>
      </c>
      <c r="AX348" s="8">
        <v>1</v>
      </c>
      <c r="AY348" s="8">
        <v>0</v>
      </c>
      <c r="AZ348" s="8" t="s">
        <v>444</v>
      </c>
      <c r="BA348" s="8">
        <v>1</v>
      </c>
    </row>
    <row r="349" spans="1:53" x14ac:dyDescent="0.2">
      <c r="A349" s="8" t="s">
        <v>443</v>
      </c>
      <c r="B349" s="8" t="s">
        <v>82</v>
      </c>
      <c r="C349" s="8" t="s">
        <v>205</v>
      </c>
      <c r="D349" s="8">
        <v>1</v>
      </c>
      <c r="E349" s="8">
        <v>1</v>
      </c>
      <c r="F349" s="8">
        <f>SUM(G349:M349)</f>
        <v>1</v>
      </c>
      <c r="G349" s="8">
        <v>0</v>
      </c>
      <c r="H349" s="8">
        <v>0</v>
      </c>
      <c r="I349" s="8">
        <v>0</v>
      </c>
      <c r="J349" s="8">
        <v>1</v>
      </c>
      <c r="K349" s="8">
        <v>0</v>
      </c>
      <c r="L349" s="8">
        <v>0</v>
      </c>
      <c r="M349" s="8">
        <v>0</v>
      </c>
      <c r="N349" s="8">
        <v>0</v>
      </c>
      <c r="O349" s="8">
        <v>1</v>
      </c>
      <c r="P349" s="8">
        <v>1</v>
      </c>
      <c r="Q349" s="8">
        <v>0</v>
      </c>
      <c r="R349" s="8">
        <v>1</v>
      </c>
      <c r="S349" s="8">
        <v>1</v>
      </c>
      <c r="T349" s="10">
        <v>106.568</v>
      </c>
      <c r="U349" s="10">
        <v>140.03700000000001</v>
      </c>
      <c r="V349" s="10">
        <v>494.46100000000001</v>
      </c>
      <c r="W349" s="10">
        <f>IF(RIGHT(C349,2)="12",IF(ISNUMBER(T349),T349,""),IF(COUNT(T349,U349,V349)=3,T349+U349-V349,""))</f>
        <v>-247.85599999999999</v>
      </c>
      <c r="X349" s="10">
        <v>-247.85400000000001</v>
      </c>
      <c r="Y349" s="10">
        <v>64.948999999999998</v>
      </c>
      <c r="Z349" s="10">
        <v>-419.37200000000001</v>
      </c>
      <c r="AA349" s="10">
        <v>-6.9029999999999996</v>
      </c>
      <c r="AB349" s="10">
        <v>113.471</v>
      </c>
      <c r="AC349" s="8">
        <v>1</v>
      </c>
      <c r="AD349" s="8">
        <v>1</v>
      </c>
      <c r="AE349" s="8">
        <v>1</v>
      </c>
      <c r="AF349" s="10">
        <v>494.46100000000001</v>
      </c>
      <c r="AG349" s="8">
        <f>COUNTIF(Y349:AB349,"&gt;0")</f>
        <v>2</v>
      </c>
      <c r="AH349" s="10">
        <v>113.471</v>
      </c>
      <c r="AI349" s="10">
        <v>64.948999999999998</v>
      </c>
      <c r="AJ349" s="8" t="str">
        <f>IF(ISNUMBER(X349),IF(X349&gt;0,"+",IF(X349&lt;0,"−","0")),IF(ISNUMBER(W349),IF(W349&gt;0,"+",IF(W349&lt;0,"−","0")),"yok"))</f>
        <v>−</v>
      </c>
      <c r="AK349" s="10">
        <f>IF(AND(RIGHT(C349,2)&lt;&gt;"12",ISNUMBER(U349),ISNUMBER(V349)),U349-V349,"")</f>
        <v>-354.42399999999998</v>
      </c>
      <c r="AL349" s="11">
        <f>IF(AND(ISNUMBER(AK349),ISNUMBER(V349)),IF(V349&lt;&gt;0,AK349/ABS(V349),""),"")</f>
        <v>-0.71678858393280753</v>
      </c>
      <c r="AM349" s="8">
        <f>IF(ISNUMBER(AK349),IF(AK349&gt;1,1,0),"")</f>
        <v>0</v>
      </c>
      <c r="AN349" s="8">
        <f>IF(ISNUMBER(AK349),IF(AK349&gt;0.05*ABS(V349),1,0),"")</f>
        <v>0</v>
      </c>
      <c r="AO349" s="10">
        <v>-247.85499999999999</v>
      </c>
      <c r="AP349" s="10">
        <v>247.85499999999999</v>
      </c>
      <c r="AQ349" s="8" t="s">
        <v>204</v>
      </c>
      <c r="AR349" s="8">
        <v>0</v>
      </c>
      <c r="AS349" s="10">
        <v>-8566.3279999999995</v>
      </c>
      <c r="AT349" s="10">
        <v>-8814.1830000000009</v>
      </c>
      <c r="AU349" s="8" t="s">
        <v>204</v>
      </c>
      <c r="AV349" s="10">
        <v>494.46100000000001</v>
      </c>
      <c r="AW349" s="11">
        <f>IF(AND(ISNUMBER(AV349),ISNUMBER(AT349)),IF(AT349&lt;&gt;0,AV349/ABS(AT349),""),"")</f>
        <v>5.6098336056784839E-2</v>
      </c>
      <c r="AX349" s="8">
        <v>1</v>
      </c>
      <c r="AY349" s="8">
        <v>0</v>
      </c>
      <c r="AZ349" s="8" t="s">
        <v>445</v>
      </c>
      <c r="BA349" s="8">
        <v>1</v>
      </c>
    </row>
    <row r="350" spans="1:53" x14ac:dyDescent="0.2">
      <c r="A350" s="8" t="s">
        <v>443</v>
      </c>
      <c r="B350" s="8" t="s">
        <v>82</v>
      </c>
      <c r="C350" s="8" t="s">
        <v>215</v>
      </c>
      <c r="D350" s="8">
        <v>1</v>
      </c>
      <c r="E350" s="8">
        <v>1</v>
      </c>
      <c r="F350" s="8">
        <f>SUM(G350:M350)</f>
        <v>1</v>
      </c>
      <c r="G350" s="8">
        <v>0</v>
      </c>
      <c r="H350" s="8">
        <v>0</v>
      </c>
      <c r="I350" s="8">
        <v>0</v>
      </c>
      <c r="J350" s="8">
        <v>1</v>
      </c>
      <c r="K350" s="8">
        <v>0</v>
      </c>
      <c r="L350" s="8">
        <v>0</v>
      </c>
      <c r="M350" s="8">
        <v>0</v>
      </c>
      <c r="N350" s="8">
        <v>0</v>
      </c>
      <c r="O350" s="8">
        <v>1</v>
      </c>
      <c r="P350" s="8">
        <v>1</v>
      </c>
      <c r="Q350" s="8">
        <v>0</v>
      </c>
      <c r="R350" s="8">
        <v>0</v>
      </c>
      <c r="S350" s="8">
        <v>1</v>
      </c>
      <c r="T350" s="10">
        <v>51.594000000000001</v>
      </c>
      <c r="U350" s="10">
        <v>140.03700000000001</v>
      </c>
      <c r="V350" s="10">
        <v>559.41</v>
      </c>
      <c r="W350" s="10">
        <f>IF(RIGHT(C350,2)="12",IF(ISNUMBER(T350),T350,""),IF(COUNT(T350,U350,V350)=3,T350+U350-V350,""))</f>
        <v>-367.779</v>
      </c>
      <c r="X350" s="10">
        <v>-367.77699999999999</v>
      </c>
      <c r="Y350" s="10">
        <v>-419.37200000000001</v>
      </c>
      <c r="Z350" s="10">
        <v>-6.9029999999999996</v>
      </c>
      <c r="AA350" s="10">
        <v>113.471</v>
      </c>
      <c r="AB350" s="10">
        <v>-54.972999999999999</v>
      </c>
      <c r="AC350" s="8">
        <v>1</v>
      </c>
      <c r="AD350" s="8">
        <v>1</v>
      </c>
      <c r="AE350" s="8">
        <v>1</v>
      </c>
      <c r="AF350" s="10">
        <v>559.41</v>
      </c>
      <c r="AG350" s="8">
        <f>COUNTIF(Y350:AB350,"&gt;0")</f>
        <v>1</v>
      </c>
      <c r="AH350" s="10">
        <v>113.471</v>
      </c>
      <c r="AI350" s="10">
        <v>0</v>
      </c>
      <c r="AJ350" s="8" t="str">
        <f>IF(ISNUMBER(X350),IF(X350&gt;0,"+",IF(X350&lt;0,"−","0")),IF(ISNUMBER(W350),IF(W350&gt;0,"+",IF(W350&lt;0,"−","0")),"yok"))</f>
        <v>−</v>
      </c>
      <c r="AK350" s="10">
        <f>IF(AND(RIGHT(C350,2)&lt;&gt;"12",ISNUMBER(U350),ISNUMBER(V350)),U350-V350,"")</f>
        <v>-419.37299999999993</v>
      </c>
      <c r="AL350" s="11">
        <f>IF(AND(ISNUMBER(AK350),ISNUMBER(V350)),IF(V350&lt;&gt;0,AK350/ABS(V350),""),"")</f>
        <v>-0.7496701882340322</v>
      </c>
      <c r="AM350" s="8">
        <f>IF(ISNUMBER(AK350),IF(AK350&gt;1,1,0),"")</f>
        <v>0</v>
      </c>
      <c r="AN350" s="8">
        <f>IF(ISNUMBER(AK350),IF(AK350&gt;0.05*ABS(V350),1,0),"")</f>
        <v>0</v>
      </c>
      <c r="AO350" s="10">
        <v>-367.77699999999999</v>
      </c>
      <c r="AP350" s="10">
        <v>367.77699999999999</v>
      </c>
      <c r="AQ350" s="8" t="s">
        <v>204</v>
      </c>
      <c r="AR350" s="8">
        <v>0</v>
      </c>
      <c r="AS350" s="10">
        <v>-9108.2759999999998</v>
      </c>
      <c r="AT350" s="10">
        <v>-9476.0529999999999</v>
      </c>
      <c r="AU350" s="8" t="s">
        <v>204</v>
      </c>
      <c r="AV350" s="10">
        <v>559.41</v>
      </c>
      <c r="AW350" s="11">
        <f>IF(AND(ISNUMBER(AV350),ISNUMBER(AT350)),IF(AT350&lt;&gt;0,AV350/ABS(AT350),""),"")</f>
        <v>5.9034072519433982E-2</v>
      </c>
      <c r="AX350" s="8">
        <v>1</v>
      </c>
      <c r="AY350" s="8">
        <v>0</v>
      </c>
      <c r="AZ350" s="8" t="s">
        <v>446</v>
      </c>
      <c r="BA350" s="8">
        <v>1</v>
      </c>
    </row>
    <row r="351" spans="1:53" x14ac:dyDescent="0.2">
      <c r="A351" s="8" t="s">
        <v>443</v>
      </c>
      <c r="B351" s="8" t="s">
        <v>82</v>
      </c>
      <c r="C351" s="8" t="s">
        <v>290</v>
      </c>
      <c r="D351" s="8">
        <v>1</v>
      </c>
      <c r="E351" s="8">
        <v>1</v>
      </c>
      <c r="F351" s="8">
        <f>SUM(G351:M351)</f>
        <v>1</v>
      </c>
      <c r="G351" s="8">
        <v>1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1</v>
      </c>
      <c r="O351" s="8">
        <v>1</v>
      </c>
      <c r="P351" s="8">
        <v>1</v>
      </c>
      <c r="Q351" s="8">
        <v>0</v>
      </c>
      <c r="R351" s="8">
        <v>0</v>
      </c>
      <c r="S351" s="8">
        <v>1</v>
      </c>
      <c r="T351" s="10">
        <v>31.172999999999998</v>
      </c>
      <c r="U351" s="10"/>
      <c r="V351" s="10"/>
      <c r="W351" s="10">
        <f>IF(RIGHT(C351,2)="12",IF(ISNUMBER(T351),T351,""),IF(COUNT(T351,U351,V351)=3,T351+U351-V351,""))</f>
        <v>31.172999999999998</v>
      </c>
      <c r="X351" s="10">
        <v>31.172999999999998</v>
      </c>
      <c r="Y351" s="10">
        <v>-6.9029999999999996</v>
      </c>
      <c r="Z351" s="10">
        <v>113.471</v>
      </c>
      <c r="AA351" s="10">
        <v>-54.972999999999999</v>
      </c>
      <c r="AB351" s="10">
        <v>-20.420999999999999</v>
      </c>
      <c r="AC351" s="8">
        <v>1</v>
      </c>
      <c r="AD351" s="8">
        <v>0</v>
      </c>
      <c r="AE351" s="8">
        <v>0</v>
      </c>
      <c r="AF351" s="10">
        <v>31.172999999999998</v>
      </c>
      <c r="AG351" s="8">
        <f>COUNTIF(Y351:AB351,"&gt;0")</f>
        <v>1</v>
      </c>
      <c r="AH351" s="10">
        <v>113.471</v>
      </c>
      <c r="AI351" s="10">
        <v>0</v>
      </c>
      <c r="AJ351" s="8" t="str">
        <f>IF(ISNUMBER(X351),IF(X351&gt;0,"+",IF(X351&lt;0,"−","0")),IF(ISNUMBER(W351),IF(W351&gt;0,"+",IF(W351&lt;0,"−","0")),"yok"))</f>
        <v>+</v>
      </c>
      <c r="AK351" s="10" t="str">
        <f>IF(AND(RIGHT(C351,2)&lt;&gt;"12",ISNUMBER(U351),ISNUMBER(V351)),U351-V351,"")</f>
        <v/>
      </c>
      <c r="AL351" s="11" t="str">
        <f>IF(AND(ISNUMBER(AK351),ISNUMBER(V351)),IF(V351&lt;&gt;0,AK351/ABS(V351),""),"")</f>
        <v/>
      </c>
      <c r="AM351" s="8" t="str">
        <f>IF(ISNUMBER(AK351),IF(AK351&gt;1,1,0),"")</f>
        <v/>
      </c>
      <c r="AN351" s="8" t="str">
        <f>IF(ISNUMBER(AK351),IF(AK351&gt;0.05*ABS(V351),1,0),"")</f>
        <v/>
      </c>
      <c r="AO351" s="10">
        <v>31.173999999999999</v>
      </c>
      <c r="AP351" s="10">
        <v>0</v>
      </c>
      <c r="AQ351" s="8" t="s">
        <v>204</v>
      </c>
      <c r="AR351" s="8">
        <v>1</v>
      </c>
      <c r="AS351" s="10">
        <v>-5633.5140000000001</v>
      </c>
      <c r="AT351" s="10">
        <v>-5633.5140000000001</v>
      </c>
      <c r="AU351" s="8" t="s">
        <v>204</v>
      </c>
      <c r="AV351" s="10">
        <v>31.172999999999998</v>
      </c>
      <c r="AW351" s="11">
        <f>IF(AND(ISNUMBER(AV351),ISNUMBER(AT351)),IF(AT351&lt;&gt;0,AV351/ABS(AT351),""),"")</f>
        <v>5.5334911744250566E-3</v>
      </c>
      <c r="AX351" s="8">
        <v>1</v>
      </c>
      <c r="AY351" s="8">
        <v>0</v>
      </c>
      <c r="AZ351" s="8" t="s">
        <v>447</v>
      </c>
      <c r="BA351" s="8">
        <v>1</v>
      </c>
    </row>
    <row r="352" spans="1:53" x14ac:dyDescent="0.2">
      <c r="A352" s="8" t="s">
        <v>443</v>
      </c>
      <c r="B352" s="8" t="s">
        <v>82</v>
      </c>
      <c r="C352" s="8" t="s">
        <v>208</v>
      </c>
      <c r="D352" s="8">
        <v>1</v>
      </c>
      <c r="E352" s="8">
        <v>1</v>
      </c>
      <c r="F352" s="8">
        <f>SUM(G352:M352)</f>
        <v>2</v>
      </c>
      <c r="G352" s="8">
        <v>0</v>
      </c>
      <c r="H352" s="8">
        <v>1</v>
      </c>
      <c r="I352" s="8">
        <v>0</v>
      </c>
      <c r="J352" s="8">
        <v>1</v>
      </c>
      <c r="K352" s="8">
        <v>0</v>
      </c>
      <c r="L352" s="8">
        <v>0</v>
      </c>
      <c r="M352" s="8">
        <v>0</v>
      </c>
      <c r="N352" s="8">
        <v>0</v>
      </c>
      <c r="O352" s="8">
        <v>1</v>
      </c>
      <c r="P352" s="8">
        <v>1</v>
      </c>
      <c r="Q352" s="8">
        <v>1</v>
      </c>
      <c r="R352" s="8">
        <v>1</v>
      </c>
      <c r="S352" s="8">
        <v>0</v>
      </c>
      <c r="T352" s="10">
        <v>-56.673999999999999</v>
      </c>
      <c r="U352" s="10">
        <v>31.172999999999998</v>
      </c>
      <c r="V352" s="10">
        <v>-6.9029999999999996</v>
      </c>
      <c r="W352" s="10">
        <f>IF(RIGHT(C352,2)="12",IF(ISNUMBER(T352),T352,""),IF(COUNT(T352,U352,V352)=3,T352+U352-V352,""))</f>
        <v>-18.598000000000003</v>
      </c>
      <c r="X352" s="10">
        <v>-18.597000000000001</v>
      </c>
      <c r="Y352" s="10">
        <v>113.471</v>
      </c>
      <c r="Z352" s="10">
        <v>-54.972999999999999</v>
      </c>
      <c r="AA352" s="10">
        <v>-20.420999999999999</v>
      </c>
      <c r="AB352" s="10">
        <v>-56.673999999999999</v>
      </c>
      <c r="AC352" s="8">
        <v>0</v>
      </c>
      <c r="AD352" s="8">
        <v>1</v>
      </c>
      <c r="AE352" s="8">
        <v>0</v>
      </c>
      <c r="AF352" s="10">
        <v>31.172999999999998</v>
      </c>
      <c r="AG352" s="8">
        <f>COUNTIF(Y352:AB352,"&gt;0")</f>
        <v>1</v>
      </c>
      <c r="AH352" s="10">
        <v>0</v>
      </c>
      <c r="AI352" s="10">
        <v>113.471</v>
      </c>
      <c r="AJ352" s="8" t="str">
        <f>IF(ISNUMBER(X352),IF(X352&gt;0,"+",IF(X352&lt;0,"−","0")),IF(ISNUMBER(W352),IF(W352&gt;0,"+",IF(W352&lt;0,"−","0")),"yok"))</f>
        <v>−</v>
      </c>
      <c r="AK352" s="10">
        <f>IF(AND(RIGHT(C352,2)&lt;&gt;"12",ISNUMBER(U352),ISNUMBER(V352)),U352-V352,"")</f>
        <v>38.076000000000001</v>
      </c>
      <c r="AL352" s="11">
        <f>IF(AND(ISNUMBER(AK352),ISNUMBER(V352)),IF(V352&lt;&gt;0,AK352/ABS(V352),""),"")</f>
        <v>5.5158626684050418</v>
      </c>
      <c r="AM352" s="8">
        <f>IF(ISNUMBER(AK352),IF(AK352&gt;1,1,0),"")</f>
        <v>1</v>
      </c>
      <c r="AN352" s="8">
        <f>IF(ISNUMBER(AK352),IF(AK352&gt;0.05*ABS(V352),1,0),"")</f>
        <v>1</v>
      </c>
      <c r="AO352" s="10">
        <v>-18.597999999999999</v>
      </c>
      <c r="AP352" s="10">
        <v>18.597999999999999</v>
      </c>
      <c r="AQ352" s="8" t="s">
        <v>204</v>
      </c>
      <c r="AR352" s="8">
        <v>0</v>
      </c>
      <c r="AS352" s="10">
        <v>-9812.9680000000008</v>
      </c>
      <c r="AT352" s="10">
        <v>-9831.5660000000007</v>
      </c>
      <c r="AU352" s="8" t="s">
        <v>204</v>
      </c>
      <c r="AV352" s="10">
        <v>31.172999999999998</v>
      </c>
      <c r="AW352" s="11">
        <f>IF(AND(ISNUMBER(AV352),ISNUMBER(AT352)),IF(AT352&lt;&gt;0,AV352/ABS(AT352),""),"")</f>
        <v>3.1707054603508735E-3</v>
      </c>
      <c r="AX352" s="8">
        <v>1</v>
      </c>
      <c r="AY352" s="8">
        <v>0</v>
      </c>
      <c r="AZ352" s="8" t="s">
        <v>448</v>
      </c>
      <c r="BA352" s="8">
        <v>1</v>
      </c>
    </row>
    <row r="353" spans="1:53" x14ac:dyDescent="0.2">
      <c r="A353" s="8" t="s">
        <v>443</v>
      </c>
      <c r="B353" s="8" t="s">
        <v>82</v>
      </c>
      <c r="C353" s="8" t="s">
        <v>210</v>
      </c>
      <c r="D353" s="8">
        <v>1</v>
      </c>
      <c r="E353" s="8">
        <v>1</v>
      </c>
      <c r="F353" s="8">
        <f>SUM(G353:M353)</f>
        <v>1</v>
      </c>
      <c r="G353" s="8">
        <v>0</v>
      </c>
      <c r="H353" s="8">
        <v>0</v>
      </c>
      <c r="I353" s="8">
        <v>0</v>
      </c>
      <c r="J353" s="8">
        <v>1</v>
      </c>
      <c r="K353" s="8">
        <v>0</v>
      </c>
      <c r="L353" s="8">
        <v>0</v>
      </c>
      <c r="M353" s="8">
        <v>0</v>
      </c>
      <c r="N353" s="8">
        <v>0</v>
      </c>
      <c r="O353" s="8">
        <v>1</v>
      </c>
      <c r="P353" s="8">
        <v>0</v>
      </c>
      <c r="Q353" s="8">
        <v>0</v>
      </c>
      <c r="R353" s="8">
        <v>0</v>
      </c>
      <c r="S353" s="8">
        <v>0</v>
      </c>
      <c r="T353" s="10">
        <v>-114.702</v>
      </c>
      <c r="U353" s="10">
        <v>31.172999999999998</v>
      </c>
      <c r="V353" s="10">
        <v>106.568</v>
      </c>
      <c r="W353" s="10">
        <f>IF(RIGHT(C353,2)="12",IF(ISNUMBER(T353),T353,""),IF(COUNT(T353,U353,V353)=3,T353+U353-V353,""))</f>
        <v>-190.09699999999998</v>
      </c>
      <c r="X353" s="10">
        <v>-190.096</v>
      </c>
      <c r="Y353" s="10">
        <v>-54.972999999999999</v>
      </c>
      <c r="Z353" s="10">
        <v>-20.420999999999999</v>
      </c>
      <c r="AA353" s="10">
        <v>-56.673999999999999</v>
      </c>
      <c r="AB353" s="10">
        <v>-58.027000000000001</v>
      </c>
      <c r="AC353" s="8">
        <v>0</v>
      </c>
      <c r="AD353" s="8">
        <v>1</v>
      </c>
      <c r="AE353" s="8">
        <v>1</v>
      </c>
      <c r="AF353" s="10">
        <v>106.568</v>
      </c>
      <c r="AG353" s="8">
        <f>COUNTIF(Y353:AB353,"&gt;0")</f>
        <v>0</v>
      </c>
      <c r="AH353" s="10">
        <v>0</v>
      </c>
      <c r="AI353" s="10">
        <v>0</v>
      </c>
      <c r="AJ353" s="8" t="str">
        <f>IF(ISNUMBER(X353),IF(X353&gt;0,"+",IF(X353&lt;0,"−","0")),IF(ISNUMBER(W353),IF(W353&gt;0,"+",IF(W353&lt;0,"−","0")),"yok"))</f>
        <v>−</v>
      </c>
      <c r="AK353" s="10">
        <f>IF(AND(RIGHT(C353,2)&lt;&gt;"12",ISNUMBER(U353),ISNUMBER(V353)),U353-V353,"")</f>
        <v>-75.394999999999996</v>
      </c>
      <c r="AL353" s="11">
        <f>IF(AND(ISNUMBER(AK353),ISNUMBER(V353)),IF(V353&lt;&gt;0,AK353/ABS(V353),""),"")</f>
        <v>-0.70748254635537866</v>
      </c>
      <c r="AM353" s="8">
        <f>IF(ISNUMBER(AK353),IF(AK353&gt;1,1,0),"")</f>
        <v>0</v>
      </c>
      <c r="AN353" s="8">
        <f>IF(ISNUMBER(AK353),IF(AK353&gt;0.05*ABS(V353),1,0),"")</f>
        <v>0</v>
      </c>
      <c r="AO353" s="10">
        <v>-190.096</v>
      </c>
      <c r="AP353" s="10">
        <v>190.096</v>
      </c>
      <c r="AQ353" s="8" t="s">
        <v>204</v>
      </c>
      <c r="AR353" s="8">
        <v>0</v>
      </c>
      <c r="AS353" s="10">
        <v>-10.557000000000199</v>
      </c>
      <c r="AT353" s="10">
        <v>-200.65299999999999</v>
      </c>
      <c r="AU353" s="8" t="s">
        <v>204</v>
      </c>
      <c r="AV353" s="10">
        <v>106.568</v>
      </c>
      <c r="AW353" s="11">
        <f>IF(AND(ISNUMBER(AV353),ISNUMBER(AT353)),IF(AT353&lt;&gt;0,AV353/ABS(AT353),""),"")</f>
        <v>0.53110593910880977</v>
      </c>
      <c r="AX353" s="8">
        <v>1</v>
      </c>
      <c r="AY353" s="8">
        <v>0</v>
      </c>
      <c r="AZ353" s="8" t="s">
        <v>449</v>
      </c>
      <c r="BA353" s="8">
        <v>1</v>
      </c>
    </row>
    <row r="354" spans="1:53" x14ac:dyDescent="0.2">
      <c r="A354" s="8" t="s">
        <v>443</v>
      </c>
      <c r="B354" s="8" t="s">
        <v>83</v>
      </c>
      <c r="C354" s="8" t="s">
        <v>203</v>
      </c>
      <c r="D354" s="8">
        <v>1</v>
      </c>
      <c r="E354" s="8">
        <v>1</v>
      </c>
      <c r="F354" s="8">
        <f>SUM(G354:M354)</f>
        <v>2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1</v>
      </c>
      <c r="M354" s="8">
        <v>1</v>
      </c>
      <c r="N354" s="8">
        <v>0</v>
      </c>
      <c r="O354" s="8">
        <v>0</v>
      </c>
      <c r="P354" s="8">
        <v>1</v>
      </c>
      <c r="Q354" s="8">
        <v>0</v>
      </c>
      <c r="R354" s="8">
        <v>0</v>
      </c>
      <c r="S354" s="8">
        <v>0</v>
      </c>
      <c r="T354" s="10">
        <v>-5722.0240000000003</v>
      </c>
      <c r="U354" s="10">
        <v>-4575.2759999999998</v>
      </c>
      <c r="V354" s="10">
        <v>-4962.5230000000001</v>
      </c>
      <c r="W354" s="10">
        <f>IF(RIGHT(C354,2)="12",IF(ISNUMBER(T354),T354,""),IF(COUNT(T354,U354,V354)=3,T354+U354-V354,""))</f>
        <v>-5334.7769999999991</v>
      </c>
      <c r="X354" s="10">
        <v>-5334.777</v>
      </c>
      <c r="Y354" s="10">
        <v>-1381.6990000000001</v>
      </c>
      <c r="Z354" s="10">
        <v>-4054.143</v>
      </c>
      <c r="AA354" s="10">
        <v>5823.09</v>
      </c>
      <c r="AB354" s="10">
        <v>-5722.0240000000003</v>
      </c>
      <c r="AC354" s="8">
        <v>0</v>
      </c>
      <c r="AD354" s="8">
        <v>0</v>
      </c>
      <c r="AE354" s="8">
        <v>0</v>
      </c>
      <c r="AF354" s="10">
        <v>0</v>
      </c>
      <c r="AG354" s="8">
        <f>COUNTIF(Y354:AB354,"&gt;0")</f>
        <v>1</v>
      </c>
      <c r="AH354" s="10">
        <v>0</v>
      </c>
      <c r="AI354" s="10">
        <v>5823.09</v>
      </c>
      <c r="AJ354" s="8" t="str">
        <f>IF(ISNUMBER(X354),IF(X354&gt;0,"+",IF(X354&lt;0,"−","0")),IF(ISNUMBER(W354),IF(W354&gt;0,"+",IF(W354&lt;0,"−","0")),"yok"))</f>
        <v>−</v>
      </c>
      <c r="AK354" s="10">
        <f>IF(AND(RIGHT(C354,2)&lt;&gt;"12",ISNUMBER(U354),ISNUMBER(V354)),U354-V354,"")</f>
        <v>387.2470000000003</v>
      </c>
      <c r="AL354" s="11">
        <f>IF(AND(ISNUMBER(AK354),ISNUMBER(V354)),IF(V354&lt;&gt;0,AK354/ABS(V354),""),"")</f>
        <v>7.80342982793229E-2</v>
      </c>
      <c r="AM354" s="8">
        <f>IF(ISNUMBER(AK354),IF(AK354&gt;1,1,0),"")</f>
        <v>1</v>
      </c>
      <c r="AN354" s="8">
        <f>IF(ISNUMBER(AK354),IF(AK354&gt;0.05*ABS(V354),1,0),"")</f>
        <v>1</v>
      </c>
      <c r="AO354" s="10">
        <v>-5334.7780000000002</v>
      </c>
      <c r="AP354" s="10">
        <v>5334.7780000000002</v>
      </c>
      <c r="AQ354" s="8" t="s">
        <v>204</v>
      </c>
      <c r="AR354" s="8">
        <v>0</v>
      </c>
      <c r="AS354" s="10">
        <v>1709.655</v>
      </c>
      <c r="AT354" s="10">
        <v>-3625.123</v>
      </c>
      <c r="AU354" s="8" t="s">
        <v>204</v>
      </c>
      <c r="AV354" s="10">
        <v>387.24700000000001</v>
      </c>
      <c r="AW354" s="11">
        <f>IF(AND(ISNUMBER(AV354),ISNUMBER(AT354)),IF(AT354&lt;&gt;0,AV354/ABS(AT354),""),"")</f>
        <v>0.10682313400124631</v>
      </c>
      <c r="AX354" s="8">
        <v>0</v>
      </c>
      <c r="AY354" s="8">
        <v>1</v>
      </c>
      <c r="AZ354" s="10"/>
      <c r="BA354" s="8">
        <v>1</v>
      </c>
    </row>
    <row r="355" spans="1:53" x14ac:dyDescent="0.2">
      <c r="A355" s="8" t="s">
        <v>443</v>
      </c>
      <c r="B355" s="8" t="s">
        <v>83</v>
      </c>
      <c r="C355" s="8" t="s">
        <v>205</v>
      </c>
      <c r="D355" s="8">
        <v>1</v>
      </c>
      <c r="E355" s="8">
        <v>1</v>
      </c>
      <c r="F355" s="8">
        <f>SUM(G355:M355)</f>
        <v>3</v>
      </c>
      <c r="G355" s="8">
        <v>0</v>
      </c>
      <c r="H355" s="8">
        <v>0</v>
      </c>
      <c r="I355" s="8">
        <v>1</v>
      </c>
      <c r="J355" s="8">
        <v>0</v>
      </c>
      <c r="K355" s="8">
        <v>0</v>
      </c>
      <c r="L355" s="8">
        <v>1</v>
      </c>
      <c r="M355" s="8">
        <v>1</v>
      </c>
      <c r="N355" s="8">
        <v>1</v>
      </c>
      <c r="O355" s="8">
        <v>1</v>
      </c>
      <c r="P355" s="8">
        <v>1</v>
      </c>
      <c r="Q355" s="8">
        <v>0</v>
      </c>
      <c r="R355" s="8">
        <v>0</v>
      </c>
      <c r="S355" s="8">
        <v>1</v>
      </c>
      <c r="T355" s="10">
        <v>435.26499999999999</v>
      </c>
      <c r="U355" s="10">
        <v>-4575.2759999999998</v>
      </c>
      <c r="V355" s="10">
        <v>-6344.2219999999998</v>
      </c>
      <c r="W355" s="10">
        <f>IF(RIGHT(C355,2)="12",IF(ISNUMBER(T355),T355,""),IF(COUNT(T355,U355,V355)=3,T355+U355-V355,""))</f>
        <v>2204.2110000000002</v>
      </c>
      <c r="X355" s="10">
        <v>2204.2109999999998</v>
      </c>
      <c r="Y355" s="10">
        <v>-4054.143</v>
      </c>
      <c r="Z355" s="10">
        <v>5823.09</v>
      </c>
      <c r="AA355" s="10">
        <v>-5722.0240000000003</v>
      </c>
      <c r="AB355" s="10">
        <v>6157.2889999999998</v>
      </c>
      <c r="AC355" s="8">
        <v>1</v>
      </c>
      <c r="AD355" s="8">
        <v>0</v>
      </c>
      <c r="AE355" s="8">
        <v>0</v>
      </c>
      <c r="AF355" s="10">
        <v>435.26499999999999</v>
      </c>
      <c r="AG355" s="8">
        <f>COUNTIF(Y355:AB355,"&gt;0")</f>
        <v>2</v>
      </c>
      <c r="AH355" s="10">
        <v>6157.2889999999998</v>
      </c>
      <c r="AI355" s="10">
        <v>5823.09</v>
      </c>
      <c r="AJ355" s="8" t="str">
        <f>IF(ISNUMBER(X355),IF(X355&gt;0,"+",IF(X355&lt;0,"−","0")),IF(ISNUMBER(W355),IF(W355&gt;0,"+",IF(W355&lt;0,"−","0")),"yok"))</f>
        <v>+</v>
      </c>
      <c r="AK355" s="10">
        <f>IF(AND(RIGHT(C355,2)&lt;&gt;"12",ISNUMBER(U355),ISNUMBER(V355)),U355-V355,"")</f>
        <v>1768.9459999999999</v>
      </c>
      <c r="AL355" s="11">
        <f>IF(AND(ISNUMBER(AK355),ISNUMBER(V355)),IF(V355&lt;&gt;0,AK355/ABS(V355),""),"")</f>
        <v>0.27882788464842495</v>
      </c>
      <c r="AM355" s="8">
        <f>IF(ISNUMBER(AK355),IF(AK355&gt;1,1,0),"")</f>
        <v>1</v>
      </c>
      <c r="AN355" s="8">
        <f>IF(ISNUMBER(AK355),IF(AK355&gt;0.05*ABS(V355),1,0),"")</f>
        <v>1</v>
      </c>
      <c r="AO355" s="10">
        <v>2204.212</v>
      </c>
      <c r="AP355" s="10">
        <v>0</v>
      </c>
      <c r="AQ355" s="8" t="s">
        <v>204</v>
      </c>
      <c r="AR355" s="8">
        <v>1</v>
      </c>
      <c r="AS355" s="10">
        <v>-8566.3279999999995</v>
      </c>
      <c r="AT355" s="10">
        <v>-8814.1830000000009</v>
      </c>
      <c r="AU355" s="8" t="s">
        <v>204</v>
      </c>
      <c r="AV355" s="10">
        <v>435.26499999999999</v>
      </c>
      <c r="AW355" s="11">
        <f>IF(AND(ISNUMBER(AV355),ISNUMBER(AT355)),IF(AT355&lt;&gt;0,AV355/ABS(AT355),""),"")</f>
        <v>4.9382342072997569E-2</v>
      </c>
      <c r="AX355" s="8">
        <v>1</v>
      </c>
      <c r="AY355" s="8">
        <v>0</v>
      </c>
      <c r="AZ355" s="8" t="s">
        <v>450</v>
      </c>
      <c r="BA355" s="8">
        <v>1</v>
      </c>
    </row>
    <row r="356" spans="1:53" x14ac:dyDescent="0.2">
      <c r="A356" s="8" t="s">
        <v>443</v>
      </c>
      <c r="B356" s="8" t="s">
        <v>83</v>
      </c>
      <c r="C356" s="8" t="s">
        <v>215</v>
      </c>
      <c r="D356" s="8">
        <v>1</v>
      </c>
      <c r="E356" s="8">
        <v>1</v>
      </c>
      <c r="F356" s="8">
        <f>SUM(G356:M356)</f>
        <v>3</v>
      </c>
      <c r="G356" s="8">
        <v>0</v>
      </c>
      <c r="H356" s="8">
        <v>0</v>
      </c>
      <c r="I356" s="8">
        <v>1</v>
      </c>
      <c r="J356" s="8">
        <v>0</v>
      </c>
      <c r="K356" s="8">
        <v>0</v>
      </c>
      <c r="L356" s="8">
        <v>1</v>
      </c>
      <c r="M356" s="8">
        <v>1</v>
      </c>
      <c r="N356" s="8">
        <v>1</v>
      </c>
      <c r="O356" s="8">
        <v>1</v>
      </c>
      <c r="P356" s="8">
        <v>1</v>
      </c>
      <c r="Q356" s="8">
        <v>0</v>
      </c>
      <c r="R356" s="8">
        <v>0</v>
      </c>
      <c r="S356" s="8">
        <v>1</v>
      </c>
      <c r="T356" s="10">
        <v>1155.5150000000001</v>
      </c>
      <c r="U356" s="10">
        <v>-4575.2759999999998</v>
      </c>
      <c r="V356" s="10">
        <v>-10398.366</v>
      </c>
      <c r="W356" s="10">
        <f>IF(RIGHT(C356,2)="12",IF(ISNUMBER(T356),T356,""),IF(COUNT(T356,U356,V356)=3,T356+U356-V356,""))</f>
        <v>6978.6050000000005</v>
      </c>
      <c r="X356" s="10">
        <v>6978.6059999999998</v>
      </c>
      <c r="Y356" s="10">
        <v>5823.09</v>
      </c>
      <c r="Z356" s="10">
        <v>-5722.0240000000003</v>
      </c>
      <c r="AA356" s="10">
        <v>6157.2889999999998</v>
      </c>
      <c r="AB356" s="10">
        <v>720.25</v>
      </c>
      <c r="AC356" s="8">
        <v>1</v>
      </c>
      <c r="AD356" s="8">
        <v>0</v>
      </c>
      <c r="AE356" s="8">
        <v>0</v>
      </c>
      <c r="AF356" s="10">
        <v>1155.5150000000001</v>
      </c>
      <c r="AG356" s="8">
        <f>COUNTIF(Y356:AB356,"&gt;0")</f>
        <v>3</v>
      </c>
      <c r="AH356" s="10">
        <v>6877.5389999999998</v>
      </c>
      <c r="AI356" s="10">
        <v>5823.09</v>
      </c>
      <c r="AJ356" s="8" t="str">
        <f>IF(ISNUMBER(X356),IF(X356&gt;0,"+",IF(X356&lt;0,"−","0")),IF(ISNUMBER(W356),IF(W356&gt;0,"+",IF(W356&lt;0,"−","0")),"yok"))</f>
        <v>+</v>
      </c>
      <c r="AK356" s="10">
        <f>IF(AND(RIGHT(C356,2)&lt;&gt;"12",ISNUMBER(U356),ISNUMBER(V356)),U356-V356,"")</f>
        <v>5823.09</v>
      </c>
      <c r="AL356" s="11">
        <f>IF(AND(ISNUMBER(AK356),ISNUMBER(V356)),IF(V356&lt;&gt;0,AK356/ABS(V356),""),"")</f>
        <v>0.56000048469153718</v>
      </c>
      <c r="AM356" s="8">
        <f>IF(ISNUMBER(AK356),IF(AK356&gt;1,1,0),"")</f>
        <v>1</v>
      </c>
      <c r="AN356" s="8">
        <f>IF(ISNUMBER(AK356),IF(AK356&gt;0.05*ABS(V356),1,0),"")</f>
        <v>1</v>
      </c>
      <c r="AO356" s="10">
        <v>6978.607</v>
      </c>
      <c r="AP356" s="10">
        <v>0</v>
      </c>
      <c r="AQ356" s="8" t="s">
        <v>204</v>
      </c>
      <c r="AR356" s="8">
        <v>1</v>
      </c>
      <c r="AS356" s="10">
        <v>-9108.2759999999998</v>
      </c>
      <c r="AT356" s="10">
        <v>-9476.0529999999999</v>
      </c>
      <c r="AU356" s="8" t="s">
        <v>204</v>
      </c>
      <c r="AV356" s="10">
        <v>1155.5150000000001</v>
      </c>
      <c r="AW356" s="11">
        <f>IF(AND(ISNUMBER(AV356),ISNUMBER(AT356)),IF(AT356&lt;&gt;0,AV356/ABS(AT356),""),"")</f>
        <v>0.12194053790117047</v>
      </c>
      <c r="AX356" s="8">
        <v>1</v>
      </c>
      <c r="AY356" s="8">
        <v>0</v>
      </c>
      <c r="AZ356" s="8" t="s">
        <v>451</v>
      </c>
      <c r="BA356" s="8">
        <v>1</v>
      </c>
    </row>
    <row r="357" spans="1:53" x14ac:dyDescent="0.2">
      <c r="A357" s="8" t="s">
        <v>443</v>
      </c>
      <c r="B357" s="8" t="s">
        <v>83</v>
      </c>
      <c r="C357" s="8" t="s">
        <v>290</v>
      </c>
      <c r="D357" s="8">
        <v>1</v>
      </c>
      <c r="E357" s="8">
        <v>1</v>
      </c>
      <c r="F357" s="8">
        <f>SUM(G357:M357)</f>
        <v>1</v>
      </c>
      <c r="G357" s="8">
        <v>0</v>
      </c>
      <c r="H357" s="8">
        <v>0</v>
      </c>
      <c r="I357" s="8">
        <v>1</v>
      </c>
      <c r="J357" s="8">
        <v>0</v>
      </c>
      <c r="K357" s="8">
        <v>0</v>
      </c>
      <c r="L357" s="8">
        <v>0</v>
      </c>
      <c r="M357" s="8">
        <v>0</v>
      </c>
      <c r="N357" s="8">
        <v>1</v>
      </c>
      <c r="O357" s="8">
        <v>1</v>
      </c>
      <c r="P357" s="8">
        <v>1</v>
      </c>
      <c r="Q357" s="8">
        <v>0</v>
      </c>
      <c r="R357" s="8">
        <v>0</v>
      </c>
      <c r="S357" s="8">
        <v>1</v>
      </c>
      <c r="T357" s="10">
        <v>2722.0459999999998</v>
      </c>
      <c r="U357" s="10"/>
      <c r="V357" s="10"/>
      <c r="W357" s="10">
        <f>IF(RIGHT(C357,2)="12",IF(ISNUMBER(T357),T357,""),IF(COUNT(T357,U357,V357)=3,T357+U357-V357,""))</f>
        <v>2722.0459999999998</v>
      </c>
      <c r="X357" s="10">
        <v>2722.0459999999998</v>
      </c>
      <c r="Y357" s="10">
        <v>-5722.0240000000003</v>
      </c>
      <c r="Z357" s="10">
        <v>6157.2889999999998</v>
      </c>
      <c r="AA357" s="10">
        <v>720.25</v>
      </c>
      <c r="AB357" s="10">
        <v>1566.53</v>
      </c>
      <c r="AC357" s="8">
        <v>1</v>
      </c>
      <c r="AD357" s="8">
        <v>0</v>
      </c>
      <c r="AE357" s="8">
        <v>0</v>
      </c>
      <c r="AF357" s="10">
        <v>2722.0459999999998</v>
      </c>
      <c r="AG357" s="8">
        <f>COUNTIF(Y357:AB357,"&gt;0")</f>
        <v>3</v>
      </c>
      <c r="AH357" s="10">
        <v>8444.0689999999995</v>
      </c>
      <c r="AI357" s="10">
        <v>0</v>
      </c>
      <c r="AJ357" s="8" t="str">
        <f>IF(ISNUMBER(X357),IF(X357&gt;0,"+",IF(X357&lt;0,"−","0")),IF(ISNUMBER(W357),IF(W357&gt;0,"+",IF(W357&lt;0,"−","0")),"yok"))</f>
        <v>+</v>
      </c>
      <c r="AK357" s="10" t="str">
        <f>IF(AND(RIGHT(C357,2)&lt;&gt;"12",ISNUMBER(U357),ISNUMBER(V357)),U357-V357,"")</f>
        <v/>
      </c>
      <c r="AL357" s="11" t="str">
        <f>IF(AND(ISNUMBER(AK357),ISNUMBER(V357)),IF(V357&lt;&gt;0,AK357/ABS(V357),""),"")</f>
        <v/>
      </c>
      <c r="AM357" s="8" t="str">
        <f>IF(ISNUMBER(AK357),IF(AK357&gt;1,1,0),"")</f>
        <v/>
      </c>
      <c r="AN357" s="8" t="str">
        <f>IF(ISNUMBER(AK357),IF(AK357&gt;0.05*ABS(V357),1,0),"")</f>
        <v/>
      </c>
      <c r="AO357" s="10">
        <v>2722.0459999999998</v>
      </c>
      <c r="AP357" s="10">
        <v>0</v>
      </c>
      <c r="AQ357" s="8" t="s">
        <v>204</v>
      </c>
      <c r="AR357" s="8">
        <v>1</v>
      </c>
      <c r="AS357" s="10">
        <v>-5633.5140000000001</v>
      </c>
      <c r="AT357" s="10">
        <v>-5633.5140000000001</v>
      </c>
      <c r="AU357" s="8" t="s">
        <v>204</v>
      </c>
      <c r="AV357" s="10">
        <v>2722.0459999999998</v>
      </c>
      <c r="AW357" s="11">
        <f>IF(AND(ISNUMBER(AV357),ISNUMBER(AT357)),IF(AT357&lt;&gt;0,AV357/ABS(AT357),""),"")</f>
        <v>0.48318793562952</v>
      </c>
      <c r="AX357" s="8">
        <v>1</v>
      </c>
      <c r="AY357" s="8">
        <v>0</v>
      </c>
      <c r="AZ357" s="8" t="s">
        <v>452</v>
      </c>
      <c r="BA357" s="8">
        <v>1</v>
      </c>
    </row>
    <row r="358" spans="1:53" x14ac:dyDescent="0.2">
      <c r="A358" s="8" t="s">
        <v>443</v>
      </c>
      <c r="B358" s="8" t="s">
        <v>83</v>
      </c>
      <c r="C358" s="8" t="s">
        <v>208</v>
      </c>
      <c r="D358" s="8">
        <v>1</v>
      </c>
      <c r="E358" s="8">
        <v>1</v>
      </c>
      <c r="F358" s="8">
        <f>SUM(G358:M358)</f>
        <v>3</v>
      </c>
      <c r="G358" s="8">
        <v>0</v>
      </c>
      <c r="H358" s="8">
        <v>0</v>
      </c>
      <c r="I358" s="8">
        <v>1</v>
      </c>
      <c r="J358" s="8">
        <v>0</v>
      </c>
      <c r="K358" s="8">
        <v>0</v>
      </c>
      <c r="L358" s="8">
        <v>1</v>
      </c>
      <c r="M358" s="8">
        <v>1</v>
      </c>
      <c r="N358" s="8">
        <v>1</v>
      </c>
      <c r="O358" s="8">
        <v>1</v>
      </c>
      <c r="P358" s="8">
        <v>1</v>
      </c>
      <c r="Q358" s="8">
        <v>0</v>
      </c>
      <c r="R358" s="8">
        <v>0</v>
      </c>
      <c r="S358" s="8">
        <v>0</v>
      </c>
      <c r="T358" s="10">
        <v>1616.809</v>
      </c>
      <c r="U358" s="10">
        <v>2722.0459999999998</v>
      </c>
      <c r="V358" s="10">
        <v>-5722.0240000000003</v>
      </c>
      <c r="W358" s="10">
        <f>IF(RIGHT(C358,2)="12",IF(ISNUMBER(T358),T358,""),IF(COUNT(T358,U358,V358)=3,T358+U358-V358,""))</f>
        <v>10060.879000000001</v>
      </c>
      <c r="X358" s="10">
        <v>10060.879999999999</v>
      </c>
      <c r="Y358" s="10">
        <v>6157.2889999999998</v>
      </c>
      <c r="Z358" s="10">
        <v>720.25</v>
      </c>
      <c r="AA358" s="10">
        <v>1566.53</v>
      </c>
      <c r="AB358" s="10">
        <v>1616.809</v>
      </c>
      <c r="AC358" s="8">
        <v>1</v>
      </c>
      <c r="AD358" s="8">
        <v>1</v>
      </c>
      <c r="AE358" s="8">
        <v>0</v>
      </c>
      <c r="AF358" s="10">
        <v>2722.0459999999998</v>
      </c>
      <c r="AG358" s="8">
        <f>COUNTIF(Y358:AB358,"&gt;0")</f>
        <v>4</v>
      </c>
      <c r="AH358" s="10">
        <v>0</v>
      </c>
      <c r="AI358" s="10">
        <v>8444.0689999999995</v>
      </c>
      <c r="AJ358" s="8" t="str">
        <f>IF(ISNUMBER(X358),IF(X358&gt;0,"+",IF(X358&lt;0,"−","0")),IF(ISNUMBER(W358),IF(W358&gt;0,"+",IF(W358&lt;0,"−","0")),"yok"))</f>
        <v>+</v>
      </c>
      <c r="AK358" s="10">
        <f>IF(AND(RIGHT(C358,2)&lt;&gt;"12",ISNUMBER(U358),ISNUMBER(V358)),U358-V358,"")</f>
        <v>8444.07</v>
      </c>
      <c r="AL358" s="11">
        <f>IF(AND(ISNUMBER(AK358),ISNUMBER(V358)),IF(V358&lt;&gt;0,AK358/ABS(V358),""),"")</f>
        <v>1.4757138383201467</v>
      </c>
      <c r="AM358" s="8">
        <f>IF(ISNUMBER(AK358),IF(AK358&gt;1,1,0),"")</f>
        <v>1</v>
      </c>
      <c r="AN358" s="8">
        <f>IF(ISNUMBER(AK358),IF(AK358&gt;0.05*ABS(V358),1,0),"")</f>
        <v>1</v>
      </c>
      <c r="AO358" s="10">
        <v>10060.880999999999</v>
      </c>
      <c r="AP358" s="10">
        <v>0</v>
      </c>
      <c r="AQ358" s="8" t="s">
        <v>204</v>
      </c>
      <c r="AR358" s="8">
        <v>1</v>
      </c>
      <c r="AS358" s="10">
        <v>-9812.9680000000008</v>
      </c>
      <c r="AT358" s="10">
        <v>-9831.5660000000007</v>
      </c>
      <c r="AU358" s="8" t="s">
        <v>204</v>
      </c>
      <c r="AV358" s="10">
        <v>2722.0459999999998</v>
      </c>
      <c r="AW358" s="11">
        <f>IF(AND(ISNUMBER(AV358),ISNUMBER(AT358)),IF(AT358&lt;&gt;0,AV358/ABS(AT358),""),"")</f>
        <v>0.27686799844500865</v>
      </c>
      <c r="AX358" s="8">
        <v>1</v>
      </c>
      <c r="AY358" s="8">
        <v>0</v>
      </c>
      <c r="AZ358" s="8" t="s">
        <v>453</v>
      </c>
      <c r="BA358" s="8">
        <v>1</v>
      </c>
    </row>
    <row r="359" spans="1:53" x14ac:dyDescent="0.2">
      <c r="A359" s="8" t="s">
        <v>443</v>
      </c>
      <c r="B359" s="8" t="s">
        <v>83</v>
      </c>
      <c r="C359" s="8" t="s">
        <v>210</v>
      </c>
      <c r="D359" s="8">
        <v>1</v>
      </c>
      <c r="E359" s="8">
        <v>1</v>
      </c>
      <c r="F359" s="8">
        <f>SUM(G359:M359)</f>
        <v>3</v>
      </c>
      <c r="G359" s="8">
        <v>0</v>
      </c>
      <c r="H359" s="8">
        <v>0</v>
      </c>
      <c r="I359" s="8">
        <v>1</v>
      </c>
      <c r="J359" s="8">
        <v>0</v>
      </c>
      <c r="K359" s="8">
        <v>0</v>
      </c>
      <c r="L359" s="8">
        <v>1</v>
      </c>
      <c r="M359" s="8">
        <v>1</v>
      </c>
      <c r="N359" s="8">
        <v>1</v>
      </c>
      <c r="O359" s="8">
        <v>1</v>
      </c>
      <c r="P359" s="8">
        <v>1</v>
      </c>
      <c r="Q359" s="8">
        <v>0</v>
      </c>
      <c r="R359" s="8">
        <v>0</v>
      </c>
      <c r="S359" s="8">
        <v>0</v>
      </c>
      <c r="T359" s="10">
        <v>-1602.146</v>
      </c>
      <c r="U359" s="10">
        <v>2722.0459999999998</v>
      </c>
      <c r="V359" s="10">
        <v>435.26499999999999</v>
      </c>
      <c r="W359" s="10">
        <f>IF(RIGHT(C359,2)="12",IF(ISNUMBER(T359),T359,""),IF(COUNT(T359,U359,V359)=3,T359+U359-V359,""))</f>
        <v>684.63499999999988</v>
      </c>
      <c r="X359" s="10">
        <v>684.63400000000001</v>
      </c>
      <c r="Y359" s="10">
        <v>720.25</v>
      </c>
      <c r="Z359" s="10">
        <v>1566.53</v>
      </c>
      <c r="AA359" s="10">
        <v>1616.809</v>
      </c>
      <c r="AB359" s="10">
        <v>-3218.9560000000001</v>
      </c>
      <c r="AC359" s="8">
        <v>0</v>
      </c>
      <c r="AD359" s="8">
        <v>1</v>
      </c>
      <c r="AE359" s="8">
        <v>1</v>
      </c>
      <c r="AF359" s="10">
        <v>2722.0459999999998</v>
      </c>
      <c r="AG359" s="8">
        <f>COUNTIF(Y359:AB359,"&gt;0")</f>
        <v>3</v>
      </c>
      <c r="AH359" s="10">
        <v>0</v>
      </c>
      <c r="AI359" s="10">
        <v>2286.7800000000002</v>
      </c>
      <c r="AJ359" s="8" t="str">
        <f>IF(ISNUMBER(X359),IF(X359&gt;0,"+",IF(X359&lt;0,"−","0")),IF(ISNUMBER(W359),IF(W359&gt;0,"+",IF(W359&lt;0,"−","0")),"yok"))</f>
        <v>+</v>
      </c>
      <c r="AK359" s="10">
        <f>IF(AND(RIGHT(C359,2)&lt;&gt;"12",ISNUMBER(U359),ISNUMBER(V359)),U359-V359,"")</f>
        <v>2286.7809999999999</v>
      </c>
      <c r="AL359" s="11">
        <f>IF(AND(ISNUMBER(AK359),ISNUMBER(V359)),IF(V359&lt;&gt;0,AK359/ABS(V359),""),"")</f>
        <v>5.2537672452414048</v>
      </c>
      <c r="AM359" s="8">
        <f>IF(ISNUMBER(AK359),IF(AK359&gt;1,1,0),"")</f>
        <v>1</v>
      </c>
      <c r="AN359" s="8">
        <f>IF(ISNUMBER(AK359),IF(AK359&gt;0.05*ABS(V359),1,0),"")</f>
        <v>1</v>
      </c>
      <c r="AO359" s="10">
        <v>684.63400000000001</v>
      </c>
      <c r="AP359" s="10">
        <v>0</v>
      </c>
      <c r="AQ359" s="8" t="s">
        <v>204</v>
      </c>
      <c r="AR359" s="8">
        <v>1</v>
      </c>
      <c r="AS359" s="10">
        <v>-10.557000000000199</v>
      </c>
      <c r="AT359" s="10">
        <v>-200.65299999999999</v>
      </c>
      <c r="AU359" s="8" t="s">
        <v>204</v>
      </c>
      <c r="AV359" s="10">
        <v>2722.0459999999998</v>
      </c>
      <c r="AW359" s="11">
        <f>IF(AND(ISNUMBER(AV359),ISNUMBER(AT359)),IF(AT359&lt;&gt;0,AV359/ABS(AT359),""),"")</f>
        <v>13.565937214993047</v>
      </c>
      <c r="AX359" s="8">
        <v>1</v>
      </c>
      <c r="AY359" s="8">
        <v>0</v>
      </c>
      <c r="AZ359" s="8" t="s">
        <v>454</v>
      </c>
      <c r="BA359" s="8">
        <v>1</v>
      </c>
    </row>
    <row r="360" spans="1:53" x14ac:dyDescent="0.2">
      <c r="A360" s="8" t="s">
        <v>455</v>
      </c>
      <c r="B360" s="8" t="s">
        <v>82</v>
      </c>
      <c r="C360" s="8" t="s">
        <v>205</v>
      </c>
      <c r="D360" s="8">
        <v>1</v>
      </c>
      <c r="E360" s="8">
        <v>1</v>
      </c>
      <c r="F360" s="8">
        <f>SUM(G360:M360)</f>
        <v>1</v>
      </c>
      <c r="G360" s="8">
        <v>1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1</v>
      </c>
      <c r="O360" s="8">
        <v>0</v>
      </c>
      <c r="P360" s="8">
        <v>1</v>
      </c>
      <c r="Q360" s="8">
        <v>0</v>
      </c>
      <c r="R360" s="8">
        <v>0</v>
      </c>
      <c r="S360" s="8">
        <v>0</v>
      </c>
      <c r="T360" s="10">
        <v>-0.45400000000000001</v>
      </c>
      <c r="U360" s="10">
        <v>-1.06</v>
      </c>
      <c r="V360" s="10">
        <v>-1.536</v>
      </c>
      <c r="W360" s="10">
        <f>IF(RIGHT(C360,2)="12",IF(ISNUMBER(T360),T360,""),IF(COUNT(T360,U360,V360)=3,T360+U360-V360,""))</f>
        <v>2.200000000000002E-2</v>
      </c>
      <c r="X360" s="10">
        <v>2.1000000000000001E-2</v>
      </c>
      <c r="Y360" s="10">
        <v>0.125</v>
      </c>
      <c r="Z360" s="10">
        <v>0.35</v>
      </c>
      <c r="AA360" s="10">
        <v>-0.24</v>
      </c>
      <c r="AB360" s="10">
        <v>-0.21299999999999999</v>
      </c>
      <c r="AC360" s="8">
        <v>0</v>
      </c>
      <c r="AD360" s="8">
        <v>0</v>
      </c>
      <c r="AE360" s="8">
        <v>0</v>
      </c>
      <c r="AF360" s="10">
        <v>0</v>
      </c>
      <c r="AG360" s="8">
        <f>COUNTIF(Y360:AB360,"&gt;0")</f>
        <v>2</v>
      </c>
      <c r="AH360" s="10">
        <v>0</v>
      </c>
      <c r="AI360" s="10">
        <v>0.47499999999999998</v>
      </c>
      <c r="AJ360" s="8" t="str">
        <f>IF(ISNUMBER(X360),IF(X360&gt;0,"+",IF(X360&lt;0,"−","0")),IF(ISNUMBER(W360),IF(W360&gt;0,"+",IF(W360&lt;0,"−","0")),"yok"))</f>
        <v>+</v>
      </c>
      <c r="AK360" s="10">
        <f>IF(AND(RIGHT(C360,2)&lt;&gt;"12",ISNUMBER(U360),ISNUMBER(V360)),U360-V360,"")</f>
        <v>0.47599999999999998</v>
      </c>
      <c r="AL360" s="11">
        <f>IF(AND(ISNUMBER(AK360),ISNUMBER(V360)),IF(V360&lt;&gt;0,AK360/ABS(V360),""),"")</f>
        <v>0.30989583333333331</v>
      </c>
      <c r="AM360" s="8">
        <f>IF(ISNUMBER(AK360),IF(AK360&gt;1,1,0),"")</f>
        <v>0</v>
      </c>
      <c r="AN360" s="8">
        <f>IF(ISNUMBER(AK360),IF(AK360&gt;0.05*ABS(V360),1,0),"")</f>
        <v>1</v>
      </c>
      <c r="AO360" s="10">
        <v>2.1999999999999999E-2</v>
      </c>
      <c r="AP360" s="10">
        <v>0</v>
      </c>
      <c r="AQ360" s="8" t="s">
        <v>204</v>
      </c>
      <c r="AR360" s="8">
        <v>1</v>
      </c>
      <c r="AS360" s="10">
        <v>131.09800000000001</v>
      </c>
      <c r="AT360" s="10">
        <v>102.827</v>
      </c>
      <c r="AU360" s="8" t="s">
        <v>204</v>
      </c>
      <c r="AV360" s="10">
        <v>0.47599999999999998</v>
      </c>
      <c r="AW360" s="11">
        <f>IF(AND(ISNUMBER(AV360),ISNUMBER(AT360)),IF(AT360&lt;&gt;0,AV360/ABS(AT360),""),"")</f>
        <v>4.629134371322707E-3</v>
      </c>
      <c r="AX360" s="8">
        <v>0</v>
      </c>
      <c r="AY360" s="8">
        <v>0</v>
      </c>
      <c r="AZ360" s="10"/>
      <c r="BA360" s="8">
        <v>0</v>
      </c>
    </row>
    <row r="361" spans="1:53" x14ac:dyDescent="0.2">
      <c r="A361" s="8" t="s">
        <v>455</v>
      </c>
      <c r="B361" s="8" t="s">
        <v>82</v>
      </c>
      <c r="C361" s="8" t="s">
        <v>290</v>
      </c>
      <c r="D361" s="8">
        <v>1</v>
      </c>
      <c r="E361" s="8">
        <v>1</v>
      </c>
      <c r="F361" s="8">
        <f>SUM(G361:M361)</f>
        <v>1</v>
      </c>
      <c r="G361" s="8">
        <v>1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1</v>
      </c>
      <c r="O361" s="8">
        <v>1</v>
      </c>
      <c r="P361" s="8">
        <v>1</v>
      </c>
      <c r="Q361" s="8">
        <v>0</v>
      </c>
      <c r="R361" s="8">
        <v>0</v>
      </c>
      <c r="S361" s="8">
        <v>1</v>
      </c>
      <c r="T361" s="10">
        <v>1.9450000000000001</v>
      </c>
      <c r="U361" s="10"/>
      <c r="V361" s="10"/>
      <c r="W361" s="10">
        <f>IF(RIGHT(C361,2)="12",IF(ISNUMBER(T361),T361,""),IF(COUNT(T361,U361,V361)=3,T361+U361-V361,""))</f>
        <v>1.9450000000000001</v>
      </c>
      <c r="X361" s="10">
        <v>1.9450000000000001</v>
      </c>
      <c r="Y361" s="10">
        <v>-0.24</v>
      </c>
      <c r="Z361" s="10">
        <v>-0.21299999999999999</v>
      </c>
      <c r="AA361" s="10">
        <v>6.6000000000000003E-2</v>
      </c>
      <c r="AB361" s="10">
        <v>2.3319999999999999</v>
      </c>
      <c r="AC361" s="8">
        <v>1</v>
      </c>
      <c r="AD361" s="8">
        <v>0</v>
      </c>
      <c r="AE361" s="8">
        <v>0</v>
      </c>
      <c r="AF361" s="10">
        <v>1.9450000000000001</v>
      </c>
      <c r="AG361" s="8">
        <f>COUNTIF(Y361:AB361,"&gt;0")</f>
        <v>2</v>
      </c>
      <c r="AH361" s="10">
        <v>2.3980000000000001</v>
      </c>
      <c r="AI361" s="10">
        <v>0</v>
      </c>
      <c r="AJ361" s="8" t="str">
        <f>IF(ISNUMBER(X361),IF(X361&gt;0,"+",IF(X361&lt;0,"−","0")),IF(ISNUMBER(W361),IF(W361&gt;0,"+",IF(W361&lt;0,"−","0")),"yok"))</f>
        <v>+</v>
      </c>
      <c r="AK361" s="10" t="str">
        <f>IF(AND(RIGHT(C361,2)&lt;&gt;"12",ISNUMBER(U361),ISNUMBER(V361)),U361-V361,"")</f>
        <v/>
      </c>
      <c r="AL361" s="11" t="str">
        <f>IF(AND(ISNUMBER(AK361),ISNUMBER(V361)),IF(V361&lt;&gt;0,AK361/ABS(V361),""),"")</f>
        <v/>
      </c>
      <c r="AM361" s="8" t="str">
        <f>IF(ISNUMBER(AK361),IF(AK361&gt;1,1,0),"")</f>
        <v/>
      </c>
      <c r="AN361" s="8" t="str">
        <f>IF(ISNUMBER(AK361),IF(AK361&gt;0.05*ABS(V361),1,0),"")</f>
        <v/>
      </c>
      <c r="AO361" s="10">
        <v>1.9450000000000001</v>
      </c>
      <c r="AP361" s="10">
        <v>0</v>
      </c>
      <c r="AQ361" s="8" t="s">
        <v>204</v>
      </c>
      <c r="AR361" s="8">
        <v>1</v>
      </c>
      <c r="AS361" s="10">
        <v>81.680000000000007</v>
      </c>
      <c r="AT361" s="10">
        <v>10.432</v>
      </c>
      <c r="AU361" s="8" t="s">
        <v>204</v>
      </c>
      <c r="AV361" s="10">
        <v>1.9450000000000001</v>
      </c>
      <c r="AW361" s="11">
        <f>IF(AND(ISNUMBER(AV361),ISNUMBER(AT361)),IF(AT361&lt;&gt;0,AV361/ABS(AT361),""),"")</f>
        <v>0.18644555214723926</v>
      </c>
      <c r="AX361" s="8">
        <v>1</v>
      </c>
      <c r="AY361" s="8">
        <v>0</v>
      </c>
      <c r="AZ361" s="8" t="s">
        <v>456</v>
      </c>
      <c r="BA361" s="8">
        <v>0</v>
      </c>
    </row>
    <row r="362" spans="1:53" x14ac:dyDescent="0.2">
      <c r="A362" s="8" t="s">
        <v>455</v>
      </c>
      <c r="B362" s="8" t="s">
        <v>82</v>
      </c>
      <c r="C362" s="8" t="s">
        <v>208</v>
      </c>
      <c r="D362" s="8">
        <v>1</v>
      </c>
      <c r="E362" s="8">
        <v>1</v>
      </c>
      <c r="F362" s="8">
        <f>SUM(G362:M362)</f>
        <v>1</v>
      </c>
      <c r="G362" s="8">
        <v>1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1</v>
      </c>
      <c r="P362" s="8">
        <v>1</v>
      </c>
      <c r="Q362" s="8">
        <v>0</v>
      </c>
      <c r="R362" s="8">
        <v>1</v>
      </c>
      <c r="S362" s="8">
        <v>0</v>
      </c>
      <c r="T362" s="10"/>
      <c r="U362" s="10">
        <v>1.9450000000000001</v>
      </c>
      <c r="V362" s="10">
        <v>-0.24</v>
      </c>
      <c r="W362" s="10" t="str">
        <f>IF(RIGHT(C362,2)="12",IF(ISNUMBER(T362),T362,""),IF(COUNT(T362,U362,V362)=3,T362+U362-V362,""))</f>
        <v/>
      </c>
      <c r="X362" s="10"/>
      <c r="Y362" s="10">
        <v>-0.21299999999999999</v>
      </c>
      <c r="Z362" s="10">
        <v>6.6000000000000003E-2</v>
      </c>
      <c r="AA362" s="10">
        <v>2.3319999999999999</v>
      </c>
      <c r="AB362" s="10"/>
      <c r="AC362" s="8">
        <v>0</v>
      </c>
      <c r="AD362" s="8">
        <v>1</v>
      </c>
      <c r="AE362" s="8">
        <v>0</v>
      </c>
      <c r="AF362" s="10">
        <v>1.9450000000000001</v>
      </c>
      <c r="AG362" s="8">
        <f>COUNTIF(Y362:AB362,"&gt;0")</f>
        <v>2</v>
      </c>
      <c r="AH362" s="10">
        <v>0</v>
      </c>
      <c r="AI362" s="10">
        <v>2.3980000000000001</v>
      </c>
      <c r="AJ362" s="8" t="str">
        <f>IF(ISNUMBER(X362),IF(X362&gt;0,"+",IF(X362&lt;0,"−","0")),IF(ISNUMBER(W362),IF(W362&gt;0,"+",IF(W362&lt;0,"−","0")),"yok"))</f>
        <v>yok</v>
      </c>
      <c r="AK362" s="10">
        <f>IF(AND(RIGHT(C362,2)&lt;&gt;"12",ISNUMBER(U362),ISNUMBER(V362)),U362-V362,"")</f>
        <v>2.1850000000000001</v>
      </c>
      <c r="AL362" s="11">
        <f>IF(AND(ISNUMBER(AK362),ISNUMBER(V362)),IF(V362&lt;&gt;0,AK362/ABS(V362),""),"")</f>
        <v>9.1041666666666679</v>
      </c>
      <c r="AM362" s="8">
        <f>IF(ISNUMBER(AK362),IF(AK362&gt;1,1,0),"")</f>
        <v>1</v>
      </c>
      <c r="AN362" s="8">
        <f>IF(ISNUMBER(AK362),IF(AK362&gt;0.05*ABS(V362),1,0),"")</f>
        <v>1</v>
      </c>
      <c r="AO362" s="10">
        <v>2.1859999999999999</v>
      </c>
      <c r="AP362" s="10">
        <v>0</v>
      </c>
      <c r="AQ362" s="8" t="s">
        <v>209</v>
      </c>
      <c r="AR362" s="8">
        <v>1</v>
      </c>
      <c r="AS362" s="10">
        <v>52.86</v>
      </c>
      <c r="AT362" s="10">
        <v>-45.771999999999998</v>
      </c>
      <c r="AU362" s="8" t="s">
        <v>209</v>
      </c>
      <c r="AV362" s="10">
        <v>1.9450000000000001</v>
      </c>
      <c r="AW362" s="11">
        <f>IF(AND(ISNUMBER(AV362),ISNUMBER(AT362)),IF(AT362&lt;&gt;0,AV362/ABS(AT362),""),"")</f>
        <v>4.2493227300533079E-2</v>
      </c>
      <c r="AX362" s="8">
        <v>1</v>
      </c>
      <c r="AY362" s="8">
        <v>0</v>
      </c>
      <c r="AZ362" s="8" t="s">
        <v>457</v>
      </c>
      <c r="BA362" s="8">
        <v>0</v>
      </c>
    </row>
    <row r="363" spans="1:53" x14ac:dyDescent="0.2">
      <c r="A363" s="8" t="s">
        <v>455</v>
      </c>
      <c r="B363" s="8" t="s">
        <v>82</v>
      </c>
      <c r="C363" s="8" t="s">
        <v>210</v>
      </c>
      <c r="D363" s="8">
        <v>1</v>
      </c>
      <c r="E363" s="8">
        <v>1</v>
      </c>
      <c r="F363" s="8">
        <f>SUM(G363:M363)</f>
        <v>1</v>
      </c>
      <c r="G363" s="8">
        <v>0</v>
      </c>
      <c r="H363" s="8">
        <v>0</v>
      </c>
      <c r="I363" s="8">
        <v>0</v>
      </c>
      <c r="J363" s="8">
        <v>1</v>
      </c>
      <c r="K363" s="8">
        <v>0</v>
      </c>
      <c r="L363" s="8">
        <v>0</v>
      </c>
      <c r="M363" s="8">
        <v>0</v>
      </c>
      <c r="N363" s="8">
        <v>0</v>
      </c>
      <c r="O363" s="8">
        <v>1</v>
      </c>
      <c r="P363" s="8">
        <v>1</v>
      </c>
      <c r="Q363" s="8">
        <v>1</v>
      </c>
      <c r="R363" s="8">
        <v>1</v>
      </c>
      <c r="S363" s="8">
        <v>0</v>
      </c>
      <c r="T363" s="10">
        <v>-3.2</v>
      </c>
      <c r="U363" s="10">
        <v>1.9450000000000001</v>
      </c>
      <c r="V363" s="10">
        <v>-0.45400000000000001</v>
      </c>
      <c r="W363" s="10">
        <f>IF(RIGHT(C363,2)="12",IF(ISNUMBER(T363),T363,""),IF(COUNT(T363,U363,V363)=3,T363+U363-V363,""))</f>
        <v>-0.80100000000000016</v>
      </c>
      <c r="X363" s="10">
        <v>-0.8</v>
      </c>
      <c r="Y363" s="10">
        <v>6.6000000000000003E-2</v>
      </c>
      <c r="Z363" s="10">
        <v>2.3319999999999999</v>
      </c>
      <c r="AA363" s="10"/>
      <c r="AB363" s="10"/>
      <c r="AC363" s="8">
        <v>0</v>
      </c>
      <c r="AD363" s="8">
        <v>1</v>
      </c>
      <c r="AE363" s="8">
        <v>0</v>
      </c>
      <c r="AF363" s="10">
        <v>1.9450000000000001</v>
      </c>
      <c r="AG363" s="8">
        <f>COUNTIF(Y363:AB363,"&gt;0")</f>
        <v>2</v>
      </c>
      <c r="AH363" s="10">
        <v>0</v>
      </c>
      <c r="AI363" s="10">
        <v>2.3980000000000001</v>
      </c>
      <c r="AJ363" s="8" t="str">
        <f>IF(ISNUMBER(X363),IF(X363&gt;0,"+",IF(X363&lt;0,"−","0")),IF(ISNUMBER(W363),IF(W363&gt;0,"+",IF(W363&lt;0,"−","0")),"yok"))</f>
        <v>−</v>
      </c>
      <c r="AK363" s="10">
        <f>IF(AND(RIGHT(C363,2)&lt;&gt;"12",ISNUMBER(U363),ISNUMBER(V363)),U363-V363,"")</f>
        <v>2.399</v>
      </c>
      <c r="AL363" s="11">
        <f>IF(AND(ISNUMBER(AK363),ISNUMBER(V363)),IF(V363&lt;&gt;0,AK363/ABS(V363),""),"")</f>
        <v>5.284140969162995</v>
      </c>
      <c r="AM363" s="8">
        <f>IF(ISNUMBER(AK363),IF(AK363&gt;1,1,0),"")</f>
        <v>1</v>
      </c>
      <c r="AN363" s="8">
        <f>IF(ISNUMBER(AK363),IF(AK363&gt;0.05*ABS(V363),1,0),"")</f>
        <v>1</v>
      </c>
      <c r="AO363" s="10"/>
      <c r="AP363" s="10"/>
      <c r="AQ363" s="8" t="s">
        <v>207</v>
      </c>
      <c r="AR363" s="8">
        <v>0</v>
      </c>
      <c r="AS363" s="10">
        <v>110.628</v>
      </c>
      <c r="AT363" s="10"/>
      <c r="AU363" s="8" t="s">
        <v>207</v>
      </c>
      <c r="AV363" s="10">
        <v>1.9450000000000001</v>
      </c>
      <c r="AW363" s="11" t="str">
        <f>IF(AND(ISNUMBER(AV363),ISNUMBER(AT363)),IF(AT363&lt;&gt;0,AV363/ABS(AT363),""),"")</f>
        <v/>
      </c>
      <c r="AX363" s="8">
        <v>1</v>
      </c>
      <c r="AY363" s="8">
        <v>0</v>
      </c>
      <c r="AZ363" s="8" t="s">
        <v>457</v>
      </c>
      <c r="BA363" s="8">
        <v>0</v>
      </c>
    </row>
    <row r="364" spans="1:53" x14ac:dyDescent="0.2">
      <c r="A364" s="8" t="s">
        <v>458</v>
      </c>
      <c r="B364" s="8" t="s">
        <v>82</v>
      </c>
      <c r="C364" s="8" t="s">
        <v>208</v>
      </c>
      <c r="D364" s="8">
        <v>1</v>
      </c>
      <c r="E364" s="8">
        <v>1</v>
      </c>
      <c r="F364" s="8">
        <f>SUM(G364:M364)</f>
        <v>1</v>
      </c>
      <c r="G364" s="8">
        <v>1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1</v>
      </c>
      <c r="O364" s="8">
        <v>0</v>
      </c>
      <c r="P364" s="8">
        <v>1</v>
      </c>
      <c r="Q364" s="8">
        <v>1</v>
      </c>
      <c r="R364" s="8">
        <v>0</v>
      </c>
      <c r="S364" s="8">
        <v>0</v>
      </c>
      <c r="T364" s="10">
        <v>0</v>
      </c>
      <c r="U364" s="10">
        <v>0</v>
      </c>
      <c r="V364" s="10">
        <v>-1.294</v>
      </c>
      <c r="W364" s="10">
        <f>IF(RIGHT(C364,2)="12",IF(ISNUMBER(T364),T364,""),IF(COUNT(T364,U364,V364)=3,T364+U364-V364,""))</f>
        <v>1.294</v>
      </c>
      <c r="X364" s="10">
        <v>1.294</v>
      </c>
      <c r="Y364" s="10">
        <v>0.56699999999999995</v>
      </c>
      <c r="Z364" s="10">
        <v>-0.997</v>
      </c>
      <c r="AA364" s="10">
        <v>1.724</v>
      </c>
      <c r="AB364" s="10">
        <v>0</v>
      </c>
      <c r="AC364" s="8">
        <v>0</v>
      </c>
      <c r="AD364" s="8">
        <v>0</v>
      </c>
      <c r="AE364" s="8">
        <v>0</v>
      </c>
      <c r="AF364" s="10">
        <v>0</v>
      </c>
      <c r="AG364" s="8">
        <f>COUNTIF(Y364:AB364,"&gt;0")</f>
        <v>2</v>
      </c>
      <c r="AH364" s="10">
        <v>0</v>
      </c>
      <c r="AI364" s="10">
        <v>2.2909999999999999</v>
      </c>
      <c r="AJ364" s="8" t="str">
        <f>IF(ISNUMBER(X364),IF(X364&gt;0,"+",IF(X364&lt;0,"−","0")),IF(ISNUMBER(W364),IF(W364&gt;0,"+",IF(W364&lt;0,"−","0")),"yok"))</f>
        <v>+</v>
      </c>
      <c r="AK364" s="10">
        <f>IF(AND(RIGHT(C364,2)&lt;&gt;"12",ISNUMBER(U364),ISNUMBER(V364)),U364-V364,"")</f>
        <v>1.294</v>
      </c>
      <c r="AL364" s="11">
        <f>IF(AND(ISNUMBER(AK364),ISNUMBER(V364)),IF(V364&lt;&gt;0,AK364/ABS(V364),""),"")</f>
        <v>1</v>
      </c>
      <c r="AM364" s="8">
        <f>IF(ISNUMBER(AK364),IF(AK364&gt;1,1,0),"")</f>
        <v>1</v>
      </c>
      <c r="AN364" s="8">
        <f>IF(ISNUMBER(AK364),IF(AK364&gt;0.05*ABS(V364),1,0),"")</f>
        <v>1</v>
      </c>
      <c r="AO364" s="10">
        <v>1.294</v>
      </c>
      <c r="AP364" s="10">
        <v>0</v>
      </c>
      <c r="AQ364" s="8" t="s">
        <v>204</v>
      </c>
      <c r="AR364" s="8">
        <v>1</v>
      </c>
      <c r="AS364" s="10">
        <v>245.34100000000001</v>
      </c>
      <c r="AT364" s="10">
        <v>210.28899999999999</v>
      </c>
      <c r="AU364" s="8" t="s">
        <v>204</v>
      </c>
      <c r="AV364" s="10">
        <v>1.294</v>
      </c>
      <c r="AW364" s="11">
        <f>IF(AND(ISNUMBER(AV364),ISNUMBER(AT364)),IF(AT364&lt;&gt;0,AV364/ABS(AT364),""),"")</f>
        <v>6.1534364612509454E-3</v>
      </c>
      <c r="AX364" s="8">
        <v>0</v>
      </c>
      <c r="AY364" s="8">
        <v>1</v>
      </c>
      <c r="AZ364" s="10"/>
      <c r="BA364" s="8">
        <v>0</v>
      </c>
    </row>
    <row r="365" spans="1:53" x14ac:dyDescent="0.2">
      <c r="A365" s="8" t="s">
        <v>458</v>
      </c>
      <c r="B365" s="8" t="s">
        <v>82</v>
      </c>
      <c r="C365" s="8" t="s">
        <v>210</v>
      </c>
      <c r="D365" s="8">
        <v>1</v>
      </c>
      <c r="E365" s="8">
        <v>1</v>
      </c>
      <c r="F365" s="8">
        <f>SUM(G365:M365)</f>
        <v>1</v>
      </c>
      <c r="G365" s="8">
        <v>1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1</v>
      </c>
      <c r="O365" s="8">
        <v>0</v>
      </c>
      <c r="P365" s="8">
        <v>1</v>
      </c>
      <c r="Q365" s="8">
        <v>0</v>
      </c>
      <c r="R365" s="8">
        <v>0</v>
      </c>
      <c r="S365" s="8">
        <v>0</v>
      </c>
      <c r="T365" s="10">
        <v>0</v>
      </c>
      <c r="U365" s="10">
        <v>0</v>
      </c>
      <c r="V365" s="10">
        <v>-0.72699999999999998</v>
      </c>
      <c r="W365" s="10">
        <f>IF(RIGHT(C365,2)="12",IF(ISNUMBER(T365),T365,""),IF(COUNT(T365,U365,V365)=3,T365+U365-V365,""))</f>
        <v>0.72699999999999998</v>
      </c>
      <c r="X365" s="10">
        <v>0.72699999999999998</v>
      </c>
      <c r="Y365" s="10">
        <v>-0.997</v>
      </c>
      <c r="Z365" s="10">
        <v>1.724</v>
      </c>
      <c r="AA365" s="10">
        <v>0</v>
      </c>
      <c r="AB365" s="10">
        <v>0</v>
      </c>
      <c r="AC365" s="8">
        <v>0</v>
      </c>
      <c r="AD365" s="8">
        <v>0</v>
      </c>
      <c r="AE365" s="8">
        <v>0</v>
      </c>
      <c r="AF365" s="10">
        <v>0</v>
      </c>
      <c r="AG365" s="8">
        <f>COUNTIF(Y365:AB365,"&gt;0")</f>
        <v>1</v>
      </c>
      <c r="AH365" s="10">
        <v>0</v>
      </c>
      <c r="AI365" s="10">
        <v>1.724</v>
      </c>
      <c r="AJ365" s="8" t="str">
        <f>IF(ISNUMBER(X365),IF(X365&gt;0,"+",IF(X365&lt;0,"−","0")),IF(ISNUMBER(W365),IF(W365&gt;0,"+",IF(W365&lt;0,"−","0")),"yok"))</f>
        <v>+</v>
      </c>
      <c r="AK365" s="10">
        <f>IF(AND(RIGHT(C365,2)&lt;&gt;"12",ISNUMBER(U365),ISNUMBER(V365)),U365-V365,"")</f>
        <v>0.72699999999999998</v>
      </c>
      <c r="AL365" s="11">
        <f>IF(AND(ISNUMBER(AK365),ISNUMBER(V365)),IF(V365&lt;&gt;0,AK365/ABS(V365),""),"")</f>
        <v>1</v>
      </c>
      <c r="AM365" s="8">
        <f>IF(ISNUMBER(AK365),IF(AK365&gt;1,1,0),"")</f>
        <v>0</v>
      </c>
      <c r="AN365" s="8">
        <f>IF(ISNUMBER(AK365),IF(AK365&gt;0.05*ABS(V365),1,0),"")</f>
        <v>1</v>
      </c>
      <c r="AO365" s="10">
        <v>0.72699999999999998</v>
      </c>
      <c r="AP365" s="10">
        <v>0</v>
      </c>
      <c r="AQ365" s="8" t="s">
        <v>204</v>
      </c>
      <c r="AR365" s="8">
        <v>1</v>
      </c>
      <c r="AS365" s="10">
        <v>426.92200000000003</v>
      </c>
      <c r="AT365" s="10">
        <v>380.84699999999998</v>
      </c>
      <c r="AU365" s="8" t="s">
        <v>209</v>
      </c>
      <c r="AV365" s="10">
        <v>0.72699999999999998</v>
      </c>
      <c r="AW365" s="11">
        <f>IF(AND(ISNUMBER(AV365),ISNUMBER(AT365)),IF(AT365&lt;&gt;0,AV365/ABS(AT365),""),"")</f>
        <v>1.908903050306291E-3</v>
      </c>
      <c r="AX365" s="8">
        <v>0</v>
      </c>
      <c r="AY365" s="8">
        <v>0</v>
      </c>
      <c r="AZ365" s="10"/>
      <c r="BA365" s="8">
        <v>0</v>
      </c>
    </row>
    <row r="366" spans="1:53" x14ac:dyDescent="0.2">
      <c r="A366" s="8" t="s">
        <v>459</v>
      </c>
      <c r="B366" s="8" t="s">
        <v>83</v>
      </c>
      <c r="C366" s="8" t="s">
        <v>203</v>
      </c>
      <c r="D366" s="8">
        <v>1</v>
      </c>
      <c r="E366" s="8">
        <v>1</v>
      </c>
      <c r="F366" s="8">
        <f>SUM(G366:M366)</f>
        <v>1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1</v>
      </c>
      <c r="N366" s="8">
        <v>0</v>
      </c>
      <c r="O366" s="8">
        <v>0</v>
      </c>
      <c r="P366" s="8">
        <v>1</v>
      </c>
      <c r="Q366" s="8">
        <v>0</v>
      </c>
      <c r="R366" s="8">
        <v>0</v>
      </c>
      <c r="S366" s="8">
        <v>0</v>
      </c>
      <c r="T366" s="10">
        <v>-7.3769999999999998</v>
      </c>
      <c r="U366" s="10">
        <v>-140.149</v>
      </c>
      <c r="V366" s="10">
        <v>-8.8999999999999996E-2</v>
      </c>
      <c r="W366" s="10">
        <f>IF(RIGHT(C366,2)="12",IF(ISNUMBER(T366),T366,""),IF(COUNT(T366,U366,V366)=3,T366+U366-V366,""))</f>
        <v>-147.43700000000001</v>
      </c>
      <c r="X366" s="10">
        <v>-147.43700000000001</v>
      </c>
      <c r="Y366" s="10">
        <v>-17.800999999999998</v>
      </c>
      <c r="Z366" s="10">
        <v>-140.917</v>
      </c>
      <c r="AA366" s="10">
        <v>18.658000000000001</v>
      </c>
      <c r="AB366" s="10">
        <v>-7.3769999999999998</v>
      </c>
      <c r="AC366" s="8">
        <v>0</v>
      </c>
      <c r="AD366" s="8">
        <v>0</v>
      </c>
      <c r="AE366" s="8">
        <v>0</v>
      </c>
      <c r="AF366" s="10">
        <v>0</v>
      </c>
      <c r="AG366" s="8">
        <f>COUNTIF(Y366:AB366,"&gt;0")</f>
        <v>1</v>
      </c>
      <c r="AH366" s="10">
        <v>0</v>
      </c>
      <c r="AI366" s="10">
        <v>18.658000000000001</v>
      </c>
      <c r="AJ366" s="8" t="str">
        <f>IF(ISNUMBER(X366),IF(X366&gt;0,"+",IF(X366&lt;0,"−","0")),IF(ISNUMBER(W366),IF(W366&gt;0,"+",IF(W366&lt;0,"−","0")),"yok"))</f>
        <v>−</v>
      </c>
      <c r="AK366" s="10">
        <f>IF(AND(RIGHT(C366,2)&lt;&gt;"12",ISNUMBER(U366),ISNUMBER(V366)),U366-V366,"")</f>
        <v>-140.06</v>
      </c>
      <c r="AL366" s="11">
        <f>IF(AND(ISNUMBER(AK366),ISNUMBER(V366)),IF(V366&lt;&gt;0,AK366/ABS(V366),""),"")</f>
        <v>-1573.7078651685395</v>
      </c>
      <c r="AM366" s="8">
        <f>IF(ISNUMBER(AK366),IF(AK366&gt;1,1,0),"")</f>
        <v>0</v>
      </c>
      <c r="AN366" s="8">
        <f>IF(ISNUMBER(AK366),IF(AK366&gt;0.05*ABS(V366),1,0),"")</f>
        <v>0</v>
      </c>
      <c r="AO366" s="10">
        <v>-147.43799999999999</v>
      </c>
      <c r="AP366" s="10">
        <v>147.43799999999999</v>
      </c>
      <c r="AQ366" s="8" t="s">
        <v>204</v>
      </c>
      <c r="AR366" s="8">
        <v>0</v>
      </c>
      <c r="AS366" s="10">
        <v>218.34200000000001</v>
      </c>
      <c r="AT366" s="10">
        <v>70.903999999999996</v>
      </c>
      <c r="AU366" s="8" t="s">
        <v>204</v>
      </c>
      <c r="AV366" s="10">
        <v>18.658000000000001</v>
      </c>
      <c r="AW366" s="11">
        <f>IF(AND(ISNUMBER(AV366),ISNUMBER(AT366)),IF(AT366&lt;&gt;0,AV366/ABS(AT366),""),"")</f>
        <v>0.26314453345368388</v>
      </c>
      <c r="AX366" s="8">
        <v>0</v>
      </c>
      <c r="AY366" s="8">
        <v>0</v>
      </c>
      <c r="AZ366" s="10"/>
      <c r="BA366" s="8">
        <v>0</v>
      </c>
    </row>
    <row r="367" spans="1:53" x14ac:dyDescent="0.2">
      <c r="A367" s="8" t="s">
        <v>459</v>
      </c>
      <c r="B367" s="8" t="s">
        <v>83</v>
      </c>
      <c r="C367" s="8" t="s">
        <v>205</v>
      </c>
      <c r="D367" s="8">
        <v>1</v>
      </c>
      <c r="E367" s="8">
        <v>1</v>
      </c>
      <c r="F367" s="8">
        <f>SUM(G367:M367)</f>
        <v>1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1</v>
      </c>
      <c r="N367" s="8">
        <v>0</v>
      </c>
      <c r="O367" s="8">
        <v>0</v>
      </c>
      <c r="P367" s="8">
        <v>1</v>
      </c>
      <c r="Q367" s="8">
        <v>0</v>
      </c>
      <c r="R367" s="8">
        <v>0</v>
      </c>
      <c r="S367" s="8">
        <v>1</v>
      </c>
      <c r="T367" s="10">
        <v>-5.2590000000000003</v>
      </c>
      <c r="U367" s="10">
        <v>-140.149</v>
      </c>
      <c r="V367" s="10">
        <v>-17.89</v>
      </c>
      <c r="W367" s="10">
        <f>IF(RIGHT(C367,2)="12",IF(ISNUMBER(T367),T367,""),IF(COUNT(T367,U367,V367)=3,T367+U367-V367,""))</f>
        <v>-127.51800000000001</v>
      </c>
      <c r="X367" s="10">
        <v>-127.518</v>
      </c>
      <c r="Y367" s="10">
        <v>-140.917</v>
      </c>
      <c r="Z367" s="10">
        <v>18.658000000000001</v>
      </c>
      <c r="AA367" s="10">
        <v>-7.3769999999999998</v>
      </c>
      <c r="AB367" s="10">
        <v>2.117</v>
      </c>
      <c r="AC367" s="8">
        <v>0</v>
      </c>
      <c r="AD367" s="8">
        <v>0</v>
      </c>
      <c r="AE367" s="8">
        <v>0</v>
      </c>
      <c r="AF367" s="10">
        <v>0</v>
      </c>
      <c r="AG367" s="8">
        <f>COUNTIF(Y367:AB367,"&gt;0")</f>
        <v>2</v>
      </c>
      <c r="AH367" s="10">
        <v>2.117</v>
      </c>
      <c r="AI367" s="10">
        <v>18.658000000000001</v>
      </c>
      <c r="AJ367" s="8" t="str">
        <f>IF(ISNUMBER(X367),IF(X367&gt;0,"+",IF(X367&lt;0,"−","0")),IF(ISNUMBER(W367),IF(W367&gt;0,"+",IF(W367&lt;0,"−","0")),"yok"))</f>
        <v>−</v>
      </c>
      <c r="AK367" s="10">
        <f>IF(AND(RIGHT(C367,2)&lt;&gt;"12",ISNUMBER(U367),ISNUMBER(V367)),U367-V367,"")</f>
        <v>-122.259</v>
      </c>
      <c r="AL367" s="11">
        <f>IF(AND(ISNUMBER(AK367),ISNUMBER(V367)),IF(V367&lt;&gt;0,AK367/ABS(V367),""),"")</f>
        <v>-6.8339295695919509</v>
      </c>
      <c r="AM367" s="8">
        <f>IF(ISNUMBER(AK367),IF(AK367&gt;1,1,0),"")</f>
        <v>0</v>
      </c>
      <c r="AN367" s="8">
        <f>IF(ISNUMBER(AK367),IF(AK367&gt;0.05*ABS(V367),1,0),"")</f>
        <v>0</v>
      </c>
      <c r="AO367" s="10">
        <v>-127.51900000000001</v>
      </c>
      <c r="AP367" s="10">
        <v>127.51900000000001</v>
      </c>
      <c r="AQ367" s="8" t="s">
        <v>204</v>
      </c>
      <c r="AR367" s="8">
        <v>0</v>
      </c>
      <c r="AS367" s="10">
        <v>177.88900000000001</v>
      </c>
      <c r="AT367" s="10">
        <v>50.37</v>
      </c>
      <c r="AU367" s="8" t="s">
        <v>204</v>
      </c>
      <c r="AV367" s="10">
        <v>18.658000000000001</v>
      </c>
      <c r="AW367" s="11">
        <f>IF(AND(ISNUMBER(AV367),ISNUMBER(AT367)),IF(AT367&lt;&gt;0,AV367/ABS(AT367),""),"")</f>
        <v>0.37041890013897166</v>
      </c>
      <c r="AX367" s="8">
        <v>0</v>
      </c>
      <c r="AY367" s="8">
        <v>0</v>
      </c>
      <c r="AZ367" s="10"/>
      <c r="BA367" s="8">
        <v>0</v>
      </c>
    </row>
    <row r="368" spans="1:53" x14ac:dyDescent="0.2">
      <c r="A368" s="8" t="s">
        <v>459</v>
      </c>
      <c r="B368" s="8" t="s">
        <v>83</v>
      </c>
      <c r="C368" s="8" t="s">
        <v>215</v>
      </c>
      <c r="D368" s="8">
        <v>1</v>
      </c>
      <c r="E368" s="8">
        <v>1</v>
      </c>
      <c r="F368" s="8">
        <f>SUM(G368:M368)</f>
        <v>3</v>
      </c>
      <c r="G368" s="8">
        <v>0</v>
      </c>
      <c r="H368" s="8">
        <v>0</v>
      </c>
      <c r="I368" s="8">
        <v>1</v>
      </c>
      <c r="J368" s="8">
        <v>0</v>
      </c>
      <c r="K368" s="8">
        <v>0</v>
      </c>
      <c r="L368" s="8">
        <v>1</v>
      </c>
      <c r="M368" s="8">
        <v>1</v>
      </c>
      <c r="N368" s="8">
        <v>1</v>
      </c>
      <c r="O368" s="8">
        <v>0</v>
      </c>
      <c r="P368" s="8">
        <v>1</v>
      </c>
      <c r="Q368" s="8">
        <v>0</v>
      </c>
      <c r="R368" s="8">
        <v>0</v>
      </c>
      <c r="S368" s="8">
        <v>1</v>
      </c>
      <c r="T368" s="10">
        <v>-4.194</v>
      </c>
      <c r="U368" s="10">
        <v>-140.149</v>
      </c>
      <c r="V368" s="10">
        <v>-158.80699999999999</v>
      </c>
      <c r="W368" s="10">
        <f>IF(RIGHT(C368,2)="12",IF(ISNUMBER(T368),T368,""),IF(COUNT(T368,U368,V368)=3,T368+U368-V368,""))</f>
        <v>14.463999999999999</v>
      </c>
      <c r="X368" s="10">
        <v>14.464</v>
      </c>
      <c r="Y368" s="10">
        <v>18.658000000000001</v>
      </c>
      <c r="Z368" s="10">
        <v>-7.3769999999999998</v>
      </c>
      <c r="AA368" s="10">
        <v>2.117</v>
      </c>
      <c r="AB368" s="10">
        <v>1.0649999999999999</v>
      </c>
      <c r="AC368" s="8">
        <v>0</v>
      </c>
      <c r="AD368" s="8">
        <v>0</v>
      </c>
      <c r="AE368" s="8">
        <v>0</v>
      </c>
      <c r="AF368" s="10">
        <v>0</v>
      </c>
      <c r="AG368" s="8">
        <f>COUNTIF(Y368:AB368,"&gt;0")</f>
        <v>3</v>
      </c>
      <c r="AH368" s="10">
        <v>3.1819999999999999</v>
      </c>
      <c r="AI368" s="10">
        <v>18.658000000000001</v>
      </c>
      <c r="AJ368" s="8" t="str">
        <f>IF(ISNUMBER(X368),IF(X368&gt;0,"+",IF(X368&lt;0,"−","0")),IF(ISNUMBER(W368),IF(W368&gt;0,"+",IF(W368&lt;0,"−","0")),"yok"))</f>
        <v>+</v>
      </c>
      <c r="AK368" s="10">
        <f>IF(AND(RIGHT(C368,2)&lt;&gt;"12",ISNUMBER(U368),ISNUMBER(V368)),U368-V368,"")</f>
        <v>18.657999999999987</v>
      </c>
      <c r="AL368" s="11">
        <f>IF(AND(ISNUMBER(AK368),ISNUMBER(V368)),IF(V368&lt;&gt;0,AK368/ABS(V368),""),"")</f>
        <v>0.11748852380562562</v>
      </c>
      <c r="AM368" s="8">
        <f>IF(ISNUMBER(AK368),IF(AK368&gt;1,1,0),"")</f>
        <v>1</v>
      </c>
      <c r="AN368" s="8">
        <f>IF(ISNUMBER(AK368),IF(AK368&gt;0.05*ABS(V368),1,0),"")</f>
        <v>1</v>
      </c>
      <c r="AO368" s="10">
        <v>14.464</v>
      </c>
      <c r="AP368" s="10">
        <v>0</v>
      </c>
      <c r="AQ368" s="8" t="s">
        <v>204</v>
      </c>
      <c r="AR368" s="8">
        <v>1</v>
      </c>
      <c r="AS368" s="10">
        <v>38.109000000000002</v>
      </c>
      <c r="AT368" s="10">
        <v>38.109000000000002</v>
      </c>
      <c r="AU368" s="8" t="s">
        <v>204</v>
      </c>
      <c r="AV368" s="10">
        <v>18.658000000000001</v>
      </c>
      <c r="AW368" s="11">
        <f>IF(AND(ISNUMBER(AV368),ISNUMBER(AT368)),IF(AT368&lt;&gt;0,AV368/ABS(AT368),""),"")</f>
        <v>0.48959563357737018</v>
      </c>
      <c r="AX368" s="8">
        <v>0</v>
      </c>
      <c r="AY368" s="8">
        <v>1</v>
      </c>
      <c r="AZ368" s="10"/>
      <c r="BA368" s="8">
        <v>0</v>
      </c>
    </row>
    <row r="369" spans="1:53" x14ac:dyDescent="0.2">
      <c r="A369" s="8" t="s">
        <v>459</v>
      </c>
      <c r="B369" s="8" t="s">
        <v>83</v>
      </c>
      <c r="C369" s="8" t="s">
        <v>208</v>
      </c>
      <c r="D369" s="8">
        <v>1</v>
      </c>
      <c r="E369" s="8">
        <v>1</v>
      </c>
      <c r="F369" s="8">
        <f>SUM(G369:M369)</f>
        <v>1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1</v>
      </c>
      <c r="N369" s="8">
        <v>0</v>
      </c>
      <c r="O369" s="8">
        <v>0</v>
      </c>
      <c r="P369" s="8">
        <v>1</v>
      </c>
      <c r="Q369" s="8">
        <v>0</v>
      </c>
      <c r="R369" s="8">
        <v>0</v>
      </c>
      <c r="S369" s="8">
        <v>0</v>
      </c>
      <c r="T369" s="10">
        <v>0</v>
      </c>
      <c r="U369" s="10">
        <v>-21.193000000000001</v>
      </c>
      <c r="V369" s="10">
        <v>-7.3769999999999998</v>
      </c>
      <c r="W369" s="10">
        <f>IF(RIGHT(C369,2)="12",IF(ISNUMBER(T369),T369,""),IF(COUNT(T369,U369,V369)=3,T369+U369-V369,""))</f>
        <v>-13.816000000000003</v>
      </c>
      <c r="X369" s="10">
        <v>-13.815</v>
      </c>
      <c r="Y369" s="10">
        <v>2.117</v>
      </c>
      <c r="Z369" s="10">
        <v>1.0649999999999999</v>
      </c>
      <c r="AA369" s="10">
        <v>-16.998000000000001</v>
      </c>
      <c r="AB369" s="10">
        <v>0</v>
      </c>
      <c r="AC369" s="8">
        <v>0</v>
      </c>
      <c r="AD369" s="8">
        <v>0</v>
      </c>
      <c r="AE369" s="8">
        <v>0</v>
      </c>
      <c r="AF369" s="10">
        <v>0</v>
      </c>
      <c r="AG369" s="8">
        <f>COUNTIF(Y369:AB369,"&gt;0")</f>
        <v>2</v>
      </c>
      <c r="AH369" s="10">
        <v>0</v>
      </c>
      <c r="AI369" s="10">
        <v>3.1819999999999999</v>
      </c>
      <c r="AJ369" s="8" t="str">
        <f>IF(ISNUMBER(X369),IF(X369&gt;0,"+",IF(X369&lt;0,"−","0")),IF(ISNUMBER(W369),IF(W369&gt;0,"+",IF(W369&lt;0,"−","0")),"yok"))</f>
        <v>−</v>
      </c>
      <c r="AK369" s="10">
        <f>IF(AND(RIGHT(C369,2)&lt;&gt;"12",ISNUMBER(U369),ISNUMBER(V369)),U369-V369,"")</f>
        <v>-13.816000000000003</v>
      </c>
      <c r="AL369" s="11">
        <f>IF(AND(ISNUMBER(AK369),ISNUMBER(V369)),IF(V369&lt;&gt;0,AK369/ABS(V369),""),"")</f>
        <v>-1.8728480412091639</v>
      </c>
      <c r="AM369" s="8">
        <f>IF(ISNUMBER(AK369),IF(AK369&gt;1,1,0),"")</f>
        <v>0</v>
      </c>
      <c r="AN369" s="8">
        <f>IF(ISNUMBER(AK369),IF(AK369&gt;0.05*ABS(V369),1,0),"")</f>
        <v>0</v>
      </c>
      <c r="AO369" s="10">
        <v>-13.815</v>
      </c>
      <c r="AP369" s="10">
        <v>13.815</v>
      </c>
      <c r="AQ369" s="8" t="s">
        <v>204</v>
      </c>
      <c r="AR369" s="8">
        <v>0</v>
      </c>
      <c r="AS369" s="10">
        <v>-60.488999999999997</v>
      </c>
      <c r="AT369" s="10">
        <v>-74.304000000000002</v>
      </c>
      <c r="AU369" s="8" t="s">
        <v>204</v>
      </c>
      <c r="AV369" s="10">
        <v>2.117</v>
      </c>
      <c r="AW369" s="11">
        <f>IF(AND(ISNUMBER(AV369),ISNUMBER(AT369)),IF(AT369&lt;&gt;0,AV369/ABS(AT369),""),"")</f>
        <v>2.8491063738156762E-2</v>
      </c>
      <c r="AX369" s="8">
        <v>0</v>
      </c>
      <c r="AY369" s="8">
        <v>0</v>
      </c>
      <c r="AZ369" s="10"/>
      <c r="BA369" s="8">
        <v>0</v>
      </c>
    </row>
    <row r="370" spans="1:53" x14ac:dyDescent="0.2">
      <c r="A370" s="8" t="s">
        <v>459</v>
      </c>
      <c r="B370" s="8" t="s">
        <v>83</v>
      </c>
      <c r="C370" s="8" t="s">
        <v>210</v>
      </c>
      <c r="D370" s="8">
        <v>1</v>
      </c>
      <c r="E370" s="8">
        <v>1</v>
      </c>
      <c r="F370" s="8">
        <f>SUM(G370:M370)</f>
        <v>1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1</v>
      </c>
      <c r="N370" s="8">
        <v>0</v>
      </c>
      <c r="O370" s="8">
        <v>0</v>
      </c>
      <c r="P370" s="8">
        <v>1</v>
      </c>
      <c r="Q370" s="8">
        <v>0</v>
      </c>
      <c r="R370" s="8">
        <v>0</v>
      </c>
      <c r="S370" s="8">
        <v>0</v>
      </c>
      <c r="T370" s="10">
        <v>-9.9000000000000005E-2</v>
      </c>
      <c r="U370" s="10">
        <v>-21.193000000000001</v>
      </c>
      <c r="V370" s="10">
        <v>-5.2590000000000003</v>
      </c>
      <c r="W370" s="10">
        <f>IF(RIGHT(C370,2)="12",IF(ISNUMBER(T370),T370,""),IF(COUNT(T370,U370,V370)=3,T370+U370-V370,""))</f>
        <v>-16.033000000000001</v>
      </c>
      <c r="X370" s="10">
        <v>-16.033000000000001</v>
      </c>
      <c r="Y370" s="10">
        <v>1.0649999999999999</v>
      </c>
      <c r="Z370" s="10">
        <v>-16.998000000000001</v>
      </c>
      <c r="AA370" s="10">
        <v>0</v>
      </c>
      <c r="AB370" s="10">
        <v>-9.9000000000000005E-2</v>
      </c>
      <c r="AC370" s="8">
        <v>0</v>
      </c>
      <c r="AD370" s="8">
        <v>0</v>
      </c>
      <c r="AE370" s="8">
        <v>0</v>
      </c>
      <c r="AF370" s="10">
        <v>0</v>
      </c>
      <c r="AG370" s="8">
        <f>COUNTIF(Y370:AB370,"&gt;0")</f>
        <v>1</v>
      </c>
      <c r="AH370" s="10">
        <v>0</v>
      </c>
      <c r="AI370" s="10">
        <v>1.0649999999999999</v>
      </c>
      <c r="AJ370" s="8" t="str">
        <f>IF(ISNUMBER(X370),IF(X370&gt;0,"+",IF(X370&lt;0,"−","0")),IF(ISNUMBER(W370),IF(W370&gt;0,"+",IF(W370&lt;0,"−","0")),"yok"))</f>
        <v>−</v>
      </c>
      <c r="AK370" s="10">
        <f>IF(AND(RIGHT(C370,2)&lt;&gt;"12",ISNUMBER(U370),ISNUMBER(V370)),U370-V370,"")</f>
        <v>-15.934000000000001</v>
      </c>
      <c r="AL370" s="11">
        <f>IF(AND(ISNUMBER(AK370),ISNUMBER(V370)),IF(V370&lt;&gt;0,AK370/ABS(V370),""),"")</f>
        <v>-3.0298535843316219</v>
      </c>
      <c r="AM370" s="8">
        <f>IF(ISNUMBER(AK370),IF(AK370&gt;1,1,0),"")</f>
        <v>0</v>
      </c>
      <c r="AN370" s="8">
        <f>IF(ISNUMBER(AK370),IF(AK370&gt;0.05*ABS(V370),1,0),"")</f>
        <v>0</v>
      </c>
      <c r="AO370" s="10">
        <v>-16.033000000000001</v>
      </c>
      <c r="AP370" s="10">
        <v>16.033000000000001</v>
      </c>
      <c r="AQ370" s="8" t="s">
        <v>204</v>
      </c>
      <c r="AR370" s="8">
        <v>0</v>
      </c>
      <c r="AS370" s="10">
        <v>-36.633000000000003</v>
      </c>
      <c r="AT370" s="10">
        <v>-52.665999999999997</v>
      </c>
      <c r="AU370" s="8" t="s">
        <v>204</v>
      </c>
      <c r="AV370" s="10">
        <v>1.0649999999999999</v>
      </c>
      <c r="AW370" s="11">
        <f>IF(AND(ISNUMBER(AV370),ISNUMBER(AT370)),IF(AT370&lt;&gt;0,AV370/ABS(AT370),""),"")</f>
        <v>2.0221774959176698E-2</v>
      </c>
      <c r="AX370" s="8">
        <v>0</v>
      </c>
      <c r="AY370" s="8">
        <v>0</v>
      </c>
      <c r="AZ370" s="10"/>
      <c r="BA370" s="8">
        <v>0</v>
      </c>
    </row>
    <row r="371" spans="1:53" x14ac:dyDescent="0.2">
      <c r="A371" s="8" t="s">
        <v>460</v>
      </c>
      <c r="B371" s="8" t="s">
        <v>83</v>
      </c>
      <c r="C371" s="8" t="s">
        <v>203</v>
      </c>
      <c r="D371" s="8">
        <v>1</v>
      </c>
      <c r="E371" s="8">
        <v>1</v>
      </c>
      <c r="F371" s="8">
        <f>SUM(G371:M371)</f>
        <v>1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1</v>
      </c>
      <c r="N371" s="8">
        <v>0</v>
      </c>
      <c r="O371" s="8">
        <v>0</v>
      </c>
      <c r="P371" s="8">
        <v>1</v>
      </c>
      <c r="Q371" s="8">
        <v>0</v>
      </c>
      <c r="R371" s="8">
        <v>0</v>
      </c>
      <c r="S371" s="8">
        <v>0</v>
      </c>
      <c r="T371" s="10">
        <v>-2.14</v>
      </c>
      <c r="U371" s="10">
        <v>-64.388999999999996</v>
      </c>
      <c r="V371" s="10">
        <v>-18.79</v>
      </c>
      <c r="W371" s="10">
        <f>IF(RIGHT(C371,2)="12",IF(ISNUMBER(T371),T371,""),IF(COUNT(T371,U371,V371)=3,T371+U371-V371,""))</f>
        <v>-47.738999999999997</v>
      </c>
      <c r="X371" s="10">
        <v>-47.738999999999997</v>
      </c>
      <c r="Y371" s="10">
        <v>0.42099999999999999</v>
      </c>
      <c r="Z371" s="10">
        <v>-51.067</v>
      </c>
      <c r="AA371" s="10">
        <v>5.0469999999999997</v>
      </c>
      <c r="AB371" s="10">
        <v>-2.14</v>
      </c>
      <c r="AC371" s="8">
        <v>0</v>
      </c>
      <c r="AD371" s="8">
        <v>0</v>
      </c>
      <c r="AE371" s="8">
        <v>0</v>
      </c>
      <c r="AF371" s="10">
        <v>0</v>
      </c>
      <c r="AG371" s="8">
        <f>COUNTIF(Y371:AB371,"&gt;0")</f>
        <v>2</v>
      </c>
      <c r="AH371" s="10">
        <v>0</v>
      </c>
      <c r="AI371" s="10">
        <v>5.468</v>
      </c>
      <c r="AJ371" s="8" t="str">
        <f>IF(ISNUMBER(X371),IF(X371&gt;0,"+",IF(X371&lt;0,"−","0")),IF(ISNUMBER(W371),IF(W371&gt;0,"+",IF(W371&lt;0,"−","0")),"yok"))</f>
        <v>−</v>
      </c>
      <c r="AK371" s="10">
        <f>IF(AND(RIGHT(C371,2)&lt;&gt;"12",ISNUMBER(U371),ISNUMBER(V371)),U371-V371,"")</f>
        <v>-45.598999999999997</v>
      </c>
      <c r="AL371" s="11">
        <f>IF(AND(ISNUMBER(AK371),ISNUMBER(V371)),IF(V371&lt;&gt;0,AK371/ABS(V371),""),"")</f>
        <v>-2.4267695582756783</v>
      </c>
      <c r="AM371" s="8">
        <f>IF(ISNUMBER(AK371),IF(AK371&gt;1,1,0),"")</f>
        <v>0</v>
      </c>
      <c r="AN371" s="8">
        <f>IF(ISNUMBER(AK371),IF(AK371&gt;0.05*ABS(V371),1,0),"")</f>
        <v>0</v>
      </c>
      <c r="AO371" s="10">
        <v>-47.738999999999997</v>
      </c>
      <c r="AP371" s="10">
        <v>47.738999999999997</v>
      </c>
      <c r="AQ371" s="8" t="s">
        <v>204</v>
      </c>
      <c r="AR371" s="8">
        <v>0</v>
      </c>
      <c r="AS371" s="10">
        <v>-49.045000000000002</v>
      </c>
      <c r="AT371" s="10">
        <v>-96.784000000000006</v>
      </c>
      <c r="AU371" s="8" t="s">
        <v>204</v>
      </c>
      <c r="AV371" s="10">
        <v>5.0469999999999997</v>
      </c>
      <c r="AW371" s="11">
        <f>IF(AND(ISNUMBER(AV371),ISNUMBER(AT371)),IF(AT371&lt;&gt;0,AV371/ABS(AT371),""),"")</f>
        <v>5.2147049099024623E-2</v>
      </c>
      <c r="AX371" s="8">
        <v>0</v>
      </c>
      <c r="AY371" s="8">
        <v>0</v>
      </c>
      <c r="AZ371" s="10"/>
      <c r="BA371" s="8">
        <v>0</v>
      </c>
    </row>
    <row r="372" spans="1:53" x14ac:dyDescent="0.2">
      <c r="A372" s="8" t="s">
        <v>460</v>
      </c>
      <c r="B372" s="8" t="s">
        <v>83</v>
      </c>
      <c r="C372" s="8" t="s">
        <v>205</v>
      </c>
      <c r="D372" s="8">
        <v>1</v>
      </c>
      <c r="E372" s="8">
        <v>1</v>
      </c>
      <c r="F372" s="8">
        <f>SUM(G372:M372)</f>
        <v>1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1</v>
      </c>
      <c r="N372" s="8">
        <v>0</v>
      </c>
      <c r="O372" s="8">
        <v>0</v>
      </c>
      <c r="P372" s="8">
        <v>1</v>
      </c>
      <c r="Q372" s="8">
        <v>0</v>
      </c>
      <c r="R372" s="8">
        <v>0</v>
      </c>
      <c r="S372" s="8">
        <v>0</v>
      </c>
      <c r="T372" s="10">
        <v>-1.615</v>
      </c>
      <c r="U372" s="10">
        <v>-64.388999999999996</v>
      </c>
      <c r="V372" s="10">
        <v>-18.367999999999999</v>
      </c>
      <c r="W372" s="10">
        <f>IF(RIGHT(C372,2)="12",IF(ISNUMBER(T372),T372,""),IF(COUNT(T372,U372,V372)=3,T372+U372-V372,""))</f>
        <v>-47.635999999999996</v>
      </c>
      <c r="X372" s="10">
        <v>-47.636000000000003</v>
      </c>
      <c r="Y372" s="10">
        <v>-51.067</v>
      </c>
      <c r="Z372" s="10">
        <v>5.0469999999999997</v>
      </c>
      <c r="AA372" s="10">
        <v>-2.14</v>
      </c>
      <c r="AB372" s="10">
        <v>0.52400000000000002</v>
      </c>
      <c r="AC372" s="8">
        <v>0</v>
      </c>
      <c r="AD372" s="8">
        <v>0</v>
      </c>
      <c r="AE372" s="8">
        <v>0</v>
      </c>
      <c r="AF372" s="10">
        <v>0</v>
      </c>
      <c r="AG372" s="8">
        <f>COUNTIF(Y372:AB372,"&gt;0")</f>
        <v>2</v>
      </c>
      <c r="AH372" s="10">
        <v>0.52400000000000002</v>
      </c>
      <c r="AI372" s="10">
        <v>5.0469999999999997</v>
      </c>
      <c r="AJ372" s="8" t="str">
        <f>IF(ISNUMBER(X372),IF(X372&gt;0,"+",IF(X372&lt;0,"−","0")),IF(ISNUMBER(W372),IF(W372&gt;0,"+",IF(W372&lt;0,"−","0")),"yok"))</f>
        <v>−</v>
      </c>
      <c r="AK372" s="10">
        <f>IF(AND(RIGHT(C372,2)&lt;&gt;"12",ISNUMBER(U372),ISNUMBER(V372)),U372-V372,"")</f>
        <v>-46.021000000000001</v>
      </c>
      <c r="AL372" s="11">
        <f>IF(AND(ISNUMBER(AK372),ISNUMBER(V372)),IF(V372&lt;&gt;0,AK372/ABS(V372),""),"")</f>
        <v>-2.5054986933797911</v>
      </c>
      <c r="AM372" s="8">
        <f>IF(ISNUMBER(AK372),IF(AK372&gt;1,1,0),"")</f>
        <v>0</v>
      </c>
      <c r="AN372" s="8">
        <f>IF(ISNUMBER(AK372),IF(AK372&gt;0.05*ABS(V372),1,0),"")</f>
        <v>0</v>
      </c>
      <c r="AO372" s="10">
        <v>-47.636000000000003</v>
      </c>
      <c r="AP372" s="10">
        <v>47.636000000000003</v>
      </c>
      <c r="AQ372" s="8" t="s">
        <v>204</v>
      </c>
      <c r="AR372" s="8">
        <v>0</v>
      </c>
      <c r="AS372" s="10">
        <v>-128.601</v>
      </c>
      <c r="AT372" s="10">
        <v>-176.23699999999999</v>
      </c>
      <c r="AU372" s="8" t="s">
        <v>204</v>
      </c>
      <c r="AV372" s="10">
        <v>5.0469999999999997</v>
      </c>
      <c r="AW372" s="11">
        <f>IF(AND(ISNUMBER(AV372),ISNUMBER(AT372)),IF(AT372&lt;&gt;0,AV372/ABS(AT372),""),"")</f>
        <v>2.8637573267815498E-2</v>
      </c>
      <c r="AX372" s="8">
        <v>0</v>
      </c>
      <c r="AY372" s="8">
        <v>0</v>
      </c>
      <c r="AZ372" s="10"/>
      <c r="BA372" s="8">
        <v>0</v>
      </c>
    </row>
    <row r="373" spans="1:53" x14ac:dyDescent="0.2">
      <c r="A373" s="8" t="s">
        <v>460</v>
      </c>
      <c r="B373" s="8" t="s">
        <v>83</v>
      </c>
      <c r="C373" s="8" t="s">
        <v>215</v>
      </c>
      <c r="D373" s="8">
        <v>1</v>
      </c>
      <c r="E373" s="8">
        <v>1</v>
      </c>
      <c r="F373" s="8">
        <f>SUM(G373:M373)</f>
        <v>2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1</v>
      </c>
      <c r="M373" s="8">
        <v>1</v>
      </c>
      <c r="N373" s="8">
        <v>0</v>
      </c>
      <c r="O373" s="8">
        <v>0</v>
      </c>
      <c r="P373" s="8">
        <v>1</v>
      </c>
      <c r="Q373" s="8">
        <v>0</v>
      </c>
      <c r="R373" s="8">
        <v>0</v>
      </c>
      <c r="S373" s="8">
        <v>0</v>
      </c>
      <c r="T373" s="10">
        <v>-17.617999999999999</v>
      </c>
      <c r="U373" s="10">
        <v>-64.388999999999996</v>
      </c>
      <c r="V373" s="10">
        <v>-69.436000000000007</v>
      </c>
      <c r="W373" s="10">
        <f>IF(RIGHT(C373,2)="12",IF(ISNUMBER(T373),T373,""),IF(COUNT(T373,U373,V373)=3,T373+U373-V373,""))</f>
        <v>-12.570999999999984</v>
      </c>
      <c r="X373" s="10">
        <v>-12.57</v>
      </c>
      <c r="Y373" s="10">
        <v>5.0469999999999997</v>
      </c>
      <c r="Z373" s="10">
        <v>-2.14</v>
      </c>
      <c r="AA373" s="10">
        <v>0.52400000000000002</v>
      </c>
      <c r="AB373" s="10">
        <v>-16.001999999999999</v>
      </c>
      <c r="AC373" s="8">
        <v>0</v>
      </c>
      <c r="AD373" s="8">
        <v>0</v>
      </c>
      <c r="AE373" s="8">
        <v>0</v>
      </c>
      <c r="AF373" s="10">
        <v>0</v>
      </c>
      <c r="AG373" s="8">
        <f>COUNTIF(Y373:AB373,"&gt;0")</f>
        <v>2</v>
      </c>
      <c r="AH373" s="10">
        <v>0.52400000000000002</v>
      </c>
      <c r="AI373" s="10">
        <v>5.0469999999999997</v>
      </c>
      <c r="AJ373" s="8" t="str">
        <f>IF(ISNUMBER(X373),IF(X373&gt;0,"+",IF(X373&lt;0,"−","0")),IF(ISNUMBER(W373),IF(W373&gt;0,"+",IF(W373&lt;0,"−","0")),"yok"))</f>
        <v>−</v>
      </c>
      <c r="AK373" s="10">
        <f>IF(AND(RIGHT(C373,2)&lt;&gt;"12",ISNUMBER(U373),ISNUMBER(V373)),U373-V373,"")</f>
        <v>5.0470000000000113</v>
      </c>
      <c r="AL373" s="11">
        <f>IF(AND(ISNUMBER(AK373),ISNUMBER(V373)),IF(V373&lt;&gt;0,AK373/ABS(V373),""),"")</f>
        <v>7.2685638573650707E-2</v>
      </c>
      <c r="AM373" s="8">
        <f>IF(ISNUMBER(AK373),IF(AK373&gt;1,1,0),"")</f>
        <v>1</v>
      </c>
      <c r="AN373" s="8">
        <f>IF(ISNUMBER(AK373),IF(AK373&gt;0.05*ABS(V373),1,0),"")</f>
        <v>1</v>
      </c>
      <c r="AO373" s="10">
        <v>-12.57</v>
      </c>
      <c r="AP373" s="10">
        <v>12.57</v>
      </c>
      <c r="AQ373" s="8" t="s">
        <v>204</v>
      </c>
      <c r="AR373" s="8">
        <v>0</v>
      </c>
      <c r="AS373" s="10">
        <v>-325.28100000000001</v>
      </c>
      <c r="AT373" s="10">
        <v>-337.851</v>
      </c>
      <c r="AU373" s="8" t="s">
        <v>204</v>
      </c>
      <c r="AV373" s="10">
        <v>5.0470000000000104</v>
      </c>
      <c r="AW373" s="11">
        <f>IF(AND(ISNUMBER(AV373),ISNUMBER(AT373)),IF(AT373&lt;&gt;0,AV373/ABS(AT373),""),"")</f>
        <v>1.4938537994559763E-2</v>
      </c>
      <c r="AX373" s="8">
        <v>0</v>
      </c>
      <c r="AY373" s="8">
        <v>1</v>
      </c>
      <c r="AZ373" s="10"/>
      <c r="BA373" s="8">
        <v>0</v>
      </c>
    </row>
    <row r="374" spans="1:53" x14ac:dyDescent="0.2">
      <c r="A374" s="8" t="s">
        <v>461</v>
      </c>
      <c r="B374" s="8" t="s">
        <v>82</v>
      </c>
      <c r="C374" s="8" t="s">
        <v>205</v>
      </c>
      <c r="D374" s="8">
        <v>1</v>
      </c>
      <c r="E374" s="8">
        <v>1</v>
      </c>
      <c r="F374" s="8">
        <f>SUM(G374:M374)</f>
        <v>1</v>
      </c>
      <c r="G374" s="8">
        <v>1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1</v>
      </c>
      <c r="O374" s="8">
        <v>0</v>
      </c>
      <c r="P374" s="8">
        <v>1</v>
      </c>
      <c r="Q374" s="8">
        <v>1</v>
      </c>
      <c r="R374" s="8">
        <v>1</v>
      </c>
      <c r="S374" s="8">
        <v>0</v>
      </c>
      <c r="T374" s="10">
        <v>-0.48399999999999999</v>
      </c>
      <c r="U374" s="10">
        <v>-2.2709999999999999</v>
      </c>
      <c r="V374" s="10">
        <v>-10.553000000000001</v>
      </c>
      <c r="W374" s="10">
        <f>IF(RIGHT(C374,2)="12",IF(ISNUMBER(T374),T374,""),IF(COUNT(T374,U374,V374)=3,T374+U374-V374,""))</f>
        <v>7.7980000000000009</v>
      </c>
      <c r="X374" s="10">
        <v>7.7960000000000003</v>
      </c>
      <c r="Y374" s="10">
        <v>-5.2759999999999998</v>
      </c>
      <c r="Z374" s="10">
        <v>13.558</v>
      </c>
      <c r="AA374" s="10">
        <v>-0.51400000000000001</v>
      </c>
      <c r="AB374" s="10">
        <v>2.9000000000000001E-2</v>
      </c>
      <c r="AC374" s="8">
        <v>0</v>
      </c>
      <c r="AD374" s="8">
        <v>0</v>
      </c>
      <c r="AE374" s="8">
        <v>0</v>
      </c>
      <c r="AF374" s="10">
        <v>0</v>
      </c>
      <c r="AG374" s="8">
        <f>COUNTIF(Y374:AB374,"&gt;0")</f>
        <v>2</v>
      </c>
      <c r="AH374" s="10">
        <v>2.9000000000000001E-2</v>
      </c>
      <c r="AI374" s="10">
        <v>13.558</v>
      </c>
      <c r="AJ374" s="8" t="str">
        <f>IF(ISNUMBER(X374),IF(X374&gt;0,"+",IF(X374&lt;0,"−","0")),IF(ISNUMBER(W374),IF(W374&gt;0,"+",IF(W374&lt;0,"−","0")),"yok"))</f>
        <v>+</v>
      </c>
      <c r="AK374" s="10">
        <f>IF(AND(RIGHT(C374,2)&lt;&gt;"12",ISNUMBER(U374),ISNUMBER(V374)),U374-V374,"")</f>
        <v>8.282</v>
      </c>
      <c r="AL374" s="11">
        <f>IF(AND(ISNUMBER(AK374),ISNUMBER(V374)),IF(V374&lt;&gt;0,AK374/ABS(V374),""),"")</f>
        <v>0.78480053065479005</v>
      </c>
      <c r="AM374" s="8">
        <f>IF(ISNUMBER(AK374),IF(AK374&gt;1,1,0),"")</f>
        <v>1</v>
      </c>
      <c r="AN374" s="8">
        <f>IF(ISNUMBER(AK374),IF(AK374&gt;0.05*ABS(V374),1,0),"")</f>
        <v>1</v>
      </c>
      <c r="AO374" s="10">
        <v>7.7969999999999997</v>
      </c>
      <c r="AP374" s="10">
        <v>0</v>
      </c>
      <c r="AQ374" s="8" t="s">
        <v>204</v>
      </c>
      <c r="AR374" s="8">
        <v>1</v>
      </c>
      <c r="AS374" s="10">
        <v>67.08</v>
      </c>
      <c r="AT374" s="10">
        <v>45.061999999999998</v>
      </c>
      <c r="AU374" s="8" t="s">
        <v>204</v>
      </c>
      <c r="AV374" s="10">
        <v>8.282</v>
      </c>
      <c r="AW374" s="11">
        <f>IF(AND(ISNUMBER(AV374),ISNUMBER(AT374)),IF(AT374&lt;&gt;0,AV374/ABS(AT374),""),"")</f>
        <v>0.18379122098442147</v>
      </c>
      <c r="AX374" s="8">
        <v>0</v>
      </c>
      <c r="AY374" s="8">
        <v>1</v>
      </c>
      <c r="AZ374" s="10"/>
      <c r="BA374" s="8">
        <v>0</v>
      </c>
    </row>
    <row r="375" spans="1:53" x14ac:dyDescent="0.2">
      <c r="A375" s="8" t="s">
        <v>461</v>
      </c>
      <c r="B375" s="8" t="s">
        <v>82</v>
      </c>
      <c r="C375" s="8" t="s">
        <v>215</v>
      </c>
      <c r="D375" s="8">
        <v>1</v>
      </c>
      <c r="E375" s="8">
        <v>1</v>
      </c>
      <c r="F375" s="8">
        <f>SUM(G375:M375)</f>
        <v>1</v>
      </c>
      <c r="G375" s="8">
        <v>1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1</v>
      </c>
      <c r="O375" s="8">
        <v>0</v>
      </c>
      <c r="P375" s="8">
        <v>1</v>
      </c>
      <c r="Q375" s="8">
        <v>1</v>
      </c>
      <c r="R375" s="8">
        <v>1</v>
      </c>
      <c r="S375" s="8">
        <v>0</v>
      </c>
      <c r="T375" s="10">
        <v>-0.45100000000000001</v>
      </c>
      <c r="U375" s="10">
        <v>-2.2709999999999999</v>
      </c>
      <c r="V375" s="10">
        <v>-15.83</v>
      </c>
      <c r="W375" s="10">
        <f>IF(RIGHT(C375,2)="12",IF(ISNUMBER(T375),T375,""),IF(COUNT(T375,U375,V375)=3,T375+U375-V375,""))</f>
        <v>13.108000000000001</v>
      </c>
      <c r="X375" s="10">
        <v>13.106999999999999</v>
      </c>
      <c r="Y375" s="10">
        <v>13.558</v>
      </c>
      <c r="Z375" s="10">
        <v>-0.51400000000000001</v>
      </c>
      <c r="AA375" s="10">
        <v>2.9000000000000001E-2</v>
      </c>
      <c r="AB375" s="10">
        <v>3.3000000000000002E-2</v>
      </c>
      <c r="AC375" s="8">
        <v>0</v>
      </c>
      <c r="AD375" s="8">
        <v>0</v>
      </c>
      <c r="AE375" s="8">
        <v>0</v>
      </c>
      <c r="AF375" s="10">
        <v>0</v>
      </c>
      <c r="AG375" s="8">
        <f>COUNTIF(Y375:AB375,"&gt;0")</f>
        <v>3</v>
      </c>
      <c r="AH375" s="10">
        <v>6.2E-2</v>
      </c>
      <c r="AI375" s="10">
        <v>13.558</v>
      </c>
      <c r="AJ375" s="8" t="str">
        <f>IF(ISNUMBER(X375),IF(X375&gt;0,"+",IF(X375&lt;0,"−","0")),IF(ISNUMBER(W375),IF(W375&gt;0,"+",IF(W375&lt;0,"−","0")),"yok"))</f>
        <v>+</v>
      </c>
      <c r="AK375" s="10">
        <f>IF(AND(RIGHT(C375,2)&lt;&gt;"12",ISNUMBER(U375),ISNUMBER(V375)),U375-V375,"")</f>
        <v>13.559000000000001</v>
      </c>
      <c r="AL375" s="11">
        <f>IF(AND(ISNUMBER(AK375),ISNUMBER(V375)),IF(V375&lt;&gt;0,AK375/ABS(V375),""),"")</f>
        <v>0.85653821857233103</v>
      </c>
      <c r="AM375" s="8">
        <f>IF(ISNUMBER(AK375),IF(AK375&gt;1,1,0),"")</f>
        <v>1</v>
      </c>
      <c r="AN375" s="8">
        <f>IF(ISNUMBER(AK375),IF(AK375&gt;0.05*ABS(V375),1,0),"")</f>
        <v>1</v>
      </c>
      <c r="AO375" s="10">
        <v>13.106999999999999</v>
      </c>
      <c r="AP375" s="10">
        <v>0</v>
      </c>
      <c r="AQ375" s="8" t="s">
        <v>204</v>
      </c>
      <c r="AR375" s="8">
        <v>1</v>
      </c>
      <c r="AS375" s="10">
        <v>19.754000000000001</v>
      </c>
      <c r="AT375" s="10">
        <v>14.381</v>
      </c>
      <c r="AU375" s="8" t="s">
        <v>204</v>
      </c>
      <c r="AV375" s="10">
        <v>13.558999999999999</v>
      </c>
      <c r="AW375" s="11">
        <f>IF(AND(ISNUMBER(AV375),ISNUMBER(AT375)),IF(AT375&lt;&gt;0,AV375/ABS(AT375),""),"")</f>
        <v>0.94284124887003684</v>
      </c>
      <c r="AX375" s="8">
        <v>0</v>
      </c>
      <c r="AY375" s="8">
        <v>1</v>
      </c>
      <c r="AZ375" s="10"/>
      <c r="BA375" s="8">
        <v>0</v>
      </c>
    </row>
    <row r="376" spans="1:53" x14ac:dyDescent="0.2">
      <c r="A376" s="8" t="s">
        <v>462</v>
      </c>
      <c r="B376" s="8" t="s">
        <v>82</v>
      </c>
      <c r="C376" s="8" t="s">
        <v>203</v>
      </c>
      <c r="D376" s="8">
        <v>1</v>
      </c>
      <c r="E376" s="8">
        <v>1</v>
      </c>
      <c r="F376" s="8">
        <f>SUM(G376:M376)</f>
        <v>2</v>
      </c>
      <c r="G376" s="8">
        <v>1</v>
      </c>
      <c r="H376" s="8">
        <v>1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1</v>
      </c>
      <c r="O376" s="8">
        <v>1</v>
      </c>
      <c r="P376" s="8">
        <v>1</v>
      </c>
      <c r="Q376" s="8">
        <v>1</v>
      </c>
      <c r="R376" s="8">
        <v>1</v>
      </c>
      <c r="S376" s="8">
        <v>0</v>
      </c>
      <c r="T376" s="10">
        <v>0</v>
      </c>
      <c r="U376" s="10">
        <v>0.38600000000000001</v>
      </c>
      <c r="V376" s="10">
        <v>-0.84899999999999998</v>
      </c>
      <c r="W376" s="10">
        <f>IF(RIGHT(C376,2)="12",IF(ISNUMBER(T376),T376,""),IF(COUNT(T376,U376,V376)=3,T376+U376-V376,""))</f>
        <v>1.2349999999999999</v>
      </c>
      <c r="X376" s="10">
        <v>1.2350000000000001</v>
      </c>
      <c r="Y376" s="10">
        <v>1.3160000000000001</v>
      </c>
      <c r="Z376" s="10">
        <v>-0.65800000000000003</v>
      </c>
      <c r="AA376" s="10">
        <v>0.57699999999999996</v>
      </c>
      <c r="AB376" s="10">
        <v>0</v>
      </c>
      <c r="AC376" s="8">
        <v>0</v>
      </c>
      <c r="AD376" s="8">
        <v>1</v>
      </c>
      <c r="AE376" s="8">
        <v>0</v>
      </c>
      <c r="AF376" s="10">
        <v>0.38600000000000001</v>
      </c>
      <c r="AG376" s="8">
        <f>COUNTIF(Y376:AB376,"&gt;0")</f>
        <v>2</v>
      </c>
      <c r="AH376" s="10">
        <v>0</v>
      </c>
      <c r="AI376" s="10">
        <v>1.893</v>
      </c>
      <c r="AJ376" s="8" t="str">
        <f>IF(ISNUMBER(X376),IF(X376&gt;0,"+",IF(X376&lt;0,"−","0")),IF(ISNUMBER(W376),IF(W376&gt;0,"+",IF(W376&lt;0,"−","0")),"yok"))</f>
        <v>+</v>
      </c>
      <c r="AK376" s="10">
        <f>IF(AND(RIGHT(C376,2)&lt;&gt;"12",ISNUMBER(U376),ISNUMBER(V376)),U376-V376,"")</f>
        <v>1.2349999999999999</v>
      </c>
      <c r="AL376" s="11">
        <f>IF(AND(ISNUMBER(AK376),ISNUMBER(V376)),IF(V376&lt;&gt;0,AK376/ABS(V376),""),"")</f>
        <v>1.4546525323910482</v>
      </c>
      <c r="AM376" s="8">
        <f>IF(ISNUMBER(AK376),IF(AK376&gt;1,1,0),"")</f>
        <v>1</v>
      </c>
      <c r="AN376" s="8">
        <f>IF(ISNUMBER(AK376),IF(AK376&gt;0.05*ABS(V376),1,0),"")</f>
        <v>1</v>
      </c>
      <c r="AO376" s="10">
        <v>1.2350000000000001</v>
      </c>
      <c r="AP376" s="10">
        <v>1.2350000000000001</v>
      </c>
      <c r="AQ376" s="8" t="s">
        <v>204</v>
      </c>
      <c r="AR376" s="8">
        <v>0</v>
      </c>
      <c r="AS376" s="10">
        <v>136.923</v>
      </c>
      <c r="AT376" s="10"/>
      <c r="AU376" s="8" t="s">
        <v>207</v>
      </c>
      <c r="AV376" s="10">
        <v>0.38600000000000001</v>
      </c>
      <c r="AW376" s="11" t="str">
        <f>IF(AND(ISNUMBER(AV376),ISNUMBER(AT376)),IF(AT376&lt;&gt;0,AV376/ABS(AT376),""),"")</f>
        <v/>
      </c>
      <c r="AX376" s="8">
        <v>1</v>
      </c>
      <c r="AY376" s="8">
        <v>0</v>
      </c>
      <c r="AZ376" s="8" t="s">
        <v>463</v>
      </c>
      <c r="BA376" s="8">
        <v>0</v>
      </c>
    </row>
    <row r="377" spans="1:53" x14ac:dyDescent="0.2">
      <c r="A377" s="8" t="s">
        <v>462</v>
      </c>
      <c r="B377" s="8" t="s">
        <v>82</v>
      </c>
      <c r="C377" s="8" t="s">
        <v>205</v>
      </c>
      <c r="D377" s="8">
        <v>1</v>
      </c>
      <c r="E377" s="8">
        <v>1</v>
      </c>
      <c r="F377" s="8">
        <f>SUM(G377:M377)</f>
        <v>1</v>
      </c>
      <c r="G377" s="8">
        <v>0</v>
      </c>
      <c r="H377" s="8">
        <v>0</v>
      </c>
      <c r="I377" s="8">
        <v>0</v>
      </c>
      <c r="J377" s="8">
        <v>1</v>
      </c>
      <c r="K377" s="8">
        <v>0</v>
      </c>
      <c r="L377" s="8">
        <v>0</v>
      </c>
      <c r="M377" s="8">
        <v>0</v>
      </c>
      <c r="N377" s="8">
        <v>0</v>
      </c>
      <c r="O377" s="8">
        <v>1</v>
      </c>
      <c r="P377" s="8">
        <v>1</v>
      </c>
      <c r="Q377" s="8">
        <v>0</v>
      </c>
      <c r="R377" s="8">
        <v>0</v>
      </c>
      <c r="S377" s="8">
        <v>0</v>
      </c>
      <c r="T377" s="10">
        <v>-0.31900000000000001</v>
      </c>
      <c r="U377" s="10">
        <v>0.38600000000000001</v>
      </c>
      <c r="V377" s="10">
        <v>0.46700000000000003</v>
      </c>
      <c r="W377" s="10">
        <f>IF(RIGHT(C377,2)="12",IF(ISNUMBER(T377),T377,""),IF(COUNT(T377,U377,V377)=3,T377+U377-V377,""))</f>
        <v>-0.4</v>
      </c>
      <c r="X377" s="10">
        <v>-0.4</v>
      </c>
      <c r="Y377" s="10">
        <v>-0.65800000000000003</v>
      </c>
      <c r="Z377" s="10">
        <v>0.57699999999999996</v>
      </c>
      <c r="AA377" s="10">
        <v>0</v>
      </c>
      <c r="AB377" s="10">
        <v>-0.31900000000000001</v>
      </c>
      <c r="AC377" s="8">
        <v>0</v>
      </c>
      <c r="AD377" s="8">
        <v>1</v>
      </c>
      <c r="AE377" s="8">
        <v>1</v>
      </c>
      <c r="AF377" s="10">
        <v>0.46700000000000003</v>
      </c>
      <c r="AG377" s="8">
        <f>COUNTIF(Y377:AB377,"&gt;0")</f>
        <v>1</v>
      </c>
      <c r="AH377" s="10">
        <v>0</v>
      </c>
      <c r="AI377" s="10">
        <v>0.57699999999999996</v>
      </c>
      <c r="AJ377" s="8" t="str">
        <f>IF(ISNUMBER(X377),IF(X377&gt;0,"+",IF(X377&lt;0,"−","0")),IF(ISNUMBER(W377),IF(W377&gt;0,"+",IF(W377&lt;0,"−","0")),"yok"))</f>
        <v>−</v>
      </c>
      <c r="AK377" s="10">
        <f>IF(AND(RIGHT(C377,2)&lt;&gt;"12",ISNUMBER(U377),ISNUMBER(V377)),U377-V377,"")</f>
        <v>-8.1000000000000016E-2</v>
      </c>
      <c r="AL377" s="11">
        <f>IF(AND(ISNUMBER(AK377),ISNUMBER(V377)),IF(V377&lt;&gt;0,AK377/ABS(V377),""),"")</f>
        <v>-0.17344753747323344</v>
      </c>
      <c r="AM377" s="8">
        <f>IF(ISNUMBER(AK377),IF(AK377&gt;1,1,0),"")</f>
        <v>0</v>
      </c>
      <c r="AN377" s="8">
        <f>IF(ISNUMBER(AK377),IF(AK377&gt;0.05*ABS(V377),1,0),"")</f>
        <v>0</v>
      </c>
      <c r="AO377" s="10">
        <v>-0.40100000000000002</v>
      </c>
      <c r="AP377" s="10">
        <v>0.40100000000000002</v>
      </c>
      <c r="AQ377" s="8" t="s">
        <v>204</v>
      </c>
      <c r="AR377" s="8">
        <v>0</v>
      </c>
      <c r="AS377" s="10">
        <v>553.49800000000005</v>
      </c>
      <c r="AT377" s="10"/>
      <c r="AU377" s="8" t="s">
        <v>207</v>
      </c>
      <c r="AV377" s="10">
        <v>0.46700000000000003</v>
      </c>
      <c r="AW377" s="11" t="str">
        <f>IF(AND(ISNUMBER(AV377),ISNUMBER(AT377)),IF(AT377&lt;&gt;0,AV377/ABS(AT377),""),"")</f>
        <v/>
      </c>
      <c r="AX377" s="8">
        <v>1</v>
      </c>
      <c r="AY377" s="8">
        <v>0</v>
      </c>
      <c r="AZ377" s="8" t="s">
        <v>464</v>
      </c>
      <c r="BA377" s="8">
        <v>0</v>
      </c>
    </row>
    <row r="378" spans="1:53" x14ac:dyDescent="0.2">
      <c r="A378" s="8" t="s">
        <v>462</v>
      </c>
      <c r="B378" s="8" t="s">
        <v>82</v>
      </c>
      <c r="C378" s="8" t="s">
        <v>215</v>
      </c>
      <c r="D378" s="8">
        <v>1</v>
      </c>
      <c r="E378" s="8">
        <v>1</v>
      </c>
      <c r="F378" s="8">
        <f>SUM(G378:M378)</f>
        <v>1</v>
      </c>
      <c r="G378" s="8">
        <v>0</v>
      </c>
      <c r="H378" s="8">
        <v>0</v>
      </c>
      <c r="I378" s="8">
        <v>0</v>
      </c>
      <c r="J378" s="8">
        <v>1</v>
      </c>
      <c r="K378" s="8">
        <v>0</v>
      </c>
      <c r="L378" s="8">
        <v>0</v>
      </c>
      <c r="M378" s="8">
        <v>0</v>
      </c>
      <c r="N378" s="8">
        <v>0</v>
      </c>
      <c r="O378" s="8">
        <v>1</v>
      </c>
      <c r="P378" s="8">
        <v>1</v>
      </c>
      <c r="Q378" s="8">
        <v>0</v>
      </c>
      <c r="R378" s="8">
        <v>0</v>
      </c>
      <c r="S378" s="8">
        <v>0</v>
      </c>
      <c r="T378" s="10">
        <v>-3.1890000000000001</v>
      </c>
      <c r="U378" s="10">
        <v>0.38600000000000001</v>
      </c>
      <c r="V378" s="10">
        <v>-0.19</v>
      </c>
      <c r="W378" s="10">
        <f>IF(RIGHT(C378,2)="12",IF(ISNUMBER(T378),T378,""),IF(COUNT(T378,U378,V378)=3,T378+U378-V378,""))</f>
        <v>-2.613</v>
      </c>
      <c r="X378" s="10">
        <v>-2.6120000000000001</v>
      </c>
      <c r="Y378" s="10">
        <v>0.57699999999999996</v>
      </c>
      <c r="Z378" s="10">
        <v>0</v>
      </c>
      <c r="AA378" s="10">
        <v>-0.31900000000000001</v>
      </c>
      <c r="AB378" s="10">
        <v>-2.87</v>
      </c>
      <c r="AC378" s="8">
        <v>0</v>
      </c>
      <c r="AD378" s="8">
        <v>1</v>
      </c>
      <c r="AE378" s="8">
        <v>0</v>
      </c>
      <c r="AF378" s="10">
        <v>0.38600000000000001</v>
      </c>
      <c r="AG378" s="8">
        <f>COUNTIF(Y378:AB378,"&gt;0")</f>
        <v>1</v>
      </c>
      <c r="AH378" s="10">
        <v>0</v>
      </c>
      <c r="AI378" s="10">
        <v>0.57699999999999996</v>
      </c>
      <c r="AJ378" s="8" t="str">
        <f>IF(ISNUMBER(X378),IF(X378&gt;0,"+",IF(X378&lt;0,"−","0")),IF(ISNUMBER(W378),IF(W378&gt;0,"+",IF(W378&lt;0,"−","0")),"yok"))</f>
        <v>−</v>
      </c>
      <c r="AK378" s="10">
        <f>IF(AND(RIGHT(C378,2)&lt;&gt;"12",ISNUMBER(U378),ISNUMBER(V378)),U378-V378,"")</f>
        <v>0.57600000000000007</v>
      </c>
      <c r="AL378" s="11">
        <f>IF(AND(ISNUMBER(AK378),ISNUMBER(V378)),IF(V378&lt;&gt;0,AK378/ABS(V378),""),"")</f>
        <v>3.0315789473684212</v>
      </c>
      <c r="AM378" s="8">
        <f>IF(ISNUMBER(AK378),IF(AK378&gt;1,1,0),"")</f>
        <v>0</v>
      </c>
      <c r="AN378" s="8">
        <f>IF(ISNUMBER(AK378),IF(AK378&gt;0.05*ABS(V378),1,0),"")</f>
        <v>1</v>
      </c>
      <c r="AO378" s="10">
        <v>-2.6120000000000001</v>
      </c>
      <c r="AP378" s="10">
        <v>2.6120000000000001</v>
      </c>
      <c r="AQ378" s="8" t="s">
        <v>204</v>
      </c>
      <c r="AR378" s="8">
        <v>0</v>
      </c>
      <c r="AS378" s="10">
        <v>879.447</v>
      </c>
      <c r="AT378" s="10"/>
      <c r="AU378" s="8" t="s">
        <v>207</v>
      </c>
      <c r="AV378" s="10">
        <v>0.38600000000000001</v>
      </c>
      <c r="AW378" s="11" t="str">
        <f>IF(AND(ISNUMBER(AV378),ISNUMBER(AT378)),IF(AT378&lt;&gt;0,AV378/ABS(AT378),""),"")</f>
        <v/>
      </c>
      <c r="AX378" s="8">
        <v>1</v>
      </c>
      <c r="AY378" s="8">
        <v>0</v>
      </c>
      <c r="AZ378" s="8" t="s">
        <v>463</v>
      </c>
      <c r="BA378" s="8">
        <v>0</v>
      </c>
    </row>
    <row r="379" spans="1:53" x14ac:dyDescent="0.2">
      <c r="A379" s="8" t="s">
        <v>465</v>
      </c>
      <c r="B379" s="8" t="s">
        <v>83</v>
      </c>
      <c r="C379" s="8" t="s">
        <v>215</v>
      </c>
      <c r="D379" s="8">
        <v>1</v>
      </c>
      <c r="E379" s="8">
        <v>1</v>
      </c>
      <c r="F379" s="8">
        <f>SUM(G379:M379)</f>
        <v>1</v>
      </c>
      <c r="G379" s="8">
        <v>0</v>
      </c>
      <c r="H379" s="8">
        <v>0</v>
      </c>
      <c r="I379" s="8">
        <v>1</v>
      </c>
      <c r="J379" s="8">
        <v>0</v>
      </c>
      <c r="K379" s="8">
        <v>0</v>
      </c>
      <c r="L379" s="8">
        <v>0</v>
      </c>
      <c r="M379" s="8">
        <v>0</v>
      </c>
      <c r="N379" s="8">
        <v>1</v>
      </c>
      <c r="O379" s="8">
        <v>0</v>
      </c>
      <c r="P379" s="8">
        <v>1</v>
      </c>
      <c r="Q379" s="8">
        <v>0</v>
      </c>
      <c r="R379" s="8">
        <v>0</v>
      </c>
      <c r="S379" s="8">
        <v>0</v>
      </c>
      <c r="T379" s="10">
        <v>-9.1999999999999998E-2</v>
      </c>
      <c r="U379" s="10">
        <v>-148.95099999999999</v>
      </c>
      <c r="V379" s="10">
        <v>-150.32499999999999</v>
      </c>
      <c r="W379" s="10">
        <f>IF(RIGHT(C379,2)="12",IF(ISNUMBER(T379),T379,""),IF(COUNT(T379,U379,V379)=3,T379+U379-V379,""))</f>
        <v>1.2819999999999823</v>
      </c>
      <c r="X379" s="10">
        <v>1.2809999999999999</v>
      </c>
      <c r="Y379" s="10">
        <v>1.373</v>
      </c>
      <c r="Z379" s="10">
        <v>0</v>
      </c>
      <c r="AA379" s="10">
        <v>-7.0000000000000007E-2</v>
      </c>
      <c r="AB379" s="10">
        <v>-2.1000000000000001E-2</v>
      </c>
      <c r="AC379" s="8">
        <v>0</v>
      </c>
      <c r="AD379" s="8">
        <v>0</v>
      </c>
      <c r="AE379" s="8">
        <v>0</v>
      </c>
      <c r="AF379" s="10">
        <v>0</v>
      </c>
      <c r="AG379" s="8">
        <f>COUNTIF(Y379:AB379,"&gt;0")</f>
        <v>1</v>
      </c>
      <c r="AH379" s="10">
        <v>0</v>
      </c>
      <c r="AI379" s="10">
        <v>1.373</v>
      </c>
      <c r="AJ379" s="8" t="str">
        <f>IF(ISNUMBER(X379),IF(X379&gt;0,"+",IF(X379&lt;0,"−","0")),IF(ISNUMBER(W379),IF(W379&gt;0,"+",IF(W379&lt;0,"−","0")),"yok"))</f>
        <v>+</v>
      </c>
      <c r="AK379" s="10">
        <f>IF(AND(RIGHT(C379,2)&lt;&gt;"12",ISNUMBER(U379),ISNUMBER(V379)),U379-V379,"")</f>
        <v>1.3739999999999952</v>
      </c>
      <c r="AL379" s="11">
        <f>IF(AND(ISNUMBER(AK379),ISNUMBER(V379)),IF(V379&lt;&gt;0,AK379/ABS(V379),""),"")</f>
        <v>9.1401962414767689E-3</v>
      </c>
      <c r="AM379" s="8">
        <f>IF(ISNUMBER(AK379),IF(AK379&gt;1,1,0),"")</f>
        <v>1</v>
      </c>
      <c r="AN379" s="8">
        <f>IF(ISNUMBER(AK379),IF(AK379&gt;0.05*ABS(V379),1,0),"")</f>
        <v>0</v>
      </c>
      <c r="AO379" s="10">
        <v>1.2809999999999799</v>
      </c>
      <c r="AP379" s="10">
        <v>0</v>
      </c>
      <c r="AQ379" s="8" t="s">
        <v>204</v>
      </c>
      <c r="AR379" s="8">
        <v>1</v>
      </c>
      <c r="AS379" s="10">
        <v>106.14</v>
      </c>
      <c r="AT379" s="10">
        <v>106.14</v>
      </c>
      <c r="AU379" s="8" t="s">
        <v>204</v>
      </c>
      <c r="AV379" s="10">
        <v>1.3740000000000001</v>
      </c>
      <c r="AW379" s="11">
        <f>IF(AND(ISNUMBER(AV379),ISNUMBER(AT379)),IF(AT379&lt;&gt;0,AV379/ABS(AT379),""),"")</f>
        <v>1.2945166760881855E-2</v>
      </c>
      <c r="AX379" s="8">
        <v>0</v>
      </c>
      <c r="AY379" s="8">
        <v>0</v>
      </c>
      <c r="AZ379" s="10"/>
      <c r="BA379" s="8">
        <v>0</v>
      </c>
    </row>
    <row r="380" spans="1:53" x14ac:dyDescent="0.2">
      <c r="A380" s="8" t="s">
        <v>466</v>
      </c>
      <c r="B380" s="8" t="s">
        <v>82</v>
      </c>
      <c r="C380" s="8" t="s">
        <v>203</v>
      </c>
      <c r="D380" s="8">
        <v>1</v>
      </c>
      <c r="E380" s="8">
        <v>1</v>
      </c>
      <c r="F380" s="8">
        <f>SUM(G380:M380)</f>
        <v>1</v>
      </c>
      <c r="G380" s="8">
        <v>1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1</v>
      </c>
      <c r="O380" s="8">
        <v>1</v>
      </c>
      <c r="P380" s="8">
        <v>1</v>
      </c>
      <c r="Q380" s="8">
        <v>0</v>
      </c>
      <c r="R380" s="8">
        <v>1</v>
      </c>
      <c r="S380" s="8">
        <v>0</v>
      </c>
      <c r="T380" s="10">
        <v>2.5470000000000002</v>
      </c>
      <c r="U380" s="10">
        <v>-4.8049999999999997</v>
      </c>
      <c r="V380" s="10">
        <v>-4.0270000000000001</v>
      </c>
      <c r="W380" s="10">
        <f>IF(RIGHT(C380,2)="12",IF(ISNUMBER(T380),T380,""),IF(COUNT(T380,U380,V380)=3,T380+U380-V380,""))</f>
        <v>1.7690000000000006</v>
      </c>
      <c r="X380" s="10">
        <v>1.768</v>
      </c>
      <c r="Y380" s="10">
        <v>-0.82</v>
      </c>
      <c r="Z380" s="10">
        <v>-3.4769999999999999</v>
      </c>
      <c r="AA380" s="10">
        <v>3.5190000000000001</v>
      </c>
      <c r="AB380" s="10">
        <v>2.5470000000000002</v>
      </c>
      <c r="AC380" s="8">
        <v>1</v>
      </c>
      <c r="AD380" s="8">
        <v>0</v>
      </c>
      <c r="AE380" s="8">
        <v>0</v>
      </c>
      <c r="AF380" s="10">
        <v>2.5470000000000002</v>
      </c>
      <c r="AG380" s="8">
        <f>COUNTIF(Y380:AB380,"&gt;0")</f>
        <v>2</v>
      </c>
      <c r="AH380" s="10">
        <v>0</v>
      </c>
      <c r="AI380" s="10">
        <v>3.5190000000000001</v>
      </c>
      <c r="AJ380" s="8" t="str">
        <f>IF(ISNUMBER(X380),IF(X380&gt;0,"+",IF(X380&lt;0,"−","0")),IF(ISNUMBER(W380),IF(W380&gt;0,"+",IF(W380&lt;0,"−","0")),"yok"))</f>
        <v>+</v>
      </c>
      <c r="AK380" s="10">
        <f>IF(AND(RIGHT(C380,2)&lt;&gt;"12",ISNUMBER(U380),ISNUMBER(V380)),U380-V380,"")</f>
        <v>-0.77799999999999958</v>
      </c>
      <c r="AL380" s="11">
        <f>IF(AND(ISNUMBER(AK380),ISNUMBER(V380)),IF(V380&lt;&gt;0,AK380/ABS(V380),""),"")</f>
        <v>-0.19319592748944614</v>
      </c>
      <c r="AM380" s="8">
        <f>IF(ISNUMBER(AK380),IF(AK380&gt;1,1,0),"")</f>
        <v>0</v>
      </c>
      <c r="AN380" s="8">
        <f>IF(ISNUMBER(AK380),IF(AK380&gt;0.05*ABS(V380),1,0),"")</f>
        <v>0</v>
      </c>
      <c r="AO380" s="10">
        <v>1.768</v>
      </c>
      <c r="AP380" s="10">
        <v>1.768</v>
      </c>
      <c r="AQ380" s="8" t="s">
        <v>204</v>
      </c>
      <c r="AR380" s="8">
        <v>0</v>
      </c>
      <c r="AS380" s="10">
        <v>409.226</v>
      </c>
      <c r="AT380" s="10"/>
      <c r="AU380" s="8" t="s">
        <v>207</v>
      </c>
      <c r="AV380" s="10">
        <v>2.5470000000000002</v>
      </c>
      <c r="AW380" s="11" t="str">
        <f>IF(AND(ISNUMBER(AV380),ISNUMBER(AT380)),IF(AT380&lt;&gt;0,AV380/ABS(AT380),""),"")</f>
        <v/>
      </c>
      <c r="AX380" s="8">
        <v>1</v>
      </c>
      <c r="AY380" s="8">
        <v>0</v>
      </c>
      <c r="AZ380" s="8" t="s">
        <v>467</v>
      </c>
      <c r="BA380" s="8">
        <v>0</v>
      </c>
    </row>
    <row r="381" spans="1:53" x14ac:dyDescent="0.2">
      <c r="A381" s="8" t="s">
        <v>466</v>
      </c>
      <c r="B381" s="8" t="s">
        <v>82</v>
      </c>
      <c r="C381" s="8" t="s">
        <v>215</v>
      </c>
      <c r="D381" s="8">
        <v>1</v>
      </c>
      <c r="E381" s="8">
        <v>1</v>
      </c>
      <c r="F381" s="8">
        <f>SUM(G381:M381)</f>
        <v>1</v>
      </c>
      <c r="G381" s="8">
        <v>0</v>
      </c>
      <c r="H381" s="8">
        <v>1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1</v>
      </c>
      <c r="Q381" s="8">
        <v>1</v>
      </c>
      <c r="R381" s="8">
        <v>1</v>
      </c>
      <c r="S381" s="8">
        <v>0</v>
      </c>
      <c r="T381" s="10">
        <v>-7.9649999999999999</v>
      </c>
      <c r="U381" s="10">
        <v>-4.8049999999999997</v>
      </c>
      <c r="V381" s="10">
        <v>-8.3249999999999993</v>
      </c>
      <c r="W381" s="10">
        <f>IF(RIGHT(C381,2)="12",IF(ISNUMBER(T381),T381,""),IF(COUNT(T381,U381,V381)=3,T381+U381-V381,""))</f>
        <v>-4.4450000000000003</v>
      </c>
      <c r="X381" s="10">
        <v>-4.4459999999999997</v>
      </c>
      <c r="Y381" s="10">
        <v>3.5190000000000001</v>
      </c>
      <c r="Z381" s="10">
        <v>2.5470000000000002</v>
      </c>
      <c r="AA381" s="10">
        <v>-8.6709999999999994</v>
      </c>
      <c r="AB381" s="10">
        <v>-1.841</v>
      </c>
      <c r="AC381" s="8">
        <v>0</v>
      </c>
      <c r="AD381" s="8">
        <v>0</v>
      </c>
      <c r="AE381" s="8">
        <v>0</v>
      </c>
      <c r="AF381" s="10">
        <v>0</v>
      </c>
      <c r="AG381" s="8">
        <f>COUNTIF(Y381:AB381,"&gt;0")</f>
        <v>2</v>
      </c>
      <c r="AH381" s="10">
        <v>0</v>
      </c>
      <c r="AI381" s="10">
        <v>3.5190000000000001</v>
      </c>
      <c r="AJ381" s="8" t="str">
        <f>IF(ISNUMBER(X381),IF(X381&gt;0,"+",IF(X381&lt;0,"−","0")),IF(ISNUMBER(W381),IF(W381&gt;0,"+",IF(W381&lt;0,"−","0")),"yok"))</f>
        <v>−</v>
      </c>
      <c r="AK381" s="10">
        <f>IF(AND(RIGHT(C381,2)&lt;&gt;"12",ISNUMBER(U381),ISNUMBER(V381)),U381-V381,"")</f>
        <v>3.5199999999999996</v>
      </c>
      <c r="AL381" s="11">
        <f>IF(AND(ISNUMBER(AK381),ISNUMBER(V381)),IF(V381&lt;&gt;0,AK381/ABS(V381),""),"")</f>
        <v>0.4228228228228228</v>
      </c>
      <c r="AM381" s="8">
        <f>IF(ISNUMBER(AK381),IF(AK381&gt;1,1,0),"")</f>
        <v>1</v>
      </c>
      <c r="AN381" s="8">
        <f>IF(ISNUMBER(AK381),IF(AK381&gt;0.05*ABS(V381),1,0),"")</f>
        <v>1</v>
      </c>
      <c r="AO381" s="10">
        <v>-4.4459999999999997</v>
      </c>
      <c r="AP381" s="10">
        <v>4.4459999999999997</v>
      </c>
      <c r="AQ381" s="8" t="s">
        <v>204</v>
      </c>
      <c r="AR381" s="8">
        <v>0</v>
      </c>
      <c r="AS381" s="10">
        <v>514.78</v>
      </c>
      <c r="AT381" s="10">
        <v>375.14299999999997</v>
      </c>
      <c r="AU381" s="8" t="s">
        <v>204</v>
      </c>
      <c r="AV381" s="10">
        <v>3.52</v>
      </c>
      <c r="AW381" s="11">
        <f>IF(AND(ISNUMBER(AV381),ISNUMBER(AT381)),IF(AT381&lt;&gt;0,AV381/ABS(AT381),""),"")</f>
        <v>9.3830885822206479E-3</v>
      </c>
      <c r="AX381" s="8">
        <v>0</v>
      </c>
      <c r="AY381" s="8">
        <v>1</v>
      </c>
      <c r="AZ381" s="10"/>
      <c r="BA381" s="8">
        <v>0</v>
      </c>
    </row>
    <row r="382" spans="1:53" x14ac:dyDescent="0.2">
      <c r="A382" s="8" t="s">
        <v>466</v>
      </c>
      <c r="B382" s="8" t="s">
        <v>82</v>
      </c>
      <c r="C382" s="8" t="s">
        <v>208</v>
      </c>
      <c r="D382" s="8">
        <v>1</v>
      </c>
      <c r="E382" s="8">
        <v>1</v>
      </c>
      <c r="F382" s="8">
        <f>SUM(G382:M382)</f>
        <v>1</v>
      </c>
      <c r="G382" s="8">
        <v>0</v>
      </c>
      <c r="H382" s="8">
        <v>0</v>
      </c>
      <c r="I382" s="8">
        <v>0</v>
      </c>
      <c r="J382" s="8">
        <v>1</v>
      </c>
      <c r="K382" s="8">
        <v>0</v>
      </c>
      <c r="L382" s="8">
        <v>0</v>
      </c>
      <c r="M382" s="8">
        <v>0</v>
      </c>
      <c r="N382" s="8">
        <v>0</v>
      </c>
      <c r="O382" s="8">
        <v>1</v>
      </c>
      <c r="P382" s="8">
        <v>0</v>
      </c>
      <c r="Q382" s="8">
        <v>0</v>
      </c>
      <c r="R382" s="8">
        <v>0</v>
      </c>
      <c r="S382" s="8">
        <v>0</v>
      </c>
      <c r="T382" s="10">
        <v>-3.2109999999999999</v>
      </c>
      <c r="U382" s="10">
        <v>-7.9649999999999999</v>
      </c>
      <c r="V382" s="10">
        <v>2.5470000000000002</v>
      </c>
      <c r="W382" s="10">
        <f>IF(RIGHT(C382,2)="12",IF(ISNUMBER(T382),T382,""),IF(COUNT(T382,U382,V382)=3,T382+U382-V382,""))</f>
        <v>-13.723000000000001</v>
      </c>
      <c r="X382" s="10">
        <v>-13.724</v>
      </c>
      <c r="Y382" s="10">
        <v>-8.6709999999999994</v>
      </c>
      <c r="Z382" s="10">
        <v>-1.841</v>
      </c>
      <c r="AA382" s="10">
        <v>0</v>
      </c>
      <c r="AB382" s="10">
        <v>-3.2109999999999999</v>
      </c>
      <c r="AC382" s="8">
        <v>0</v>
      </c>
      <c r="AD382" s="8">
        <v>0</v>
      </c>
      <c r="AE382" s="8">
        <v>1</v>
      </c>
      <c r="AF382" s="10">
        <v>2.5470000000000002</v>
      </c>
      <c r="AG382" s="8">
        <f>COUNTIF(Y382:AB382,"&gt;0")</f>
        <v>0</v>
      </c>
      <c r="AH382" s="10">
        <v>0</v>
      </c>
      <c r="AI382" s="10">
        <v>0</v>
      </c>
      <c r="AJ382" s="8" t="str">
        <f>IF(ISNUMBER(X382),IF(X382&gt;0,"+",IF(X382&lt;0,"−","0")),IF(ISNUMBER(W382),IF(W382&gt;0,"+",IF(W382&lt;0,"−","0")),"yok"))</f>
        <v>−</v>
      </c>
      <c r="AK382" s="10">
        <f>IF(AND(RIGHT(C382,2)&lt;&gt;"12",ISNUMBER(U382),ISNUMBER(V382)),U382-V382,"")</f>
        <v>-10.512</v>
      </c>
      <c r="AL382" s="11">
        <f>IF(AND(ISNUMBER(AK382),ISNUMBER(V382)),IF(V382&lt;&gt;0,AK382/ABS(V382),""),"")</f>
        <v>-4.127208480565371</v>
      </c>
      <c r="AM382" s="8">
        <f>IF(ISNUMBER(AK382),IF(AK382&gt;1,1,0),"")</f>
        <v>0</v>
      </c>
      <c r="AN382" s="8">
        <f>IF(ISNUMBER(AK382),IF(AK382&gt;0.05*ABS(V382),1,0),"")</f>
        <v>0</v>
      </c>
      <c r="AO382" s="10">
        <v>-13.723000000000001</v>
      </c>
      <c r="AP382" s="10">
        <v>13.723000000000001</v>
      </c>
      <c r="AQ382" s="8" t="s">
        <v>204</v>
      </c>
      <c r="AR382" s="8">
        <v>0</v>
      </c>
      <c r="AS382" s="10">
        <v>-72.057000000000002</v>
      </c>
      <c r="AT382" s="10">
        <v>-190.29900000000001</v>
      </c>
      <c r="AU382" s="8" t="s">
        <v>204</v>
      </c>
      <c r="AV382" s="10">
        <v>2.5470000000000002</v>
      </c>
      <c r="AW382" s="11">
        <f>IF(AND(ISNUMBER(AV382),ISNUMBER(AT382)),IF(AT382&lt;&gt;0,AV382/ABS(AT382),""),"")</f>
        <v>1.3384200652657134E-2</v>
      </c>
      <c r="AX382" s="8">
        <v>1</v>
      </c>
      <c r="AY382" s="8">
        <v>0</v>
      </c>
      <c r="AZ382" s="8" t="s">
        <v>468</v>
      </c>
      <c r="BA382" s="8">
        <v>0</v>
      </c>
    </row>
    <row r="383" spans="1:53" x14ac:dyDescent="0.2">
      <c r="A383" s="8" t="s">
        <v>469</v>
      </c>
      <c r="B383" s="8" t="s">
        <v>83</v>
      </c>
      <c r="C383" s="8" t="s">
        <v>208</v>
      </c>
      <c r="D383" s="8">
        <v>1</v>
      </c>
      <c r="E383" s="8">
        <v>1</v>
      </c>
      <c r="F383" s="8">
        <f>SUM(G383:M383)</f>
        <v>2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1</v>
      </c>
      <c r="M383" s="8">
        <v>1</v>
      </c>
      <c r="N383" s="8">
        <v>1</v>
      </c>
      <c r="O383" s="8">
        <v>0</v>
      </c>
      <c r="P383" s="8">
        <v>1</v>
      </c>
      <c r="Q383" s="8">
        <v>0</v>
      </c>
      <c r="R383" s="8">
        <v>0</v>
      </c>
      <c r="S383" s="8">
        <v>0</v>
      </c>
      <c r="T383" s="10">
        <v>-0.84899999999999998</v>
      </c>
      <c r="U383" s="10">
        <v>-14.971</v>
      </c>
      <c r="V383" s="10">
        <v>-17.698</v>
      </c>
      <c r="W383" s="10">
        <f>IF(RIGHT(C383,2)="12",IF(ISNUMBER(T383),T383,""),IF(COUNT(T383,U383,V383)=3,T383+U383-V383,""))</f>
        <v>1.8780000000000001</v>
      </c>
      <c r="X383" s="10">
        <v>1.8759999999999999</v>
      </c>
      <c r="Y383" s="10">
        <v>1.7909999999999999</v>
      </c>
      <c r="Z383" s="10">
        <v>7.1959999999999997</v>
      </c>
      <c r="AA383" s="10">
        <v>-6.2610000000000001</v>
      </c>
      <c r="AB383" s="10">
        <v>-0.84899999999999998</v>
      </c>
      <c r="AC383" s="8">
        <v>0</v>
      </c>
      <c r="AD383" s="8">
        <v>0</v>
      </c>
      <c r="AE383" s="8">
        <v>0</v>
      </c>
      <c r="AF383" s="10">
        <v>0</v>
      </c>
      <c r="AG383" s="8">
        <f>COUNTIF(Y383:AB383,"&gt;0")</f>
        <v>2</v>
      </c>
      <c r="AH383" s="10">
        <v>0</v>
      </c>
      <c r="AI383" s="10">
        <v>8.9870000000000001</v>
      </c>
      <c r="AJ383" s="8" t="str">
        <f>IF(ISNUMBER(X383),IF(X383&gt;0,"+",IF(X383&lt;0,"−","0")),IF(ISNUMBER(W383),IF(W383&gt;0,"+",IF(W383&lt;0,"−","0")),"yok"))</f>
        <v>+</v>
      </c>
      <c r="AK383" s="10">
        <f>IF(AND(RIGHT(C383,2)&lt;&gt;"12",ISNUMBER(U383),ISNUMBER(V383)),U383-V383,"")</f>
        <v>2.7270000000000003</v>
      </c>
      <c r="AL383" s="11">
        <f>IF(AND(ISNUMBER(AK383),ISNUMBER(V383)),IF(V383&lt;&gt;0,AK383/ABS(V383),""),"")</f>
        <v>0.15408520736806419</v>
      </c>
      <c r="AM383" s="8">
        <f>IF(ISNUMBER(AK383),IF(AK383&gt;1,1,0),"")</f>
        <v>1</v>
      </c>
      <c r="AN383" s="8">
        <f>IF(ISNUMBER(AK383),IF(AK383&gt;0.05*ABS(V383),1,0),"")</f>
        <v>1</v>
      </c>
      <c r="AO383" s="10">
        <v>1.877</v>
      </c>
      <c r="AP383" s="10">
        <v>1.877</v>
      </c>
      <c r="AQ383" s="8" t="s">
        <v>204</v>
      </c>
      <c r="AR383" s="8">
        <v>0</v>
      </c>
      <c r="AS383" s="10">
        <v>859.75</v>
      </c>
      <c r="AT383" s="10"/>
      <c r="AU383" s="8" t="s">
        <v>207</v>
      </c>
      <c r="AV383" s="10">
        <v>2.7269999999999999</v>
      </c>
      <c r="AW383" s="11" t="str">
        <f>IF(AND(ISNUMBER(AV383),ISNUMBER(AT383)),IF(AT383&lt;&gt;0,AV383/ABS(AT383),""),"")</f>
        <v/>
      </c>
      <c r="AX383" s="8">
        <v>0</v>
      </c>
      <c r="AY383" s="8">
        <v>1</v>
      </c>
      <c r="AZ383" s="10"/>
      <c r="BA383" s="8">
        <v>1</v>
      </c>
    </row>
    <row r="384" spans="1:53" x14ac:dyDescent="0.2">
      <c r="A384" s="8" t="s">
        <v>469</v>
      </c>
      <c r="B384" s="8" t="s">
        <v>83</v>
      </c>
      <c r="C384" s="8" t="s">
        <v>210</v>
      </c>
      <c r="D384" s="8">
        <v>1</v>
      </c>
      <c r="E384" s="8">
        <v>1</v>
      </c>
      <c r="F384" s="8">
        <f>SUM(G384:M384)</f>
        <v>1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1</v>
      </c>
      <c r="N384" s="8">
        <v>0</v>
      </c>
      <c r="O384" s="8">
        <v>0</v>
      </c>
      <c r="P384" s="8">
        <v>1</v>
      </c>
      <c r="Q384" s="8">
        <v>0</v>
      </c>
      <c r="R384" s="8">
        <v>0</v>
      </c>
      <c r="S384" s="8">
        <v>0</v>
      </c>
      <c r="T384" s="10">
        <v>-7.9450000000000003</v>
      </c>
      <c r="U384" s="10">
        <v>-14.971</v>
      </c>
      <c r="V384" s="10">
        <v>-15.906000000000001</v>
      </c>
      <c r="W384" s="10">
        <f>IF(RIGHT(C384,2)="12",IF(ISNUMBER(T384),T384,""),IF(COUNT(T384,U384,V384)=3,T384+U384-V384,""))</f>
        <v>-7.01</v>
      </c>
      <c r="X384" s="10">
        <v>-7.01</v>
      </c>
      <c r="Y384" s="10">
        <v>7.1959999999999997</v>
      </c>
      <c r="Z384" s="10">
        <v>-6.2610000000000001</v>
      </c>
      <c r="AA384" s="10">
        <v>-0.84899999999999998</v>
      </c>
      <c r="AB384" s="10">
        <v>-7.0960000000000001</v>
      </c>
      <c r="AC384" s="8">
        <v>0</v>
      </c>
      <c r="AD384" s="8">
        <v>0</v>
      </c>
      <c r="AE384" s="8">
        <v>0</v>
      </c>
      <c r="AF384" s="10">
        <v>0</v>
      </c>
      <c r="AG384" s="8">
        <f>COUNTIF(Y384:AB384,"&gt;0")</f>
        <v>1</v>
      </c>
      <c r="AH384" s="10">
        <v>0</v>
      </c>
      <c r="AI384" s="10">
        <v>7.1959999999999997</v>
      </c>
      <c r="AJ384" s="8" t="str">
        <f>IF(ISNUMBER(X384),IF(X384&gt;0,"+",IF(X384&lt;0,"−","0")),IF(ISNUMBER(W384),IF(W384&gt;0,"+",IF(W384&lt;0,"−","0")),"yok"))</f>
        <v>−</v>
      </c>
      <c r="AK384" s="10">
        <f>IF(AND(RIGHT(C384,2)&lt;&gt;"12",ISNUMBER(U384),ISNUMBER(V384)),U384-V384,"")</f>
        <v>0.9350000000000005</v>
      </c>
      <c r="AL384" s="11">
        <f>IF(AND(ISNUMBER(AK384),ISNUMBER(V384)),IF(V384&lt;&gt;0,AK384/ABS(V384),""),"")</f>
        <v>5.8782849239280802E-2</v>
      </c>
      <c r="AM384" s="8">
        <f>IF(ISNUMBER(AK384),IF(AK384&gt;1,1,0),"")</f>
        <v>0</v>
      </c>
      <c r="AN384" s="8">
        <f>IF(ISNUMBER(AK384),IF(AK384&gt;0.05*ABS(V384),1,0),"")</f>
        <v>1</v>
      </c>
      <c r="AO384" s="10">
        <v>-7.0110000000000001</v>
      </c>
      <c r="AP384" s="10">
        <v>7.0110000000000001</v>
      </c>
      <c r="AQ384" s="8" t="s">
        <v>204</v>
      </c>
      <c r="AR384" s="8">
        <v>0</v>
      </c>
      <c r="AS384" s="10">
        <v>796.91700000000003</v>
      </c>
      <c r="AT384" s="10"/>
      <c r="AU384" s="8" t="s">
        <v>207</v>
      </c>
      <c r="AV384" s="10">
        <v>0.93500000000000105</v>
      </c>
      <c r="AW384" s="11" t="str">
        <f>IF(AND(ISNUMBER(AV384),ISNUMBER(AT384)),IF(AT384&lt;&gt;0,AV384/ABS(AT384),""),"")</f>
        <v/>
      </c>
      <c r="AX384" s="8">
        <v>0</v>
      </c>
      <c r="AY384" s="8">
        <v>0</v>
      </c>
      <c r="AZ384" s="10"/>
      <c r="BA384" s="8">
        <v>1</v>
      </c>
    </row>
    <row r="385" spans="1:53" x14ac:dyDescent="0.2">
      <c r="A385" s="8" t="s">
        <v>470</v>
      </c>
      <c r="B385" s="8" t="s">
        <v>83</v>
      </c>
      <c r="C385" s="8" t="s">
        <v>208</v>
      </c>
      <c r="D385" s="8">
        <v>1</v>
      </c>
      <c r="E385" s="8">
        <v>1</v>
      </c>
      <c r="F385" s="8">
        <f>SUM(G385:M385)</f>
        <v>1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1</v>
      </c>
      <c r="N385" s="8">
        <v>0</v>
      </c>
      <c r="O385" s="8">
        <v>0</v>
      </c>
      <c r="P385" s="8">
        <v>1</v>
      </c>
      <c r="Q385" s="8">
        <v>0</v>
      </c>
      <c r="R385" s="8">
        <v>0</v>
      </c>
      <c r="S385" s="8">
        <v>0</v>
      </c>
      <c r="T385" s="10">
        <v>-1.27</v>
      </c>
      <c r="U385" s="10">
        <v>-163.672</v>
      </c>
      <c r="V385" s="10">
        <v>-52.78</v>
      </c>
      <c r="W385" s="10">
        <f>IF(RIGHT(C385,2)="12",IF(ISNUMBER(T385),T385,""),IF(COUNT(T385,U385,V385)=3,T385+U385-V385,""))</f>
        <v>-112.16200000000001</v>
      </c>
      <c r="X385" s="10">
        <v>-112.16200000000001</v>
      </c>
      <c r="Y385" s="10">
        <v>12.192</v>
      </c>
      <c r="Z385" s="10">
        <v>-65.424999999999997</v>
      </c>
      <c r="AA385" s="10">
        <v>-57.658999999999999</v>
      </c>
      <c r="AB385" s="10">
        <v>-1.27</v>
      </c>
      <c r="AC385" s="8">
        <v>0</v>
      </c>
      <c r="AD385" s="8">
        <v>0</v>
      </c>
      <c r="AE385" s="8">
        <v>0</v>
      </c>
      <c r="AF385" s="10">
        <v>0</v>
      </c>
      <c r="AG385" s="8">
        <f>COUNTIF(Y385:AB385,"&gt;0")</f>
        <v>1</v>
      </c>
      <c r="AH385" s="10">
        <v>0</v>
      </c>
      <c r="AI385" s="10">
        <v>12.192</v>
      </c>
      <c r="AJ385" s="8" t="str">
        <f>IF(ISNUMBER(X385),IF(X385&gt;0,"+",IF(X385&lt;0,"−","0")),IF(ISNUMBER(W385),IF(W385&gt;0,"+",IF(W385&lt;0,"−","0")),"yok"))</f>
        <v>−</v>
      </c>
      <c r="AK385" s="10">
        <f>IF(AND(RIGHT(C385,2)&lt;&gt;"12",ISNUMBER(U385),ISNUMBER(V385)),U385-V385,"")</f>
        <v>-110.892</v>
      </c>
      <c r="AL385" s="11">
        <f>IF(AND(ISNUMBER(AK385),ISNUMBER(V385)),IF(V385&lt;&gt;0,AK385/ABS(V385),""),"")</f>
        <v>-2.101023114816218</v>
      </c>
      <c r="AM385" s="8">
        <f>IF(ISNUMBER(AK385),IF(AK385&gt;1,1,0),"")</f>
        <v>0</v>
      </c>
      <c r="AN385" s="8">
        <f>IF(ISNUMBER(AK385),IF(AK385&gt;0.05*ABS(V385),1,0),"")</f>
        <v>0</v>
      </c>
      <c r="AO385" s="10">
        <v>-112.163</v>
      </c>
      <c r="AP385" s="10">
        <v>112.163</v>
      </c>
      <c r="AQ385" s="8" t="s">
        <v>204</v>
      </c>
      <c r="AR385" s="8">
        <v>0</v>
      </c>
      <c r="AS385" s="10">
        <v>405.59300000000002</v>
      </c>
      <c r="AT385" s="10">
        <v>293.43</v>
      </c>
      <c r="AU385" s="8" t="s">
        <v>204</v>
      </c>
      <c r="AV385" s="10">
        <v>12.192</v>
      </c>
      <c r="AW385" s="11">
        <f>IF(AND(ISNUMBER(AV385),ISNUMBER(AT385)),IF(AT385&lt;&gt;0,AV385/ABS(AT385),""),"")</f>
        <v>4.1549943768530821E-2</v>
      </c>
      <c r="AX385" s="8">
        <v>0</v>
      </c>
      <c r="AY385" s="8">
        <v>0</v>
      </c>
      <c r="AZ385" s="10"/>
      <c r="BA385" s="8">
        <v>0</v>
      </c>
    </row>
    <row r="386" spans="1:53" x14ac:dyDescent="0.2">
      <c r="A386" s="8" t="s">
        <v>471</v>
      </c>
      <c r="B386" s="8" t="s">
        <v>83</v>
      </c>
      <c r="C386" s="8" t="s">
        <v>208</v>
      </c>
      <c r="D386" s="8">
        <v>1</v>
      </c>
      <c r="E386" s="8">
        <v>1</v>
      </c>
      <c r="F386" s="8">
        <f>SUM(G386:M386)</f>
        <v>1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1</v>
      </c>
      <c r="N386" s="8">
        <v>0</v>
      </c>
      <c r="O386" s="8">
        <v>0</v>
      </c>
      <c r="P386" s="8">
        <v>1</v>
      </c>
      <c r="Q386" s="8">
        <v>0</v>
      </c>
      <c r="R386" s="8">
        <v>0</v>
      </c>
      <c r="S386" s="8">
        <v>0</v>
      </c>
      <c r="T386" s="10"/>
      <c r="U386" s="10">
        <v>-6103.9790000000003</v>
      </c>
      <c r="V386" s="10"/>
      <c r="W386" s="10" t="str">
        <f>IF(RIGHT(C386,2)="12",IF(ISNUMBER(T386),T386,""),IF(COUNT(T386,U386,V386)=3,T386+U386-V386,""))</f>
        <v/>
      </c>
      <c r="X386" s="10"/>
      <c r="Y386" s="10"/>
      <c r="Z386" s="10">
        <v>-3831.6350000000002</v>
      </c>
      <c r="AA386" s="10">
        <v>808.11199999999997</v>
      </c>
      <c r="AB386" s="10"/>
      <c r="AC386" s="8">
        <v>0</v>
      </c>
      <c r="AD386" s="8">
        <v>0</v>
      </c>
      <c r="AE386" s="8">
        <v>0</v>
      </c>
      <c r="AF386" s="10">
        <v>0</v>
      </c>
      <c r="AG386" s="8">
        <f>COUNTIF(Y386:AB386,"&gt;0")</f>
        <v>1</v>
      </c>
      <c r="AH386" s="10">
        <v>0</v>
      </c>
      <c r="AI386" s="10">
        <v>808.11199999999997</v>
      </c>
      <c r="AJ386" s="8" t="str">
        <f>IF(ISNUMBER(X386),IF(X386&gt;0,"+",IF(X386&lt;0,"−","0")),IF(ISNUMBER(W386),IF(W386&gt;0,"+",IF(W386&lt;0,"−","0")),"yok"))</f>
        <v>yok</v>
      </c>
      <c r="AK386" s="10" t="str">
        <f>IF(AND(RIGHT(C386,2)&lt;&gt;"12",ISNUMBER(U386),ISNUMBER(V386)),U386-V386,"")</f>
        <v/>
      </c>
      <c r="AL386" s="11" t="str">
        <f>IF(AND(ISNUMBER(AK386),ISNUMBER(V386)),IF(V386&lt;&gt;0,AK386/ABS(V386),""),"")</f>
        <v/>
      </c>
      <c r="AM386" s="8" t="str">
        <f>IF(ISNUMBER(AK386),IF(AK386&gt;1,1,0),"")</f>
        <v/>
      </c>
      <c r="AN386" s="8" t="str">
        <f>IF(ISNUMBER(AK386),IF(AK386&gt;0.05*ABS(V386),1,0),"")</f>
        <v/>
      </c>
      <c r="AO386" s="10"/>
      <c r="AP386" s="10"/>
      <c r="AQ386" s="8" t="s">
        <v>207</v>
      </c>
      <c r="AR386" s="8">
        <v>0</v>
      </c>
      <c r="AS386" s="10">
        <v>5214.1850000000004</v>
      </c>
      <c r="AT386" s="10"/>
      <c r="AU386" s="8" t="s">
        <v>207</v>
      </c>
      <c r="AV386" s="10">
        <v>808.11199999999997</v>
      </c>
      <c r="AW386" s="11" t="str">
        <f>IF(AND(ISNUMBER(AV386),ISNUMBER(AT386)),IF(AT386&lt;&gt;0,AV386/ABS(AT386),""),"")</f>
        <v/>
      </c>
      <c r="AX386" s="8">
        <v>0</v>
      </c>
      <c r="AY386" s="8">
        <v>0</v>
      </c>
      <c r="AZ386" s="10"/>
      <c r="BA386" s="8">
        <v>0</v>
      </c>
    </row>
    <row r="387" spans="1:53" x14ac:dyDescent="0.2">
      <c r="A387" s="8" t="s">
        <v>471</v>
      </c>
      <c r="B387" s="8" t="s">
        <v>83</v>
      </c>
      <c r="C387" s="8" t="s">
        <v>210</v>
      </c>
      <c r="D387" s="8">
        <v>1</v>
      </c>
      <c r="E387" s="8">
        <v>1</v>
      </c>
      <c r="F387" s="8">
        <f>SUM(G387:M387)</f>
        <v>1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1</v>
      </c>
      <c r="N387" s="8">
        <v>0</v>
      </c>
      <c r="O387" s="8">
        <v>0</v>
      </c>
      <c r="P387" s="8">
        <v>1</v>
      </c>
      <c r="Q387" s="8">
        <v>0</v>
      </c>
      <c r="R387" s="8">
        <v>0</v>
      </c>
      <c r="S387" s="8">
        <v>0</v>
      </c>
      <c r="T387" s="10">
        <v>-1230.191</v>
      </c>
      <c r="U387" s="10">
        <v>-6103.9790000000003</v>
      </c>
      <c r="V387" s="10">
        <v>-3080.4569999999999</v>
      </c>
      <c r="W387" s="10">
        <f>IF(RIGHT(C387,2)="12",IF(ISNUMBER(T387),T387,""),IF(COUNT(T387,U387,V387)=3,T387+U387-V387,""))</f>
        <v>-4253.7129999999997</v>
      </c>
      <c r="X387" s="10">
        <v>-4253.7129999999997</v>
      </c>
      <c r="Y387" s="10">
        <v>-3831.6350000000002</v>
      </c>
      <c r="Z387" s="10">
        <v>808.11199999999997</v>
      </c>
      <c r="AA387" s="10"/>
      <c r="AB387" s="10"/>
      <c r="AC387" s="8">
        <v>0</v>
      </c>
      <c r="AD387" s="8">
        <v>0</v>
      </c>
      <c r="AE387" s="8">
        <v>0</v>
      </c>
      <c r="AF387" s="10">
        <v>0</v>
      </c>
      <c r="AG387" s="8">
        <f>COUNTIF(Y387:AB387,"&gt;0")</f>
        <v>1</v>
      </c>
      <c r="AH387" s="10">
        <v>0</v>
      </c>
      <c r="AI387" s="10">
        <v>808.11199999999997</v>
      </c>
      <c r="AJ387" s="8" t="str">
        <f>IF(ISNUMBER(X387),IF(X387&gt;0,"+",IF(X387&lt;0,"−","0")),IF(ISNUMBER(W387),IF(W387&gt;0,"+",IF(W387&lt;0,"−","0")),"yok"))</f>
        <v>−</v>
      </c>
      <c r="AK387" s="10">
        <f>IF(AND(RIGHT(C387,2)&lt;&gt;"12",ISNUMBER(U387),ISNUMBER(V387)),U387-V387,"")</f>
        <v>-3023.5220000000004</v>
      </c>
      <c r="AL387" s="11">
        <f>IF(AND(ISNUMBER(AK387),ISNUMBER(V387)),IF(V387&lt;&gt;0,AK387/ABS(V387),""),"")</f>
        <v>-0.98151735278239571</v>
      </c>
      <c r="AM387" s="8">
        <f>IF(ISNUMBER(AK387),IF(AK387&gt;1,1,0),"")</f>
        <v>0</v>
      </c>
      <c r="AN387" s="8">
        <f>IF(ISNUMBER(AK387),IF(AK387&gt;0.05*ABS(V387),1,0),"")</f>
        <v>0</v>
      </c>
      <c r="AO387" s="10"/>
      <c r="AP387" s="10"/>
      <c r="AQ387" s="8" t="s">
        <v>207</v>
      </c>
      <c r="AR387" s="8">
        <v>0</v>
      </c>
      <c r="AS387" s="10">
        <v>1078.011</v>
      </c>
      <c r="AT387" s="10"/>
      <c r="AU387" s="8" t="s">
        <v>207</v>
      </c>
      <c r="AV387" s="10">
        <v>808.11199999999997</v>
      </c>
      <c r="AW387" s="11" t="str">
        <f>IF(AND(ISNUMBER(AV387),ISNUMBER(AT387)),IF(AT387&lt;&gt;0,AV387/ABS(AT387),""),"")</f>
        <v/>
      </c>
      <c r="AX387" s="8">
        <v>0</v>
      </c>
      <c r="AY387" s="8">
        <v>0</v>
      </c>
      <c r="AZ387" s="10"/>
      <c r="BA387" s="8">
        <v>0</v>
      </c>
    </row>
    <row r="388" spans="1:53" x14ac:dyDescent="0.2">
      <c r="A388" s="8" t="s">
        <v>472</v>
      </c>
      <c r="B388" s="8" t="s">
        <v>82</v>
      </c>
      <c r="C388" s="8" t="s">
        <v>205</v>
      </c>
      <c r="D388" s="8">
        <v>1</v>
      </c>
      <c r="E388" s="8">
        <v>1</v>
      </c>
      <c r="F388" s="8">
        <f>SUM(G388:M388)</f>
        <v>1</v>
      </c>
      <c r="G388" s="8">
        <v>0</v>
      </c>
      <c r="H388" s="8">
        <v>1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1</v>
      </c>
      <c r="Q388" s="8">
        <v>1</v>
      </c>
      <c r="R388" s="8">
        <v>1</v>
      </c>
      <c r="S388" s="8">
        <v>0</v>
      </c>
      <c r="T388" s="10">
        <v>-16.347000000000001</v>
      </c>
      <c r="U388" s="10">
        <v>-20.373999999999999</v>
      </c>
      <c r="V388" s="10">
        <v>-22.637</v>
      </c>
      <c r="W388" s="10">
        <f>IF(RIGHT(C388,2)="12",IF(ISNUMBER(T388),T388,""),IF(COUNT(T388,U388,V388)=3,T388+U388-V388,""))</f>
        <v>-14.084000000000003</v>
      </c>
      <c r="X388" s="10">
        <v>-14.085000000000001</v>
      </c>
      <c r="Y388" s="10">
        <v>7.57</v>
      </c>
      <c r="Z388" s="10">
        <v>-5.3079999999999998</v>
      </c>
      <c r="AA388" s="10">
        <v>-8.4819999999999993</v>
      </c>
      <c r="AB388" s="10">
        <v>-7.8639999999999999</v>
      </c>
      <c r="AC388" s="8">
        <v>0</v>
      </c>
      <c r="AD388" s="8">
        <v>0</v>
      </c>
      <c r="AE388" s="8">
        <v>0</v>
      </c>
      <c r="AF388" s="10">
        <v>0</v>
      </c>
      <c r="AG388" s="8">
        <f>COUNTIF(Y388:AB388,"&gt;0")</f>
        <v>1</v>
      </c>
      <c r="AH388" s="10">
        <v>0</v>
      </c>
      <c r="AI388" s="10">
        <v>7.57</v>
      </c>
      <c r="AJ388" s="8" t="str">
        <f>IF(ISNUMBER(X388),IF(X388&gt;0,"+",IF(X388&lt;0,"−","0")),IF(ISNUMBER(W388),IF(W388&gt;0,"+",IF(W388&lt;0,"−","0")),"yok"))</f>
        <v>−</v>
      </c>
      <c r="AK388" s="10">
        <f>IF(AND(RIGHT(C388,2)&lt;&gt;"12",ISNUMBER(U388),ISNUMBER(V388)),U388-V388,"")</f>
        <v>2.2630000000000017</v>
      </c>
      <c r="AL388" s="11">
        <f>IF(AND(ISNUMBER(AK388),ISNUMBER(V388)),IF(V388&lt;&gt;0,AK388/ABS(V388),""),"")</f>
        <v>9.9969077174537332E-2</v>
      </c>
      <c r="AM388" s="8">
        <f>IF(ISNUMBER(AK388),IF(AK388&gt;1,1,0),"")</f>
        <v>1</v>
      </c>
      <c r="AN388" s="8">
        <f>IF(ISNUMBER(AK388),IF(AK388&gt;0.05*ABS(V388),1,0),"")</f>
        <v>1</v>
      </c>
      <c r="AO388" s="10">
        <v>-14.086</v>
      </c>
      <c r="AP388" s="10">
        <v>14.086</v>
      </c>
      <c r="AQ388" s="8" t="s">
        <v>204</v>
      </c>
      <c r="AR388" s="8">
        <v>0</v>
      </c>
      <c r="AS388" s="10">
        <v>736.62</v>
      </c>
      <c r="AT388" s="10">
        <v>-67.837999999999994</v>
      </c>
      <c r="AU388" s="8" t="s">
        <v>204</v>
      </c>
      <c r="AV388" s="10">
        <v>2.2629999999999999</v>
      </c>
      <c r="AW388" s="11">
        <f>IF(AND(ISNUMBER(AV388),ISNUMBER(AT388)),IF(AT388&lt;&gt;0,AV388/ABS(AT388),""),"")</f>
        <v>3.3358884401073145E-2</v>
      </c>
      <c r="AX388" s="8">
        <v>0</v>
      </c>
      <c r="AY388" s="8">
        <v>1</v>
      </c>
      <c r="AZ388" s="10"/>
      <c r="BA388" s="8">
        <v>0</v>
      </c>
    </row>
    <row r="389" spans="1:53" x14ac:dyDescent="0.2">
      <c r="A389" s="8" t="s">
        <v>472</v>
      </c>
      <c r="B389" s="8" t="s">
        <v>82</v>
      </c>
      <c r="C389" s="8" t="s">
        <v>208</v>
      </c>
      <c r="D389" s="8">
        <v>1</v>
      </c>
      <c r="E389" s="8">
        <v>1</v>
      </c>
      <c r="F389" s="8">
        <f>SUM(G389:M389)</f>
        <v>1</v>
      </c>
      <c r="G389" s="8">
        <v>0</v>
      </c>
      <c r="H389" s="8">
        <v>0</v>
      </c>
      <c r="I389" s="8">
        <v>0</v>
      </c>
      <c r="J389" s="8">
        <v>1</v>
      </c>
      <c r="K389" s="8">
        <v>0</v>
      </c>
      <c r="L389" s="8">
        <v>0</v>
      </c>
      <c r="M389" s="8">
        <v>0</v>
      </c>
      <c r="N389" s="8">
        <v>0</v>
      </c>
      <c r="O389" s="8">
        <v>1</v>
      </c>
      <c r="P389" s="8">
        <v>1</v>
      </c>
      <c r="Q389" s="8">
        <v>0</v>
      </c>
      <c r="R389" s="8">
        <v>0</v>
      </c>
      <c r="S389" s="8">
        <v>0</v>
      </c>
      <c r="T389" s="10">
        <v>10.231999999999999</v>
      </c>
      <c r="U389" s="10">
        <v>-31.815999999999999</v>
      </c>
      <c r="V389" s="10">
        <v>-8.4819999999999993</v>
      </c>
      <c r="W389" s="10">
        <f>IF(RIGHT(C389,2)="12",IF(ISNUMBER(T389),T389,""),IF(COUNT(T389,U389,V389)=3,T389+U389-V389,""))</f>
        <v>-13.102</v>
      </c>
      <c r="X389" s="10">
        <v>-13.1</v>
      </c>
      <c r="Y389" s="10">
        <v>-7.8639999999999999</v>
      </c>
      <c r="Z389" s="10">
        <v>-6.8070000000000004</v>
      </c>
      <c r="AA389" s="10">
        <v>-8.66</v>
      </c>
      <c r="AB389" s="10">
        <v>10.231999999999999</v>
      </c>
      <c r="AC389" s="8">
        <v>1</v>
      </c>
      <c r="AD389" s="8">
        <v>0</v>
      </c>
      <c r="AE389" s="8">
        <v>0</v>
      </c>
      <c r="AF389" s="10">
        <v>10.231999999999999</v>
      </c>
      <c r="AG389" s="8">
        <f>COUNTIF(Y389:AB389,"&gt;0")</f>
        <v>1</v>
      </c>
      <c r="AH389" s="10">
        <v>0</v>
      </c>
      <c r="AI389" s="10">
        <v>0</v>
      </c>
      <c r="AJ389" s="8" t="str">
        <f>IF(ISNUMBER(X389),IF(X389&gt;0,"+",IF(X389&lt;0,"−","0")),IF(ISNUMBER(W389),IF(W389&gt;0,"+",IF(W389&lt;0,"−","0")),"yok"))</f>
        <v>−</v>
      </c>
      <c r="AK389" s="10">
        <f>IF(AND(RIGHT(C389,2)&lt;&gt;"12",ISNUMBER(U389),ISNUMBER(V389)),U389-V389,"")</f>
        <v>-23.334</v>
      </c>
      <c r="AL389" s="11">
        <f>IF(AND(ISNUMBER(AK389),ISNUMBER(V389)),IF(V389&lt;&gt;0,AK389/ABS(V389),""),"")</f>
        <v>-2.7510021221410046</v>
      </c>
      <c r="AM389" s="8">
        <f>IF(ISNUMBER(AK389),IF(AK389&gt;1,1,0),"")</f>
        <v>0</v>
      </c>
      <c r="AN389" s="8">
        <f>IF(ISNUMBER(AK389),IF(AK389&gt;0.05*ABS(V389),1,0),"")</f>
        <v>0</v>
      </c>
      <c r="AO389" s="10">
        <v>-13.101000000000001</v>
      </c>
      <c r="AP389" s="10">
        <v>13.101000000000001</v>
      </c>
      <c r="AQ389" s="8" t="s">
        <v>204</v>
      </c>
      <c r="AR389" s="8">
        <v>0</v>
      </c>
      <c r="AS389" s="10">
        <v>591.47400000000005</v>
      </c>
      <c r="AT389" s="10">
        <v>70.762999999999906</v>
      </c>
      <c r="AU389" s="8" t="s">
        <v>204</v>
      </c>
      <c r="AV389" s="10">
        <v>10.231999999999999</v>
      </c>
      <c r="AW389" s="11">
        <f>IF(AND(ISNUMBER(AV389),ISNUMBER(AT389)),IF(AT389&lt;&gt;0,AV389/ABS(AT389),""),"")</f>
        <v>0.14459533937227101</v>
      </c>
      <c r="AX389" s="8">
        <v>1</v>
      </c>
      <c r="AY389" s="8">
        <v>0</v>
      </c>
      <c r="AZ389" s="8" t="s">
        <v>473</v>
      </c>
      <c r="BA389" s="8">
        <v>0</v>
      </c>
    </row>
    <row r="390" spans="1:53" x14ac:dyDescent="0.2">
      <c r="A390" s="8" t="s">
        <v>472</v>
      </c>
      <c r="B390" s="8" t="s">
        <v>82</v>
      </c>
      <c r="C390" s="8" t="s">
        <v>210</v>
      </c>
      <c r="D390" s="8">
        <v>1</v>
      </c>
      <c r="E390" s="8">
        <v>1</v>
      </c>
      <c r="F390" s="8">
        <f>SUM(G390:M390)</f>
        <v>1</v>
      </c>
      <c r="G390" s="8">
        <v>0</v>
      </c>
      <c r="H390" s="8">
        <v>0</v>
      </c>
      <c r="I390" s="8">
        <v>0</v>
      </c>
      <c r="J390" s="8">
        <v>1</v>
      </c>
      <c r="K390" s="8">
        <v>0</v>
      </c>
      <c r="L390" s="8">
        <v>0</v>
      </c>
      <c r="M390" s="8">
        <v>0</v>
      </c>
      <c r="N390" s="8">
        <v>0</v>
      </c>
      <c r="O390" s="8">
        <v>1</v>
      </c>
      <c r="P390" s="8">
        <v>1</v>
      </c>
      <c r="Q390" s="8">
        <v>0</v>
      </c>
      <c r="R390" s="8">
        <v>0</v>
      </c>
      <c r="S390" s="8">
        <v>0</v>
      </c>
      <c r="T390" s="10">
        <v>2.6309999999999998</v>
      </c>
      <c r="U390" s="10">
        <v>-31.815999999999999</v>
      </c>
      <c r="V390" s="10">
        <v>-16.347000000000001</v>
      </c>
      <c r="W390" s="10">
        <f>IF(RIGHT(C390,2)="12",IF(ISNUMBER(T390),T390,""),IF(COUNT(T390,U390,V390)=3,T390+U390-V390,""))</f>
        <v>-12.837999999999997</v>
      </c>
      <c r="X390" s="10">
        <v>-12.837</v>
      </c>
      <c r="Y390" s="10">
        <v>-6.8070000000000004</v>
      </c>
      <c r="Z390" s="10">
        <v>-8.66</v>
      </c>
      <c r="AA390" s="10">
        <v>10.231999999999999</v>
      </c>
      <c r="AB390" s="10">
        <v>-7.601</v>
      </c>
      <c r="AC390" s="8">
        <v>1</v>
      </c>
      <c r="AD390" s="8">
        <v>0</v>
      </c>
      <c r="AE390" s="8">
        <v>0</v>
      </c>
      <c r="AF390" s="10">
        <v>2.6309999999999998</v>
      </c>
      <c r="AG390" s="8">
        <f>COUNTIF(Y390:AB390,"&gt;0")</f>
        <v>1</v>
      </c>
      <c r="AH390" s="10">
        <v>0</v>
      </c>
      <c r="AI390" s="10">
        <v>0</v>
      </c>
      <c r="AJ390" s="8" t="str">
        <f>IF(ISNUMBER(X390),IF(X390&gt;0,"+",IF(X390&lt;0,"−","0")),IF(ISNUMBER(W390),IF(W390&gt;0,"+",IF(W390&lt;0,"−","0")),"yok"))</f>
        <v>−</v>
      </c>
      <c r="AK390" s="10">
        <f>IF(AND(RIGHT(C390,2)&lt;&gt;"12",ISNUMBER(U390),ISNUMBER(V390)),U390-V390,"")</f>
        <v>-15.468999999999998</v>
      </c>
      <c r="AL390" s="11">
        <f>IF(AND(ISNUMBER(AK390),ISNUMBER(V390)),IF(V390&lt;&gt;0,AK390/ABS(V390),""),"")</f>
        <v>-0.94628983911421038</v>
      </c>
      <c r="AM390" s="8">
        <f>IF(ISNUMBER(AK390),IF(AK390&gt;1,1,0),"")</f>
        <v>0</v>
      </c>
      <c r="AN390" s="8">
        <f>IF(ISNUMBER(AK390),IF(AK390&gt;0.05*ABS(V390),1,0),"")</f>
        <v>0</v>
      </c>
      <c r="AO390" s="10">
        <v>-12.837</v>
      </c>
      <c r="AP390" s="10">
        <v>12.837</v>
      </c>
      <c r="AQ390" s="8" t="s">
        <v>204</v>
      </c>
      <c r="AR390" s="8">
        <v>0</v>
      </c>
      <c r="AS390" s="10">
        <v>1045.7729999999999</v>
      </c>
      <c r="AT390" s="10">
        <v>492.50200000000001</v>
      </c>
      <c r="AU390" s="8" t="s">
        <v>204</v>
      </c>
      <c r="AV390" s="10">
        <v>2.6309999999999998</v>
      </c>
      <c r="AW390" s="11">
        <f>IF(AND(ISNUMBER(AV390),ISNUMBER(AT390)),IF(AT390&lt;&gt;0,AV390/ABS(AT390),""),"")</f>
        <v>5.3421102858465545E-3</v>
      </c>
      <c r="AX390" s="8">
        <v>1</v>
      </c>
      <c r="AY390" s="8">
        <v>0</v>
      </c>
      <c r="AZ390" s="8" t="s">
        <v>474</v>
      </c>
      <c r="BA390" s="8">
        <v>0</v>
      </c>
    </row>
    <row r="391" spans="1:53" x14ac:dyDescent="0.2">
      <c r="A391" s="8" t="s">
        <v>475</v>
      </c>
      <c r="B391" s="8" t="s">
        <v>83</v>
      </c>
      <c r="C391" s="8" t="s">
        <v>203</v>
      </c>
      <c r="D391" s="8">
        <v>1</v>
      </c>
      <c r="E391" s="8">
        <v>1</v>
      </c>
      <c r="F391" s="8">
        <f>SUM(G391:M391)</f>
        <v>3</v>
      </c>
      <c r="G391" s="8">
        <v>0</v>
      </c>
      <c r="H391" s="8">
        <v>0</v>
      </c>
      <c r="I391" s="8">
        <v>1</v>
      </c>
      <c r="J391" s="8">
        <v>0</v>
      </c>
      <c r="K391" s="8">
        <v>0</v>
      </c>
      <c r="L391" s="8">
        <v>1</v>
      </c>
      <c r="M391" s="8">
        <v>1</v>
      </c>
      <c r="N391" s="8">
        <v>1</v>
      </c>
      <c r="O391" s="8">
        <v>1</v>
      </c>
      <c r="P391" s="8">
        <v>1</v>
      </c>
      <c r="Q391" s="8">
        <v>0</v>
      </c>
      <c r="R391" s="8">
        <v>0</v>
      </c>
      <c r="S391" s="8">
        <v>0</v>
      </c>
      <c r="T391" s="10">
        <v>462.69600000000003</v>
      </c>
      <c r="U391" s="10">
        <v>2568.0030000000002</v>
      </c>
      <c r="V391" s="10">
        <v>1524.069</v>
      </c>
      <c r="W391" s="10">
        <f>IF(RIGHT(C391,2)="12",IF(ISNUMBER(T391),T391,""),IF(COUNT(T391,U391,V391)=3,T391+U391-V391,""))</f>
        <v>1506.63</v>
      </c>
      <c r="X391" s="10">
        <v>1506.6289999999999</v>
      </c>
      <c r="Y391" s="10">
        <v>-285.92099999999999</v>
      </c>
      <c r="Z391" s="10">
        <v>1157.2670000000001</v>
      </c>
      <c r="AA391" s="10">
        <v>172.58699999999999</v>
      </c>
      <c r="AB391" s="10">
        <v>462.69600000000003</v>
      </c>
      <c r="AC391" s="8">
        <v>1</v>
      </c>
      <c r="AD391" s="8">
        <v>1</v>
      </c>
      <c r="AE391" s="8">
        <v>1</v>
      </c>
      <c r="AF391" s="10">
        <v>2568.0030000000002</v>
      </c>
      <c r="AG391" s="8">
        <f>COUNTIF(Y391:AB391,"&gt;0")</f>
        <v>3</v>
      </c>
      <c r="AH391" s="10">
        <v>0</v>
      </c>
      <c r="AI391" s="10">
        <v>1329.854</v>
      </c>
      <c r="AJ391" s="8" t="str">
        <f>IF(ISNUMBER(X391),IF(X391&gt;0,"+",IF(X391&lt;0,"−","0")),IF(ISNUMBER(W391),IF(W391&gt;0,"+",IF(W391&lt;0,"−","0")),"yok"))</f>
        <v>+</v>
      </c>
      <c r="AK391" s="10">
        <f>IF(AND(RIGHT(C391,2)&lt;&gt;"12",ISNUMBER(U391),ISNUMBER(V391)),U391-V391,"")</f>
        <v>1043.9340000000002</v>
      </c>
      <c r="AL391" s="11">
        <f>IF(AND(ISNUMBER(AK391),ISNUMBER(V391)),IF(V391&lt;&gt;0,AK391/ABS(V391),""),"")</f>
        <v>0.68496505079494452</v>
      </c>
      <c r="AM391" s="8">
        <f>IF(ISNUMBER(AK391),IF(AK391&gt;1,1,0),"")</f>
        <v>1</v>
      </c>
      <c r="AN391" s="8">
        <f>IF(ISNUMBER(AK391),IF(AK391&gt;0.05*ABS(V391),1,0),"")</f>
        <v>1</v>
      </c>
      <c r="AO391" s="10">
        <v>1506.6289999999999</v>
      </c>
      <c r="AP391" s="10">
        <v>0</v>
      </c>
      <c r="AQ391" s="8" t="s">
        <v>204</v>
      </c>
      <c r="AR391" s="8">
        <v>1</v>
      </c>
      <c r="AS391" s="10">
        <v>29198.071</v>
      </c>
      <c r="AT391" s="10">
        <v>15596.858</v>
      </c>
      <c r="AU391" s="8" t="s">
        <v>204</v>
      </c>
      <c r="AV391" s="10">
        <v>2568.0030000000002</v>
      </c>
      <c r="AW391" s="11">
        <f>IF(AND(ISNUMBER(AV391),ISNUMBER(AT391)),IF(AT391&lt;&gt;0,AV391/ABS(AT391),""),"")</f>
        <v>0.16464873886778991</v>
      </c>
      <c r="AX391" s="8">
        <v>1</v>
      </c>
      <c r="AY391" s="8">
        <v>0</v>
      </c>
      <c r="AZ391" s="8" t="s">
        <v>476</v>
      </c>
      <c r="BA391" s="8">
        <v>1</v>
      </c>
    </row>
    <row r="392" spans="1:53" x14ac:dyDescent="0.2">
      <c r="A392" s="8" t="s">
        <v>475</v>
      </c>
      <c r="B392" s="8" t="s">
        <v>83</v>
      </c>
      <c r="C392" s="8" t="s">
        <v>205</v>
      </c>
      <c r="D392" s="8">
        <v>1</v>
      </c>
      <c r="E392" s="8">
        <v>1</v>
      </c>
      <c r="F392" s="8">
        <f>SUM(G392:M392)</f>
        <v>3</v>
      </c>
      <c r="G392" s="8">
        <v>0</v>
      </c>
      <c r="H392" s="8">
        <v>0</v>
      </c>
      <c r="I392" s="8">
        <v>1</v>
      </c>
      <c r="J392" s="8">
        <v>0</v>
      </c>
      <c r="K392" s="8">
        <v>0</v>
      </c>
      <c r="L392" s="8">
        <v>1</v>
      </c>
      <c r="M392" s="8">
        <v>1</v>
      </c>
      <c r="N392" s="8">
        <v>1</v>
      </c>
      <c r="O392" s="8">
        <v>1</v>
      </c>
      <c r="P392" s="8">
        <v>1</v>
      </c>
      <c r="Q392" s="8">
        <v>0</v>
      </c>
      <c r="R392" s="8">
        <v>0</v>
      </c>
      <c r="S392" s="8">
        <v>0</v>
      </c>
      <c r="T392" s="10">
        <v>-1226.74</v>
      </c>
      <c r="U392" s="10">
        <v>2568.0030000000002</v>
      </c>
      <c r="V392" s="10">
        <v>1238.1479999999999</v>
      </c>
      <c r="W392" s="10">
        <f>IF(RIGHT(C392,2)="12",IF(ISNUMBER(T392),T392,""),IF(COUNT(T392,U392,V392)=3,T392+U392-V392,""))</f>
        <v>103.11500000000024</v>
      </c>
      <c r="X392" s="10">
        <v>103.11499999999999</v>
      </c>
      <c r="Y392" s="10">
        <v>1157.2670000000001</v>
      </c>
      <c r="Z392" s="10">
        <v>172.58699999999999</v>
      </c>
      <c r="AA392" s="10">
        <v>462.69600000000003</v>
      </c>
      <c r="AB392" s="10">
        <v>-1689.4359999999999</v>
      </c>
      <c r="AC392" s="8">
        <v>0</v>
      </c>
      <c r="AD392" s="8">
        <v>1</v>
      </c>
      <c r="AE392" s="8">
        <v>1</v>
      </c>
      <c r="AF392" s="10">
        <v>2568.0030000000002</v>
      </c>
      <c r="AG392" s="8">
        <f>COUNTIF(Y392:AB392,"&gt;0")</f>
        <v>3</v>
      </c>
      <c r="AH392" s="10">
        <v>0</v>
      </c>
      <c r="AI392" s="10">
        <v>1329.854</v>
      </c>
      <c r="AJ392" s="8" t="str">
        <f>IF(ISNUMBER(X392),IF(X392&gt;0,"+",IF(X392&lt;0,"−","0")),IF(ISNUMBER(W392),IF(W392&gt;0,"+",IF(W392&lt;0,"−","0")),"yok"))</f>
        <v>+</v>
      </c>
      <c r="AK392" s="10">
        <f>IF(AND(RIGHT(C392,2)&lt;&gt;"12",ISNUMBER(U392),ISNUMBER(V392)),U392-V392,"")</f>
        <v>1329.8550000000002</v>
      </c>
      <c r="AL392" s="11">
        <f>IF(AND(ISNUMBER(AK392),ISNUMBER(V392)),IF(V392&lt;&gt;0,AK392/ABS(V392),""),"")</f>
        <v>1.0740678820302583</v>
      </c>
      <c r="AM392" s="8">
        <f>IF(ISNUMBER(AK392),IF(AK392&gt;1,1,0),"")</f>
        <v>1</v>
      </c>
      <c r="AN392" s="8">
        <f>IF(ISNUMBER(AK392),IF(AK392&gt;0.05*ABS(V392),1,0),"")</f>
        <v>1</v>
      </c>
      <c r="AO392" s="10">
        <v>103.11499999999999</v>
      </c>
      <c r="AP392" s="10">
        <v>0</v>
      </c>
      <c r="AQ392" s="8" t="s">
        <v>204</v>
      </c>
      <c r="AR392" s="8">
        <v>1</v>
      </c>
      <c r="AS392" s="10">
        <v>32411.923999999999</v>
      </c>
      <c r="AT392" s="10">
        <v>17615.061000000002</v>
      </c>
      <c r="AU392" s="8" t="s">
        <v>204</v>
      </c>
      <c r="AV392" s="10">
        <v>2568.0030000000002</v>
      </c>
      <c r="AW392" s="11">
        <f>IF(AND(ISNUMBER(AV392),ISNUMBER(AT392)),IF(AT392&lt;&gt;0,AV392/ABS(AT392),""),"")</f>
        <v>0.14578450792761943</v>
      </c>
      <c r="AX392" s="8">
        <v>1</v>
      </c>
      <c r="AY392" s="8">
        <v>0</v>
      </c>
      <c r="AZ392" s="8" t="s">
        <v>477</v>
      </c>
      <c r="BA392" s="8">
        <v>1</v>
      </c>
    </row>
    <row r="393" spans="1:53" x14ac:dyDescent="0.2">
      <c r="A393" s="8" t="s">
        <v>475</v>
      </c>
      <c r="B393" s="8" t="s">
        <v>83</v>
      </c>
      <c r="C393" s="8" t="s">
        <v>215</v>
      </c>
      <c r="D393" s="8">
        <v>1</v>
      </c>
      <c r="E393" s="8">
        <v>1</v>
      </c>
      <c r="F393" s="8">
        <f>SUM(G393:M393)</f>
        <v>3</v>
      </c>
      <c r="G393" s="8">
        <v>0</v>
      </c>
      <c r="H393" s="8">
        <v>0</v>
      </c>
      <c r="I393" s="8">
        <v>0</v>
      </c>
      <c r="J393" s="8">
        <v>0</v>
      </c>
      <c r="K393" s="8">
        <v>1</v>
      </c>
      <c r="L393" s="8">
        <v>1</v>
      </c>
      <c r="M393" s="8">
        <v>1</v>
      </c>
      <c r="N393" s="8">
        <v>0</v>
      </c>
      <c r="O393" s="8">
        <v>1</v>
      </c>
      <c r="P393" s="8">
        <v>1</v>
      </c>
      <c r="Q393" s="8">
        <v>0</v>
      </c>
      <c r="R393" s="8">
        <v>0</v>
      </c>
      <c r="S393" s="8">
        <v>0</v>
      </c>
      <c r="T393" s="10">
        <v>-2699.4850000000001</v>
      </c>
      <c r="U393" s="10">
        <v>2568.0030000000002</v>
      </c>
      <c r="V393" s="10">
        <v>2395.415</v>
      </c>
      <c r="W393" s="10">
        <f>IF(RIGHT(C393,2)="12",IF(ISNUMBER(T393),T393,""),IF(COUNT(T393,U393,V393)=3,T393+U393-V393,""))</f>
        <v>-2526.8969999999999</v>
      </c>
      <c r="X393" s="10">
        <v>-2526.8969999999999</v>
      </c>
      <c r="Y393" s="10">
        <v>172.58699999999999</v>
      </c>
      <c r="Z393" s="10">
        <v>462.69600000000003</v>
      </c>
      <c r="AA393" s="10">
        <v>-1689.4359999999999</v>
      </c>
      <c r="AB393" s="10">
        <v>-1472.7449999999999</v>
      </c>
      <c r="AC393" s="8">
        <v>0</v>
      </c>
      <c r="AD393" s="8">
        <v>1</v>
      </c>
      <c r="AE393" s="8">
        <v>1</v>
      </c>
      <c r="AF393" s="10">
        <v>2568.0030000000002</v>
      </c>
      <c r="AG393" s="8">
        <f>COUNTIF(Y393:AB393,"&gt;0")</f>
        <v>2</v>
      </c>
      <c r="AH393" s="10">
        <v>0</v>
      </c>
      <c r="AI393" s="10">
        <v>172.58699999999999</v>
      </c>
      <c r="AJ393" s="8" t="str">
        <f>IF(ISNUMBER(X393),IF(X393&gt;0,"+",IF(X393&lt;0,"−","0")),IF(ISNUMBER(W393),IF(W393&gt;0,"+",IF(W393&lt;0,"−","0")),"yok"))</f>
        <v>−</v>
      </c>
      <c r="AK393" s="10">
        <f>IF(AND(RIGHT(C393,2)&lt;&gt;"12",ISNUMBER(U393),ISNUMBER(V393)),U393-V393,"")</f>
        <v>172.58800000000019</v>
      </c>
      <c r="AL393" s="11">
        <f>IF(AND(ISNUMBER(AK393),ISNUMBER(V393)),IF(V393&lt;&gt;0,AK393/ABS(V393),""),"")</f>
        <v>7.2049310870976505E-2</v>
      </c>
      <c r="AM393" s="8">
        <f>IF(ISNUMBER(AK393),IF(AK393&gt;1,1,0),"")</f>
        <v>1</v>
      </c>
      <c r="AN393" s="8">
        <f>IF(ISNUMBER(AK393),IF(AK393&gt;0.05*ABS(V393),1,0),"")</f>
        <v>1</v>
      </c>
      <c r="AO393" s="10">
        <v>-2526.8980000000001</v>
      </c>
      <c r="AP393" s="10">
        <v>2526.8980000000001</v>
      </c>
      <c r="AQ393" s="8" t="s">
        <v>204</v>
      </c>
      <c r="AR393" s="8">
        <v>0</v>
      </c>
      <c r="AS393" s="10">
        <v>42215.069000000003</v>
      </c>
      <c r="AT393" s="10">
        <v>23220.942999999999</v>
      </c>
      <c r="AU393" s="8" t="s">
        <v>204</v>
      </c>
      <c r="AV393" s="10">
        <v>2568.0030000000002</v>
      </c>
      <c r="AW393" s="11">
        <f>IF(AND(ISNUMBER(AV393),ISNUMBER(AT393)),IF(AT393&lt;&gt;0,AV393/ABS(AT393),""),"")</f>
        <v>0.1105899532159396</v>
      </c>
      <c r="AX393" s="8">
        <v>1</v>
      </c>
      <c r="AY393" s="8">
        <v>0</v>
      </c>
      <c r="AZ393" s="8" t="s">
        <v>478</v>
      </c>
      <c r="BA393" s="8">
        <v>1</v>
      </c>
    </row>
    <row r="394" spans="1:53" x14ac:dyDescent="0.2">
      <c r="A394" s="8" t="s">
        <v>475</v>
      </c>
      <c r="B394" s="8" t="s">
        <v>83</v>
      </c>
      <c r="C394" s="8" t="s">
        <v>208</v>
      </c>
      <c r="D394" s="8">
        <v>1</v>
      </c>
      <c r="E394" s="8">
        <v>1</v>
      </c>
      <c r="F394" s="8">
        <f>SUM(G394:M394)</f>
        <v>2</v>
      </c>
      <c r="G394" s="8">
        <v>0</v>
      </c>
      <c r="H394" s="8">
        <v>0</v>
      </c>
      <c r="I394" s="8">
        <v>0</v>
      </c>
      <c r="J394" s="8">
        <v>0</v>
      </c>
      <c r="K394" s="8">
        <v>1</v>
      </c>
      <c r="L394" s="8">
        <v>0</v>
      </c>
      <c r="M394" s="8">
        <v>1</v>
      </c>
      <c r="N394" s="8">
        <v>0</v>
      </c>
      <c r="O394" s="8">
        <v>1</v>
      </c>
      <c r="P394" s="8">
        <v>1</v>
      </c>
      <c r="Q394" s="8">
        <v>0</v>
      </c>
      <c r="R394" s="8">
        <v>0</v>
      </c>
      <c r="S394" s="8">
        <v>0</v>
      </c>
      <c r="T394" s="10">
        <v>-444.04599999999999</v>
      </c>
      <c r="U394" s="10">
        <v>-2298.7750000000001</v>
      </c>
      <c r="V394" s="10">
        <v>462.69600000000003</v>
      </c>
      <c r="W394" s="10">
        <f>IF(RIGHT(C394,2)="12",IF(ISNUMBER(T394),T394,""),IF(COUNT(T394,U394,V394)=3,T394+U394-V394,""))</f>
        <v>-3205.5169999999998</v>
      </c>
      <c r="X394" s="10">
        <v>-3205.5169999999998</v>
      </c>
      <c r="Y394" s="10">
        <v>-1689.4359999999999</v>
      </c>
      <c r="Z394" s="10">
        <v>-1472.7449999999999</v>
      </c>
      <c r="AA394" s="10">
        <v>400.709</v>
      </c>
      <c r="AB394" s="10">
        <v>-444.04599999999999</v>
      </c>
      <c r="AC394" s="8">
        <v>0</v>
      </c>
      <c r="AD394" s="8">
        <v>0</v>
      </c>
      <c r="AE394" s="8">
        <v>1</v>
      </c>
      <c r="AF394" s="10">
        <v>462.69600000000003</v>
      </c>
      <c r="AG394" s="8">
        <f>COUNTIF(Y394:AB394,"&gt;0")</f>
        <v>1</v>
      </c>
      <c r="AH394" s="10">
        <v>0</v>
      </c>
      <c r="AI394" s="10">
        <v>400.709</v>
      </c>
      <c r="AJ394" s="8" t="str">
        <f>IF(ISNUMBER(X394),IF(X394&gt;0,"+",IF(X394&lt;0,"−","0")),IF(ISNUMBER(W394),IF(W394&gt;0,"+",IF(W394&lt;0,"−","0")),"yok"))</f>
        <v>−</v>
      </c>
      <c r="AK394" s="10">
        <f>IF(AND(RIGHT(C394,2)&lt;&gt;"12",ISNUMBER(U394),ISNUMBER(V394)),U394-V394,"")</f>
        <v>-2761.471</v>
      </c>
      <c r="AL394" s="11">
        <f>IF(AND(ISNUMBER(AK394),ISNUMBER(V394)),IF(V394&lt;&gt;0,AK394/ABS(V394),""),"")</f>
        <v>-5.968218873731348</v>
      </c>
      <c r="AM394" s="8">
        <f>IF(ISNUMBER(AK394),IF(AK394&gt;1,1,0),"")</f>
        <v>0</v>
      </c>
      <c r="AN394" s="8">
        <f>IF(ISNUMBER(AK394),IF(AK394&gt;0.05*ABS(V394),1,0),"")</f>
        <v>0</v>
      </c>
      <c r="AO394" s="10">
        <v>-3205.5169999999998</v>
      </c>
      <c r="AP394" s="10">
        <v>3205.5169999999998</v>
      </c>
      <c r="AQ394" s="8" t="s">
        <v>204</v>
      </c>
      <c r="AR394" s="8">
        <v>0</v>
      </c>
      <c r="AS394" s="10">
        <v>34156.625999999997</v>
      </c>
      <c r="AT394" s="10">
        <v>11073.451999999999</v>
      </c>
      <c r="AU394" s="8" t="s">
        <v>212</v>
      </c>
      <c r="AV394" s="10">
        <v>462.69600000000003</v>
      </c>
      <c r="AW394" s="11">
        <f>IF(AND(ISNUMBER(AV394),ISNUMBER(AT394)),IF(AT394&lt;&gt;0,AV394/ABS(AT394),""),"")</f>
        <v>4.1784260228878947E-2</v>
      </c>
      <c r="AX394" s="8">
        <v>1</v>
      </c>
      <c r="AY394" s="8">
        <v>0</v>
      </c>
      <c r="AZ394" s="8" t="s">
        <v>479</v>
      </c>
      <c r="BA394" s="8">
        <v>1</v>
      </c>
    </row>
    <row r="395" spans="1:53" x14ac:dyDescent="0.2">
      <c r="A395" s="8" t="s">
        <v>475</v>
      </c>
      <c r="B395" s="8" t="s">
        <v>83</v>
      </c>
      <c r="C395" s="8" t="s">
        <v>210</v>
      </c>
      <c r="D395" s="8">
        <v>1</v>
      </c>
      <c r="E395" s="8">
        <v>1</v>
      </c>
      <c r="F395" s="8">
        <f>SUM(G395:M395)</f>
        <v>1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1</v>
      </c>
      <c r="N395" s="8">
        <v>0</v>
      </c>
      <c r="O395" s="8">
        <v>0</v>
      </c>
      <c r="P395" s="8">
        <v>1</v>
      </c>
      <c r="Q395" s="8">
        <v>0</v>
      </c>
      <c r="R395" s="8">
        <v>0</v>
      </c>
      <c r="S395" s="8">
        <v>0</v>
      </c>
      <c r="T395" s="10">
        <v>-876.524</v>
      </c>
      <c r="U395" s="10">
        <v>-2298.7750000000001</v>
      </c>
      <c r="V395" s="10">
        <v>-1226.74</v>
      </c>
      <c r="W395" s="10">
        <f>IF(RIGHT(C395,2)="12",IF(ISNUMBER(T395),T395,""),IF(COUNT(T395,U395,V395)=3,T395+U395-V395,""))</f>
        <v>-1948.559</v>
      </c>
      <c r="X395" s="10">
        <v>-1948.559</v>
      </c>
      <c r="Y395" s="10">
        <v>-1472.7449999999999</v>
      </c>
      <c r="Z395" s="10">
        <v>400.709</v>
      </c>
      <c r="AA395" s="10">
        <v>-444.04599999999999</v>
      </c>
      <c r="AB395" s="10">
        <v>-432.47800000000001</v>
      </c>
      <c r="AC395" s="8">
        <v>0</v>
      </c>
      <c r="AD395" s="8">
        <v>0</v>
      </c>
      <c r="AE395" s="8">
        <v>0</v>
      </c>
      <c r="AF395" s="10">
        <v>0</v>
      </c>
      <c r="AG395" s="8">
        <f>COUNTIF(Y395:AB395,"&gt;0")</f>
        <v>1</v>
      </c>
      <c r="AH395" s="10">
        <v>0</v>
      </c>
      <c r="AI395" s="10">
        <v>400.709</v>
      </c>
      <c r="AJ395" s="8" t="str">
        <f>IF(ISNUMBER(X395),IF(X395&gt;0,"+",IF(X395&lt;0,"−","0")),IF(ISNUMBER(W395),IF(W395&gt;0,"+",IF(W395&lt;0,"−","0")),"yok"))</f>
        <v>−</v>
      </c>
      <c r="AK395" s="10">
        <f>IF(AND(RIGHT(C395,2)&lt;&gt;"12",ISNUMBER(U395),ISNUMBER(V395)),U395-V395,"")</f>
        <v>-1072.0350000000001</v>
      </c>
      <c r="AL395" s="11">
        <f>IF(AND(ISNUMBER(AK395),ISNUMBER(V395)),IF(V395&lt;&gt;0,AK395/ABS(V395),""),"")</f>
        <v>-0.87388933270293634</v>
      </c>
      <c r="AM395" s="8">
        <f>IF(ISNUMBER(AK395),IF(AK395&gt;1,1,0),"")</f>
        <v>0</v>
      </c>
      <c r="AN395" s="8">
        <f>IF(ISNUMBER(AK395),IF(AK395&gt;0.05*ABS(V395),1,0),"")</f>
        <v>0</v>
      </c>
      <c r="AO395" s="10">
        <v>-1948.559</v>
      </c>
      <c r="AP395" s="10">
        <v>1948.559</v>
      </c>
      <c r="AQ395" s="8" t="s">
        <v>204</v>
      </c>
      <c r="AR395" s="8">
        <v>0</v>
      </c>
      <c r="AS395" s="10">
        <v>28005.995999999999</v>
      </c>
      <c r="AT395" s="10">
        <v>4686.9709999999995</v>
      </c>
      <c r="AU395" s="8" t="s">
        <v>204</v>
      </c>
      <c r="AV395" s="10">
        <v>400.709</v>
      </c>
      <c r="AW395" s="11">
        <f>IF(AND(ISNUMBER(AV395),ISNUMBER(AT395)),IF(AT395&lt;&gt;0,AV395/ABS(AT395),""),"")</f>
        <v>8.5494234976064509E-2</v>
      </c>
      <c r="AX395" s="8">
        <v>0</v>
      </c>
      <c r="AY395" s="8">
        <v>0</v>
      </c>
      <c r="AZ395" s="10"/>
      <c r="BA395" s="8">
        <v>1</v>
      </c>
    </row>
    <row r="396" spans="1:53" x14ac:dyDescent="0.2">
      <c r="A396" s="8" t="s">
        <v>480</v>
      </c>
      <c r="B396" s="8" t="s">
        <v>82</v>
      </c>
      <c r="C396" s="8" t="s">
        <v>215</v>
      </c>
      <c r="D396" s="8">
        <v>1</v>
      </c>
      <c r="E396" s="8">
        <v>1</v>
      </c>
      <c r="F396" s="8">
        <f>SUM(G396:M396)</f>
        <v>1</v>
      </c>
      <c r="G396" s="8">
        <v>0</v>
      </c>
      <c r="H396" s="8">
        <v>1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1</v>
      </c>
      <c r="Q396" s="8">
        <v>1</v>
      </c>
      <c r="R396" s="8">
        <v>1</v>
      </c>
      <c r="S396" s="8">
        <v>0</v>
      </c>
      <c r="T396" s="10">
        <v>-245.33500000000001</v>
      </c>
      <c r="U396" s="10">
        <v>-103.699</v>
      </c>
      <c r="V396" s="10">
        <v>-251.34800000000001</v>
      </c>
      <c r="W396" s="10">
        <f>IF(RIGHT(C396,2)="12",IF(ISNUMBER(T396),T396,""),IF(COUNT(T396,U396,V396)=3,T396+U396-V396,""))</f>
        <v>-97.685999999999979</v>
      </c>
      <c r="X396" s="10">
        <v>-97.686000000000007</v>
      </c>
      <c r="Y396" s="10">
        <v>147.649</v>
      </c>
      <c r="Z396" s="10">
        <v>-56.795000000000002</v>
      </c>
      <c r="AA396" s="10">
        <v>-12.510999999999999</v>
      </c>
      <c r="AB396" s="10">
        <v>-176.029</v>
      </c>
      <c r="AC396" s="8">
        <v>0</v>
      </c>
      <c r="AD396" s="8">
        <v>0</v>
      </c>
      <c r="AE396" s="8">
        <v>0</v>
      </c>
      <c r="AF396" s="10">
        <v>0</v>
      </c>
      <c r="AG396" s="8">
        <f>COUNTIF(Y396:AB396,"&gt;0")</f>
        <v>1</v>
      </c>
      <c r="AH396" s="10">
        <v>0</v>
      </c>
      <c r="AI396" s="10">
        <v>147.649</v>
      </c>
      <c r="AJ396" s="8" t="str">
        <f>IF(ISNUMBER(X396),IF(X396&gt;0,"+",IF(X396&lt;0,"−","0")),IF(ISNUMBER(W396),IF(W396&gt;0,"+",IF(W396&lt;0,"−","0")),"yok"))</f>
        <v>−</v>
      </c>
      <c r="AK396" s="10">
        <f>IF(AND(RIGHT(C396,2)&lt;&gt;"12",ISNUMBER(U396),ISNUMBER(V396)),U396-V396,"")</f>
        <v>147.649</v>
      </c>
      <c r="AL396" s="11">
        <f>IF(AND(ISNUMBER(AK396),ISNUMBER(V396)),IF(V396&lt;&gt;0,AK396/ABS(V396),""),"")</f>
        <v>0.58742858506930629</v>
      </c>
      <c r="AM396" s="8">
        <f>IF(ISNUMBER(AK396),IF(AK396&gt;1,1,0),"")</f>
        <v>1</v>
      </c>
      <c r="AN396" s="8">
        <f>IF(ISNUMBER(AK396),IF(AK396&gt;0.05*ABS(V396),1,0),"")</f>
        <v>1</v>
      </c>
      <c r="AO396" s="10">
        <v>-97.686999999999998</v>
      </c>
      <c r="AP396" s="10">
        <v>97.686999999999998</v>
      </c>
      <c r="AQ396" s="8" t="s">
        <v>204</v>
      </c>
      <c r="AR396" s="8">
        <v>0</v>
      </c>
      <c r="AS396" s="10">
        <v>464.65100000000001</v>
      </c>
      <c r="AT396" s="10">
        <v>237.28100000000001</v>
      </c>
      <c r="AU396" s="8" t="s">
        <v>204</v>
      </c>
      <c r="AV396" s="10">
        <v>147.649</v>
      </c>
      <c r="AW396" s="11">
        <f>IF(AND(ISNUMBER(AV396),ISNUMBER(AT396)),IF(AT396&lt;&gt;0,AV396/ABS(AT396),""),"")</f>
        <v>0.62225378348877491</v>
      </c>
      <c r="AX396" s="8">
        <v>0</v>
      </c>
      <c r="AY396" s="8">
        <v>1</v>
      </c>
      <c r="AZ396" s="10"/>
      <c r="BA396" s="8">
        <v>0</v>
      </c>
    </row>
    <row r="397" spans="1:53" x14ac:dyDescent="0.2">
      <c r="A397" s="8" t="s">
        <v>481</v>
      </c>
      <c r="B397" s="8" t="s">
        <v>83</v>
      </c>
      <c r="C397" s="8" t="s">
        <v>203</v>
      </c>
      <c r="D397" s="8">
        <v>1</v>
      </c>
      <c r="E397" s="8">
        <v>1</v>
      </c>
      <c r="F397" s="8">
        <f>SUM(G397:M397)</f>
        <v>1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1</v>
      </c>
      <c r="N397" s="8">
        <v>0</v>
      </c>
      <c r="O397" s="8">
        <v>0</v>
      </c>
      <c r="P397" s="8">
        <v>1</v>
      </c>
      <c r="Q397" s="8">
        <v>0</v>
      </c>
      <c r="R397" s="8">
        <v>0</v>
      </c>
      <c r="S397" s="8">
        <v>0</v>
      </c>
      <c r="T397" s="10">
        <v>-32.594999999999999</v>
      </c>
      <c r="U397" s="10">
        <v>-144.072</v>
      </c>
      <c r="V397" s="10">
        <v>-130.9</v>
      </c>
      <c r="W397" s="10">
        <f>IF(RIGHT(C397,2)="12",IF(ISNUMBER(T397),T397,""),IF(COUNT(T397,U397,V397)=3,T397+U397-V397,""))</f>
        <v>-45.766999999999996</v>
      </c>
      <c r="X397" s="10">
        <v>-45.767000000000003</v>
      </c>
      <c r="Y397" s="10">
        <v>7.4169999999999998</v>
      </c>
      <c r="Z397" s="10">
        <v>9.6069999999999993</v>
      </c>
      <c r="AA397" s="10">
        <v>-30.196000000000002</v>
      </c>
      <c r="AB397" s="10">
        <v>-32.594999999999999</v>
      </c>
      <c r="AC397" s="8">
        <v>0</v>
      </c>
      <c r="AD397" s="8">
        <v>0</v>
      </c>
      <c r="AE397" s="8">
        <v>0</v>
      </c>
      <c r="AF397" s="10">
        <v>0</v>
      </c>
      <c r="AG397" s="8">
        <f>COUNTIF(Y397:AB397,"&gt;0")</f>
        <v>2</v>
      </c>
      <c r="AH397" s="10">
        <v>0</v>
      </c>
      <c r="AI397" s="10">
        <v>17.024000000000001</v>
      </c>
      <c r="AJ397" s="8" t="str">
        <f>IF(ISNUMBER(X397),IF(X397&gt;0,"+",IF(X397&lt;0,"−","0")),IF(ISNUMBER(W397),IF(W397&gt;0,"+",IF(W397&lt;0,"−","0")),"yok"))</f>
        <v>−</v>
      </c>
      <c r="AK397" s="10">
        <f>IF(AND(RIGHT(C397,2)&lt;&gt;"12",ISNUMBER(U397),ISNUMBER(V397)),U397-V397,"")</f>
        <v>-13.171999999999997</v>
      </c>
      <c r="AL397" s="11">
        <f>IF(AND(ISNUMBER(AK397),ISNUMBER(V397)),IF(V397&lt;&gt;0,AK397/ABS(V397),""),"")</f>
        <v>-0.10062643239113825</v>
      </c>
      <c r="AM397" s="8">
        <f>IF(ISNUMBER(AK397),IF(AK397&gt;1,1,0),"")</f>
        <v>0</v>
      </c>
      <c r="AN397" s="8">
        <f>IF(ISNUMBER(AK397),IF(AK397&gt;0.05*ABS(V397),1,0),"")</f>
        <v>0</v>
      </c>
      <c r="AO397" s="10">
        <v>-45.767000000000003</v>
      </c>
      <c r="AP397" s="10">
        <v>45.767000000000003</v>
      </c>
      <c r="AQ397" s="8" t="s">
        <v>204</v>
      </c>
      <c r="AR397" s="8">
        <v>0</v>
      </c>
      <c r="AS397" s="10">
        <v>49.609000000000002</v>
      </c>
      <c r="AT397" s="10">
        <v>3.84200000000004</v>
      </c>
      <c r="AU397" s="8" t="s">
        <v>204</v>
      </c>
      <c r="AV397" s="10">
        <v>9.6069999999999993</v>
      </c>
      <c r="AW397" s="11">
        <f>IF(AND(ISNUMBER(AV397),ISNUMBER(AT397)),IF(AT397&lt;&gt;0,AV397/ABS(AT397),""),"")</f>
        <v>2.5005205622071576</v>
      </c>
      <c r="AX397" s="8">
        <v>0</v>
      </c>
      <c r="AY397" s="8">
        <v>0</v>
      </c>
      <c r="AZ397" s="10"/>
      <c r="BA397" s="8">
        <v>0</v>
      </c>
    </row>
    <row r="398" spans="1:53" x14ac:dyDescent="0.2">
      <c r="A398" s="8" t="s">
        <v>481</v>
      </c>
      <c r="B398" s="8" t="s">
        <v>83</v>
      </c>
      <c r="C398" s="8" t="s">
        <v>205</v>
      </c>
      <c r="D398" s="8">
        <v>1</v>
      </c>
      <c r="E398" s="8">
        <v>1</v>
      </c>
      <c r="F398" s="8">
        <f>SUM(G398:M398)</f>
        <v>1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1</v>
      </c>
      <c r="N398" s="8">
        <v>0</v>
      </c>
      <c r="O398" s="8">
        <v>0</v>
      </c>
      <c r="P398" s="8">
        <v>1</v>
      </c>
      <c r="Q398" s="8">
        <v>0</v>
      </c>
      <c r="R398" s="8">
        <v>0</v>
      </c>
      <c r="S398" s="8">
        <v>0</v>
      </c>
      <c r="T398" s="10">
        <v>-88.097999999999999</v>
      </c>
      <c r="U398" s="10">
        <v>-144.072</v>
      </c>
      <c r="V398" s="10">
        <v>-123.483</v>
      </c>
      <c r="W398" s="10">
        <f>IF(RIGHT(C398,2)="12",IF(ISNUMBER(T398),T398,""),IF(COUNT(T398,U398,V398)=3,T398+U398-V398,""))</f>
        <v>-108.68700000000001</v>
      </c>
      <c r="X398" s="10">
        <v>-108.688</v>
      </c>
      <c r="Y398" s="10">
        <v>9.6069999999999993</v>
      </c>
      <c r="Z398" s="10">
        <v>-30.196000000000002</v>
      </c>
      <c r="AA398" s="10">
        <v>-32.594999999999999</v>
      </c>
      <c r="AB398" s="10">
        <v>-55.503</v>
      </c>
      <c r="AC398" s="8">
        <v>0</v>
      </c>
      <c r="AD398" s="8">
        <v>0</v>
      </c>
      <c r="AE398" s="8">
        <v>0</v>
      </c>
      <c r="AF398" s="10">
        <v>0</v>
      </c>
      <c r="AG398" s="8">
        <f>COUNTIF(Y398:AB398,"&gt;0")</f>
        <v>1</v>
      </c>
      <c r="AH398" s="10">
        <v>0</v>
      </c>
      <c r="AI398" s="10">
        <v>9.6069999999999993</v>
      </c>
      <c r="AJ398" s="8" t="str">
        <f>IF(ISNUMBER(X398),IF(X398&gt;0,"+",IF(X398&lt;0,"−","0")),IF(ISNUMBER(W398),IF(W398&gt;0,"+",IF(W398&lt;0,"−","0")),"yok"))</f>
        <v>−</v>
      </c>
      <c r="AK398" s="10">
        <f>IF(AND(RIGHT(C398,2)&lt;&gt;"12",ISNUMBER(U398),ISNUMBER(V398)),U398-V398,"")</f>
        <v>-20.588999999999999</v>
      </c>
      <c r="AL398" s="11">
        <f>IF(AND(ISNUMBER(AK398),ISNUMBER(V398)),IF(V398&lt;&gt;0,AK398/ABS(V398),""),"")</f>
        <v>-0.16673550205291415</v>
      </c>
      <c r="AM398" s="8">
        <f>IF(ISNUMBER(AK398),IF(AK398&gt;1,1,0),"")</f>
        <v>0</v>
      </c>
      <c r="AN398" s="8">
        <f>IF(ISNUMBER(AK398),IF(AK398&gt;0.05*ABS(V398),1,0),"")</f>
        <v>0</v>
      </c>
      <c r="AO398" s="10">
        <v>-108.688</v>
      </c>
      <c r="AP398" s="10">
        <v>108.688</v>
      </c>
      <c r="AQ398" s="8" t="s">
        <v>204</v>
      </c>
      <c r="AR398" s="8">
        <v>0</v>
      </c>
      <c r="AS398" s="10">
        <v>154.41300000000001</v>
      </c>
      <c r="AT398" s="10">
        <v>45.725000000000001</v>
      </c>
      <c r="AU398" s="8" t="s">
        <v>204</v>
      </c>
      <c r="AV398" s="10">
        <v>9.6069999999999993</v>
      </c>
      <c r="AW398" s="11">
        <f>IF(AND(ISNUMBER(AV398),ISNUMBER(AT398)),IF(AT398&lt;&gt;0,AV398/ABS(AT398),""),"")</f>
        <v>0.21010388190267903</v>
      </c>
      <c r="AX398" s="8">
        <v>0</v>
      </c>
      <c r="AY398" s="8">
        <v>0</v>
      </c>
      <c r="AZ398" s="10"/>
      <c r="BA398" s="8">
        <v>0</v>
      </c>
    </row>
    <row r="399" spans="1:53" x14ac:dyDescent="0.2">
      <c r="A399" s="8" t="s">
        <v>482</v>
      </c>
      <c r="B399" s="8" t="s">
        <v>83</v>
      </c>
      <c r="C399" s="8" t="s">
        <v>203</v>
      </c>
      <c r="D399" s="8">
        <v>1</v>
      </c>
      <c r="E399" s="8">
        <v>1</v>
      </c>
      <c r="F399" s="8">
        <f>SUM(G399:M399)</f>
        <v>2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1</v>
      </c>
      <c r="M399" s="8">
        <v>1</v>
      </c>
      <c r="N399" s="8">
        <v>0</v>
      </c>
      <c r="O399" s="8">
        <v>0</v>
      </c>
      <c r="P399" s="8">
        <v>1</v>
      </c>
      <c r="Q399" s="8">
        <v>0</v>
      </c>
      <c r="R399" s="8">
        <v>0</v>
      </c>
      <c r="S399" s="8">
        <v>0</v>
      </c>
      <c r="T399" s="10">
        <v>-276.142</v>
      </c>
      <c r="U399" s="10">
        <v>-12.257</v>
      </c>
      <c r="V399" s="10">
        <v>-35.357999999999997</v>
      </c>
      <c r="W399" s="10">
        <f>IF(RIGHT(C399,2)="12",IF(ISNUMBER(T399),T399,""),IF(COUNT(T399,U399,V399)=3,T399+U399-V399,""))</f>
        <v>-253.041</v>
      </c>
      <c r="X399" s="10">
        <v>-253.041</v>
      </c>
      <c r="Y399" s="10">
        <v>31.556000000000001</v>
      </c>
      <c r="Z399" s="10">
        <v>-369.267</v>
      </c>
      <c r="AA399" s="10">
        <v>360.81099999999998</v>
      </c>
      <c r="AB399" s="10">
        <v>-276.142</v>
      </c>
      <c r="AC399" s="8">
        <v>0</v>
      </c>
      <c r="AD399" s="8">
        <v>0</v>
      </c>
      <c r="AE399" s="8">
        <v>0</v>
      </c>
      <c r="AF399" s="10">
        <v>0</v>
      </c>
      <c r="AG399" s="8">
        <f>COUNTIF(Y399:AB399,"&gt;0")</f>
        <v>2</v>
      </c>
      <c r="AH399" s="10">
        <v>0</v>
      </c>
      <c r="AI399" s="10">
        <v>392.36700000000002</v>
      </c>
      <c r="AJ399" s="8" t="str">
        <f>IF(ISNUMBER(X399),IF(X399&gt;0,"+",IF(X399&lt;0,"−","0")),IF(ISNUMBER(W399),IF(W399&gt;0,"+",IF(W399&lt;0,"−","0")),"yok"))</f>
        <v>−</v>
      </c>
      <c r="AK399" s="10">
        <f>IF(AND(RIGHT(C399,2)&lt;&gt;"12",ISNUMBER(U399),ISNUMBER(V399)),U399-V399,"")</f>
        <v>23.100999999999999</v>
      </c>
      <c r="AL399" s="11">
        <f>IF(AND(ISNUMBER(AK399),ISNUMBER(V399)),IF(V399&lt;&gt;0,AK399/ABS(V399),""),"")</f>
        <v>0.65334577747610167</v>
      </c>
      <c r="AM399" s="8">
        <f>IF(ISNUMBER(AK399),IF(AK399&gt;1,1,0),"")</f>
        <v>1</v>
      </c>
      <c r="AN399" s="8">
        <f>IF(ISNUMBER(AK399),IF(AK399&gt;0.05*ABS(V399),1,0),"")</f>
        <v>1</v>
      </c>
      <c r="AO399" s="10">
        <v>-253.041</v>
      </c>
      <c r="AP399" s="10">
        <v>253.041</v>
      </c>
      <c r="AQ399" s="8" t="s">
        <v>204</v>
      </c>
      <c r="AR399" s="8">
        <v>0</v>
      </c>
      <c r="AS399" s="10">
        <v>147.91399999999999</v>
      </c>
      <c r="AT399" s="10"/>
      <c r="AU399" s="8" t="s">
        <v>207</v>
      </c>
      <c r="AV399" s="10">
        <v>23.100999999999999</v>
      </c>
      <c r="AW399" s="11" t="str">
        <f>IF(AND(ISNUMBER(AV399),ISNUMBER(AT399)),IF(AT399&lt;&gt;0,AV399/ABS(AT399),""),"")</f>
        <v/>
      </c>
      <c r="AX399" s="8">
        <v>0</v>
      </c>
      <c r="AY399" s="8">
        <v>1</v>
      </c>
      <c r="AZ399" s="10"/>
      <c r="BA399" s="8">
        <v>0</v>
      </c>
    </row>
    <row r="400" spans="1:53" x14ac:dyDescent="0.2">
      <c r="A400" s="8" t="s">
        <v>482</v>
      </c>
      <c r="B400" s="8" t="s">
        <v>83</v>
      </c>
      <c r="C400" s="8" t="s">
        <v>205</v>
      </c>
      <c r="D400" s="8">
        <v>1</v>
      </c>
      <c r="E400" s="8">
        <v>1</v>
      </c>
      <c r="F400" s="8">
        <f>SUM(G400:M400)</f>
        <v>1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1</v>
      </c>
      <c r="N400" s="8">
        <v>0</v>
      </c>
      <c r="O400" s="8">
        <v>0</v>
      </c>
      <c r="P400" s="8">
        <v>1</v>
      </c>
      <c r="Q400" s="8">
        <v>0</v>
      </c>
      <c r="R400" s="8">
        <v>0</v>
      </c>
      <c r="S400" s="8">
        <v>0</v>
      </c>
      <c r="T400" s="10">
        <v>-768.053</v>
      </c>
      <c r="U400" s="10">
        <v>-12.257</v>
      </c>
      <c r="V400" s="10">
        <v>-3.8010000000000002</v>
      </c>
      <c r="W400" s="10">
        <f>IF(RIGHT(C400,2)="12",IF(ISNUMBER(T400),T400,""),IF(COUNT(T400,U400,V400)=3,T400+U400-V400,""))</f>
        <v>-776.5089999999999</v>
      </c>
      <c r="X400" s="10">
        <v>-776.50900000000001</v>
      </c>
      <c r="Y400" s="10">
        <v>-369.267</v>
      </c>
      <c r="Z400" s="10">
        <v>360.81099999999998</v>
      </c>
      <c r="AA400" s="10">
        <v>-276.142</v>
      </c>
      <c r="AB400" s="10">
        <v>-491.911</v>
      </c>
      <c r="AC400" s="8">
        <v>0</v>
      </c>
      <c r="AD400" s="8">
        <v>0</v>
      </c>
      <c r="AE400" s="8">
        <v>0</v>
      </c>
      <c r="AF400" s="10">
        <v>0</v>
      </c>
      <c r="AG400" s="8">
        <f>COUNTIF(Y400:AB400,"&gt;0")</f>
        <v>1</v>
      </c>
      <c r="AH400" s="10">
        <v>0</v>
      </c>
      <c r="AI400" s="10">
        <v>360.81099999999998</v>
      </c>
      <c r="AJ400" s="8" t="str">
        <f>IF(ISNUMBER(X400),IF(X400&gt;0,"+",IF(X400&lt;0,"−","0")),IF(ISNUMBER(W400),IF(W400&gt;0,"+",IF(W400&lt;0,"−","0")),"yok"))</f>
        <v>−</v>
      </c>
      <c r="AK400" s="10">
        <f>IF(AND(RIGHT(C400,2)&lt;&gt;"12",ISNUMBER(U400),ISNUMBER(V400)),U400-V400,"")</f>
        <v>-8.4559999999999995</v>
      </c>
      <c r="AL400" s="11">
        <f>IF(AND(ISNUMBER(AK400),ISNUMBER(V400)),IF(V400&lt;&gt;0,AK400/ABS(V400),""),"")</f>
        <v>-2.2246777163904232</v>
      </c>
      <c r="AM400" s="8">
        <f>IF(ISNUMBER(AK400),IF(AK400&gt;1,1,0),"")</f>
        <v>0</v>
      </c>
      <c r="AN400" s="8">
        <f>IF(ISNUMBER(AK400),IF(AK400&gt;0.05*ABS(V400),1,0),"")</f>
        <v>0</v>
      </c>
      <c r="AO400" s="10">
        <v>-776.50900000000001</v>
      </c>
      <c r="AP400" s="10">
        <v>776.50900000000001</v>
      </c>
      <c r="AQ400" s="8" t="s">
        <v>204</v>
      </c>
      <c r="AR400" s="8">
        <v>0</v>
      </c>
      <c r="AS400" s="10">
        <v>116.215</v>
      </c>
      <c r="AT400" s="10"/>
      <c r="AU400" s="8" t="s">
        <v>207</v>
      </c>
      <c r="AV400" s="10">
        <v>360.81099999999998</v>
      </c>
      <c r="AW400" s="11" t="str">
        <f>IF(AND(ISNUMBER(AV400),ISNUMBER(AT400)),IF(AT400&lt;&gt;0,AV400/ABS(AT400),""),"")</f>
        <v/>
      </c>
      <c r="AX400" s="8">
        <v>0</v>
      </c>
      <c r="AY400" s="8">
        <v>0</v>
      </c>
      <c r="AZ400" s="10"/>
      <c r="BA400" s="8">
        <v>0</v>
      </c>
    </row>
    <row r="401" spans="1:53" x14ac:dyDescent="0.2">
      <c r="A401" s="8" t="s">
        <v>482</v>
      </c>
      <c r="B401" s="8" t="s">
        <v>83</v>
      </c>
      <c r="C401" s="8" t="s">
        <v>215</v>
      </c>
      <c r="D401" s="8">
        <v>1</v>
      </c>
      <c r="E401" s="8">
        <v>1</v>
      </c>
      <c r="F401" s="8">
        <f>SUM(G401:M401)</f>
        <v>2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1</v>
      </c>
      <c r="M401" s="8">
        <v>1</v>
      </c>
      <c r="N401" s="8">
        <v>0</v>
      </c>
      <c r="O401" s="8">
        <v>0</v>
      </c>
      <c r="P401" s="8">
        <v>1</v>
      </c>
      <c r="Q401" s="8">
        <v>0</v>
      </c>
      <c r="R401" s="8">
        <v>0</v>
      </c>
      <c r="S401" s="8">
        <v>0</v>
      </c>
      <c r="T401" s="10">
        <v>-1079.498</v>
      </c>
      <c r="U401" s="10">
        <v>-12.257</v>
      </c>
      <c r="V401" s="10">
        <v>-373.06900000000002</v>
      </c>
      <c r="W401" s="10">
        <f>IF(RIGHT(C401,2)="12",IF(ISNUMBER(T401),T401,""),IF(COUNT(T401,U401,V401)=3,T401+U401-V401,""))</f>
        <v>-718.68600000000015</v>
      </c>
      <c r="X401" s="10">
        <v>-718.68600000000004</v>
      </c>
      <c r="Y401" s="10">
        <v>360.81099999999998</v>
      </c>
      <c r="Z401" s="10">
        <v>-276.142</v>
      </c>
      <c r="AA401" s="10">
        <v>-491.911</v>
      </c>
      <c r="AB401" s="10">
        <v>-311.44499999999999</v>
      </c>
      <c r="AC401" s="8">
        <v>0</v>
      </c>
      <c r="AD401" s="8">
        <v>0</v>
      </c>
      <c r="AE401" s="8">
        <v>0</v>
      </c>
      <c r="AF401" s="10">
        <v>0</v>
      </c>
      <c r="AG401" s="8">
        <f>COUNTIF(Y401:AB401,"&gt;0")</f>
        <v>1</v>
      </c>
      <c r="AH401" s="10">
        <v>0</v>
      </c>
      <c r="AI401" s="10">
        <v>360.81099999999998</v>
      </c>
      <c r="AJ401" s="8" t="str">
        <f>IF(ISNUMBER(X401),IF(X401&gt;0,"+",IF(X401&lt;0,"−","0")),IF(ISNUMBER(W401),IF(W401&gt;0,"+",IF(W401&lt;0,"−","0")),"yok"))</f>
        <v>−</v>
      </c>
      <c r="AK401" s="10">
        <f>IF(AND(RIGHT(C401,2)&lt;&gt;"12",ISNUMBER(U401),ISNUMBER(V401)),U401-V401,"")</f>
        <v>360.81200000000001</v>
      </c>
      <c r="AL401" s="11">
        <f>IF(AND(ISNUMBER(AK401),ISNUMBER(V401)),IF(V401&lt;&gt;0,AK401/ABS(V401),""),"")</f>
        <v>0.9671454878320096</v>
      </c>
      <c r="AM401" s="8">
        <f>IF(ISNUMBER(AK401),IF(AK401&gt;1,1,0),"")</f>
        <v>1</v>
      </c>
      <c r="AN401" s="8">
        <f>IF(ISNUMBER(AK401),IF(AK401&gt;0.05*ABS(V401),1,0),"")</f>
        <v>1</v>
      </c>
      <c r="AO401" s="10">
        <v>-718.68600000000004</v>
      </c>
      <c r="AP401" s="10">
        <v>718.68600000000004</v>
      </c>
      <c r="AQ401" s="8" t="s">
        <v>204</v>
      </c>
      <c r="AR401" s="8">
        <v>0</v>
      </c>
      <c r="AS401" s="10">
        <v>5.5659999999999696</v>
      </c>
      <c r="AT401" s="10"/>
      <c r="AU401" s="8" t="s">
        <v>207</v>
      </c>
      <c r="AV401" s="10">
        <v>360.81200000000001</v>
      </c>
      <c r="AW401" s="11" t="str">
        <f>IF(AND(ISNUMBER(AV401),ISNUMBER(AT401)),IF(AT401&lt;&gt;0,AV401/ABS(AT401),""),"")</f>
        <v/>
      </c>
      <c r="AX401" s="8">
        <v>0</v>
      </c>
      <c r="AY401" s="8">
        <v>1</v>
      </c>
      <c r="AZ401" s="10"/>
      <c r="BA401" s="8">
        <v>0</v>
      </c>
    </row>
    <row r="402" spans="1:53" x14ac:dyDescent="0.2">
      <c r="A402" s="8" t="s">
        <v>482</v>
      </c>
      <c r="B402" s="8" t="s">
        <v>83</v>
      </c>
      <c r="C402" s="8" t="s">
        <v>208</v>
      </c>
      <c r="D402" s="8">
        <v>1</v>
      </c>
      <c r="E402" s="8">
        <v>1</v>
      </c>
      <c r="F402" s="8">
        <f>SUM(G402:M402)</f>
        <v>2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1</v>
      </c>
      <c r="M402" s="8">
        <v>1</v>
      </c>
      <c r="N402" s="8">
        <v>0</v>
      </c>
      <c r="O402" s="8">
        <v>0</v>
      </c>
      <c r="P402" s="8">
        <v>1</v>
      </c>
      <c r="Q402" s="8">
        <v>0</v>
      </c>
      <c r="R402" s="8">
        <v>0</v>
      </c>
      <c r="S402" s="8">
        <v>0</v>
      </c>
      <c r="T402" s="10">
        <v>-347.43900000000002</v>
      </c>
      <c r="U402" s="10">
        <v>-48.095999999999997</v>
      </c>
      <c r="V402" s="10">
        <v>-276.142</v>
      </c>
      <c r="W402" s="10">
        <f>IF(RIGHT(C402,2)="12",IF(ISNUMBER(T402),T402,""),IF(COUNT(T402,U402,V402)=3,T402+U402-V402,""))</f>
        <v>-119.39300000000003</v>
      </c>
      <c r="X402" s="10">
        <v>-119.393</v>
      </c>
      <c r="Y402" s="10">
        <v>-491.911</v>
      </c>
      <c r="Z402" s="10">
        <v>-311.44499999999999</v>
      </c>
      <c r="AA402" s="10">
        <v>1031.402</v>
      </c>
      <c r="AB402" s="10">
        <v>-347.43900000000002</v>
      </c>
      <c r="AC402" s="8">
        <v>0</v>
      </c>
      <c r="AD402" s="8">
        <v>0</v>
      </c>
      <c r="AE402" s="8">
        <v>0</v>
      </c>
      <c r="AF402" s="10">
        <v>0</v>
      </c>
      <c r="AG402" s="8">
        <f>COUNTIF(Y402:AB402,"&gt;0")</f>
        <v>1</v>
      </c>
      <c r="AH402" s="10">
        <v>0</v>
      </c>
      <c r="AI402" s="10">
        <v>1031.402</v>
      </c>
      <c r="AJ402" s="8" t="str">
        <f>IF(ISNUMBER(X402),IF(X402&gt;0,"+",IF(X402&lt;0,"−","0")),IF(ISNUMBER(W402),IF(W402&gt;0,"+",IF(W402&lt;0,"−","0")),"yok"))</f>
        <v>−</v>
      </c>
      <c r="AK402" s="10">
        <f>IF(AND(RIGHT(C402,2)&lt;&gt;"12",ISNUMBER(U402),ISNUMBER(V402)),U402-V402,"")</f>
        <v>228.04599999999999</v>
      </c>
      <c r="AL402" s="11">
        <f>IF(AND(ISNUMBER(AK402),ISNUMBER(V402)),IF(V402&lt;&gt;0,AK402/ABS(V402),""),"")</f>
        <v>0.825828740285795</v>
      </c>
      <c r="AM402" s="8">
        <f>IF(ISNUMBER(AK402),IF(AK402&gt;1,1,0),"")</f>
        <v>1</v>
      </c>
      <c r="AN402" s="8">
        <f>IF(ISNUMBER(AK402),IF(AK402&gt;0.05*ABS(V402),1,0),"")</f>
        <v>1</v>
      </c>
      <c r="AO402" s="10">
        <v>-119.393</v>
      </c>
      <c r="AP402" s="10">
        <v>119.393</v>
      </c>
      <c r="AQ402" s="8" t="s">
        <v>204</v>
      </c>
      <c r="AR402" s="8">
        <v>0</v>
      </c>
      <c r="AS402" s="10">
        <v>1956.491</v>
      </c>
      <c r="AT402" s="10">
        <v>1722.1949999999999</v>
      </c>
      <c r="AU402" s="8" t="s">
        <v>204</v>
      </c>
      <c r="AV402" s="10">
        <v>228.04599999999999</v>
      </c>
      <c r="AW402" s="11">
        <f>IF(AND(ISNUMBER(AV402),ISNUMBER(AT402)),IF(AT402&lt;&gt;0,AV402/ABS(AT402),""),"")</f>
        <v>0.13241589947712076</v>
      </c>
      <c r="AX402" s="8">
        <v>0</v>
      </c>
      <c r="AY402" s="8">
        <v>1</v>
      </c>
      <c r="AZ402" s="10"/>
      <c r="BA402" s="8">
        <v>0</v>
      </c>
    </row>
    <row r="403" spans="1:53" x14ac:dyDescent="0.2">
      <c r="A403" s="8" t="s">
        <v>482</v>
      </c>
      <c r="B403" s="8" t="s">
        <v>83</v>
      </c>
      <c r="C403" s="8" t="s">
        <v>210</v>
      </c>
      <c r="D403" s="8">
        <v>1</v>
      </c>
      <c r="E403" s="8">
        <v>1</v>
      </c>
      <c r="F403" s="8">
        <f>SUM(G403:M403)</f>
        <v>2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1</v>
      </c>
      <c r="M403" s="8">
        <v>1</v>
      </c>
      <c r="N403" s="8">
        <v>0</v>
      </c>
      <c r="O403" s="8">
        <v>0</v>
      </c>
      <c r="P403" s="8">
        <v>1</v>
      </c>
      <c r="Q403" s="8">
        <v>0</v>
      </c>
      <c r="R403" s="8">
        <v>0</v>
      </c>
      <c r="S403" s="8">
        <v>0</v>
      </c>
      <c r="T403" s="10">
        <v>-934.22699999999998</v>
      </c>
      <c r="U403" s="10">
        <v>-48.095999999999997</v>
      </c>
      <c r="V403" s="10">
        <v>-768.053</v>
      </c>
      <c r="W403" s="10">
        <f>IF(RIGHT(C403,2)="12",IF(ISNUMBER(T403),T403,""),IF(COUNT(T403,U403,V403)=3,T403+U403-V403,""))</f>
        <v>-214.26999999999998</v>
      </c>
      <c r="X403" s="10">
        <v>-214.27</v>
      </c>
      <c r="Y403" s="10">
        <v>-311.44499999999999</v>
      </c>
      <c r="Z403" s="10">
        <v>1031.402</v>
      </c>
      <c r="AA403" s="10">
        <v>-347.43900000000002</v>
      </c>
      <c r="AB403" s="10">
        <v>-586.78800000000001</v>
      </c>
      <c r="AC403" s="8">
        <v>0</v>
      </c>
      <c r="AD403" s="8">
        <v>0</v>
      </c>
      <c r="AE403" s="8">
        <v>0</v>
      </c>
      <c r="AF403" s="10">
        <v>0</v>
      </c>
      <c r="AG403" s="8">
        <f>COUNTIF(Y403:AB403,"&gt;0")</f>
        <v>1</v>
      </c>
      <c r="AH403" s="10">
        <v>0</v>
      </c>
      <c r="AI403" s="10">
        <v>1031.402</v>
      </c>
      <c r="AJ403" s="8" t="str">
        <f>IF(ISNUMBER(X403),IF(X403&gt;0,"+",IF(X403&lt;0,"−","0")),IF(ISNUMBER(W403),IF(W403&gt;0,"+",IF(W403&lt;0,"−","0")),"yok"))</f>
        <v>−</v>
      </c>
      <c r="AK403" s="10">
        <f>IF(AND(RIGHT(C403,2)&lt;&gt;"12",ISNUMBER(U403),ISNUMBER(V403)),U403-V403,"")</f>
        <v>719.95699999999999</v>
      </c>
      <c r="AL403" s="11">
        <f>IF(AND(ISNUMBER(AK403),ISNUMBER(V403)),IF(V403&lt;&gt;0,AK403/ABS(V403),""),"")</f>
        <v>0.93737932147911662</v>
      </c>
      <c r="AM403" s="8">
        <f>IF(ISNUMBER(AK403),IF(AK403&gt;1,1,0),"")</f>
        <v>1</v>
      </c>
      <c r="AN403" s="8">
        <f>IF(ISNUMBER(AK403),IF(AK403&gt;0.05*ABS(V403),1,0),"")</f>
        <v>1</v>
      </c>
      <c r="AO403" s="10">
        <v>-214.27</v>
      </c>
      <c r="AP403" s="10">
        <v>214.27</v>
      </c>
      <c r="AQ403" s="8" t="s">
        <v>204</v>
      </c>
      <c r="AR403" s="8">
        <v>0</v>
      </c>
      <c r="AS403" s="10">
        <v>2386.482</v>
      </c>
      <c r="AT403" s="10">
        <v>2147.8270000000002</v>
      </c>
      <c r="AU403" s="8" t="s">
        <v>204</v>
      </c>
      <c r="AV403" s="10">
        <v>719.95699999999999</v>
      </c>
      <c r="AW403" s="11">
        <f>IF(AND(ISNUMBER(AV403),ISNUMBER(AT403)),IF(AT403&lt;&gt;0,AV403/ABS(AT403),""),"")</f>
        <v>0.33520250932686846</v>
      </c>
      <c r="AX403" s="8">
        <v>0</v>
      </c>
      <c r="AY403" s="8">
        <v>1</v>
      </c>
      <c r="AZ403" s="10"/>
      <c r="BA403" s="8">
        <v>0</v>
      </c>
    </row>
    <row r="404" spans="1:53" x14ac:dyDescent="0.2">
      <c r="A404" s="8" t="s">
        <v>483</v>
      </c>
      <c r="B404" s="8" t="s">
        <v>83</v>
      </c>
      <c r="C404" s="8" t="s">
        <v>208</v>
      </c>
      <c r="D404" s="8">
        <v>1</v>
      </c>
      <c r="E404" s="8">
        <v>1</v>
      </c>
      <c r="F404" s="8">
        <f>SUM(G404:M404)</f>
        <v>1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1</v>
      </c>
      <c r="N404" s="8">
        <v>0</v>
      </c>
      <c r="O404" s="8">
        <v>0</v>
      </c>
      <c r="P404" s="8">
        <v>1</v>
      </c>
      <c r="Q404" s="8">
        <v>0</v>
      </c>
      <c r="R404" s="8">
        <v>0</v>
      </c>
      <c r="S404" s="8">
        <v>0</v>
      </c>
      <c r="T404" s="10">
        <v>-16.803000000000001</v>
      </c>
      <c r="U404" s="10">
        <v>-231.90199999999999</v>
      </c>
      <c r="V404" s="10">
        <v>-51.021999999999998</v>
      </c>
      <c r="W404" s="10">
        <f>IF(RIGHT(C404,2)="12",IF(ISNUMBER(T404),T404,""),IF(COUNT(T404,U404,V404)=3,T404+U404-V404,""))</f>
        <v>-197.68299999999999</v>
      </c>
      <c r="X404" s="10">
        <v>-197.68299999999999</v>
      </c>
      <c r="Y404" s="10">
        <v>-228.982</v>
      </c>
      <c r="Z404" s="10">
        <v>-14.25</v>
      </c>
      <c r="AA404" s="10">
        <v>62.354999999999997</v>
      </c>
      <c r="AB404" s="10">
        <v>-16.803000000000001</v>
      </c>
      <c r="AC404" s="8">
        <v>0</v>
      </c>
      <c r="AD404" s="8">
        <v>0</v>
      </c>
      <c r="AE404" s="8">
        <v>0</v>
      </c>
      <c r="AF404" s="10">
        <v>0</v>
      </c>
      <c r="AG404" s="8">
        <f>COUNTIF(Y404:AB404,"&gt;0")</f>
        <v>1</v>
      </c>
      <c r="AH404" s="10">
        <v>0</v>
      </c>
      <c r="AI404" s="10">
        <v>62.354999999999997</v>
      </c>
      <c r="AJ404" s="8" t="str">
        <f>IF(ISNUMBER(X404),IF(X404&gt;0,"+",IF(X404&lt;0,"−","0")),IF(ISNUMBER(W404),IF(W404&gt;0,"+",IF(W404&lt;0,"−","0")),"yok"))</f>
        <v>−</v>
      </c>
      <c r="AK404" s="10">
        <f>IF(AND(RIGHT(C404,2)&lt;&gt;"12",ISNUMBER(U404),ISNUMBER(V404)),U404-V404,"")</f>
        <v>-180.88</v>
      </c>
      <c r="AL404" s="11">
        <f>IF(AND(ISNUMBER(AK404),ISNUMBER(V404)),IF(V404&lt;&gt;0,AK404/ABS(V404),""),"")</f>
        <v>-3.5451373917133786</v>
      </c>
      <c r="AM404" s="8">
        <f>IF(ISNUMBER(AK404),IF(AK404&gt;1,1,0),"")</f>
        <v>0</v>
      </c>
      <c r="AN404" s="8">
        <f>IF(ISNUMBER(AK404),IF(AK404&gt;0.05*ABS(V404),1,0),"")</f>
        <v>0</v>
      </c>
      <c r="AO404" s="10">
        <v>-197.684</v>
      </c>
      <c r="AP404" s="10">
        <v>197.684</v>
      </c>
      <c r="AQ404" s="8" t="s">
        <v>204</v>
      </c>
      <c r="AR404" s="8">
        <v>0</v>
      </c>
      <c r="AS404" s="10">
        <v>109.25700000000001</v>
      </c>
      <c r="AT404" s="10">
        <v>-88.427000000000007</v>
      </c>
      <c r="AU404" s="8" t="s">
        <v>212</v>
      </c>
      <c r="AV404" s="10">
        <v>62.354999999999997</v>
      </c>
      <c r="AW404" s="11">
        <f>IF(AND(ISNUMBER(AV404),ISNUMBER(AT404)),IF(AT404&lt;&gt;0,AV404/ABS(AT404),""),"")</f>
        <v>0.70515792687753731</v>
      </c>
      <c r="AX404" s="8">
        <v>0</v>
      </c>
      <c r="AY404" s="8">
        <v>0</v>
      </c>
      <c r="AZ404" s="10"/>
      <c r="BA404" s="8">
        <v>0</v>
      </c>
    </row>
    <row r="405" spans="1:53" x14ac:dyDescent="0.2">
      <c r="A405" s="8" t="s">
        <v>483</v>
      </c>
      <c r="B405" s="8" t="s">
        <v>83</v>
      </c>
      <c r="C405" s="8" t="s">
        <v>210</v>
      </c>
      <c r="D405" s="8">
        <v>1</v>
      </c>
      <c r="E405" s="8">
        <v>1</v>
      </c>
      <c r="F405" s="8">
        <f>SUM(G405:M405)</f>
        <v>2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1</v>
      </c>
      <c r="M405" s="8">
        <v>1</v>
      </c>
      <c r="N405" s="8">
        <v>0</v>
      </c>
      <c r="O405" s="8">
        <v>0</v>
      </c>
      <c r="P405" s="8">
        <v>1</v>
      </c>
      <c r="Q405" s="8">
        <v>0</v>
      </c>
      <c r="R405" s="8">
        <v>0</v>
      </c>
      <c r="S405" s="8">
        <v>0</v>
      </c>
      <c r="T405" s="10">
        <v>-108.41500000000001</v>
      </c>
      <c r="U405" s="10">
        <v>-231.90199999999999</v>
      </c>
      <c r="V405" s="10">
        <v>-280.00400000000002</v>
      </c>
      <c r="W405" s="10">
        <f>IF(RIGHT(C405,2)="12",IF(ISNUMBER(T405),T405,""),IF(COUNT(T405,U405,V405)=3,T405+U405-V405,""))</f>
        <v>-60.312999999999988</v>
      </c>
      <c r="X405" s="10">
        <v>-60.313000000000002</v>
      </c>
      <c r="Y405" s="10">
        <v>-14.25</v>
      </c>
      <c r="Z405" s="10">
        <v>62.354999999999997</v>
      </c>
      <c r="AA405" s="10">
        <v>-16.803000000000001</v>
      </c>
      <c r="AB405" s="10">
        <v>-91.611999999999995</v>
      </c>
      <c r="AC405" s="8">
        <v>0</v>
      </c>
      <c r="AD405" s="8">
        <v>0</v>
      </c>
      <c r="AE405" s="8">
        <v>0</v>
      </c>
      <c r="AF405" s="10">
        <v>0</v>
      </c>
      <c r="AG405" s="8">
        <f>COUNTIF(Y405:AB405,"&gt;0")</f>
        <v>1</v>
      </c>
      <c r="AH405" s="10">
        <v>0</v>
      </c>
      <c r="AI405" s="10">
        <v>62.354999999999997</v>
      </c>
      <c r="AJ405" s="8" t="str">
        <f>IF(ISNUMBER(X405),IF(X405&gt;0,"+",IF(X405&lt;0,"−","0")),IF(ISNUMBER(W405),IF(W405&gt;0,"+",IF(W405&lt;0,"−","0")),"yok"))</f>
        <v>−</v>
      </c>
      <c r="AK405" s="10">
        <f>IF(AND(RIGHT(C405,2)&lt;&gt;"12",ISNUMBER(U405),ISNUMBER(V405)),U405-V405,"")</f>
        <v>48.102000000000032</v>
      </c>
      <c r="AL405" s="11">
        <f>IF(AND(ISNUMBER(AK405),ISNUMBER(V405)),IF(V405&lt;&gt;0,AK405/ABS(V405),""),"")</f>
        <v>0.17179040299424303</v>
      </c>
      <c r="AM405" s="8">
        <f>IF(ISNUMBER(AK405),IF(AK405&gt;1,1,0),"")</f>
        <v>1</v>
      </c>
      <c r="AN405" s="8">
        <f>IF(ISNUMBER(AK405),IF(AK405&gt;0.05*ABS(V405),1,0),"")</f>
        <v>1</v>
      </c>
      <c r="AO405" s="10">
        <v>-60.314</v>
      </c>
      <c r="AP405" s="10">
        <v>60.314</v>
      </c>
      <c r="AQ405" s="8" t="s">
        <v>204</v>
      </c>
      <c r="AR405" s="8">
        <v>0</v>
      </c>
      <c r="AS405" s="10">
        <v>-49.832999999999998</v>
      </c>
      <c r="AT405" s="10">
        <v>-110.14700000000001</v>
      </c>
      <c r="AU405" s="8" t="s">
        <v>212</v>
      </c>
      <c r="AV405" s="10">
        <v>48.101999999999997</v>
      </c>
      <c r="AW405" s="11">
        <f>IF(AND(ISNUMBER(AV405),ISNUMBER(AT405)),IF(AT405&lt;&gt;0,AV405/ABS(AT405),""),"")</f>
        <v>0.43670730932299556</v>
      </c>
      <c r="AX405" s="8">
        <v>0</v>
      </c>
      <c r="AY405" s="8">
        <v>1</v>
      </c>
      <c r="AZ405" s="10"/>
      <c r="BA405" s="8">
        <v>0</v>
      </c>
    </row>
    <row r="406" spans="1:53" x14ac:dyDescent="0.2">
      <c r="A406" s="8" t="s">
        <v>484</v>
      </c>
      <c r="B406" s="8" t="s">
        <v>82</v>
      </c>
      <c r="C406" s="8" t="s">
        <v>208</v>
      </c>
      <c r="D406" s="8">
        <v>1</v>
      </c>
      <c r="E406" s="8">
        <v>1</v>
      </c>
      <c r="F406" s="8">
        <f>SUM(G406:M406)</f>
        <v>1</v>
      </c>
      <c r="G406" s="8">
        <v>0</v>
      </c>
      <c r="H406" s="8">
        <v>0</v>
      </c>
      <c r="I406" s="8">
        <v>0</v>
      </c>
      <c r="J406" s="8">
        <v>1</v>
      </c>
      <c r="K406" s="8">
        <v>0</v>
      </c>
      <c r="L406" s="8">
        <v>0</v>
      </c>
      <c r="M406" s="8">
        <v>0</v>
      </c>
      <c r="N406" s="8">
        <v>0</v>
      </c>
      <c r="O406" s="8">
        <v>1</v>
      </c>
      <c r="P406" s="8">
        <v>1</v>
      </c>
      <c r="Q406" s="8">
        <v>0</v>
      </c>
      <c r="R406" s="8">
        <v>1</v>
      </c>
      <c r="S406" s="8">
        <v>0</v>
      </c>
      <c r="T406" s="10">
        <v>23.835000000000001</v>
      </c>
      <c r="U406" s="10">
        <v>-66.370999999999995</v>
      </c>
      <c r="V406" s="10">
        <v>-9.3170000000000002</v>
      </c>
      <c r="W406" s="10">
        <f>IF(RIGHT(C406,2)="12",IF(ISNUMBER(T406),T406,""),IF(COUNT(T406,U406,V406)=3,T406+U406-V406,""))</f>
        <v>-33.218999999999994</v>
      </c>
      <c r="X406" s="10">
        <v>-33.218000000000004</v>
      </c>
      <c r="Y406" s="10">
        <v>-45.508000000000003</v>
      </c>
      <c r="Z406" s="10">
        <v>5.4089999999999998</v>
      </c>
      <c r="AA406" s="10">
        <v>-16.954999999999998</v>
      </c>
      <c r="AB406" s="10">
        <v>23.835000000000001</v>
      </c>
      <c r="AC406" s="8">
        <v>1</v>
      </c>
      <c r="AD406" s="8">
        <v>0</v>
      </c>
      <c r="AE406" s="8">
        <v>0</v>
      </c>
      <c r="AF406" s="10">
        <v>23.835000000000001</v>
      </c>
      <c r="AG406" s="8">
        <f>COUNTIF(Y406:AB406,"&gt;0")</f>
        <v>2</v>
      </c>
      <c r="AH406" s="10">
        <v>0</v>
      </c>
      <c r="AI406" s="10">
        <v>5.4089999999999998</v>
      </c>
      <c r="AJ406" s="8" t="str">
        <f>IF(ISNUMBER(X406),IF(X406&gt;0,"+",IF(X406&lt;0,"−","0")),IF(ISNUMBER(W406),IF(W406&gt;0,"+",IF(W406&lt;0,"−","0")),"yok"))</f>
        <v>−</v>
      </c>
      <c r="AK406" s="10">
        <f>IF(AND(RIGHT(C406,2)&lt;&gt;"12",ISNUMBER(U406),ISNUMBER(V406)),U406-V406,"")</f>
        <v>-57.053999999999995</v>
      </c>
      <c r="AL406" s="11">
        <f>IF(AND(ISNUMBER(AK406),ISNUMBER(V406)),IF(V406&lt;&gt;0,AK406/ABS(V406),""),"")</f>
        <v>-6.1236449500912302</v>
      </c>
      <c r="AM406" s="8">
        <f>IF(ISNUMBER(AK406),IF(AK406&gt;1,1,0),"")</f>
        <v>0</v>
      </c>
      <c r="AN406" s="8">
        <f>IF(ISNUMBER(AK406),IF(AK406&gt;0.05*ABS(V406),1,0),"")</f>
        <v>0</v>
      </c>
      <c r="AO406" s="10">
        <v>-33.218000000000004</v>
      </c>
      <c r="AP406" s="10">
        <v>33.218000000000004</v>
      </c>
      <c r="AQ406" s="8" t="s">
        <v>204</v>
      </c>
      <c r="AR406" s="8">
        <v>0</v>
      </c>
      <c r="AS406" s="10">
        <v>760.52</v>
      </c>
      <c r="AT406" s="10">
        <v>91.822000000000102</v>
      </c>
      <c r="AU406" s="8" t="s">
        <v>204</v>
      </c>
      <c r="AV406" s="10">
        <v>23.835000000000001</v>
      </c>
      <c r="AW406" s="11">
        <f>IF(AND(ISNUMBER(AV406),ISNUMBER(AT406)),IF(AT406&lt;&gt;0,AV406/ABS(AT406),""),"")</f>
        <v>0.25957831456513664</v>
      </c>
      <c r="AX406" s="8">
        <v>1</v>
      </c>
      <c r="AY406" s="8">
        <v>0</v>
      </c>
      <c r="AZ406" s="8" t="s">
        <v>485</v>
      </c>
      <c r="BA406" s="8">
        <v>0</v>
      </c>
    </row>
    <row r="407" spans="1:53" x14ac:dyDescent="0.2">
      <c r="A407" s="8" t="s">
        <v>484</v>
      </c>
      <c r="B407" s="8" t="s">
        <v>83</v>
      </c>
      <c r="C407" s="8" t="s">
        <v>203</v>
      </c>
      <c r="D407" s="8">
        <v>1</v>
      </c>
      <c r="E407" s="8">
        <v>1</v>
      </c>
      <c r="F407" s="8">
        <f>SUM(G407:M407)</f>
        <v>1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1</v>
      </c>
      <c r="N407" s="8">
        <v>0</v>
      </c>
      <c r="O407" s="8">
        <v>0</v>
      </c>
      <c r="P407" s="8">
        <v>1</v>
      </c>
      <c r="Q407" s="8">
        <v>0</v>
      </c>
      <c r="R407" s="8">
        <v>0</v>
      </c>
      <c r="S407" s="8">
        <v>0</v>
      </c>
      <c r="T407" s="10">
        <v>-83.355000000000004</v>
      </c>
      <c r="U407" s="10">
        <v>-771.28399999999999</v>
      </c>
      <c r="V407" s="10">
        <v>-170.97399999999999</v>
      </c>
      <c r="W407" s="10">
        <f>IF(RIGHT(C407,2)="12",IF(ISNUMBER(T407),T407,""),IF(COUNT(T407,U407,V407)=3,T407+U407-V407,""))</f>
        <v>-683.66499999999996</v>
      </c>
      <c r="X407" s="10">
        <v>-683.66499999999996</v>
      </c>
      <c r="Y407" s="10">
        <v>-383.60199999999998</v>
      </c>
      <c r="Z407" s="10">
        <v>99.046999999999997</v>
      </c>
      <c r="AA407" s="10">
        <v>-315.75599999999997</v>
      </c>
      <c r="AB407" s="10">
        <v>-83.355000000000004</v>
      </c>
      <c r="AC407" s="8">
        <v>0</v>
      </c>
      <c r="AD407" s="8">
        <v>0</v>
      </c>
      <c r="AE407" s="8">
        <v>0</v>
      </c>
      <c r="AF407" s="10">
        <v>0</v>
      </c>
      <c r="AG407" s="8">
        <f>COUNTIF(Y407:AB407,"&gt;0")</f>
        <v>1</v>
      </c>
      <c r="AH407" s="10">
        <v>0</v>
      </c>
      <c r="AI407" s="10">
        <v>99.046999999999997</v>
      </c>
      <c r="AJ407" s="8" t="str">
        <f>IF(ISNUMBER(X407),IF(X407&gt;0,"+",IF(X407&lt;0,"−","0")),IF(ISNUMBER(W407),IF(W407&gt;0,"+",IF(W407&lt;0,"−","0")),"yok"))</f>
        <v>−</v>
      </c>
      <c r="AK407" s="10">
        <f>IF(AND(RIGHT(C407,2)&lt;&gt;"12",ISNUMBER(U407),ISNUMBER(V407)),U407-V407,"")</f>
        <v>-600.30999999999995</v>
      </c>
      <c r="AL407" s="11">
        <f>IF(AND(ISNUMBER(AK407),ISNUMBER(V407)),IF(V407&lt;&gt;0,AK407/ABS(V407),""),"")</f>
        <v>-3.5111186496192404</v>
      </c>
      <c r="AM407" s="8">
        <f>IF(ISNUMBER(AK407),IF(AK407&gt;1,1,0),"")</f>
        <v>0</v>
      </c>
      <c r="AN407" s="8">
        <f>IF(ISNUMBER(AK407),IF(AK407&gt;0.05*ABS(V407),1,0),"")</f>
        <v>0</v>
      </c>
      <c r="AO407" s="10">
        <v>-683.66600000000005</v>
      </c>
      <c r="AP407" s="10">
        <v>683.66600000000005</v>
      </c>
      <c r="AQ407" s="8" t="s">
        <v>204</v>
      </c>
      <c r="AR407" s="8">
        <v>0</v>
      </c>
      <c r="AS407" s="10">
        <v>572.65700000000004</v>
      </c>
      <c r="AT407" s="10">
        <v>-198.21</v>
      </c>
      <c r="AU407" s="8" t="s">
        <v>204</v>
      </c>
      <c r="AV407" s="10">
        <v>99.046999999999997</v>
      </c>
      <c r="AW407" s="11">
        <f>IF(AND(ISNUMBER(AV407),ISNUMBER(AT407)),IF(AT407&lt;&gt;0,AV407/ABS(AT407),""),"")</f>
        <v>0.49970738106049134</v>
      </c>
      <c r="AX407" s="8">
        <v>0</v>
      </c>
      <c r="AY407" s="8">
        <v>0</v>
      </c>
      <c r="AZ407" s="10"/>
      <c r="BA407" s="8">
        <v>0</v>
      </c>
    </row>
    <row r="408" spans="1:53" x14ac:dyDescent="0.2">
      <c r="A408" s="8" t="s">
        <v>484</v>
      </c>
      <c r="B408" s="8" t="s">
        <v>83</v>
      </c>
      <c r="C408" s="8" t="s">
        <v>205</v>
      </c>
      <c r="D408" s="8">
        <v>1</v>
      </c>
      <c r="E408" s="8">
        <v>1</v>
      </c>
      <c r="F408" s="8">
        <f>SUM(G408:M408)</f>
        <v>1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1</v>
      </c>
      <c r="N408" s="8">
        <v>0</v>
      </c>
      <c r="O408" s="8">
        <v>0</v>
      </c>
      <c r="P408" s="8">
        <v>1</v>
      </c>
      <c r="Q408" s="8">
        <v>0</v>
      </c>
      <c r="R408" s="8">
        <v>0</v>
      </c>
      <c r="S408" s="8">
        <v>0</v>
      </c>
      <c r="T408" s="10">
        <v>-258.33699999999999</v>
      </c>
      <c r="U408" s="10">
        <v>-771.28399999999999</v>
      </c>
      <c r="V408" s="10">
        <v>-554.57600000000002</v>
      </c>
      <c r="W408" s="10">
        <f>IF(RIGHT(C408,2)="12",IF(ISNUMBER(T408),T408,""),IF(COUNT(T408,U408,V408)=3,T408+U408-V408,""))</f>
        <v>-475.04500000000007</v>
      </c>
      <c r="X408" s="10">
        <v>-475.04500000000002</v>
      </c>
      <c r="Y408" s="10">
        <v>99.046999999999997</v>
      </c>
      <c r="Z408" s="10">
        <v>-315.75599999999997</v>
      </c>
      <c r="AA408" s="10">
        <v>-83.355000000000004</v>
      </c>
      <c r="AB408" s="10">
        <v>-174.982</v>
      </c>
      <c r="AC408" s="8">
        <v>0</v>
      </c>
      <c r="AD408" s="8">
        <v>0</v>
      </c>
      <c r="AE408" s="8">
        <v>0</v>
      </c>
      <c r="AF408" s="10">
        <v>0</v>
      </c>
      <c r="AG408" s="8">
        <f>COUNTIF(Y408:AB408,"&gt;0")</f>
        <v>1</v>
      </c>
      <c r="AH408" s="10">
        <v>0</v>
      </c>
      <c r="AI408" s="10">
        <v>99.046999999999997</v>
      </c>
      <c r="AJ408" s="8" t="str">
        <f>IF(ISNUMBER(X408),IF(X408&gt;0,"+",IF(X408&lt;0,"−","0")),IF(ISNUMBER(W408),IF(W408&gt;0,"+",IF(W408&lt;0,"−","0")),"yok"))</f>
        <v>−</v>
      </c>
      <c r="AK408" s="10">
        <f>IF(AND(RIGHT(C408,2)&lt;&gt;"12",ISNUMBER(U408),ISNUMBER(V408)),U408-V408,"")</f>
        <v>-216.70799999999997</v>
      </c>
      <c r="AL408" s="11">
        <f>IF(AND(ISNUMBER(AK408),ISNUMBER(V408)),IF(V408&lt;&gt;0,AK408/ABS(V408),""),"")</f>
        <v>-0.39076339401632953</v>
      </c>
      <c r="AM408" s="8">
        <f>IF(ISNUMBER(AK408),IF(AK408&gt;1,1,0),"")</f>
        <v>0</v>
      </c>
      <c r="AN408" s="8">
        <f>IF(ISNUMBER(AK408),IF(AK408&gt;0.05*ABS(V408),1,0),"")</f>
        <v>0</v>
      </c>
      <c r="AO408" s="10">
        <v>-475.04599999999999</v>
      </c>
      <c r="AP408" s="10">
        <v>475.04599999999999</v>
      </c>
      <c r="AQ408" s="8" t="s">
        <v>204</v>
      </c>
      <c r="AR408" s="8">
        <v>0</v>
      </c>
      <c r="AS408" s="10">
        <v>-766.23199999999997</v>
      </c>
      <c r="AT408" s="10">
        <v>-1332.817</v>
      </c>
      <c r="AU408" s="8" t="s">
        <v>204</v>
      </c>
      <c r="AV408" s="10">
        <v>99.046999999999997</v>
      </c>
      <c r="AW408" s="11">
        <f>IF(AND(ISNUMBER(AV408),ISNUMBER(AT408)),IF(AT408&lt;&gt;0,AV408/ABS(AT408),""),"")</f>
        <v>7.4314028107384578E-2</v>
      </c>
      <c r="AX408" s="8">
        <v>0</v>
      </c>
      <c r="AY408" s="8">
        <v>0</v>
      </c>
      <c r="AZ408" s="10"/>
      <c r="BA408" s="8">
        <v>0</v>
      </c>
    </row>
    <row r="409" spans="1:53" x14ac:dyDescent="0.2">
      <c r="A409" s="8" t="s">
        <v>486</v>
      </c>
      <c r="B409" s="8" t="s">
        <v>82</v>
      </c>
      <c r="C409" s="8" t="s">
        <v>215</v>
      </c>
      <c r="D409" s="8">
        <v>1</v>
      </c>
      <c r="E409" s="8">
        <v>1</v>
      </c>
      <c r="F409" s="8">
        <f>SUM(G409:M409)</f>
        <v>1</v>
      </c>
      <c r="G409" s="8">
        <v>0</v>
      </c>
      <c r="H409" s="8">
        <v>1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1</v>
      </c>
      <c r="Q409" s="8">
        <v>1</v>
      </c>
      <c r="R409" s="8">
        <v>1</v>
      </c>
      <c r="S409" s="8">
        <v>0</v>
      </c>
      <c r="T409" s="10">
        <v>-93.156000000000006</v>
      </c>
      <c r="U409" s="10">
        <v>-53.564999999999998</v>
      </c>
      <c r="V409" s="10">
        <v>-110.27</v>
      </c>
      <c r="W409" s="10">
        <f>IF(RIGHT(C409,2)="12",IF(ISNUMBER(T409),T409,""),IF(COUNT(T409,U409,V409)=3,T409+U409-V409,""))</f>
        <v>-36.451000000000008</v>
      </c>
      <c r="X409" s="10">
        <v>-36.451000000000001</v>
      </c>
      <c r="Y409" s="10">
        <v>56.704999999999998</v>
      </c>
      <c r="Z409" s="10">
        <v>-5.83</v>
      </c>
      <c r="AA409" s="10">
        <v>-29.102</v>
      </c>
      <c r="AB409" s="10">
        <v>-58.222999999999999</v>
      </c>
      <c r="AC409" s="8">
        <v>0</v>
      </c>
      <c r="AD409" s="8">
        <v>0</v>
      </c>
      <c r="AE409" s="8">
        <v>0</v>
      </c>
      <c r="AF409" s="10">
        <v>0</v>
      </c>
      <c r="AG409" s="8">
        <f>COUNTIF(Y409:AB409,"&gt;0")</f>
        <v>1</v>
      </c>
      <c r="AH409" s="10">
        <v>0</v>
      </c>
      <c r="AI409" s="10">
        <v>56.704999999999998</v>
      </c>
      <c r="AJ409" s="8" t="str">
        <f>IF(ISNUMBER(X409),IF(X409&gt;0,"+",IF(X409&lt;0,"−","0")),IF(ISNUMBER(W409),IF(W409&gt;0,"+",IF(W409&lt;0,"−","0")),"yok"))</f>
        <v>−</v>
      </c>
      <c r="AK409" s="10">
        <f>IF(AND(RIGHT(C409,2)&lt;&gt;"12",ISNUMBER(U409),ISNUMBER(V409)),U409-V409,"")</f>
        <v>56.704999999999998</v>
      </c>
      <c r="AL409" s="11">
        <f>IF(AND(ISNUMBER(AK409),ISNUMBER(V409)),IF(V409&lt;&gt;0,AK409/ABS(V409),""),"")</f>
        <v>0.51423777999455877</v>
      </c>
      <c r="AM409" s="8">
        <f>IF(ISNUMBER(AK409),IF(AK409&gt;1,1,0),"")</f>
        <v>1</v>
      </c>
      <c r="AN409" s="8">
        <f>IF(ISNUMBER(AK409),IF(AK409&gt;0.05*ABS(V409),1,0),"")</f>
        <v>1</v>
      </c>
      <c r="AO409" s="10">
        <v>-36.451999999999998</v>
      </c>
      <c r="AP409" s="10">
        <v>36.451999999999998</v>
      </c>
      <c r="AQ409" s="8" t="s">
        <v>204</v>
      </c>
      <c r="AR409" s="8">
        <v>0</v>
      </c>
      <c r="AS409" s="10">
        <v>1112.327</v>
      </c>
      <c r="AT409" s="10">
        <v>-111.003</v>
      </c>
      <c r="AU409" s="8" t="s">
        <v>204</v>
      </c>
      <c r="AV409" s="10">
        <v>56.704999999999998</v>
      </c>
      <c r="AW409" s="11">
        <f>IF(AND(ISNUMBER(AV409),ISNUMBER(AT409)),IF(AT409&lt;&gt;0,AV409/ABS(AT409),""),"")</f>
        <v>0.51084204931398247</v>
      </c>
      <c r="AX409" s="8">
        <v>0</v>
      </c>
      <c r="AY409" s="8">
        <v>1</v>
      </c>
      <c r="AZ409" s="10"/>
      <c r="BA409" s="8">
        <v>0</v>
      </c>
    </row>
    <row r="410" spans="1:53" x14ac:dyDescent="0.2">
      <c r="A410" s="8" t="s">
        <v>487</v>
      </c>
      <c r="B410" s="8" t="s">
        <v>82</v>
      </c>
      <c r="C410" s="8" t="s">
        <v>203</v>
      </c>
      <c r="D410" s="8">
        <v>1</v>
      </c>
      <c r="E410" s="8">
        <v>1</v>
      </c>
      <c r="F410" s="8">
        <f>SUM(G410:M410)</f>
        <v>1</v>
      </c>
      <c r="G410" s="8">
        <v>0</v>
      </c>
      <c r="H410" s="8">
        <v>0</v>
      </c>
      <c r="I410" s="8">
        <v>0</v>
      </c>
      <c r="J410" s="8">
        <v>1</v>
      </c>
      <c r="K410" s="8">
        <v>0</v>
      </c>
      <c r="L410" s="8">
        <v>0</v>
      </c>
      <c r="M410" s="8">
        <v>0</v>
      </c>
      <c r="N410" s="8">
        <v>0</v>
      </c>
      <c r="O410" s="8">
        <v>1</v>
      </c>
      <c r="P410" s="8">
        <v>1</v>
      </c>
      <c r="Q410" s="8">
        <v>0</v>
      </c>
      <c r="R410" s="8">
        <v>0</v>
      </c>
      <c r="S410" s="8">
        <v>0</v>
      </c>
      <c r="T410" s="10">
        <v>8.7780000000000005</v>
      </c>
      <c r="U410" s="10">
        <v>-102.572</v>
      </c>
      <c r="V410" s="10">
        <v>-4.1989999999999998</v>
      </c>
      <c r="W410" s="10">
        <f>IF(RIGHT(C410,2)="12",IF(ISNUMBER(T410),T410,""),IF(COUNT(T410,U410,V410)=3,T410+U410-V410,""))</f>
        <v>-89.594999999999999</v>
      </c>
      <c r="X410" s="10">
        <v>-89.593999999999994</v>
      </c>
      <c r="Y410" s="10">
        <v>-2.6019999999999999</v>
      </c>
      <c r="Z410" s="10">
        <v>-48.472999999999999</v>
      </c>
      <c r="AA410" s="10">
        <v>-47.296999999999997</v>
      </c>
      <c r="AB410" s="10">
        <v>8.7780000000000005</v>
      </c>
      <c r="AC410" s="8">
        <v>1</v>
      </c>
      <c r="AD410" s="8">
        <v>0</v>
      </c>
      <c r="AE410" s="8">
        <v>0</v>
      </c>
      <c r="AF410" s="10">
        <v>8.7780000000000005</v>
      </c>
      <c r="AG410" s="8">
        <f>COUNTIF(Y410:AB410,"&gt;0")</f>
        <v>1</v>
      </c>
      <c r="AH410" s="10">
        <v>0</v>
      </c>
      <c r="AI410" s="10">
        <v>0</v>
      </c>
      <c r="AJ410" s="8" t="str">
        <f>IF(ISNUMBER(X410),IF(X410&gt;0,"+",IF(X410&lt;0,"−","0")),IF(ISNUMBER(W410),IF(W410&gt;0,"+",IF(W410&lt;0,"−","0")),"yok"))</f>
        <v>−</v>
      </c>
      <c r="AK410" s="10">
        <f>IF(AND(RIGHT(C410,2)&lt;&gt;"12",ISNUMBER(U410),ISNUMBER(V410)),U410-V410,"")</f>
        <v>-98.373000000000005</v>
      </c>
      <c r="AL410" s="11">
        <f>IF(AND(ISNUMBER(AK410),ISNUMBER(V410)),IF(V410&lt;&gt;0,AK410/ABS(V410),""),"")</f>
        <v>-23.427720885925222</v>
      </c>
      <c r="AM410" s="8">
        <f>IF(ISNUMBER(AK410),IF(AK410&gt;1,1,0),"")</f>
        <v>0</v>
      </c>
      <c r="AN410" s="8">
        <f>IF(ISNUMBER(AK410),IF(AK410&gt;0.05*ABS(V410),1,0),"")</f>
        <v>0</v>
      </c>
      <c r="AO410" s="10">
        <v>-89.594999999999999</v>
      </c>
      <c r="AP410" s="10">
        <v>89.594999999999999</v>
      </c>
      <c r="AQ410" s="8" t="s">
        <v>204</v>
      </c>
      <c r="AR410" s="8">
        <v>0</v>
      </c>
      <c r="AS410" s="10">
        <v>-1281.6980000000001</v>
      </c>
      <c r="AT410" s="10">
        <v>-1532.8720000000001</v>
      </c>
      <c r="AU410" s="8" t="s">
        <v>204</v>
      </c>
      <c r="AV410" s="10">
        <v>8.7780000000000005</v>
      </c>
      <c r="AW410" s="11">
        <f>IF(AND(ISNUMBER(AV410),ISNUMBER(AT410)),IF(AT410&lt;&gt;0,AV410/ABS(AT410),""),"")</f>
        <v>5.7265055399276649E-3</v>
      </c>
      <c r="AX410" s="8">
        <v>1</v>
      </c>
      <c r="AY410" s="8">
        <v>0</v>
      </c>
      <c r="AZ410" s="8" t="s">
        <v>488</v>
      </c>
      <c r="BA410" s="8">
        <v>0</v>
      </c>
    </row>
    <row r="411" spans="1:53" x14ac:dyDescent="0.2">
      <c r="A411" s="8" t="s">
        <v>487</v>
      </c>
      <c r="B411" s="8" t="s">
        <v>82</v>
      </c>
      <c r="C411" s="8" t="s">
        <v>208</v>
      </c>
      <c r="D411" s="8">
        <v>1</v>
      </c>
      <c r="E411" s="8">
        <v>1</v>
      </c>
      <c r="F411" s="8">
        <f>SUM(G411:M411)</f>
        <v>1</v>
      </c>
      <c r="G411" s="8">
        <v>0</v>
      </c>
      <c r="H411" s="8">
        <v>0</v>
      </c>
      <c r="I411" s="8">
        <v>0</v>
      </c>
      <c r="J411" s="8">
        <v>1</v>
      </c>
      <c r="K411" s="8">
        <v>0</v>
      </c>
      <c r="L411" s="8">
        <v>0</v>
      </c>
      <c r="M411" s="8">
        <v>0</v>
      </c>
      <c r="N411" s="8">
        <v>0</v>
      </c>
      <c r="O411" s="8">
        <v>1</v>
      </c>
      <c r="P411" s="8">
        <v>0</v>
      </c>
      <c r="Q411" s="8">
        <v>0</v>
      </c>
      <c r="R411" s="8">
        <v>0</v>
      </c>
      <c r="S411" s="8">
        <v>0</v>
      </c>
      <c r="T411" s="10">
        <v>-18.593</v>
      </c>
      <c r="U411" s="10">
        <v>-32.930999999999997</v>
      </c>
      <c r="V411" s="10">
        <v>8.7780000000000005</v>
      </c>
      <c r="W411" s="10">
        <f>IF(RIGHT(C411,2)="12",IF(ISNUMBER(T411),T411,""),IF(COUNT(T411,U411,V411)=3,T411+U411-V411,""))</f>
        <v>-60.302</v>
      </c>
      <c r="X411" s="10">
        <v>-60.302999999999997</v>
      </c>
      <c r="Y411" s="10">
        <v>-17.96</v>
      </c>
      <c r="Z411" s="10">
        <v>-3.629</v>
      </c>
      <c r="AA411" s="10">
        <v>-20.12</v>
      </c>
      <c r="AB411" s="10">
        <v>-18.593</v>
      </c>
      <c r="AC411" s="8">
        <v>0</v>
      </c>
      <c r="AD411" s="8">
        <v>0</v>
      </c>
      <c r="AE411" s="8">
        <v>1</v>
      </c>
      <c r="AF411" s="10">
        <v>8.7780000000000005</v>
      </c>
      <c r="AG411" s="8">
        <f>COUNTIF(Y411:AB411,"&gt;0")</f>
        <v>0</v>
      </c>
      <c r="AH411" s="10">
        <v>0</v>
      </c>
      <c r="AI411" s="10">
        <v>0</v>
      </c>
      <c r="AJ411" s="8" t="str">
        <f>IF(ISNUMBER(X411),IF(X411&gt;0,"+",IF(X411&lt;0,"−","0")),IF(ISNUMBER(W411),IF(W411&gt;0,"+",IF(W411&lt;0,"−","0")),"yok"))</f>
        <v>−</v>
      </c>
      <c r="AK411" s="10">
        <f>IF(AND(RIGHT(C411,2)&lt;&gt;"12",ISNUMBER(U411),ISNUMBER(V411)),U411-V411,"")</f>
        <v>-41.708999999999996</v>
      </c>
      <c r="AL411" s="11">
        <f>IF(AND(ISNUMBER(AK411),ISNUMBER(V411)),IF(V411&lt;&gt;0,AK411/ABS(V411),""),"")</f>
        <v>-4.7515379357484617</v>
      </c>
      <c r="AM411" s="8">
        <f>IF(ISNUMBER(AK411),IF(AK411&gt;1,1,0),"")</f>
        <v>0</v>
      </c>
      <c r="AN411" s="8">
        <f>IF(ISNUMBER(AK411),IF(AK411&gt;0.05*ABS(V411),1,0),"")</f>
        <v>0</v>
      </c>
      <c r="AO411" s="10">
        <v>-60.302999999999997</v>
      </c>
      <c r="AP411" s="10">
        <v>60.302999999999997</v>
      </c>
      <c r="AQ411" s="8" t="s">
        <v>204</v>
      </c>
      <c r="AR411" s="8">
        <v>0</v>
      </c>
      <c r="AS411" s="10">
        <v>11.140999999999901</v>
      </c>
      <c r="AT411" s="10">
        <v>-114.381</v>
      </c>
      <c r="AU411" s="8" t="s">
        <v>212</v>
      </c>
      <c r="AV411" s="10">
        <v>8.7780000000000005</v>
      </c>
      <c r="AW411" s="11">
        <f>IF(AND(ISNUMBER(AV411),ISNUMBER(AT411)),IF(AT411&lt;&gt;0,AV411/ABS(AT411),""),"")</f>
        <v>7.6743515094290143E-2</v>
      </c>
      <c r="AX411" s="8">
        <v>1</v>
      </c>
      <c r="AY411" s="8">
        <v>0</v>
      </c>
      <c r="AZ411" s="8" t="s">
        <v>489</v>
      </c>
      <c r="BA411" s="8">
        <v>0</v>
      </c>
    </row>
    <row r="412" spans="1:53" x14ac:dyDescent="0.2">
      <c r="A412" s="8" t="s">
        <v>487</v>
      </c>
      <c r="B412" s="8" t="s">
        <v>83</v>
      </c>
      <c r="C412" s="8" t="s">
        <v>203</v>
      </c>
      <c r="D412" s="8">
        <v>1</v>
      </c>
      <c r="E412" s="8">
        <v>1</v>
      </c>
      <c r="F412" s="8">
        <f>SUM(G412:M412)</f>
        <v>1</v>
      </c>
      <c r="G412" s="8">
        <v>0</v>
      </c>
      <c r="H412" s="8">
        <v>0</v>
      </c>
      <c r="I412" s="8">
        <v>0</v>
      </c>
      <c r="J412" s="8">
        <v>0</v>
      </c>
      <c r="K412" s="8">
        <v>1</v>
      </c>
      <c r="L412" s="8">
        <v>0</v>
      </c>
      <c r="M412" s="8">
        <v>0</v>
      </c>
      <c r="N412" s="8">
        <v>0</v>
      </c>
      <c r="O412" s="8">
        <v>1</v>
      </c>
      <c r="P412" s="8">
        <v>0</v>
      </c>
      <c r="Q412" s="8">
        <v>0</v>
      </c>
      <c r="R412" s="8">
        <v>0</v>
      </c>
      <c r="S412" s="8">
        <v>0</v>
      </c>
      <c r="T412" s="10">
        <v>-40.101999999999997</v>
      </c>
      <c r="U412" s="10">
        <v>-58.704999999999998</v>
      </c>
      <c r="V412" s="10">
        <v>62.771000000000001</v>
      </c>
      <c r="W412" s="10">
        <f>IF(RIGHT(C412,2)="12",IF(ISNUMBER(T412),T412,""),IF(COUNT(T412,U412,V412)=3,T412+U412-V412,""))</f>
        <v>-161.57799999999997</v>
      </c>
      <c r="X412" s="10">
        <v>-161.578</v>
      </c>
      <c r="Y412" s="10">
        <v>-62.771000000000001</v>
      </c>
      <c r="Z412" s="10">
        <v>-14.079000000000001</v>
      </c>
      <c r="AA412" s="10">
        <v>-44.625</v>
      </c>
      <c r="AB412" s="10">
        <v>-40.101999999999997</v>
      </c>
      <c r="AC412" s="8">
        <v>0</v>
      </c>
      <c r="AD412" s="8">
        <v>0</v>
      </c>
      <c r="AE412" s="8">
        <v>1</v>
      </c>
      <c r="AF412" s="10">
        <v>62.771000000000001</v>
      </c>
      <c r="AG412" s="8">
        <f>COUNTIF(Y412:AB412,"&gt;0")</f>
        <v>0</v>
      </c>
      <c r="AH412" s="10">
        <v>0</v>
      </c>
      <c r="AI412" s="10">
        <v>0</v>
      </c>
      <c r="AJ412" s="8" t="str">
        <f>IF(ISNUMBER(X412),IF(X412&gt;0,"+",IF(X412&lt;0,"−","0")),IF(ISNUMBER(W412),IF(W412&gt;0,"+",IF(W412&lt;0,"−","0")),"yok"))</f>
        <v>−</v>
      </c>
      <c r="AK412" s="10">
        <f>IF(AND(RIGHT(C412,2)&lt;&gt;"12",ISNUMBER(U412),ISNUMBER(V412)),U412-V412,"")</f>
        <v>-121.476</v>
      </c>
      <c r="AL412" s="11">
        <f>IF(AND(ISNUMBER(AK412),ISNUMBER(V412)),IF(V412&lt;&gt;0,AK412/ABS(V412),""),"")</f>
        <v>-1.9352248649854231</v>
      </c>
      <c r="AM412" s="8">
        <f>IF(ISNUMBER(AK412),IF(AK412&gt;1,1,0),"")</f>
        <v>0</v>
      </c>
      <c r="AN412" s="8">
        <f>IF(ISNUMBER(AK412),IF(AK412&gt;0.05*ABS(V412),1,0),"")</f>
        <v>0</v>
      </c>
      <c r="AO412" s="10">
        <v>-161.57900000000001</v>
      </c>
      <c r="AP412" s="10">
        <v>161.57900000000001</v>
      </c>
      <c r="AQ412" s="8" t="s">
        <v>204</v>
      </c>
      <c r="AR412" s="8">
        <v>0</v>
      </c>
      <c r="AS412" s="10">
        <v>-1281.6980000000001</v>
      </c>
      <c r="AT412" s="10">
        <v>-1532.8720000000001</v>
      </c>
      <c r="AU412" s="8" t="s">
        <v>204</v>
      </c>
      <c r="AV412" s="10">
        <v>62.771000000000001</v>
      </c>
      <c r="AW412" s="11">
        <f>IF(AND(ISNUMBER(AV412),ISNUMBER(AT412)),IF(AT412&lt;&gt;0,AV412/ABS(AT412),""),"")</f>
        <v>4.094992928307125E-2</v>
      </c>
      <c r="AX412" s="8">
        <v>1</v>
      </c>
      <c r="AY412" s="8">
        <v>0</v>
      </c>
      <c r="AZ412" s="8" t="s">
        <v>490</v>
      </c>
      <c r="BA412" s="8">
        <v>0</v>
      </c>
    </row>
    <row r="413" spans="1:53" x14ac:dyDescent="0.2">
      <c r="A413" s="8" t="s">
        <v>487</v>
      </c>
      <c r="B413" s="8" t="s">
        <v>83</v>
      </c>
      <c r="C413" s="8" t="s">
        <v>208</v>
      </c>
      <c r="D413" s="8">
        <v>1</v>
      </c>
      <c r="E413" s="8">
        <v>1</v>
      </c>
      <c r="F413" s="8">
        <f>SUM(G413:M413)</f>
        <v>1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1</v>
      </c>
      <c r="N413" s="8">
        <v>0</v>
      </c>
      <c r="O413" s="8">
        <v>0</v>
      </c>
      <c r="P413" s="8">
        <v>1</v>
      </c>
      <c r="Q413" s="8">
        <v>0</v>
      </c>
      <c r="R413" s="8">
        <v>0</v>
      </c>
      <c r="S413" s="8">
        <v>0</v>
      </c>
      <c r="T413" s="10">
        <v>0</v>
      </c>
      <c r="U413" s="10">
        <v>-105.32</v>
      </c>
      <c r="V413" s="10">
        <v>-40.101999999999997</v>
      </c>
      <c r="W413" s="10">
        <f>IF(RIGHT(C413,2)="12",IF(ISNUMBER(T413),T413,""),IF(COUNT(T413,U413,V413)=3,T413+U413-V413,""))</f>
        <v>-65.217999999999989</v>
      </c>
      <c r="X413" s="10">
        <v>-65.218000000000004</v>
      </c>
      <c r="Y413" s="10">
        <v>10.553000000000001</v>
      </c>
      <c r="Z413" s="10">
        <v>-11.510999999999999</v>
      </c>
      <c r="AA413" s="10">
        <v>-64.260000000000005</v>
      </c>
      <c r="AB413" s="10">
        <v>0</v>
      </c>
      <c r="AC413" s="8">
        <v>0</v>
      </c>
      <c r="AD413" s="8">
        <v>0</v>
      </c>
      <c r="AE413" s="8">
        <v>0</v>
      </c>
      <c r="AF413" s="10">
        <v>0</v>
      </c>
      <c r="AG413" s="8">
        <f>COUNTIF(Y413:AB413,"&gt;0")</f>
        <v>1</v>
      </c>
      <c r="AH413" s="10">
        <v>0</v>
      </c>
      <c r="AI413" s="10">
        <v>10.553000000000001</v>
      </c>
      <c r="AJ413" s="8" t="str">
        <f>IF(ISNUMBER(X413),IF(X413&gt;0,"+",IF(X413&lt;0,"−","0")),IF(ISNUMBER(W413),IF(W413&gt;0,"+",IF(W413&lt;0,"−","0")),"yok"))</f>
        <v>−</v>
      </c>
      <c r="AK413" s="10">
        <f>IF(AND(RIGHT(C413,2)&lt;&gt;"12",ISNUMBER(U413),ISNUMBER(V413)),U413-V413,"")</f>
        <v>-65.217999999999989</v>
      </c>
      <c r="AL413" s="11">
        <f>IF(AND(ISNUMBER(AK413),ISNUMBER(V413)),IF(V413&lt;&gt;0,AK413/ABS(V413),""),"")</f>
        <v>-1.6263029275347862</v>
      </c>
      <c r="AM413" s="8">
        <f>IF(ISNUMBER(AK413),IF(AK413&gt;1,1,0),"")</f>
        <v>0</v>
      </c>
      <c r="AN413" s="8">
        <f>IF(ISNUMBER(AK413),IF(AK413&gt;0.05*ABS(V413),1,0),"")</f>
        <v>0</v>
      </c>
      <c r="AO413" s="10">
        <v>-65.218999999999994</v>
      </c>
      <c r="AP413" s="10">
        <v>65.218999999999994</v>
      </c>
      <c r="AQ413" s="8" t="s">
        <v>204</v>
      </c>
      <c r="AR413" s="8">
        <v>0</v>
      </c>
      <c r="AS413" s="10">
        <v>11.140999999999901</v>
      </c>
      <c r="AT413" s="10">
        <v>-114.381</v>
      </c>
      <c r="AU413" s="8" t="s">
        <v>212</v>
      </c>
      <c r="AV413" s="10">
        <v>10.553000000000001</v>
      </c>
      <c r="AW413" s="11">
        <f>IF(AND(ISNUMBER(AV413),ISNUMBER(AT413)),IF(AT413&lt;&gt;0,AV413/ABS(AT413),""),"")</f>
        <v>9.2261826701987223E-2</v>
      </c>
      <c r="AX413" s="8">
        <v>0</v>
      </c>
      <c r="AY413" s="8">
        <v>0</v>
      </c>
      <c r="AZ413" s="10"/>
      <c r="BA413" s="8">
        <v>0</v>
      </c>
    </row>
    <row r="414" spans="1:53" x14ac:dyDescent="0.2">
      <c r="A414" s="8" t="s">
        <v>491</v>
      </c>
      <c r="B414" s="8" t="s">
        <v>83</v>
      </c>
      <c r="C414" s="8" t="s">
        <v>208</v>
      </c>
      <c r="D414" s="8">
        <v>1</v>
      </c>
      <c r="E414" s="8">
        <v>1</v>
      </c>
      <c r="F414" s="8">
        <f>SUM(G414:M414)</f>
        <v>1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1</v>
      </c>
      <c r="N414" s="8">
        <v>0</v>
      </c>
      <c r="O414" s="8">
        <v>0</v>
      </c>
      <c r="P414" s="8">
        <v>1</v>
      </c>
      <c r="Q414" s="8">
        <v>0</v>
      </c>
      <c r="R414" s="8">
        <v>0</v>
      </c>
      <c r="S414" s="8">
        <v>0</v>
      </c>
      <c r="T414" s="10"/>
      <c r="U414" s="10">
        <v>-5.3949999999999996</v>
      </c>
      <c r="V414" s="10"/>
      <c r="W414" s="10" t="str">
        <f>IF(RIGHT(C414,2)="12",IF(ISNUMBER(T414),T414,""),IF(COUNT(T414,U414,V414)=3,T414+U414-V414,""))</f>
        <v/>
      </c>
      <c r="X414" s="10"/>
      <c r="Y414" s="10"/>
      <c r="Z414" s="10">
        <v>1.0109999999999999</v>
      </c>
      <c r="AA414" s="10">
        <v>-4.0190000000000001</v>
      </c>
      <c r="AB414" s="10"/>
      <c r="AC414" s="8">
        <v>0</v>
      </c>
      <c r="AD414" s="8">
        <v>0</v>
      </c>
      <c r="AE414" s="8">
        <v>0</v>
      </c>
      <c r="AF414" s="10">
        <v>0</v>
      </c>
      <c r="AG414" s="8">
        <f>COUNTIF(Y414:AB414,"&gt;0")</f>
        <v>1</v>
      </c>
      <c r="AH414" s="10">
        <v>0</v>
      </c>
      <c r="AI414" s="10">
        <v>1.0109999999999999</v>
      </c>
      <c r="AJ414" s="8" t="str">
        <f>IF(ISNUMBER(X414),IF(X414&gt;0,"+",IF(X414&lt;0,"−","0")),IF(ISNUMBER(W414),IF(W414&gt;0,"+",IF(W414&lt;0,"−","0")),"yok"))</f>
        <v>yok</v>
      </c>
      <c r="AK414" s="10" t="str">
        <f>IF(AND(RIGHT(C414,2)&lt;&gt;"12",ISNUMBER(U414),ISNUMBER(V414)),U414-V414,"")</f>
        <v/>
      </c>
      <c r="AL414" s="11" t="str">
        <f>IF(AND(ISNUMBER(AK414),ISNUMBER(V414)),IF(V414&lt;&gt;0,AK414/ABS(V414),""),"")</f>
        <v/>
      </c>
      <c r="AM414" s="8" t="str">
        <f>IF(ISNUMBER(AK414),IF(AK414&gt;1,1,0),"")</f>
        <v/>
      </c>
      <c r="AN414" s="8" t="str">
        <f>IF(ISNUMBER(AK414),IF(AK414&gt;0.05*ABS(V414),1,0),"")</f>
        <v/>
      </c>
      <c r="AO414" s="10"/>
      <c r="AP414" s="10"/>
      <c r="AQ414" s="8" t="s">
        <v>207</v>
      </c>
      <c r="AR414" s="8">
        <v>0</v>
      </c>
      <c r="AS414" s="10">
        <v>-65.126000000000005</v>
      </c>
      <c r="AT414" s="10"/>
      <c r="AU414" s="8" t="s">
        <v>207</v>
      </c>
      <c r="AV414" s="10">
        <v>1.0109999999999999</v>
      </c>
      <c r="AW414" s="11" t="str">
        <f>IF(AND(ISNUMBER(AV414),ISNUMBER(AT414)),IF(AT414&lt;&gt;0,AV414/ABS(AT414),""),"")</f>
        <v/>
      </c>
      <c r="AX414" s="8">
        <v>0</v>
      </c>
      <c r="AY414" s="8">
        <v>0</v>
      </c>
      <c r="AZ414" s="10"/>
      <c r="BA414" s="8">
        <v>0</v>
      </c>
    </row>
    <row r="415" spans="1:53" x14ac:dyDescent="0.2">
      <c r="A415" s="8" t="s">
        <v>491</v>
      </c>
      <c r="B415" s="8" t="s">
        <v>83</v>
      </c>
      <c r="C415" s="8" t="s">
        <v>210</v>
      </c>
      <c r="D415" s="8">
        <v>1</v>
      </c>
      <c r="E415" s="8">
        <v>1</v>
      </c>
      <c r="F415" s="8">
        <f>SUM(G415:M415)</f>
        <v>1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1</v>
      </c>
      <c r="N415" s="8">
        <v>0</v>
      </c>
      <c r="O415" s="8">
        <v>0</v>
      </c>
      <c r="P415" s="8">
        <v>1</v>
      </c>
      <c r="Q415" s="8">
        <v>0</v>
      </c>
      <c r="R415" s="8">
        <v>0</v>
      </c>
      <c r="S415" s="8">
        <v>0</v>
      </c>
      <c r="T415" s="10">
        <v>-4.9260000000000002</v>
      </c>
      <c r="U415" s="10">
        <v>-5.3949999999999996</v>
      </c>
      <c r="V415" s="10">
        <v>-2.3879999999999999</v>
      </c>
      <c r="W415" s="10">
        <f>IF(RIGHT(C415,2)="12",IF(ISNUMBER(T415),T415,""),IF(COUNT(T415,U415,V415)=3,T415+U415-V415,""))</f>
        <v>-7.9329999999999998</v>
      </c>
      <c r="X415" s="10">
        <v>-7.9329999999999998</v>
      </c>
      <c r="Y415" s="10">
        <v>1.0109999999999999</v>
      </c>
      <c r="Z415" s="10">
        <v>-4.0190000000000001</v>
      </c>
      <c r="AA415" s="10"/>
      <c r="AB415" s="10"/>
      <c r="AC415" s="8">
        <v>0</v>
      </c>
      <c r="AD415" s="8">
        <v>0</v>
      </c>
      <c r="AE415" s="8">
        <v>0</v>
      </c>
      <c r="AF415" s="10">
        <v>0</v>
      </c>
      <c r="AG415" s="8">
        <f>COUNTIF(Y415:AB415,"&gt;0")</f>
        <v>1</v>
      </c>
      <c r="AH415" s="10">
        <v>0</v>
      </c>
      <c r="AI415" s="10">
        <v>1.0109999999999999</v>
      </c>
      <c r="AJ415" s="8" t="str">
        <f>IF(ISNUMBER(X415),IF(X415&gt;0,"+",IF(X415&lt;0,"−","0")),IF(ISNUMBER(W415),IF(W415&gt;0,"+",IF(W415&lt;0,"−","0")),"yok"))</f>
        <v>−</v>
      </c>
      <c r="AK415" s="10">
        <f>IF(AND(RIGHT(C415,2)&lt;&gt;"12",ISNUMBER(U415),ISNUMBER(V415)),U415-V415,"")</f>
        <v>-3.0069999999999997</v>
      </c>
      <c r="AL415" s="11">
        <f>IF(AND(ISNUMBER(AK415),ISNUMBER(V415)),IF(V415&lt;&gt;0,AK415/ABS(V415),""),"")</f>
        <v>-1.2592127303182579</v>
      </c>
      <c r="AM415" s="8">
        <f>IF(ISNUMBER(AK415),IF(AK415&gt;1,1,0),"")</f>
        <v>0</v>
      </c>
      <c r="AN415" s="8">
        <f>IF(ISNUMBER(AK415),IF(AK415&gt;0.05*ABS(V415),1,0),"")</f>
        <v>0</v>
      </c>
      <c r="AO415" s="10"/>
      <c r="AP415" s="10"/>
      <c r="AQ415" s="8" t="s">
        <v>207</v>
      </c>
      <c r="AR415" s="8">
        <v>0</v>
      </c>
      <c r="AS415" s="10">
        <v>-72.126000000000005</v>
      </c>
      <c r="AT415" s="10"/>
      <c r="AU415" s="8" t="s">
        <v>207</v>
      </c>
      <c r="AV415" s="10">
        <v>1.0109999999999999</v>
      </c>
      <c r="AW415" s="11" t="str">
        <f>IF(AND(ISNUMBER(AV415),ISNUMBER(AT415)),IF(AT415&lt;&gt;0,AV415/ABS(AT415),""),"")</f>
        <v/>
      </c>
      <c r="AX415" s="8">
        <v>0</v>
      </c>
      <c r="AY415" s="8">
        <v>0</v>
      </c>
      <c r="AZ415" s="10"/>
      <c r="BA415" s="8">
        <v>0</v>
      </c>
    </row>
    <row r="416" spans="1:53" x14ac:dyDescent="0.2">
      <c r="A416" s="8" t="s">
        <v>492</v>
      </c>
      <c r="B416" s="8" t="s">
        <v>82</v>
      </c>
      <c r="C416" s="8" t="s">
        <v>215</v>
      </c>
      <c r="D416" s="8">
        <v>1</v>
      </c>
      <c r="E416" s="8">
        <v>1</v>
      </c>
      <c r="F416" s="8">
        <f>SUM(G416:M416)</f>
        <v>1</v>
      </c>
      <c r="G416" s="8">
        <v>0</v>
      </c>
      <c r="H416" s="8">
        <v>1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1</v>
      </c>
      <c r="Q416" s="8">
        <v>1</v>
      </c>
      <c r="R416" s="8">
        <v>1</v>
      </c>
      <c r="S416" s="8">
        <v>0</v>
      </c>
      <c r="T416" s="10">
        <v>-387.16399999999999</v>
      </c>
      <c r="U416" s="10">
        <v>-293.67700000000002</v>
      </c>
      <c r="V416" s="10">
        <v>-605.02599999999995</v>
      </c>
      <c r="W416" s="10">
        <f>IF(RIGHT(C416,2)="12",IF(ISNUMBER(T416),T416,""),IF(COUNT(T416,U416,V416)=3,T416+U416-V416,""))</f>
        <v>-75.815000000000055</v>
      </c>
      <c r="X416" s="10">
        <v>-75.814999999999998</v>
      </c>
      <c r="Y416" s="10">
        <v>311.34899999999999</v>
      </c>
      <c r="Z416" s="10">
        <v>-152.089</v>
      </c>
      <c r="AA416" s="10">
        <v>-19.164999999999999</v>
      </c>
      <c r="AB416" s="10">
        <v>-215.90899999999999</v>
      </c>
      <c r="AC416" s="8">
        <v>0</v>
      </c>
      <c r="AD416" s="8">
        <v>0</v>
      </c>
      <c r="AE416" s="8">
        <v>0</v>
      </c>
      <c r="AF416" s="10">
        <v>0</v>
      </c>
      <c r="AG416" s="8">
        <f>COUNTIF(Y416:AB416,"&gt;0")</f>
        <v>1</v>
      </c>
      <c r="AH416" s="10">
        <v>0</v>
      </c>
      <c r="AI416" s="10">
        <v>311.34899999999999</v>
      </c>
      <c r="AJ416" s="8" t="str">
        <f>IF(ISNUMBER(X416),IF(X416&gt;0,"+",IF(X416&lt;0,"−","0")),IF(ISNUMBER(W416),IF(W416&gt;0,"+",IF(W416&lt;0,"−","0")),"yok"))</f>
        <v>−</v>
      </c>
      <c r="AK416" s="10">
        <f>IF(AND(RIGHT(C416,2)&lt;&gt;"12",ISNUMBER(U416),ISNUMBER(V416)),U416-V416,"")</f>
        <v>311.34899999999993</v>
      </c>
      <c r="AL416" s="11">
        <f>IF(AND(ISNUMBER(AK416),ISNUMBER(V416)),IF(V416&lt;&gt;0,AK416/ABS(V416),""),"")</f>
        <v>0.51460433105354142</v>
      </c>
      <c r="AM416" s="8">
        <f>IF(ISNUMBER(AK416),IF(AK416&gt;1,1,0),"")</f>
        <v>1</v>
      </c>
      <c r="AN416" s="8">
        <f>IF(ISNUMBER(AK416),IF(AK416&gt;0.05*ABS(V416),1,0),"")</f>
        <v>1</v>
      </c>
      <c r="AO416" s="10">
        <v>-75.816000000000003</v>
      </c>
      <c r="AP416" s="10">
        <v>75.816000000000003</v>
      </c>
      <c r="AQ416" s="8" t="s">
        <v>204</v>
      </c>
      <c r="AR416" s="8">
        <v>0</v>
      </c>
      <c r="AS416" s="10">
        <v>3619.953</v>
      </c>
      <c r="AT416" s="10">
        <v>3544.1370000000002</v>
      </c>
      <c r="AU416" s="8" t="s">
        <v>212</v>
      </c>
      <c r="AV416" s="10">
        <v>311.34899999999999</v>
      </c>
      <c r="AW416" s="11">
        <f>IF(AND(ISNUMBER(AV416),ISNUMBER(AT416)),IF(AT416&lt;&gt;0,AV416/ABS(AT416),""),"")</f>
        <v>8.7849030666703909E-2</v>
      </c>
      <c r="AX416" s="8">
        <v>0</v>
      </c>
      <c r="AY416" s="8">
        <v>1</v>
      </c>
      <c r="AZ416" s="10"/>
      <c r="BA416" s="8">
        <v>0</v>
      </c>
    </row>
    <row r="417" spans="1:53" x14ac:dyDescent="0.2">
      <c r="A417" s="8" t="s">
        <v>492</v>
      </c>
      <c r="B417" s="8" t="s">
        <v>83</v>
      </c>
      <c r="C417" s="8" t="s">
        <v>203</v>
      </c>
      <c r="D417" s="8">
        <v>1</v>
      </c>
      <c r="E417" s="8">
        <v>1</v>
      </c>
      <c r="F417" s="8">
        <f>SUM(G417:M417)</f>
        <v>1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1</v>
      </c>
      <c r="N417" s="8">
        <v>0</v>
      </c>
      <c r="O417" s="8">
        <v>0</v>
      </c>
      <c r="P417" s="8">
        <v>1</v>
      </c>
      <c r="Q417" s="8">
        <v>0</v>
      </c>
      <c r="R417" s="8">
        <v>0</v>
      </c>
      <c r="S417" s="8">
        <v>0</v>
      </c>
      <c r="T417" s="10">
        <v>-42.682000000000002</v>
      </c>
      <c r="U417" s="10">
        <v>-765.24</v>
      </c>
      <c r="V417" s="10">
        <v>-202.56899999999999</v>
      </c>
      <c r="W417" s="10">
        <f>IF(RIGHT(C417,2)="12",IF(ISNUMBER(T417),T417,""),IF(COUNT(T417,U417,V417)=3,T417+U417-V417,""))</f>
        <v>-605.35300000000007</v>
      </c>
      <c r="X417" s="10">
        <v>-605.35299999999995</v>
      </c>
      <c r="Y417" s="10">
        <v>-176.208</v>
      </c>
      <c r="Z417" s="10">
        <v>-599.15200000000004</v>
      </c>
      <c r="AA417" s="10">
        <v>212.68899999999999</v>
      </c>
      <c r="AB417" s="10">
        <v>-42.682000000000002</v>
      </c>
      <c r="AC417" s="8">
        <v>0</v>
      </c>
      <c r="AD417" s="8">
        <v>0</v>
      </c>
      <c r="AE417" s="8">
        <v>0</v>
      </c>
      <c r="AF417" s="10">
        <v>0</v>
      </c>
      <c r="AG417" s="8">
        <f>COUNTIF(Y417:AB417,"&gt;0")</f>
        <v>1</v>
      </c>
      <c r="AH417" s="10">
        <v>0</v>
      </c>
      <c r="AI417" s="10">
        <v>212.68899999999999</v>
      </c>
      <c r="AJ417" s="8" t="str">
        <f>IF(ISNUMBER(X417),IF(X417&gt;0,"+",IF(X417&lt;0,"−","0")),IF(ISNUMBER(W417),IF(W417&gt;0,"+",IF(W417&lt;0,"−","0")),"yok"))</f>
        <v>−</v>
      </c>
      <c r="AK417" s="10">
        <f>IF(AND(RIGHT(C417,2)&lt;&gt;"12",ISNUMBER(U417),ISNUMBER(V417)),U417-V417,"")</f>
        <v>-562.67100000000005</v>
      </c>
      <c r="AL417" s="11">
        <f>IF(AND(ISNUMBER(AK417),ISNUMBER(V417)),IF(V417&lt;&gt;0,AK417/ABS(V417),""),"")</f>
        <v>-2.7776757549279507</v>
      </c>
      <c r="AM417" s="8">
        <f>IF(ISNUMBER(AK417),IF(AK417&gt;1,1,0),"")</f>
        <v>0</v>
      </c>
      <c r="AN417" s="8">
        <f>IF(ISNUMBER(AK417),IF(AK417&gt;0.05*ABS(V417),1,0),"")</f>
        <v>0</v>
      </c>
      <c r="AO417" s="10">
        <v>-605.35299999999995</v>
      </c>
      <c r="AP417" s="10">
        <v>605.35299999999995</v>
      </c>
      <c r="AQ417" s="8" t="s">
        <v>204</v>
      </c>
      <c r="AR417" s="8">
        <v>0</v>
      </c>
      <c r="AS417" s="10">
        <v>3921.0059999999999</v>
      </c>
      <c r="AT417" s="10">
        <v>2953.998</v>
      </c>
      <c r="AU417" s="8" t="s">
        <v>204</v>
      </c>
      <c r="AV417" s="10">
        <v>212.68899999999999</v>
      </c>
      <c r="AW417" s="11">
        <f>IF(AND(ISNUMBER(AV417),ISNUMBER(AT417)),IF(AT417&lt;&gt;0,AV417/ABS(AT417),""),"")</f>
        <v>7.2000387271758476E-2</v>
      </c>
      <c r="AX417" s="8">
        <v>0</v>
      </c>
      <c r="AY417" s="8">
        <v>0</v>
      </c>
      <c r="AZ417" s="10"/>
      <c r="BA417" s="8">
        <v>0</v>
      </c>
    </row>
    <row r="418" spans="1:53" x14ac:dyDescent="0.2">
      <c r="A418" s="8" t="s">
        <v>492</v>
      </c>
      <c r="B418" s="8" t="s">
        <v>83</v>
      </c>
      <c r="C418" s="8" t="s">
        <v>205</v>
      </c>
      <c r="D418" s="8">
        <v>1</v>
      </c>
      <c r="E418" s="8">
        <v>1</v>
      </c>
      <c r="F418" s="8">
        <f>SUM(G418:M418)</f>
        <v>1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1</v>
      </c>
      <c r="N418" s="8">
        <v>0</v>
      </c>
      <c r="O418" s="8">
        <v>0</v>
      </c>
      <c r="P418" s="8">
        <v>1</v>
      </c>
      <c r="Q418" s="8">
        <v>0</v>
      </c>
      <c r="R418" s="8">
        <v>0</v>
      </c>
      <c r="S418" s="8">
        <v>0</v>
      </c>
      <c r="T418" s="10">
        <v>-87.772999999999996</v>
      </c>
      <c r="U418" s="10">
        <v>-765.24</v>
      </c>
      <c r="V418" s="10">
        <v>-378.77699999999999</v>
      </c>
      <c r="W418" s="10">
        <f>IF(RIGHT(C418,2)="12",IF(ISNUMBER(T418),T418,""),IF(COUNT(T418,U418,V418)=3,T418+U418-V418,""))</f>
        <v>-474.23600000000005</v>
      </c>
      <c r="X418" s="10">
        <v>-474.23599999999999</v>
      </c>
      <c r="Y418" s="10">
        <v>-599.15200000000004</v>
      </c>
      <c r="Z418" s="10">
        <v>212.68899999999999</v>
      </c>
      <c r="AA418" s="10">
        <v>-42.682000000000002</v>
      </c>
      <c r="AB418" s="10">
        <v>-45.091000000000001</v>
      </c>
      <c r="AC418" s="8">
        <v>0</v>
      </c>
      <c r="AD418" s="8">
        <v>0</v>
      </c>
      <c r="AE418" s="8">
        <v>0</v>
      </c>
      <c r="AF418" s="10">
        <v>0</v>
      </c>
      <c r="AG418" s="8">
        <f>COUNTIF(Y418:AB418,"&gt;0")</f>
        <v>1</v>
      </c>
      <c r="AH418" s="10">
        <v>0</v>
      </c>
      <c r="AI418" s="10">
        <v>212.68899999999999</v>
      </c>
      <c r="AJ418" s="8" t="str">
        <f>IF(ISNUMBER(X418),IF(X418&gt;0,"+",IF(X418&lt;0,"−","0")),IF(ISNUMBER(W418),IF(W418&gt;0,"+",IF(W418&lt;0,"−","0")),"yok"))</f>
        <v>−</v>
      </c>
      <c r="AK418" s="10">
        <f>IF(AND(RIGHT(C418,2)&lt;&gt;"12",ISNUMBER(U418),ISNUMBER(V418)),U418-V418,"")</f>
        <v>-386.46300000000002</v>
      </c>
      <c r="AL418" s="11">
        <f>IF(AND(ISNUMBER(AK418),ISNUMBER(V418)),IF(V418&lt;&gt;0,AK418/ABS(V418),""),"")</f>
        <v>-1.0202916227754062</v>
      </c>
      <c r="AM418" s="8">
        <f>IF(ISNUMBER(AK418),IF(AK418&gt;1,1,0),"")</f>
        <v>0</v>
      </c>
      <c r="AN418" s="8">
        <f>IF(ISNUMBER(AK418),IF(AK418&gt;0.05*ABS(V418),1,0),"")</f>
        <v>0</v>
      </c>
      <c r="AO418" s="10">
        <v>-474.23599999999999</v>
      </c>
      <c r="AP418" s="10">
        <v>474.23599999999999</v>
      </c>
      <c r="AQ418" s="8" t="s">
        <v>204</v>
      </c>
      <c r="AR418" s="8">
        <v>0</v>
      </c>
      <c r="AS418" s="10">
        <v>3677.0320000000002</v>
      </c>
      <c r="AT418" s="10">
        <v>2884.848</v>
      </c>
      <c r="AU418" s="8" t="s">
        <v>204</v>
      </c>
      <c r="AV418" s="10">
        <v>212.68899999999999</v>
      </c>
      <c r="AW418" s="11">
        <f>IF(AND(ISNUMBER(AV418),ISNUMBER(AT418)),IF(AT418&lt;&gt;0,AV418/ABS(AT418),""),"")</f>
        <v>7.3726241382561578E-2</v>
      </c>
      <c r="AX418" s="8">
        <v>0</v>
      </c>
      <c r="AY418" s="8">
        <v>0</v>
      </c>
      <c r="AZ418" s="10"/>
      <c r="BA418" s="8">
        <v>0</v>
      </c>
    </row>
    <row r="419" spans="1:53" x14ac:dyDescent="0.2">
      <c r="A419" s="8" t="s">
        <v>492</v>
      </c>
      <c r="B419" s="8" t="s">
        <v>83</v>
      </c>
      <c r="C419" s="8" t="s">
        <v>215</v>
      </c>
      <c r="D419" s="8">
        <v>1</v>
      </c>
      <c r="E419" s="8">
        <v>1</v>
      </c>
      <c r="F419" s="8">
        <f>SUM(G419:M419)</f>
        <v>3</v>
      </c>
      <c r="G419" s="8">
        <v>0</v>
      </c>
      <c r="H419" s="8">
        <v>0</v>
      </c>
      <c r="I419" s="8">
        <v>1</v>
      </c>
      <c r="J419" s="8">
        <v>0</v>
      </c>
      <c r="K419" s="8">
        <v>0</v>
      </c>
      <c r="L419" s="8">
        <v>1</v>
      </c>
      <c r="M419" s="8">
        <v>1</v>
      </c>
      <c r="N419" s="8">
        <v>1</v>
      </c>
      <c r="O419" s="8">
        <v>0</v>
      </c>
      <c r="P419" s="8">
        <v>1</v>
      </c>
      <c r="Q419" s="8">
        <v>0</v>
      </c>
      <c r="R419" s="8">
        <v>0</v>
      </c>
      <c r="S419" s="8">
        <v>0</v>
      </c>
      <c r="T419" s="10">
        <v>-138.626</v>
      </c>
      <c r="U419" s="10">
        <v>-765.24</v>
      </c>
      <c r="V419" s="10">
        <v>-977.93</v>
      </c>
      <c r="W419" s="10">
        <f>IF(RIGHT(C419,2)="12",IF(ISNUMBER(T419),T419,""),IF(COUNT(T419,U419,V419)=3,T419+U419-V419,""))</f>
        <v>74.063999999999965</v>
      </c>
      <c r="X419" s="10">
        <v>74.063000000000002</v>
      </c>
      <c r="Y419" s="10">
        <v>212.68899999999999</v>
      </c>
      <c r="Z419" s="10">
        <v>-42.682000000000002</v>
      </c>
      <c r="AA419" s="10">
        <v>-45.091000000000001</v>
      </c>
      <c r="AB419" s="10">
        <v>-50.853000000000002</v>
      </c>
      <c r="AC419" s="8">
        <v>0</v>
      </c>
      <c r="AD419" s="8">
        <v>0</v>
      </c>
      <c r="AE419" s="8">
        <v>0</v>
      </c>
      <c r="AF419" s="10">
        <v>0</v>
      </c>
      <c r="AG419" s="8">
        <f>COUNTIF(Y419:AB419,"&gt;0")</f>
        <v>1</v>
      </c>
      <c r="AH419" s="10">
        <v>0</v>
      </c>
      <c r="AI419" s="10">
        <v>212.68899999999999</v>
      </c>
      <c r="AJ419" s="8" t="str">
        <f>IF(ISNUMBER(X419),IF(X419&gt;0,"+",IF(X419&lt;0,"−","0")),IF(ISNUMBER(W419),IF(W419&gt;0,"+",IF(W419&lt;0,"−","0")),"yok"))</f>
        <v>+</v>
      </c>
      <c r="AK419" s="10">
        <f>IF(AND(RIGHT(C419,2)&lt;&gt;"12",ISNUMBER(U419),ISNUMBER(V419)),U419-V419,"")</f>
        <v>212.68999999999994</v>
      </c>
      <c r="AL419" s="11">
        <f>IF(AND(ISNUMBER(AK419),ISNUMBER(V419)),IF(V419&lt;&gt;0,AK419/ABS(V419),""),"")</f>
        <v>0.21749000439704269</v>
      </c>
      <c r="AM419" s="8">
        <f>IF(ISNUMBER(AK419),IF(AK419&gt;1,1,0),"")</f>
        <v>1</v>
      </c>
      <c r="AN419" s="8">
        <f>IF(ISNUMBER(AK419),IF(AK419&gt;0.05*ABS(V419),1,0),"")</f>
        <v>1</v>
      </c>
      <c r="AO419" s="10">
        <v>74.063999999999993</v>
      </c>
      <c r="AP419" s="10">
        <v>0</v>
      </c>
      <c r="AQ419" s="8" t="s">
        <v>204</v>
      </c>
      <c r="AR419" s="8">
        <v>1</v>
      </c>
      <c r="AS419" s="10">
        <v>3619.953</v>
      </c>
      <c r="AT419" s="10">
        <v>3544.1370000000002</v>
      </c>
      <c r="AU419" s="8" t="s">
        <v>212</v>
      </c>
      <c r="AV419" s="10">
        <v>212.69</v>
      </c>
      <c r="AW419" s="11">
        <f>IF(AND(ISNUMBER(AV419),ISNUMBER(AT419)),IF(AT419&lt;&gt;0,AV419/ABS(AT419),""),"")</f>
        <v>6.0011788483345874E-2</v>
      </c>
      <c r="AX419" s="8">
        <v>0</v>
      </c>
      <c r="AY419" s="8">
        <v>1</v>
      </c>
      <c r="AZ419" s="10"/>
      <c r="BA419" s="8">
        <v>0</v>
      </c>
    </row>
    <row r="420" spans="1:53" x14ac:dyDescent="0.2">
      <c r="A420" s="8" t="s">
        <v>493</v>
      </c>
      <c r="B420" s="8" t="s">
        <v>83</v>
      </c>
      <c r="C420" s="8" t="s">
        <v>203</v>
      </c>
      <c r="D420" s="8">
        <v>1</v>
      </c>
      <c r="E420" s="8">
        <v>1</v>
      </c>
      <c r="F420" s="8">
        <f>SUM(G420:M420)</f>
        <v>1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1</v>
      </c>
      <c r="N420" s="8">
        <v>0</v>
      </c>
      <c r="O420" s="8">
        <v>0</v>
      </c>
      <c r="P420" s="8">
        <v>1</v>
      </c>
      <c r="Q420" s="8">
        <v>0</v>
      </c>
      <c r="R420" s="8">
        <v>0</v>
      </c>
      <c r="S420" s="8">
        <v>0</v>
      </c>
      <c r="T420" s="10"/>
      <c r="U420" s="10"/>
      <c r="V420" s="10">
        <v>-23.238</v>
      </c>
      <c r="W420" s="10" t="str">
        <f>IF(RIGHT(C420,2)="12",IF(ISNUMBER(T420),T420,""),IF(COUNT(T420,U420,V420)=3,T420+U420-V420,""))</f>
        <v/>
      </c>
      <c r="X420" s="10"/>
      <c r="Y420" s="10">
        <v>8.6780000000000008</v>
      </c>
      <c r="Z420" s="10">
        <v>-54.213000000000001</v>
      </c>
      <c r="AA420" s="10"/>
      <c r="AB420" s="10"/>
      <c r="AC420" s="8">
        <v>0</v>
      </c>
      <c r="AD420" s="8">
        <v>0</v>
      </c>
      <c r="AE420" s="8">
        <v>0</v>
      </c>
      <c r="AF420" s="10">
        <v>0</v>
      </c>
      <c r="AG420" s="8">
        <f>COUNTIF(Y420:AB420,"&gt;0")</f>
        <v>1</v>
      </c>
      <c r="AH420" s="10">
        <v>0</v>
      </c>
      <c r="AI420" s="10">
        <v>8.6780000000000008</v>
      </c>
      <c r="AJ420" s="8" t="str">
        <f>IF(ISNUMBER(X420),IF(X420&gt;0,"+",IF(X420&lt;0,"−","0")),IF(ISNUMBER(W420),IF(W420&gt;0,"+",IF(W420&lt;0,"−","0")),"yok"))</f>
        <v>yok</v>
      </c>
      <c r="AK420" s="10" t="str">
        <f>IF(AND(RIGHT(C420,2)&lt;&gt;"12",ISNUMBER(U420),ISNUMBER(V420)),U420-V420,"")</f>
        <v/>
      </c>
      <c r="AL420" s="11" t="str">
        <f>IF(AND(ISNUMBER(AK420),ISNUMBER(V420)),IF(V420&lt;&gt;0,AK420/ABS(V420),""),"")</f>
        <v/>
      </c>
      <c r="AM420" s="8" t="str">
        <f>IF(ISNUMBER(AK420),IF(AK420&gt;1,1,0),"")</f>
        <v/>
      </c>
      <c r="AN420" s="8" t="str">
        <f>IF(ISNUMBER(AK420),IF(AK420&gt;0.05*ABS(V420),1,0),"")</f>
        <v/>
      </c>
      <c r="AO420" s="10"/>
      <c r="AP420" s="10"/>
      <c r="AQ420" s="8" t="s">
        <v>207</v>
      </c>
      <c r="AR420" s="8">
        <v>0</v>
      </c>
      <c r="AS420" s="10">
        <v>29.806000000000001</v>
      </c>
      <c r="AT420" s="10"/>
      <c r="AU420" s="8" t="s">
        <v>207</v>
      </c>
      <c r="AV420" s="10">
        <v>8.6780000000000008</v>
      </c>
      <c r="AW420" s="11" t="str">
        <f>IF(AND(ISNUMBER(AV420),ISNUMBER(AT420)),IF(AT420&lt;&gt;0,AV420/ABS(AT420),""),"")</f>
        <v/>
      </c>
      <c r="AX420" s="8">
        <v>0</v>
      </c>
      <c r="AY420" s="8">
        <v>0</v>
      </c>
      <c r="AZ420" s="10"/>
      <c r="BA420" s="8">
        <v>0</v>
      </c>
    </row>
    <row r="421" spans="1:53" x14ac:dyDescent="0.2">
      <c r="A421" s="8" t="s">
        <v>494</v>
      </c>
      <c r="B421" s="8" t="s">
        <v>82</v>
      </c>
      <c r="C421" s="8" t="s">
        <v>210</v>
      </c>
      <c r="D421" s="8">
        <v>1</v>
      </c>
      <c r="E421" s="8">
        <v>1</v>
      </c>
      <c r="F421" s="8">
        <f>SUM(G421:M421)</f>
        <v>1</v>
      </c>
      <c r="G421" s="8">
        <v>1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1</v>
      </c>
      <c r="O421" s="8">
        <v>0</v>
      </c>
      <c r="P421" s="8">
        <v>1</v>
      </c>
      <c r="Q421" s="8">
        <v>1</v>
      </c>
      <c r="R421" s="8">
        <v>1</v>
      </c>
      <c r="S421" s="8">
        <v>1</v>
      </c>
      <c r="T421" s="10">
        <v>-2.6160000000000001</v>
      </c>
      <c r="U421" s="10">
        <v>-5.657</v>
      </c>
      <c r="V421" s="10">
        <v>-16.927</v>
      </c>
      <c r="W421" s="10">
        <f>IF(RIGHT(C421,2)="12",IF(ISNUMBER(T421),T421,""),IF(COUNT(T421,U421,V421)=3,T421+U421-V421,""))</f>
        <v>8.6539999999999999</v>
      </c>
      <c r="X421" s="10">
        <v>8.6530000000000005</v>
      </c>
      <c r="Y421" s="10">
        <v>12.487</v>
      </c>
      <c r="Z421" s="10">
        <v>-1.218</v>
      </c>
      <c r="AA421" s="10">
        <v>-6.3029999999999999</v>
      </c>
      <c r="AB421" s="10">
        <v>3.6859999999999999</v>
      </c>
      <c r="AC421" s="8">
        <v>0</v>
      </c>
      <c r="AD421" s="8">
        <v>0</v>
      </c>
      <c r="AE421" s="8">
        <v>0</v>
      </c>
      <c r="AF421" s="10">
        <v>0</v>
      </c>
      <c r="AG421" s="8">
        <f>COUNTIF(Y421:AB421,"&gt;0")</f>
        <v>2</v>
      </c>
      <c r="AH421" s="10">
        <v>3.6859999999999999</v>
      </c>
      <c r="AI421" s="10">
        <v>12.487</v>
      </c>
      <c r="AJ421" s="8" t="str">
        <f>IF(ISNUMBER(X421),IF(X421&gt;0,"+",IF(X421&lt;0,"−","0")),IF(ISNUMBER(W421),IF(W421&gt;0,"+",IF(W421&lt;0,"−","0")),"yok"))</f>
        <v>+</v>
      </c>
      <c r="AK421" s="10">
        <f>IF(AND(RIGHT(C421,2)&lt;&gt;"12",ISNUMBER(U421),ISNUMBER(V421)),U421-V421,"")</f>
        <v>11.27</v>
      </c>
      <c r="AL421" s="11">
        <f>IF(AND(ISNUMBER(AK421),ISNUMBER(V421)),IF(V421&lt;&gt;0,AK421/ABS(V421),""),"")</f>
        <v>0.66580020086252734</v>
      </c>
      <c r="AM421" s="8">
        <f>IF(ISNUMBER(AK421),IF(AK421&gt;1,1,0),"")</f>
        <v>1</v>
      </c>
      <c r="AN421" s="8">
        <f>IF(ISNUMBER(AK421),IF(AK421&gt;0.05*ABS(V421),1,0),"")</f>
        <v>1</v>
      </c>
      <c r="AO421" s="10">
        <v>8.6539999999999999</v>
      </c>
      <c r="AP421" s="10">
        <v>0</v>
      </c>
      <c r="AQ421" s="8" t="s">
        <v>204</v>
      </c>
      <c r="AR421" s="8">
        <v>1</v>
      </c>
      <c r="AS421" s="10">
        <v>25.66</v>
      </c>
      <c r="AT421" s="10">
        <v>-6.2880000000000003</v>
      </c>
      <c r="AU421" s="8" t="s">
        <v>204</v>
      </c>
      <c r="AV421" s="10">
        <v>11.27</v>
      </c>
      <c r="AW421" s="11">
        <f>IF(AND(ISNUMBER(AV421),ISNUMBER(AT421)),IF(AT421&lt;&gt;0,AV421/ABS(AT421),""),"")</f>
        <v>1.7923027989821882</v>
      </c>
      <c r="AX421" s="8">
        <v>0</v>
      </c>
      <c r="AY421" s="8">
        <v>1</v>
      </c>
      <c r="AZ421" s="10"/>
      <c r="BA421" s="8">
        <v>1</v>
      </c>
    </row>
    <row r="422" spans="1:53" x14ac:dyDescent="0.2">
      <c r="A422" s="8" t="s">
        <v>495</v>
      </c>
      <c r="B422" s="8" t="s">
        <v>83</v>
      </c>
      <c r="C422" s="8" t="s">
        <v>203</v>
      </c>
      <c r="D422" s="8">
        <v>1</v>
      </c>
      <c r="E422" s="8">
        <v>1</v>
      </c>
      <c r="F422" s="8">
        <f>SUM(G422:M422)</f>
        <v>1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1</v>
      </c>
      <c r="N422" s="8">
        <v>0</v>
      </c>
      <c r="O422" s="8">
        <v>0</v>
      </c>
      <c r="P422" s="8">
        <v>1</v>
      </c>
      <c r="Q422" s="8">
        <v>0</v>
      </c>
      <c r="R422" s="8">
        <v>0</v>
      </c>
      <c r="S422" s="8">
        <v>0</v>
      </c>
      <c r="T422" s="10">
        <v>-134.30600000000001</v>
      </c>
      <c r="U422" s="10">
        <v>-2801.0450000000001</v>
      </c>
      <c r="V422" s="10">
        <v>0</v>
      </c>
      <c r="W422" s="10">
        <f>IF(RIGHT(C422,2)="12",IF(ISNUMBER(T422),T422,""),IF(COUNT(T422,U422,V422)=3,T422+U422-V422,""))</f>
        <v>-2935.3510000000001</v>
      </c>
      <c r="X422" s="10">
        <v>-2935.3510000000001</v>
      </c>
      <c r="Y422" s="10">
        <v>-1762.4159999999999</v>
      </c>
      <c r="Z422" s="10">
        <v>766.43399999999997</v>
      </c>
      <c r="AA422" s="10">
        <v>-1805.0630000000001</v>
      </c>
      <c r="AB422" s="10">
        <v>-134.30600000000001</v>
      </c>
      <c r="AC422" s="8">
        <v>0</v>
      </c>
      <c r="AD422" s="8">
        <v>0</v>
      </c>
      <c r="AE422" s="8">
        <v>0</v>
      </c>
      <c r="AF422" s="10">
        <v>0</v>
      </c>
      <c r="AG422" s="8">
        <f>COUNTIF(Y422:AB422,"&gt;0")</f>
        <v>1</v>
      </c>
      <c r="AH422" s="10">
        <v>0</v>
      </c>
      <c r="AI422" s="10">
        <v>766.43399999999997</v>
      </c>
      <c r="AJ422" s="8" t="str">
        <f>IF(ISNUMBER(X422),IF(X422&gt;0,"+",IF(X422&lt;0,"−","0")),IF(ISNUMBER(W422),IF(W422&gt;0,"+",IF(W422&lt;0,"−","0")),"yok"))</f>
        <v>−</v>
      </c>
      <c r="AK422" s="10">
        <f>IF(AND(RIGHT(C422,2)&lt;&gt;"12",ISNUMBER(U422),ISNUMBER(V422)),U422-V422,"")</f>
        <v>-2801.0450000000001</v>
      </c>
      <c r="AL422" s="11" t="str">
        <f>IF(AND(ISNUMBER(AK422),ISNUMBER(V422)),IF(V422&lt;&gt;0,AK422/ABS(V422),""),"")</f>
        <v/>
      </c>
      <c r="AM422" s="8">
        <f>IF(ISNUMBER(AK422),IF(AK422&gt;1,1,0),"")</f>
        <v>0</v>
      </c>
      <c r="AN422" s="8">
        <f>IF(ISNUMBER(AK422),IF(AK422&gt;0.05*ABS(V422),1,0),"")</f>
        <v>0</v>
      </c>
      <c r="AO422" s="10">
        <v>-2935.3510000000001</v>
      </c>
      <c r="AP422" s="10">
        <v>2935.3510000000001</v>
      </c>
      <c r="AQ422" s="8" t="s">
        <v>204</v>
      </c>
      <c r="AR422" s="8">
        <v>0</v>
      </c>
      <c r="AS422" s="10">
        <v>6460.1</v>
      </c>
      <c r="AT422" s="10">
        <v>634.08799999999906</v>
      </c>
      <c r="AU422" s="8" t="s">
        <v>204</v>
      </c>
      <c r="AV422" s="10">
        <v>766.43399999999997</v>
      </c>
      <c r="AW422" s="11">
        <f>IF(AND(ISNUMBER(AV422),ISNUMBER(AT422)),IF(AT422&lt;&gt;0,AV422/ABS(AT422),""),"")</f>
        <v>1.2087186636555196</v>
      </c>
      <c r="AX422" s="8">
        <v>0</v>
      </c>
      <c r="AY422" s="8">
        <v>0</v>
      </c>
      <c r="AZ422" s="10"/>
      <c r="BA422" s="8">
        <v>0</v>
      </c>
    </row>
    <row r="423" spans="1:53" x14ac:dyDescent="0.2">
      <c r="A423" s="8" t="s">
        <v>495</v>
      </c>
      <c r="B423" s="8" t="s">
        <v>83</v>
      </c>
      <c r="C423" s="8" t="s">
        <v>205</v>
      </c>
      <c r="D423" s="8">
        <v>1</v>
      </c>
      <c r="E423" s="8">
        <v>1</v>
      </c>
      <c r="F423" s="8">
        <f>SUM(G423:M423)</f>
        <v>1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1</v>
      </c>
      <c r="N423" s="8">
        <v>0</v>
      </c>
      <c r="O423" s="8">
        <v>0</v>
      </c>
      <c r="P423" s="8">
        <v>1</v>
      </c>
      <c r="Q423" s="8">
        <v>0</v>
      </c>
      <c r="R423" s="8">
        <v>0</v>
      </c>
      <c r="S423" s="8">
        <v>0</v>
      </c>
      <c r="T423" s="10">
        <v>-876.19799999999998</v>
      </c>
      <c r="U423" s="10">
        <v>-2801.0450000000001</v>
      </c>
      <c r="V423" s="10">
        <v>-1762.4159999999999</v>
      </c>
      <c r="W423" s="10">
        <f>IF(RIGHT(C423,2)="12",IF(ISNUMBER(T423),T423,""),IF(COUNT(T423,U423,V423)=3,T423+U423-V423,""))</f>
        <v>-1914.827</v>
      </c>
      <c r="X423" s="10">
        <v>-1914.827</v>
      </c>
      <c r="Y423" s="10">
        <v>766.43399999999997</v>
      </c>
      <c r="Z423" s="10">
        <v>-1805.0630000000001</v>
      </c>
      <c r="AA423" s="10">
        <v>-134.30600000000001</v>
      </c>
      <c r="AB423" s="10">
        <v>-741.89200000000005</v>
      </c>
      <c r="AC423" s="8">
        <v>0</v>
      </c>
      <c r="AD423" s="8">
        <v>0</v>
      </c>
      <c r="AE423" s="8">
        <v>0</v>
      </c>
      <c r="AF423" s="10">
        <v>0</v>
      </c>
      <c r="AG423" s="8">
        <f>COUNTIF(Y423:AB423,"&gt;0")</f>
        <v>1</v>
      </c>
      <c r="AH423" s="10">
        <v>0</v>
      </c>
      <c r="AI423" s="10">
        <v>766.43399999999997</v>
      </c>
      <c r="AJ423" s="8" t="str">
        <f>IF(ISNUMBER(X423),IF(X423&gt;0,"+",IF(X423&lt;0,"−","0")),IF(ISNUMBER(W423),IF(W423&gt;0,"+",IF(W423&lt;0,"−","0")),"yok"))</f>
        <v>−</v>
      </c>
      <c r="AK423" s="10">
        <f>IF(AND(RIGHT(C423,2)&lt;&gt;"12",ISNUMBER(U423),ISNUMBER(V423)),U423-V423,"")</f>
        <v>-1038.6290000000001</v>
      </c>
      <c r="AL423" s="11">
        <f>IF(AND(ISNUMBER(AK423),ISNUMBER(V423)),IF(V423&lt;&gt;0,AK423/ABS(V423),""),"")</f>
        <v>-0.58932113643997797</v>
      </c>
      <c r="AM423" s="8">
        <f>IF(ISNUMBER(AK423),IF(AK423&gt;1,1,0),"")</f>
        <v>0</v>
      </c>
      <c r="AN423" s="8">
        <f>IF(ISNUMBER(AK423),IF(AK423&gt;0.05*ABS(V423),1,0),"")</f>
        <v>0</v>
      </c>
      <c r="AO423" s="10">
        <v>-1914.828</v>
      </c>
      <c r="AP423" s="10">
        <v>1914.828</v>
      </c>
      <c r="AQ423" s="8" t="s">
        <v>204</v>
      </c>
      <c r="AR423" s="8">
        <v>0</v>
      </c>
      <c r="AS423" s="10">
        <v>4815.241</v>
      </c>
      <c r="AT423" s="10">
        <v>82.421999999999599</v>
      </c>
      <c r="AU423" s="8" t="s">
        <v>204</v>
      </c>
      <c r="AV423" s="10">
        <v>766.43399999999997</v>
      </c>
      <c r="AW423" s="11">
        <f>IF(AND(ISNUMBER(AV423),ISNUMBER(AT423)),IF(AT423&lt;&gt;0,AV423/ABS(AT423),""),"")</f>
        <v>9.2989007789182949</v>
      </c>
      <c r="AX423" s="8">
        <v>0</v>
      </c>
      <c r="AY423" s="8">
        <v>0</v>
      </c>
      <c r="AZ423" s="10"/>
      <c r="BA423" s="8">
        <v>0</v>
      </c>
    </row>
    <row r="424" spans="1:53" x14ac:dyDescent="0.2">
      <c r="A424" s="8" t="s">
        <v>495</v>
      </c>
      <c r="B424" s="8" t="s">
        <v>84</v>
      </c>
      <c r="C424" s="8" t="s">
        <v>208</v>
      </c>
      <c r="D424" s="8">
        <v>1</v>
      </c>
      <c r="E424" s="8">
        <v>1</v>
      </c>
      <c r="F424" s="8">
        <f>SUM(G424:M424)</f>
        <v>1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1</v>
      </c>
      <c r="N424" s="8">
        <v>0</v>
      </c>
      <c r="O424" s="8">
        <v>0</v>
      </c>
      <c r="P424" s="8">
        <v>1</v>
      </c>
      <c r="Q424" s="8">
        <v>0</v>
      </c>
      <c r="R424" s="8">
        <v>0</v>
      </c>
      <c r="S424" s="8">
        <v>0</v>
      </c>
      <c r="T424" s="10">
        <v>0</v>
      </c>
      <c r="U424" s="10">
        <v>-4027.0039999999999</v>
      </c>
      <c r="V424" s="10">
        <v>-287.52300000000002</v>
      </c>
      <c r="W424" s="10">
        <f>IF(RIGHT(C424,2)="12",IF(ISNUMBER(T424),T424,""),IF(COUNT(T424,U424,V424)=3,T424+U424-V424,""))</f>
        <v>-3739.4809999999998</v>
      </c>
      <c r="X424" s="10">
        <v>-3739.48</v>
      </c>
      <c r="Y424" s="10">
        <v>72.668999999999997</v>
      </c>
      <c r="Z424" s="10">
        <v>-1208.7339999999999</v>
      </c>
      <c r="AA424" s="10">
        <v>-2603.415</v>
      </c>
      <c r="AB424" s="10">
        <v>0</v>
      </c>
      <c r="AC424" s="8">
        <v>0</v>
      </c>
      <c r="AD424" s="8">
        <v>0</v>
      </c>
      <c r="AE424" s="8">
        <v>0</v>
      </c>
      <c r="AF424" s="10">
        <v>0</v>
      </c>
      <c r="AG424" s="8">
        <f>COUNTIF(Y424:AB424,"&gt;0")</f>
        <v>1</v>
      </c>
      <c r="AH424" s="10">
        <v>0</v>
      </c>
      <c r="AI424" s="10">
        <v>72.668999999999997</v>
      </c>
      <c r="AJ424" s="8" t="str">
        <f>IF(ISNUMBER(X424),IF(X424&gt;0,"+",IF(X424&lt;0,"−","0")),IF(ISNUMBER(W424),IF(W424&gt;0,"+",IF(W424&lt;0,"−","0")),"yok"))</f>
        <v>−</v>
      </c>
      <c r="AK424" s="10">
        <f>IF(AND(RIGHT(C424,2)&lt;&gt;"12",ISNUMBER(U424),ISNUMBER(V424)),U424-V424,"")</f>
        <v>-3739.4809999999998</v>
      </c>
      <c r="AL424" s="11">
        <f>IF(AND(ISNUMBER(AK424),ISNUMBER(V424)),IF(V424&lt;&gt;0,AK424/ABS(V424),""),"")</f>
        <v>-13.005849966785265</v>
      </c>
      <c r="AM424" s="8">
        <f>IF(ISNUMBER(AK424),IF(AK424&gt;1,1,0),"")</f>
        <v>0</v>
      </c>
      <c r="AN424" s="8">
        <f>IF(ISNUMBER(AK424),IF(AK424&gt;0.05*ABS(V424),1,0),"")</f>
        <v>0</v>
      </c>
      <c r="AO424" s="10">
        <v>-3739.48</v>
      </c>
      <c r="AP424" s="10">
        <v>3739.48</v>
      </c>
      <c r="AQ424" s="8" t="s">
        <v>204</v>
      </c>
      <c r="AR424" s="8">
        <v>0</v>
      </c>
      <c r="AS424" s="10">
        <v>5913.5150000000003</v>
      </c>
      <c r="AT424" s="10">
        <v>255.661</v>
      </c>
      <c r="AU424" s="8" t="s">
        <v>204</v>
      </c>
      <c r="AV424" s="10">
        <v>72.668999999999997</v>
      </c>
      <c r="AW424" s="11">
        <f>IF(AND(ISNUMBER(AV424),ISNUMBER(AT424)),IF(AT424&lt;&gt;0,AV424/ABS(AT424),""),"")</f>
        <v>0.28423967675945883</v>
      </c>
      <c r="AX424" s="8">
        <v>0</v>
      </c>
      <c r="AY424" s="8">
        <v>0</v>
      </c>
      <c r="AZ424" s="10"/>
      <c r="BA424" s="8">
        <v>0</v>
      </c>
    </row>
    <row r="425" spans="1:53" x14ac:dyDescent="0.2">
      <c r="A425" s="8" t="s">
        <v>496</v>
      </c>
      <c r="B425" s="8" t="s">
        <v>83</v>
      </c>
      <c r="C425" s="8" t="s">
        <v>208</v>
      </c>
      <c r="D425" s="8">
        <v>1</v>
      </c>
      <c r="E425" s="8">
        <v>1</v>
      </c>
      <c r="F425" s="8">
        <f>SUM(G425:M425)</f>
        <v>1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1</v>
      </c>
      <c r="N425" s="8">
        <v>0</v>
      </c>
      <c r="O425" s="8">
        <v>0</v>
      </c>
      <c r="P425" s="8">
        <v>1</v>
      </c>
      <c r="Q425" s="8">
        <v>0</v>
      </c>
      <c r="R425" s="8">
        <v>0</v>
      </c>
      <c r="S425" s="8">
        <v>0</v>
      </c>
      <c r="T425" s="10">
        <v>-3.282</v>
      </c>
      <c r="U425" s="10">
        <v>-24.405999999999999</v>
      </c>
      <c r="V425" s="10">
        <v>-11.37</v>
      </c>
      <c r="W425" s="10">
        <f>IF(RIGHT(C425,2)="12",IF(ISNUMBER(T425),T425,""),IF(COUNT(T425,U425,V425)=3,T425+U425-V425,""))</f>
        <v>-16.317999999999998</v>
      </c>
      <c r="X425" s="10">
        <v>-16.318000000000001</v>
      </c>
      <c r="Y425" s="10">
        <v>-8.52</v>
      </c>
      <c r="Z425" s="10">
        <v>3.2149999999999999</v>
      </c>
      <c r="AA425" s="10">
        <v>-7.7309999999999999</v>
      </c>
      <c r="AB425" s="10">
        <v>-3.282</v>
      </c>
      <c r="AC425" s="8">
        <v>0</v>
      </c>
      <c r="AD425" s="8">
        <v>0</v>
      </c>
      <c r="AE425" s="8">
        <v>0</v>
      </c>
      <c r="AF425" s="10">
        <v>0</v>
      </c>
      <c r="AG425" s="8">
        <f>COUNTIF(Y425:AB425,"&gt;0")</f>
        <v>1</v>
      </c>
      <c r="AH425" s="10">
        <v>0</v>
      </c>
      <c r="AI425" s="10">
        <v>3.2149999999999999</v>
      </c>
      <c r="AJ425" s="8" t="str">
        <f>IF(ISNUMBER(X425),IF(X425&gt;0,"+",IF(X425&lt;0,"−","0")),IF(ISNUMBER(W425),IF(W425&gt;0,"+",IF(W425&lt;0,"−","0")),"yok"))</f>
        <v>−</v>
      </c>
      <c r="AK425" s="10">
        <f>IF(AND(RIGHT(C425,2)&lt;&gt;"12",ISNUMBER(U425),ISNUMBER(V425)),U425-V425,"")</f>
        <v>-13.036</v>
      </c>
      <c r="AL425" s="11">
        <f>IF(AND(ISNUMBER(AK425),ISNUMBER(V425)),IF(V425&lt;&gt;0,AK425/ABS(V425),""),"")</f>
        <v>-1.1465259454705365</v>
      </c>
      <c r="AM425" s="8">
        <f>IF(ISNUMBER(AK425),IF(AK425&gt;1,1,0),"")</f>
        <v>0</v>
      </c>
      <c r="AN425" s="8">
        <f>IF(ISNUMBER(AK425),IF(AK425&gt;0.05*ABS(V425),1,0),"")</f>
        <v>0</v>
      </c>
      <c r="AO425" s="10">
        <v>-16.318000000000001</v>
      </c>
      <c r="AP425" s="10">
        <v>16.318000000000001</v>
      </c>
      <c r="AQ425" s="8" t="s">
        <v>204</v>
      </c>
      <c r="AR425" s="8">
        <v>0</v>
      </c>
      <c r="AS425" s="10">
        <v>255.87799999999999</v>
      </c>
      <c r="AT425" s="10">
        <v>239.56</v>
      </c>
      <c r="AU425" s="8" t="s">
        <v>204</v>
      </c>
      <c r="AV425" s="10">
        <v>3.2149999999999999</v>
      </c>
      <c r="AW425" s="11">
        <f>IF(AND(ISNUMBER(AV425),ISNUMBER(AT425)),IF(AT425&lt;&gt;0,AV425/ABS(AT425),""),"")</f>
        <v>1.3420437468692602E-2</v>
      </c>
      <c r="AX425" s="8">
        <v>0</v>
      </c>
      <c r="AY425" s="8">
        <v>0</v>
      </c>
      <c r="AZ425" s="10"/>
      <c r="BA425" s="8">
        <v>0</v>
      </c>
    </row>
    <row r="426" spans="1:53" x14ac:dyDescent="0.2">
      <c r="A426" s="8" t="s">
        <v>496</v>
      </c>
      <c r="B426" s="8" t="s">
        <v>83</v>
      </c>
      <c r="C426" s="8" t="s">
        <v>210</v>
      </c>
      <c r="D426" s="8">
        <v>1</v>
      </c>
      <c r="E426" s="8">
        <v>1</v>
      </c>
      <c r="F426" s="8">
        <f>SUM(G426:M426)</f>
        <v>1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1</v>
      </c>
      <c r="N426" s="8">
        <v>0</v>
      </c>
      <c r="O426" s="8">
        <v>0</v>
      </c>
      <c r="P426" s="8">
        <v>1</v>
      </c>
      <c r="Q426" s="8">
        <v>0</v>
      </c>
      <c r="R426" s="8">
        <v>0</v>
      </c>
      <c r="S426" s="8">
        <v>0</v>
      </c>
      <c r="T426" s="10">
        <v>-6.4980000000000002</v>
      </c>
      <c r="U426" s="10">
        <v>-24.405999999999999</v>
      </c>
      <c r="V426" s="10">
        <v>-19.89</v>
      </c>
      <c r="W426" s="10">
        <f>IF(RIGHT(C426,2)="12",IF(ISNUMBER(T426),T426,""),IF(COUNT(T426,U426,V426)=3,T426+U426-V426,""))</f>
        <v>-11.013999999999999</v>
      </c>
      <c r="X426" s="10">
        <v>-11.013999999999999</v>
      </c>
      <c r="Y426" s="10">
        <v>3.2149999999999999</v>
      </c>
      <c r="Z426" s="10">
        <v>-7.7309999999999999</v>
      </c>
      <c r="AA426" s="10">
        <v>-3.282</v>
      </c>
      <c r="AB426" s="10">
        <v>-3.2149999999999999</v>
      </c>
      <c r="AC426" s="8">
        <v>0</v>
      </c>
      <c r="AD426" s="8">
        <v>0</v>
      </c>
      <c r="AE426" s="8">
        <v>0</v>
      </c>
      <c r="AF426" s="10">
        <v>0</v>
      </c>
      <c r="AG426" s="8">
        <f>COUNTIF(Y426:AB426,"&gt;0")</f>
        <v>1</v>
      </c>
      <c r="AH426" s="10">
        <v>0</v>
      </c>
      <c r="AI426" s="10">
        <v>3.2149999999999999</v>
      </c>
      <c r="AJ426" s="8" t="str">
        <f>IF(ISNUMBER(X426),IF(X426&gt;0,"+",IF(X426&lt;0,"−","0")),IF(ISNUMBER(W426),IF(W426&gt;0,"+",IF(W426&lt;0,"−","0")),"yok"))</f>
        <v>−</v>
      </c>
      <c r="AK426" s="10">
        <f>IF(AND(RIGHT(C426,2)&lt;&gt;"12",ISNUMBER(U426),ISNUMBER(V426)),U426-V426,"")</f>
        <v>-4.5159999999999982</v>
      </c>
      <c r="AL426" s="11">
        <f>IF(AND(ISNUMBER(AK426),ISNUMBER(V426)),IF(V426&lt;&gt;0,AK426/ABS(V426),""),"")</f>
        <v>-0.22704876822523873</v>
      </c>
      <c r="AM426" s="8">
        <f>IF(ISNUMBER(AK426),IF(AK426&gt;1,1,0),"")</f>
        <v>0</v>
      </c>
      <c r="AN426" s="8">
        <f>IF(ISNUMBER(AK426),IF(AK426&gt;0.05*ABS(V426),1,0),"")</f>
        <v>0</v>
      </c>
      <c r="AO426" s="10">
        <v>-11.013999999999999</v>
      </c>
      <c r="AP426" s="10">
        <v>11.013999999999999</v>
      </c>
      <c r="AQ426" s="8" t="s">
        <v>204</v>
      </c>
      <c r="AR426" s="8">
        <v>0</v>
      </c>
      <c r="AS426" s="10">
        <v>236.07</v>
      </c>
      <c r="AT426" s="10">
        <v>225.05600000000001</v>
      </c>
      <c r="AU426" s="8" t="s">
        <v>204</v>
      </c>
      <c r="AV426" s="10">
        <v>3.2149999999999999</v>
      </c>
      <c r="AW426" s="11">
        <f>IF(AND(ISNUMBER(AV426),ISNUMBER(AT426)),IF(AT426&lt;&gt;0,AV426/ABS(AT426),""),"")</f>
        <v>1.4285333428124554E-2</v>
      </c>
      <c r="AX426" s="8">
        <v>0</v>
      </c>
      <c r="AY426" s="8">
        <v>0</v>
      </c>
      <c r="AZ426" s="10"/>
      <c r="BA426" s="8">
        <v>0</v>
      </c>
    </row>
    <row r="427" spans="1:53" x14ac:dyDescent="0.2">
      <c r="A427" s="8" t="s">
        <v>497</v>
      </c>
      <c r="B427" s="8" t="s">
        <v>82</v>
      </c>
      <c r="C427" s="8" t="s">
        <v>205</v>
      </c>
      <c r="D427" s="8">
        <v>1</v>
      </c>
      <c r="E427" s="8">
        <v>1</v>
      </c>
      <c r="F427" s="8">
        <f>SUM(G427:M427)</f>
        <v>1</v>
      </c>
      <c r="G427" s="8">
        <v>1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10"/>
      <c r="U427" s="10"/>
      <c r="V427" s="10">
        <v>-0.33800000000000002</v>
      </c>
      <c r="W427" s="10" t="str">
        <f>IF(RIGHT(C427,2)="12",IF(ISNUMBER(T427),T427,""),IF(COUNT(T427,U427,V427)=3,T427+U427-V427,""))</f>
        <v/>
      </c>
      <c r="X427" s="10"/>
      <c r="Y427" s="10"/>
      <c r="Z427" s="10"/>
      <c r="AA427" s="10"/>
      <c r="AB427" s="10"/>
      <c r="AC427" s="8">
        <v>0</v>
      </c>
      <c r="AD427" s="8">
        <v>0</v>
      </c>
      <c r="AE427" s="8">
        <v>0</v>
      </c>
      <c r="AF427" s="10">
        <v>0</v>
      </c>
      <c r="AG427" s="8">
        <f>COUNTIF(Y427:AB427,"&gt;0")</f>
        <v>0</v>
      </c>
      <c r="AH427" s="10">
        <v>0</v>
      </c>
      <c r="AI427" s="10">
        <v>0</v>
      </c>
      <c r="AJ427" s="8" t="str">
        <f>IF(ISNUMBER(X427),IF(X427&gt;0,"+",IF(X427&lt;0,"−","0")),IF(ISNUMBER(W427),IF(W427&gt;0,"+",IF(W427&lt;0,"−","0")),"yok"))</f>
        <v>yok</v>
      </c>
      <c r="AK427" s="10" t="str">
        <f>IF(AND(RIGHT(C427,2)&lt;&gt;"12",ISNUMBER(U427),ISNUMBER(V427)),U427-V427,"")</f>
        <v/>
      </c>
      <c r="AL427" s="11" t="str">
        <f>IF(AND(ISNUMBER(AK427),ISNUMBER(V427)),IF(V427&lt;&gt;0,AK427/ABS(V427),""),"")</f>
        <v/>
      </c>
      <c r="AM427" s="8" t="str">
        <f>IF(ISNUMBER(AK427),IF(AK427&gt;1,1,0),"")</f>
        <v/>
      </c>
      <c r="AN427" s="8" t="str">
        <f>IF(ISNUMBER(AK427),IF(AK427&gt;0.05*ABS(V427),1,0),"")</f>
        <v/>
      </c>
      <c r="AO427" s="10">
        <v>0.33800000000000002</v>
      </c>
      <c r="AP427" s="10">
        <v>0</v>
      </c>
      <c r="AQ427" s="8" t="s">
        <v>209</v>
      </c>
      <c r="AR427" s="8">
        <v>1</v>
      </c>
      <c r="AS427" s="10">
        <v>172.398</v>
      </c>
      <c r="AT427" s="10">
        <v>130.03899999999999</v>
      </c>
      <c r="AU427" s="8" t="s">
        <v>209</v>
      </c>
      <c r="AV427" s="10">
        <v>0</v>
      </c>
      <c r="AW427" s="11">
        <f>IF(AND(ISNUMBER(AV427),ISNUMBER(AT427)),IF(AT427&lt;&gt;0,AV427/ABS(AT427),""),"")</f>
        <v>0</v>
      </c>
      <c r="AX427" s="8">
        <v>0</v>
      </c>
      <c r="AY427" s="8">
        <v>0</v>
      </c>
      <c r="AZ427" s="10"/>
      <c r="BA427" s="8">
        <v>0</v>
      </c>
    </row>
    <row r="428" spans="1:53" x14ac:dyDescent="0.2">
      <c r="A428" s="8" t="s">
        <v>498</v>
      </c>
      <c r="B428" s="8" t="s">
        <v>83</v>
      </c>
      <c r="C428" s="8" t="s">
        <v>208</v>
      </c>
      <c r="D428" s="8">
        <v>1</v>
      </c>
      <c r="E428" s="8">
        <v>1</v>
      </c>
      <c r="F428" s="8">
        <f>SUM(G428:M428)</f>
        <v>2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1</v>
      </c>
      <c r="M428" s="8">
        <v>1</v>
      </c>
      <c r="N428" s="8">
        <v>1</v>
      </c>
      <c r="O428" s="8">
        <v>0</v>
      </c>
      <c r="P428" s="8">
        <v>1</v>
      </c>
      <c r="Q428" s="8">
        <v>0</v>
      </c>
      <c r="R428" s="8">
        <v>0</v>
      </c>
      <c r="S428" s="8">
        <v>0</v>
      </c>
      <c r="T428" s="10">
        <v>-102.884</v>
      </c>
      <c r="U428" s="10">
        <v>-125.74</v>
      </c>
      <c r="V428" s="10">
        <v>-312.21100000000001</v>
      </c>
      <c r="W428" s="10">
        <f>IF(RIGHT(C428,2)="12",IF(ISNUMBER(T428),T428,""),IF(COUNT(T428,U428,V428)=3,T428+U428-V428,""))</f>
        <v>83.587000000000018</v>
      </c>
      <c r="X428" s="10">
        <v>83.585999999999999</v>
      </c>
      <c r="Y428" s="10">
        <v>135.00700000000001</v>
      </c>
      <c r="Z428" s="10"/>
      <c r="AA428" s="10"/>
      <c r="AB428" s="10">
        <v>-102.884</v>
      </c>
      <c r="AC428" s="8">
        <v>0</v>
      </c>
      <c r="AD428" s="8">
        <v>0</v>
      </c>
      <c r="AE428" s="8">
        <v>0</v>
      </c>
      <c r="AF428" s="10">
        <v>0</v>
      </c>
      <c r="AG428" s="8">
        <f>COUNTIF(Y428:AB428,"&gt;0")</f>
        <v>1</v>
      </c>
      <c r="AH428" s="10">
        <v>0</v>
      </c>
      <c r="AI428" s="10">
        <v>135.00700000000001</v>
      </c>
      <c r="AJ428" s="8" t="str">
        <f>IF(ISNUMBER(X428),IF(X428&gt;0,"+",IF(X428&lt;0,"−","0")),IF(ISNUMBER(W428),IF(W428&gt;0,"+",IF(W428&lt;0,"−","0")),"yok"))</f>
        <v>+</v>
      </c>
      <c r="AK428" s="10">
        <f>IF(AND(RIGHT(C428,2)&lt;&gt;"12",ISNUMBER(U428),ISNUMBER(V428)),U428-V428,"")</f>
        <v>186.471</v>
      </c>
      <c r="AL428" s="11">
        <f>IF(AND(ISNUMBER(AK428),ISNUMBER(V428)),IF(V428&lt;&gt;0,AK428/ABS(V428),""),"")</f>
        <v>0.5972595456277966</v>
      </c>
      <c r="AM428" s="8">
        <f>IF(ISNUMBER(AK428),IF(AK428&gt;1,1,0),"")</f>
        <v>1</v>
      </c>
      <c r="AN428" s="8">
        <f>IF(ISNUMBER(AK428),IF(AK428&gt;0.05*ABS(V428),1,0),"")</f>
        <v>1</v>
      </c>
      <c r="AO428" s="10"/>
      <c r="AP428" s="10"/>
      <c r="AQ428" s="8" t="s">
        <v>207</v>
      </c>
      <c r="AR428" s="8">
        <v>0</v>
      </c>
      <c r="AS428" s="10"/>
      <c r="AT428" s="10"/>
      <c r="AU428" s="8" t="s">
        <v>207</v>
      </c>
      <c r="AV428" s="10">
        <v>186.471</v>
      </c>
      <c r="AW428" s="11" t="str">
        <f>IF(AND(ISNUMBER(AV428),ISNUMBER(AT428)),IF(AT428&lt;&gt;0,AV428/ABS(AT428),""),"")</f>
        <v/>
      </c>
      <c r="AX428" s="8">
        <v>0</v>
      </c>
      <c r="AY428" s="8">
        <v>1</v>
      </c>
      <c r="AZ428" s="10"/>
      <c r="BA428" s="8">
        <v>0</v>
      </c>
    </row>
    <row r="429" spans="1:53" x14ac:dyDescent="0.2">
      <c r="A429" s="8" t="s">
        <v>498</v>
      </c>
      <c r="B429" s="8" t="s">
        <v>83</v>
      </c>
      <c r="C429" s="8" t="s">
        <v>210</v>
      </c>
      <c r="D429" s="8">
        <v>1</v>
      </c>
      <c r="E429" s="8">
        <v>1</v>
      </c>
      <c r="F429" s="8">
        <f>SUM(G429:M429)</f>
        <v>2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1</v>
      </c>
      <c r="M429" s="8">
        <v>1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10">
        <v>-226.20099999999999</v>
      </c>
      <c r="U429" s="10">
        <v>-125.74</v>
      </c>
      <c r="V429" s="10">
        <v>-177.20400000000001</v>
      </c>
      <c r="W429" s="10">
        <f>IF(RIGHT(C429,2)="12",IF(ISNUMBER(T429),T429,""),IF(COUNT(T429,U429,V429)=3,T429+U429-V429,""))</f>
        <v>-174.73699999999997</v>
      </c>
      <c r="X429" s="10">
        <v>-174.738</v>
      </c>
      <c r="Y429" s="10"/>
      <c r="Z429" s="10"/>
      <c r="AA429" s="10">
        <v>-102.884</v>
      </c>
      <c r="AB429" s="10">
        <v>-123.31699999999999</v>
      </c>
      <c r="AC429" s="8">
        <v>0</v>
      </c>
      <c r="AD429" s="8">
        <v>0</v>
      </c>
      <c r="AE429" s="8">
        <v>0</v>
      </c>
      <c r="AF429" s="10">
        <v>0</v>
      </c>
      <c r="AG429" s="8">
        <f>COUNTIF(Y429:AB429,"&gt;0")</f>
        <v>0</v>
      </c>
      <c r="AH429" s="10">
        <v>0</v>
      </c>
      <c r="AI429" s="10">
        <v>0</v>
      </c>
      <c r="AJ429" s="8" t="str">
        <f>IF(ISNUMBER(X429),IF(X429&gt;0,"+",IF(X429&lt;0,"−","0")),IF(ISNUMBER(W429),IF(W429&gt;0,"+",IF(W429&lt;0,"−","0")),"yok"))</f>
        <v>−</v>
      </c>
      <c r="AK429" s="10">
        <f>IF(AND(RIGHT(C429,2)&lt;&gt;"12",ISNUMBER(U429),ISNUMBER(V429)),U429-V429,"")</f>
        <v>51.464000000000013</v>
      </c>
      <c r="AL429" s="11">
        <f>IF(AND(ISNUMBER(AK429),ISNUMBER(V429)),IF(V429&lt;&gt;0,AK429/ABS(V429),""),"")</f>
        <v>0.29042233809620555</v>
      </c>
      <c r="AM429" s="8">
        <f>IF(ISNUMBER(AK429),IF(AK429&gt;1,1,0),"")</f>
        <v>1</v>
      </c>
      <c r="AN429" s="8">
        <f>IF(ISNUMBER(AK429),IF(AK429&gt;0.05*ABS(V429),1,0),"")</f>
        <v>1</v>
      </c>
      <c r="AO429" s="10"/>
      <c r="AP429" s="10"/>
      <c r="AQ429" s="8" t="s">
        <v>207</v>
      </c>
      <c r="AR429" s="8">
        <v>0</v>
      </c>
      <c r="AS429" s="10"/>
      <c r="AT429" s="10"/>
      <c r="AU429" s="8" t="s">
        <v>207</v>
      </c>
      <c r="AV429" s="10">
        <v>51.463999999999999</v>
      </c>
      <c r="AW429" s="11" t="str">
        <f>IF(AND(ISNUMBER(AV429),ISNUMBER(AT429)),IF(AT429&lt;&gt;0,AV429/ABS(AT429),""),"")</f>
        <v/>
      </c>
      <c r="AX429" s="8">
        <v>0</v>
      </c>
      <c r="AY429" s="8">
        <v>1</v>
      </c>
      <c r="AZ429" s="10"/>
      <c r="BA429" s="8">
        <v>0</v>
      </c>
    </row>
    <row r="430" spans="1:53" x14ac:dyDescent="0.2">
      <c r="A430" s="8" t="s">
        <v>499</v>
      </c>
      <c r="B430" s="8" t="s">
        <v>82</v>
      </c>
      <c r="C430" s="8" t="s">
        <v>210</v>
      </c>
      <c r="D430" s="8">
        <v>1</v>
      </c>
      <c r="E430" s="8">
        <v>1</v>
      </c>
      <c r="F430" s="8">
        <f>SUM(G430:M430)</f>
        <v>1</v>
      </c>
      <c r="G430" s="8">
        <v>1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1</v>
      </c>
      <c r="O430" s="8">
        <v>0</v>
      </c>
      <c r="P430" s="8">
        <v>1</v>
      </c>
      <c r="Q430" s="8">
        <v>1</v>
      </c>
      <c r="R430" s="8">
        <v>1</v>
      </c>
      <c r="S430" s="8">
        <v>0</v>
      </c>
      <c r="T430" s="10">
        <v>-10.648999999999999</v>
      </c>
      <c r="U430" s="10">
        <v>-13.27</v>
      </c>
      <c r="V430" s="10">
        <v>-51.749000000000002</v>
      </c>
      <c r="W430" s="10">
        <f>IF(RIGHT(C430,2)="12",IF(ISNUMBER(T430),T430,""),IF(COUNT(T430,U430,V430)=3,T430+U430-V430,""))</f>
        <v>27.830000000000005</v>
      </c>
      <c r="X430" s="10">
        <v>27.829000000000001</v>
      </c>
      <c r="Y430" s="10">
        <v>33.889000000000003</v>
      </c>
      <c r="Z430" s="10">
        <v>4.5890000000000004</v>
      </c>
      <c r="AA430" s="10">
        <v>-6.08</v>
      </c>
      <c r="AB430" s="10">
        <v>-4.5679999999999996</v>
      </c>
      <c r="AC430" s="8">
        <v>0</v>
      </c>
      <c r="AD430" s="8">
        <v>0</v>
      </c>
      <c r="AE430" s="8">
        <v>0</v>
      </c>
      <c r="AF430" s="10">
        <v>0</v>
      </c>
      <c r="AG430" s="8">
        <f>COUNTIF(Y430:AB430,"&gt;0")</f>
        <v>2</v>
      </c>
      <c r="AH430" s="10">
        <v>0</v>
      </c>
      <c r="AI430" s="10">
        <v>38.478000000000002</v>
      </c>
      <c r="AJ430" s="8" t="str">
        <f>IF(ISNUMBER(X430),IF(X430&gt;0,"+",IF(X430&lt;0,"−","0")),IF(ISNUMBER(W430),IF(W430&gt;0,"+",IF(W430&lt;0,"−","0")),"yok"))</f>
        <v>+</v>
      </c>
      <c r="AK430" s="10">
        <f>IF(AND(RIGHT(C430,2)&lt;&gt;"12",ISNUMBER(U430),ISNUMBER(V430)),U430-V430,"")</f>
        <v>38.478999999999999</v>
      </c>
      <c r="AL430" s="11">
        <f>IF(AND(ISNUMBER(AK430),ISNUMBER(V430)),IF(V430&lt;&gt;0,AK430/ABS(V430),""),"")</f>
        <v>0.74356992405650346</v>
      </c>
      <c r="AM430" s="8">
        <f>IF(ISNUMBER(AK430),IF(AK430&gt;1,1,0),"")</f>
        <v>1</v>
      </c>
      <c r="AN430" s="8">
        <f>IF(ISNUMBER(AK430),IF(AK430&gt;0.05*ABS(V430),1,0),"")</f>
        <v>1</v>
      </c>
      <c r="AO430" s="10">
        <v>27.83</v>
      </c>
      <c r="AP430" s="10">
        <v>0</v>
      </c>
      <c r="AQ430" s="8" t="s">
        <v>204</v>
      </c>
      <c r="AR430" s="8">
        <v>1</v>
      </c>
      <c r="AS430" s="10">
        <v>-994.21600000000001</v>
      </c>
      <c r="AT430" s="10">
        <v>-997.93600000000004</v>
      </c>
      <c r="AU430" s="8" t="s">
        <v>204</v>
      </c>
      <c r="AV430" s="10">
        <v>38.478999999999999</v>
      </c>
      <c r="AW430" s="11">
        <f>IF(AND(ISNUMBER(AV430),ISNUMBER(AT430)),IF(AT430&lt;&gt;0,AV430/ABS(AT430),""),"")</f>
        <v>3.855858491927338E-2</v>
      </c>
      <c r="AX430" s="8">
        <v>0</v>
      </c>
      <c r="AY430" s="8">
        <v>1</v>
      </c>
      <c r="AZ430" s="10"/>
      <c r="BA430" s="8">
        <v>0</v>
      </c>
    </row>
    <row r="431" spans="1:53" x14ac:dyDescent="0.2">
      <c r="A431" s="8" t="s">
        <v>499</v>
      </c>
      <c r="B431" s="8" t="s">
        <v>83</v>
      </c>
      <c r="C431" s="8" t="s">
        <v>203</v>
      </c>
      <c r="D431" s="8">
        <v>1</v>
      </c>
      <c r="E431" s="8">
        <v>1</v>
      </c>
      <c r="F431" s="8">
        <f>SUM(G431:M431)</f>
        <v>1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1</v>
      </c>
      <c r="N431" s="8">
        <v>0</v>
      </c>
      <c r="O431" s="8">
        <v>0</v>
      </c>
      <c r="P431" s="8">
        <v>1</v>
      </c>
      <c r="Q431" s="8">
        <v>0</v>
      </c>
      <c r="R431" s="8">
        <v>0</v>
      </c>
      <c r="S431" s="8">
        <v>0</v>
      </c>
      <c r="T431" s="10">
        <v>-392.88299999999998</v>
      </c>
      <c r="U431" s="10">
        <v>-211.727</v>
      </c>
      <c r="V431" s="10">
        <v>-148.661</v>
      </c>
      <c r="W431" s="10">
        <f>IF(RIGHT(C431,2)="12",IF(ISNUMBER(T431),T431,""),IF(COUNT(T431,U431,V431)=3,T431+U431-V431,""))</f>
        <v>-455.94900000000001</v>
      </c>
      <c r="X431" s="10">
        <v>-455.94900000000001</v>
      </c>
      <c r="Y431" s="10">
        <v>93.533000000000001</v>
      </c>
      <c r="Z431" s="10">
        <v>-291.59300000000002</v>
      </c>
      <c r="AA431" s="10">
        <v>134.994</v>
      </c>
      <c r="AB431" s="10">
        <v>-392.88299999999998</v>
      </c>
      <c r="AC431" s="8">
        <v>0</v>
      </c>
      <c r="AD431" s="8">
        <v>0</v>
      </c>
      <c r="AE431" s="8">
        <v>0</v>
      </c>
      <c r="AF431" s="10">
        <v>0</v>
      </c>
      <c r="AG431" s="8">
        <f>COUNTIF(Y431:AB431,"&gt;0")</f>
        <v>2</v>
      </c>
      <c r="AH431" s="10">
        <v>0</v>
      </c>
      <c r="AI431" s="10">
        <v>228.52699999999999</v>
      </c>
      <c r="AJ431" s="8" t="str">
        <f>IF(ISNUMBER(X431),IF(X431&gt;0,"+",IF(X431&lt;0,"−","0")),IF(ISNUMBER(W431),IF(W431&gt;0,"+",IF(W431&lt;0,"−","0")),"yok"))</f>
        <v>−</v>
      </c>
      <c r="AK431" s="10">
        <f>IF(AND(RIGHT(C431,2)&lt;&gt;"12",ISNUMBER(U431),ISNUMBER(V431)),U431-V431,"")</f>
        <v>-63.066000000000003</v>
      </c>
      <c r="AL431" s="11">
        <f>IF(AND(ISNUMBER(AK431),ISNUMBER(V431)),IF(V431&lt;&gt;0,AK431/ABS(V431),""),"")</f>
        <v>-0.4242269324167065</v>
      </c>
      <c r="AM431" s="8">
        <f>IF(ISNUMBER(AK431),IF(AK431&gt;1,1,0),"")</f>
        <v>0</v>
      </c>
      <c r="AN431" s="8">
        <f>IF(ISNUMBER(AK431),IF(AK431&gt;0.05*ABS(V431),1,0),"")</f>
        <v>0</v>
      </c>
      <c r="AO431" s="10">
        <v>-455.95</v>
      </c>
      <c r="AP431" s="10">
        <v>455.95</v>
      </c>
      <c r="AQ431" s="8" t="s">
        <v>204</v>
      </c>
      <c r="AR431" s="8">
        <v>0</v>
      </c>
      <c r="AS431" s="10">
        <v>772.49099999999999</v>
      </c>
      <c r="AT431" s="10">
        <v>309.13600000000002</v>
      </c>
      <c r="AU431" s="8" t="s">
        <v>204</v>
      </c>
      <c r="AV431" s="10">
        <v>134.994</v>
      </c>
      <c r="AW431" s="11">
        <f>IF(AND(ISNUMBER(AV431),ISNUMBER(AT431)),IF(AT431&lt;&gt;0,AV431/ABS(AT431),""),"")</f>
        <v>0.43668158997981465</v>
      </c>
      <c r="AX431" s="8">
        <v>0</v>
      </c>
      <c r="AY431" s="8">
        <v>0</v>
      </c>
      <c r="AZ431" s="10"/>
      <c r="BA431" s="8">
        <v>0</v>
      </c>
    </row>
    <row r="432" spans="1:53" x14ac:dyDescent="0.2">
      <c r="A432" s="8" t="s">
        <v>499</v>
      </c>
      <c r="B432" s="8" t="s">
        <v>83</v>
      </c>
      <c r="C432" s="8" t="s">
        <v>205</v>
      </c>
      <c r="D432" s="8">
        <v>1</v>
      </c>
      <c r="E432" s="8">
        <v>1</v>
      </c>
      <c r="F432" s="8">
        <f>SUM(G432:M432)</f>
        <v>1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1</v>
      </c>
      <c r="N432" s="8">
        <v>0</v>
      </c>
      <c r="O432" s="8">
        <v>0</v>
      </c>
      <c r="P432" s="8">
        <v>1</v>
      </c>
      <c r="Q432" s="8">
        <v>0</v>
      </c>
      <c r="R432" s="8">
        <v>0</v>
      </c>
      <c r="S432" s="8">
        <v>0</v>
      </c>
      <c r="T432" s="10">
        <v>-565.23099999999999</v>
      </c>
      <c r="U432" s="10">
        <v>-211.727</v>
      </c>
      <c r="V432" s="10">
        <v>-55.128</v>
      </c>
      <c r="W432" s="10">
        <f>IF(RIGHT(C432,2)="12",IF(ISNUMBER(T432),T432,""),IF(COUNT(T432,U432,V432)=3,T432+U432-V432,""))</f>
        <v>-721.82999999999993</v>
      </c>
      <c r="X432" s="10">
        <v>-721.83</v>
      </c>
      <c r="Y432" s="10">
        <v>-291.59300000000002</v>
      </c>
      <c r="Z432" s="10">
        <v>134.994</v>
      </c>
      <c r="AA432" s="10">
        <v>-392.88299999999998</v>
      </c>
      <c r="AB432" s="10">
        <v>-172.34700000000001</v>
      </c>
      <c r="AC432" s="8">
        <v>0</v>
      </c>
      <c r="AD432" s="8">
        <v>0</v>
      </c>
      <c r="AE432" s="8">
        <v>0</v>
      </c>
      <c r="AF432" s="10">
        <v>0</v>
      </c>
      <c r="AG432" s="8">
        <f>COUNTIF(Y432:AB432,"&gt;0")</f>
        <v>1</v>
      </c>
      <c r="AH432" s="10">
        <v>0</v>
      </c>
      <c r="AI432" s="10">
        <v>134.994</v>
      </c>
      <c r="AJ432" s="8" t="str">
        <f>IF(ISNUMBER(X432),IF(X432&gt;0,"+",IF(X432&lt;0,"−","0")),IF(ISNUMBER(W432),IF(W432&gt;0,"+",IF(W432&lt;0,"−","0")),"yok"))</f>
        <v>−</v>
      </c>
      <c r="AK432" s="10">
        <f>IF(AND(RIGHT(C432,2)&lt;&gt;"12",ISNUMBER(U432),ISNUMBER(V432)),U432-V432,"")</f>
        <v>-156.59899999999999</v>
      </c>
      <c r="AL432" s="11">
        <f>IF(AND(ISNUMBER(AK432),ISNUMBER(V432)),IF(V432&lt;&gt;0,AK432/ABS(V432),""),"")</f>
        <v>-2.8406435930924392</v>
      </c>
      <c r="AM432" s="8">
        <f>IF(ISNUMBER(AK432),IF(AK432&gt;1,1,0),"")</f>
        <v>0</v>
      </c>
      <c r="AN432" s="8">
        <f>IF(ISNUMBER(AK432),IF(AK432&gt;0.05*ABS(V432),1,0),"")</f>
        <v>0</v>
      </c>
      <c r="AO432" s="10">
        <v>-721.83100000000002</v>
      </c>
      <c r="AP432" s="10">
        <v>721.83100000000002</v>
      </c>
      <c r="AQ432" s="8" t="s">
        <v>204</v>
      </c>
      <c r="AR432" s="8">
        <v>0</v>
      </c>
      <c r="AS432" s="10">
        <v>1327.7329999999999</v>
      </c>
      <c r="AT432" s="10">
        <v>546.74800000000005</v>
      </c>
      <c r="AU432" s="8" t="s">
        <v>204</v>
      </c>
      <c r="AV432" s="10">
        <v>134.994</v>
      </c>
      <c r="AW432" s="11">
        <f>IF(AND(ISNUMBER(AV432),ISNUMBER(AT432)),IF(AT432&lt;&gt;0,AV432/ABS(AT432),""),"")</f>
        <v>0.24690350947785816</v>
      </c>
      <c r="AX432" s="8">
        <v>0</v>
      </c>
      <c r="AY432" s="8">
        <v>0</v>
      </c>
      <c r="AZ432" s="10"/>
      <c r="BA432" s="8">
        <v>0</v>
      </c>
    </row>
    <row r="433" spans="1:53" x14ac:dyDescent="0.2">
      <c r="A433" s="8" t="s">
        <v>499</v>
      </c>
      <c r="B433" s="8" t="s">
        <v>83</v>
      </c>
      <c r="C433" s="8" t="s">
        <v>215</v>
      </c>
      <c r="D433" s="8">
        <v>1</v>
      </c>
      <c r="E433" s="8">
        <v>1</v>
      </c>
      <c r="F433" s="8">
        <f>SUM(G433:M433)</f>
        <v>2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1</v>
      </c>
      <c r="M433" s="8">
        <v>1</v>
      </c>
      <c r="N433" s="8">
        <v>0</v>
      </c>
      <c r="O433" s="8">
        <v>0</v>
      </c>
      <c r="P433" s="8">
        <v>1</v>
      </c>
      <c r="Q433" s="8">
        <v>0</v>
      </c>
      <c r="R433" s="8">
        <v>0</v>
      </c>
      <c r="S433" s="8">
        <v>1</v>
      </c>
      <c r="T433" s="10">
        <v>-559.649</v>
      </c>
      <c r="U433" s="10">
        <v>-211.727</v>
      </c>
      <c r="V433" s="10">
        <v>-346.721</v>
      </c>
      <c r="W433" s="10">
        <f>IF(RIGHT(C433,2)="12",IF(ISNUMBER(T433),T433,""),IF(COUNT(T433,U433,V433)=3,T433+U433-V433,""))</f>
        <v>-424.65499999999997</v>
      </c>
      <c r="X433" s="10">
        <v>-424.65499999999997</v>
      </c>
      <c r="Y433" s="10">
        <v>134.994</v>
      </c>
      <c r="Z433" s="10">
        <v>-392.88299999999998</v>
      </c>
      <c r="AA433" s="10">
        <v>-172.34700000000001</v>
      </c>
      <c r="AB433" s="10">
        <v>5.5810000000000004</v>
      </c>
      <c r="AC433" s="8">
        <v>0</v>
      </c>
      <c r="AD433" s="8">
        <v>0</v>
      </c>
      <c r="AE433" s="8">
        <v>0</v>
      </c>
      <c r="AF433" s="10">
        <v>0</v>
      </c>
      <c r="AG433" s="8">
        <f>COUNTIF(Y433:AB433,"&gt;0")</f>
        <v>2</v>
      </c>
      <c r="AH433" s="10">
        <v>5.5810000000000004</v>
      </c>
      <c r="AI433" s="10">
        <v>134.994</v>
      </c>
      <c r="AJ433" s="8" t="str">
        <f>IF(ISNUMBER(X433),IF(X433&gt;0,"+",IF(X433&lt;0,"−","0")),IF(ISNUMBER(W433),IF(W433&gt;0,"+",IF(W433&lt;0,"−","0")),"yok"))</f>
        <v>−</v>
      </c>
      <c r="AK433" s="10">
        <f>IF(AND(RIGHT(C433,2)&lt;&gt;"12",ISNUMBER(U433),ISNUMBER(V433)),U433-V433,"")</f>
        <v>134.994</v>
      </c>
      <c r="AL433" s="11">
        <f>IF(AND(ISNUMBER(AK433),ISNUMBER(V433)),IF(V433&lt;&gt;0,AK433/ABS(V433),""),"")</f>
        <v>0.38934474692908705</v>
      </c>
      <c r="AM433" s="8">
        <f>IF(ISNUMBER(AK433),IF(AK433&gt;1,1,0),"")</f>
        <v>1</v>
      </c>
      <c r="AN433" s="8">
        <f>IF(ISNUMBER(AK433),IF(AK433&gt;0.05*ABS(V433),1,0),"")</f>
        <v>1</v>
      </c>
      <c r="AO433" s="10">
        <v>-424.65499999999997</v>
      </c>
      <c r="AP433" s="10">
        <v>424.65499999999997</v>
      </c>
      <c r="AQ433" s="8" t="s">
        <v>204</v>
      </c>
      <c r="AR433" s="8">
        <v>0</v>
      </c>
      <c r="AS433" s="10">
        <v>458.65</v>
      </c>
      <c r="AT433" s="10">
        <v>8.7309999999999999</v>
      </c>
      <c r="AU433" s="8" t="s">
        <v>204</v>
      </c>
      <c r="AV433" s="10">
        <v>134.994</v>
      </c>
      <c r="AW433" s="11">
        <f>IF(AND(ISNUMBER(AV433),ISNUMBER(AT433)),IF(AT433&lt;&gt;0,AV433/ABS(AT433),""),"")</f>
        <v>15.461459168480129</v>
      </c>
      <c r="AX433" s="8">
        <v>0</v>
      </c>
      <c r="AY433" s="8">
        <v>1</v>
      </c>
      <c r="AZ433" s="10"/>
      <c r="BA433" s="8">
        <v>0</v>
      </c>
    </row>
    <row r="434" spans="1:53" x14ac:dyDescent="0.2">
      <c r="A434" s="8" t="s">
        <v>499</v>
      </c>
      <c r="B434" s="8" t="s">
        <v>83</v>
      </c>
      <c r="C434" s="8" t="s">
        <v>208</v>
      </c>
      <c r="D434" s="8">
        <v>1</v>
      </c>
      <c r="E434" s="8">
        <v>1</v>
      </c>
      <c r="F434" s="8">
        <f>SUM(G434:M434)</f>
        <v>1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1</v>
      </c>
      <c r="N434" s="8">
        <v>0</v>
      </c>
      <c r="O434" s="8">
        <v>0</v>
      </c>
      <c r="P434" s="8">
        <v>1</v>
      </c>
      <c r="Q434" s="8">
        <v>0</v>
      </c>
      <c r="R434" s="8">
        <v>0</v>
      </c>
      <c r="S434" s="8">
        <v>0</v>
      </c>
      <c r="T434" s="10">
        <v>-169.29</v>
      </c>
      <c r="U434" s="10">
        <v>-375.541</v>
      </c>
      <c r="V434" s="10">
        <v>-392.88299999999998</v>
      </c>
      <c r="W434" s="10">
        <f>IF(RIGHT(C434,2)="12",IF(ISNUMBER(T434),T434,""),IF(COUNT(T434,U434,V434)=3,T434+U434-V434,""))</f>
        <v>-151.94800000000004</v>
      </c>
      <c r="X434" s="10">
        <v>-151.94800000000001</v>
      </c>
      <c r="Y434" s="10">
        <v>-172.34700000000001</v>
      </c>
      <c r="Z434" s="10">
        <v>5.5810000000000004</v>
      </c>
      <c r="AA434" s="10">
        <v>184.108</v>
      </c>
      <c r="AB434" s="10">
        <v>-169.29</v>
      </c>
      <c r="AC434" s="8">
        <v>0</v>
      </c>
      <c r="AD434" s="8">
        <v>0</v>
      </c>
      <c r="AE434" s="8">
        <v>0</v>
      </c>
      <c r="AF434" s="10">
        <v>0</v>
      </c>
      <c r="AG434" s="8">
        <f>COUNTIF(Y434:AB434,"&gt;0")</f>
        <v>2</v>
      </c>
      <c r="AH434" s="10">
        <v>0</v>
      </c>
      <c r="AI434" s="10">
        <v>189.68899999999999</v>
      </c>
      <c r="AJ434" s="8" t="str">
        <f>IF(ISNUMBER(X434),IF(X434&gt;0,"+",IF(X434&lt;0,"−","0")),IF(ISNUMBER(W434),IF(W434&gt;0,"+",IF(W434&lt;0,"−","0")),"yok"))</f>
        <v>−</v>
      </c>
      <c r="AK434" s="10">
        <f>IF(AND(RIGHT(C434,2)&lt;&gt;"12",ISNUMBER(U434),ISNUMBER(V434)),U434-V434,"")</f>
        <v>17.341999999999985</v>
      </c>
      <c r="AL434" s="11">
        <f>IF(AND(ISNUMBER(AK434),ISNUMBER(V434)),IF(V434&lt;&gt;0,AK434/ABS(V434),""),"")</f>
        <v>4.4140367488539806E-2</v>
      </c>
      <c r="AM434" s="8">
        <f>IF(ISNUMBER(AK434),IF(AK434&gt;1,1,0),"")</f>
        <v>1</v>
      </c>
      <c r="AN434" s="8">
        <f>IF(ISNUMBER(AK434),IF(AK434&gt;0.05*ABS(V434),1,0),"")</f>
        <v>0</v>
      </c>
      <c r="AO434" s="10">
        <v>-151.94800000000001</v>
      </c>
      <c r="AP434" s="10">
        <v>151.94800000000001</v>
      </c>
      <c r="AQ434" s="8" t="s">
        <v>204</v>
      </c>
      <c r="AR434" s="8">
        <v>0</v>
      </c>
      <c r="AS434" s="10">
        <v>-776.16600000000005</v>
      </c>
      <c r="AT434" s="10">
        <v>-947.46500000000003</v>
      </c>
      <c r="AU434" s="8" t="s">
        <v>204</v>
      </c>
      <c r="AV434" s="10">
        <v>17.341999999999999</v>
      </c>
      <c r="AW434" s="11">
        <f>IF(AND(ISNUMBER(AV434),ISNUMBER(AT434)),IF(AT434&lt;&gt;0,AV434/ABS(AT434),""),"")</f>
        <v>1.8303578496303291E-2</v>
      </c>
      <c r="AX434" s="8">
        <v>0</v>
      </c>
      <c r="AY434" s="8">
        <v>0</v>
      </c>
      <c r="AZ434" s="10"/>
      <c r="BA434" s="8">
        <v>0</v>
      </c>
    </row>
    <row r="435" spans="1:53" x14ac:dyDescent="0.2">
      <c r="A435" s="8" t="s">
        <v>499</v>
      </c>
      <c r="B435" s="8" t="s">
        <v>83</v>
      </c>
      <c r="C435" s="8" t="s">
        <v>210</v>
      </c>
      <c r="D435" s="8">
        <v>1</v>
      </c>
      <c r="E435" s="8">
        <v>1</v>
      </c>
      <c r="F435" s="8">
        <f>SUM(G435:M435)</f>
        <v>2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1</v>
      </c>
      <c r="M435" s="8">
        <v>1</v>
      </c>
      <c r="N435" s="8">
        <v>0</v>
      </c>
      <c r="O435" s="8">
        <v>0</v>
      </c>
      <c r="P435" s="8">
        <v>1</v>
      </c>
      <c r="Q435" s="8">
        <v>0</v>
      </c>
      <c r="R435" s="8">
        <v>0</v>
      </c>
      <c r="S435" s="8">
        <v>0</v>
      </c>
      <c r="T435" s="10">
        <v>-193.41</v>
      </c>
      <c r="U435" s="10">
        <v>-375.541</v>
      </c>
      <c r="V435" s="10">
        <v>-565.23099999999999</v>
      </c>
      <c r="W435" s="10">
        <f>IF(RIGHT(C435,2)="12",IF(ISNUMBER(T435),T435,""),IF(COUNT(T435,U435,V435)=3,T435+U435-V435,""))</f>
        <v>-3.7200000000000273</v>
      </c>
      <c r="X435" s="10">
        <v>-3.72</v>
      </c>
      <c r="Y435" s="10">
        <v>5.5810000000000004</v>
      </c>
      <c r="Z435" s="10">
        <v>184.108</v>
      </c>
      <c r="AA435" s="10">
        <v>-169.29</v>
      </c>
      <c r="AB435" s="10">
        <v>-24.119</v>
      </c>
      <c r="AC435" s="8">
        <v>0</v>
      </c>
      <c r="AD435" s="8">
        <v>0</v>
      </c>
      <c r="AE435" s="8">
        <v>0</v>
      </c>
      <c r="AF435" s="10">
        <v>0</v>
      </c>
      <c r="AG435" s="8">
        <f>COUNTIF(Y435:AB435,"&gt;0")</f>
        <v>2</v>
      </c>
      <c r="AH435" s="10">
        <v>0</v>
      </c>
      <c r="AI435" s="10">
        <v>189.68899999999999</v>
      </c>
      <c r="AJ435" s="8" t="str">
        <f>IF(ISNUMBER(X435),IF(X435&gt;0,"+",IF(X435&lt;0,"−","0")),IF(ISNUMBER(W435),IF(W435&gt;0,"+",IF(W435&lt;0,"−","0")),"yok"))</f>
        <v>−</v>
      </c>
      <c r="AK435" s="10">
        <f>IF(AND(RIGHT(C435,2)&lt;&gt;"12",ISNUMBER(U435),ISNUMBER(V435)),U435-V435,"")</f>
        <v>189.69</v>
      </c>
      <c r="AL435" s="11">
        <f>IF(AND(ISNUMBER(AK435),ISNUMBER(V435)),IF(V435&lt;&gt;0,AK435/ABS(V435),""),"")</f>
        <v>0.33559730446490021</v>
      </c>
      <c r="AM435" s="8">
        <f>IF(ISNUMBER(AK435),IF(AK435&gt;1,1,0),"")</f>
        <v>1</v>
      </c>
      <c r="AN435" s="8">
        <f>IF(ISNUMBER(AK435),IF(AK435&gt;0.05*ABS(V435),1,0),"")</f>
        <v>1</v>
      </c>
      <c r="AO435" s="10">
        <v>-3.7200000000000299</v>
      </c>
      <c r="AP435" s="10">
        <v>3.7200000000000299</v>
      </c>
      <c r="AQ435" s="8" t="s">
        <v>204</v>
      </c>
      <c r="AR435" s="8">
        <v>0</v>
      </c>
      <c r="AS435" s="10">
        <v>-994.21600000000001</v>
      </c>
      <c r="AT435" s="10">
        <v>-997.93600000000004</v>
      </c>
      <c r="AU435" s="8" t="s">
        <v>204</v>
      </c>
      <c r="AV435" s="10">
        <v>189.69</v>
      </c>
      <c r="AW435" s="11">
        <f>IF(AND(ISNUMBER(AV435),ISNUMBER(AT435)),IF(AT435&lt;&gt;0,AV435/ABS(AT435),""),"")</f>
        <v>0.19008232992897339</v>
      </c>
      <c r="AX435" s="8">
        <v>0</v>
      </c>
      <c r="AY435" s="8">
        <v>1</v>
      </c>
      <c r="AZ435" s="10"/>
      <c r="BA435" s="8">
        <v>0</v>
      </c>
    </row>
    <row r="436" spans="1:53" x14ac:dyDescent="0.2">
      <c r="A436" s="8" t="s">
        <v>500</v>
      </c>
      <c r="B436" s="8" t="s">
        <v>83</v>
      </c>
      <c r="C436" s="8" t="s">
        <v>203</v>
      </c>
      <c r="D436" s="8">
        <v>1</v>
      </c>
      <c r="E436" s="8">
        <v>1</v>
      </c>
      <c r="F436" s="8">
        <f>SUM(G436:M436)</f>
        <v>1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1</v>
      </c>
      <c r="N436" s="8">
        <v>0</v>
      </c>
      <c r="O436" s="8">
        <v>0</v>
      </c>
      <c r="P436" s="8">
        <v>1</v>
      </c>
      <c r="Q436" s="8">
        <v>0</v>
      </c>
      <c r="R436" s="8">
        <v>0</v>
      </c>
      <c r="S436" s="8">
        <v>0</v>
      </c>
      <c r="T436" s="10">
        <v>-6.0999999999999999E-2</v>
      </c>
      <c r="U436" s="10">
        <v>-20.13</v>
      </c>
      <c r="V436" s="10">
        <v>-1.774</v>
      </c>
      <c r="W436" s="10">
        <f>IF(RIGHT(C436,2)="12",IF(ISNUMBER(T436),T436,""),IF(COUNT(T436,U436,V436)=3,T436+U436-V436,""))</f>
        <v>-18.416999999999998</v>
      </c>
      <c r="X436" s="10">
        <v>-18.417000000000002</v>
      </c>
      <c r="Y436" s="10">
        <v>-22.577000000000002</v>
      </c>
      <c r="Z436" s="10">
        <v>8.2929999999999993</v>
      </c>
      <c r="AA436" s="10">
        <v>-4.0720000000000001</v>
      </c>
      <c r="AB436" s="10">
        <v>-6.0999999999999999E-2</v>
      </c>
      <c r="AC436" s="8">
        <v>0</v>
      </c>
      <c r="AD436" s="8">
        <v>0</v>
      </c>
      <c r="AE436" s="8">
        <v>0</v>
      </c>
      <c r="AF436" s="10">
        <v>0</v>
      </c>
      <c r="AG436" s="8">
        <f>COUNTIF(Y436:AB436,"&gt;0")</f>
        <v>1</v>
      </c>
      <c r="AH436" s="10">
        <v>0</v>
      </c>
      <c r="AI436" s="10">
        <v>8.2929999999999993</v>
      </c>
      <c r="AJ436" s="8" t="str">
        <f>IF(ISNUMBER(X436),IF(X436&gt;0,"+",IF(X436&lt;0,"−","0")),IF(ISNUMBER(W436),IF(W436&gt;0,"+",IF(W436&lt;0,"−","0")),"yok"))</f>
        <v>−</v>
      </c>
      <c r="AK436" s="10">
        <f>IF(AND(RIGHT(C436,2)&lt;&gt;"12",ISNUMBER(U436),ISNUMBER(V436)),U436-V436,"")</f>
        <v>-18.355999999999998</v>
      </c>
      <c r="AL436" s="11">
        <f>IF(AND(ISNUMBER(AK436),ISNUMBER(V436)),IF(V436&lt;&gt;0,AK436/ABS(V436),""),"")</f>
        <v>-10.347237880496053</v>
      </c>
      <c r="AM436" s="8">
        <f>IF(ISNUMBER(AK436),IF(AK436&gt;1,1,0),"")</f>
        <v>0</v>
      </c>
      <c r="AN436" s="8">
        <f>IF(ISNUMBER(AK436),IF(AK436&gt;0.05*ABS(V436),1,0),"")</f>
        <v>0</v>
      </c>
      <c r="AO436" s="10">
        <v>-18.417999999999999</v>
      </c>
      <c r="AP436" s="10">
        <v>18.417999999999999</v>
      </c>
      <c r="AQ436" s="8" t="s">
        <v>204</v>
      </c>
      <c r="AR436" s="8">
        <v>0</v>
      </c>
      <c r="AS436" s="10">
        <v>-102.066</v>
      </c>
      <c r="AT436" s="10">
        <v>-120.48399999999999</v>
      </c>
      <c r="AU436" s="8" t="s">
        <v>204</v>
      </c>
      <c r="AV436" s="10">
        <v>8.2929999999999993</v>
      </c>
      <c r="AW436" s="11">
        <f>IF(AND(ISNUMBER(AV436),ISNUMBER(AT436)),IF(AT436&lt;&gt;0,AV436/ABS(AT436),""),"")</f>
        <v>6.8830716111682871E-2</v>
      </c>
      <c r="AX436" s="8">
        <v>0</v>
      </c>
      <c r="AY436" s="8">
        <v>0</v>
      </c>
      <c r="AZ436" s="10"/>
      <c r="BA436" s="8">
        <v>0</v>
      </c>
    </row>
    <row r="437" spans="1:53" x14ac:dyDescent="0.2">
      <c r="A437" s="8" t="s">
        <v>500</v>
      </c>
      <c r="B437" s="8" t="s">
        <v>83</v>
      </c>
      <c r="C437" s="8" t="s">
        <v>205</v>
      </c>
      <c r="D437" s="8">
        <v>1</v>
      </c>
      <c r="E437" s="8">
        <v>1</v>
      </c>
      <c r="F437" s="8">
        <f>SUM(G437:M437)</f>
        <v>3</v>
      </c>
      <c r="G437" s="8">
        <v>0</v>
      </c>
      <c r="H437" s="8">
        <v>0</v>
      </c>
      <c r="I437" s="8">
        <v>1</v>
      </c>
      <c r="J437" s="8">
        <v>0</v>
      </c>
      <c r="K437" s="8">
        <v>0</v>
      </c>
      <c r="L437" s="8">
        <v>1</v>
      </c>
      <c r="M437" s="8">
        <v>1</v>
      </c>
      <c r="N437" s="8">
        <v>1</v>
      </c>
      <c r="O437" s="8">
        <v>0</v>
      </c>
      <c r="P437" s="8">
        <v>1</v>
      </c>
      <c r="Q437" s="8">
        <v>0</v>
      </c>
      <c r="R437" s="8">
        <v>0</v>
      </c>
      <c r="S437" s="8">
        <v>0</v>
      </c>
      <c r="T437" s="10">
        <v>-0.93400000000000005</v>
      </c>
      <c r="U437" s="10">
        <v>-20.13</v>
      </c>
      <c r="V437" s="10">
        <v>-24.352</v>
      </c>
      <c r="W437" s="10">
        <f>IF(RIGHT(C437,2)="12",IF(ISNUMBER(T437),T437,""),IF(COUNT(T437,U437,V437)=3,T437+U437-V437,""))</f>
        <v>3.2880000000000003</v>
      </c>
      <c r="X437" s="10">
        <v>3.286</v>
      </c>
      <c r="Y437" s="10">
        <v>8.2929999999999993</v>
      </c>
      <c r="Z437" s="10">
        <v>-4.0720000000000001</v>
      </c>
      <c r="AA437" s="10">
        <v>-6.0999999999999999E-2</v>
      </c>
      <c r="AB437" s="10">
        <v>-0.873</v>
      </c>
      <c r="AC437" s="8">
        <v>0</v>
      </c>
      <c r="AD437" s="8">
        <v>0</v>
      </c>
      <c r="AE437" s="8">
        <v>0</v>
      </c>
      <c r="AF437" s="10">
        <v>0</v>
      </c>
      <c r="AG437" s="8">
        <f>COUNTIF(Y437:AB437,"&gt;0")</f>
        <v>1</v>
      </c>
      <c r="AH437" s="10">
        <v>0</v>
      </c>
      <c r="AI437" s="10">
        <v>8.2929999999999993</v>
      </c>
      <c r="AJ437" s="8" t="str">
        <f>IF(ISNUMBER(X437),IF(X437&gt;0,"+",IF(X437&lt;0,"−","0")),IF(ISNUMBER(W437),IF(W437&gt;0,"+",IF(W437&lt;0,"−","0")),"yok"))</f>
        <v>+</v>
      </c>
      <c r="AK437" s="10">
        <f>IF(AND(RIGHT(C437,2)&lt;&gt;"12",ISNUMBER(U437),ISNUMBER(V437)),U437-V437,"")</f>
        <v>4.2220000000000013</v>
      </c>
      <c r="AL437" s="11">
        <f>IF(AND(ISNUMBER(AK437),ISNUMBER(V437)),IF(V437&lt;&gt;0,AK437/ABS(V437),""),"")</f>
        <v>0.17337385019710913</v>
      </c>
      <c r="AM437" s="8">
        <f>IF(ISNUMBER(AK437),IF(AK437&gt;1,1,0),"")</f>
        <v>1</v>
      </c>
      <c r="AN437" s="8">
        <f>IF(ISNUMBER(AK437),IF(AK437&gt;0.05*ABS(V437),1,0),"")</f>
        <v>1</v>
      </c>
      <c r="AO437" s="10">
        <v>3.286</v>
      </c>
      <c r="AP437" s="10">
        <v>0</v>
      </c>
      <c r="AQ437" s="8" t="s">
        <v>204</v>
      </c>
      <c r="AR437" s="8">
        <v>1</v>
      </c>
      <c r="AS437" s="10">
        <v>-140.69399999999999</v>
      </c>
      <c r="AT437" s="10">
        <v>-140.69399999999999</v>
      </c>
      <c r="AU437" s="8" t="s">
        <v>204</v>
      </c>
      <c r="AV437" s="10">
        <v>4.2220000000000004</v>
      </c>
      <c r="AW437" s="11">
        <f>IF(AND(ISNUMBER(AV437),ISNUMBER(AT437)),IF(AT437&lt;&gt;0,AV437/ABS(AT437),""),"")</f>
        <v>3.0008386995891798E-2</v>
      </c>
      <c r="AX437" s="8">
        <v>0</v>
      </c>
      <c r="AY437" s="8">
        <v>1</v>
      </c>
      <c r="AZ437" s="10"/>
      <c r="BA437" s="8">
        <v>0</v>
      </c>
    </row>
    <row r="438" spans="1:53" x14ac:dyDescent="0.2">
      <c r="A438" s="8" t="s">
        <v>501</v>
      </c>
      <c r="B438" s="8" t="s">
        <v>82</v>
      </c>
      <c r="C438" s="8" t="s">
        <v>203</v>
      </c>
      <c r="D438" s="8">
        <v>1</v>
      </c>
      <c r="E438" s="8">
        <v>1</v>
      </c>
      <c r="F438" s="8">
        <f>SUM(G438:M438)</f>
        <v>1</v>
      </c>
      <c r="G438" s="8">
        <v>1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1</v>
      </c>
      <c r="O438" s="8">
        <v>1</v>
      </c>
      <c r="P438" s="8">
        <v>1</v>
      </c>
      <c r="Q438" s="8">
        <v>1</v>
      </c>
      <c r="R438" s="8">
        <v>1</v>
      </c>
      <c r="S438" s="8">
        <v>0</v>
      </c>
      <c r="T438" s="10">
        <v>-2.944</v>
      </c>
      <c r="U438" s="10">
        <v>17.513000000000002</v>
      </c>
      <c r="V438" s="10">
        <v>-7.5510000000000002</v>
      </c>
      <c r="W438" s="10">
        <f>IF(RIGHT(C438,2)="12",IF(ISNUMBER(T438),T438,""),IF(COUNT(T438,U438,V438)=3,T438+U438-V438,""))</f>
        <v>22.120000000000005</v>
      </c>
      <c r="X438" s="10">
        <v>22.12</v>
      </c>
      <c r="Y438" s="10">
        <v>4.3570000000000002</v>
      </c>
      <c r="Z438" s="10">
        <v>24.402000000000001</v>
      </c>
      <c r="AA438" s="10">
        <v>-3.6930000000000001</v>
      </c>
      <c r="AB438" s="10">
        <v>-2.944</v>
      </c>
      <c r="AC438" s="8">
        <v>0</v>
      </c>
      <c r="AD438" s="8">
        <v>1</v>
      </c>
      <c r="AE438" s="8">
        <v>0</v>
      </c>
      <c r="AF438" s="10">
        <v>17.513000000000002</v>
      </c>
      <c r="AG438" s="8">
        <f>COUNTIF(Y438:AB438,"&gt;0")</f>
        <v>2</v>
      </c>
      <c r="AH438" s="10">
        <v>0</v>
      </c>
      <c r="AI438" s="10">
        <v>28.759</v>
      </c>
      <c r="AJ438" s="8" t="str">
        <f>IF(ISNUMBER(X438),IF(X438&gt;0,"+",IF(X438&lt;0,"−","0")),IF(ISNUMBER(W438),IF(W438&gt;0,"+",IF(W438&lt;0,"−","0")),"yok"))</f>
        <v>+</v>
      </c>
      <c r="AK438" s="10">
        <f>IF(AND(RIGHT(C438,2)&lt;&gt;"12",ISNUMBER(U438),ISNUMBER(V438)),U438-V438,"")</f>
        <v>25.064</v>
      </c>
      <c r="AL438" s="11">
        <f>IF(AND(ISNUMBER(AK438),ISNUMBER(V438)),IF(V438&lt;&gt;0,AK438/ABS(V438),""),"")</f>
        <v>3.3192954575552904</v>
      </c>
      <c r="AM438" s="8">
        <f>IF(ISNUMBER(AK438),IF(AK438&gt;1,1,0),"")</f>
        <v>1</v>
      </c>
      <c r="AN438" s="8">
        <f>IF(ISNUMBER(AK438),IF(AK438&gt;0.05*ABS(V438),1,0),"")</f>
        <v>1</v>
      </c>
      <c r="AO438" s="10">
        <v>22.122</v>
      </c>
      <c r="AP438" s="10">
        <v>0</v>
      </c>
      <c r="AQ438" s="8" t="s">
        <v>204</v>
      </c>
      <c r="AR438" s="8">
        <v>1</v>
      </c>
      <c r="AS438" s="10">
        <v>115.42700000000001</v>
      </c>
      <c r="AT438" s="10">
        <v>-1.2209999999999901</v>
      </c>
      <c r="AU438" s="8" t="s">
        <v>204</v>
      </c>
      <c r="AV438" s="10">
        <v>17.513000000000002</v>
      </c>
      <c r="AW438" s="11">
        <f>IF(AND(ISNUMBER(AV438),ISNUMBER(AT438)),IF(AT438&lt;&gt;0,AV438/ABS(AT438),""),"")</f>
        <v>14.34316134316146</v>
      </c>
      <c r="AX438" s="8">
        <v>1</v>
      </c>
      <c r="AY438" s="8">
        <v>0</v>
      </c>
      <c r="AZ438" s="8" t="s">
        <v>502</v>
      </c>
      <c r="BA438" s="8">
        <v>0</v>
      </c>
    </row>
    <row r="439" spans="1:53" x14ac:dyDescent="0.2">
      <c r="A439" s="8" t="s">
        <v>501</v>
      </c>
      <c r="B439" s="8" t="s">
        <v>82</v>
      </c>
      <c r="C439" s="8" t="s">
        <v>205</v>
      </c>
      <c r="D439" s="8">
        <v>1</v>
      </c>
      <c r="E439" s="8">
        <v>1</v>
      </c>
      <c r="F439" s="8">
        <f>SUM(G439:M439)</f>
        <v>1</v>
      </c>
      <c r="G439" s="8">
        <v>1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1</v>
      </c>
      <c r="O439" s="8">
        <v>1</v>
      </c>
      <c r="P439" s="8">
        <v>1</v>
      </c>
      <c r="Q439" s="8">
        <v>1</v>
      </c>
      <c r="R439" s="8">
        <v>1</v>
      </c>
      <c r="S439" s="8">
        <v>1</v>
      </c>
      <c r="T439" s="10">
        <v>7.4580000000000002</v>
      </c>
      <c r="U439" s="10">
        <v>17.513000000000002</v>
      </c>
      <c r="V439" s="10">
        <v>-3.194</v>
      </c>
      <c r="W439" s="10">
        <f>IF(RIGHT(C439,2)="12",IF(ISNUMBER(T439),T439,""),IF(COUNT(T439,U439,V439)=3,T439+U439-V439,""))</f>
        <v>28.165000000000003</v>
      </c>
      <c r="X439" s="10">
        <v>28.167000000000002</v>
      </c>
      <c r="Y439" s="10">
        <v>24.402000000000001</v>
      </c>
      <c r="Z439" s="10">
        <v>-3.6930000000000001</v>
      </c>
      <c r="AA439" s="10">
        <v>-2.944</v>
      </c>
      <c r="AB439" s="10">
        <v>10.403</v>
      </c>
      <c r="AC439" s="8">
        <v>1</v>
      </c>
      <c r="AD439" s="8">
        <v>1</v>
      </c>
      <c r="AE439" s="8">
        <v>0</v>
      </c>
      <c r="AF439" s="10">
        <v>17.513000000000002</v>
      </c>
      <c r="AG439" s="8">
        <f>COUNTIF(Y439:AB439,"&gt;0")</f>
        <v>2</v>
      </c>
      <c r="AH439" s="10">
        <v>10.403</v>
      </c>
      <c r="AI439" s="10">
        <v>24.402000000000001</v>
      </c>
      <c r="AJ439" s="8" t="str">
        <f>IF(ISNUMBER(X439),IF(X439&gt;0,"+",IF(X439&lt;0,"−","0")),IF(ISNUMBER(W439),IF(W439&gt;0,"+",IF(W439&lt;0,"−","0")),"yok"))</f>
        <v>+</v>
      </c>
      <c r="AK439" s="10">
        <f>IF(AND(RIGHT(C439,2)&lt;&gt;"12",ISNUMBER(U439),ISNUMBER(V439)),U439-V439,"")</f>
        <v>20.707000000000001</v>
      </c>
      <c r="AL439" s="11">
        <f>IF(AND(ISNUMBER(AK439),ISNUMBER(V439)),IF(V439&lt;&gt;0,AK439/ABS(V439),""),"")</f>
        <v>6.4830932999373827</v>
      </c>
      <c r="AM439" s="8">
        <f>IF(ISNUMBER(AK439),IF(AK439&gt;1,1,0),"")</f>
        <v>1</v>
      </c>
      <c r="AN439" s="8">
        <f>IF(ISNUMBER(AK439),IF(AK439&gt;0.05*ABS(V439),1,0),"")</f>
        <v>1</v>
      </c>
      <c r="AO439" s="10">
        <v>28.167999999999999</v>
      </c>
      <c r="AP439" s="10">
        <v>0</v>
      </c>
      <c r="AQ439" s="8" t="s">
        <v>204</v>
      </c>
      <c r="AR439" s="8">
        <v>1</v>
      </c>
      <c r="AS439" s="10">
        <v>145.78800000000001</v>
      </c>
      <c r="AT439" s="10">
        <v>48.494999999999997</v>
      </c>
      <c r="AU439" s="8" t="s">
        <v>204</v>
      </c>
      <c r="AV439" s="10">
        <v>17.513000000000002</v>
      </c>
      <c r="AW439" s="11">
        <f>IF(AND(ISNUMBER(AV439),ISNUMBER(AT439)),IF(AT439&lt;&gt;0,AV439/ABS(AT439),""),"")</f>
        <v>0.36113001340344369</v>
      </c>
      <c r="AX439" s="8">
        <v>1</v>
      </c>
      <c r="AY439" s="8">
        <v>0</v>
      </c>
      <c r="AZ439" s="8" t="s">
        <v>503</v>
      </c>
      <c r="BA439" s="8">
        <v>0</v>
      </c>
    </row>
    <row r="440" spans="1:53" x14ac:dyDescent="0.2">
      <c r="A440" s="8" t="s">
        <v>501</v>
      </c>
      <c r="B440" s="8" t="s">
        <v>82</v>
      </c>
      <c r="C440" s="8" t="s">
        <v>215</v>
      </c>
      <c r="D440" s="8">
        <v>1</v>
      </c>
      <c r="E440" s="8">
        <v>1</v>
      </c>
      <c r="F440" s="8">
        <f>SUM(G440:M440)</f>
        <v>1</v>
      </c>
      <c r="G440" s="8">
        <v>0</v>
      </c>
      <c r="H440" s="8">
        <v>0</v>
      </c>
      <c r="I440" s="8">
        <v>0</v>
      </c>
      <c r="J440" s="8">
        <v>1</v>
      </c>
      <c r="K440" s="8">
        <v>0</v>
      </c>
      <c r="L440" s="8">
        <v>0</v>
      </c>
      <c r="M440" s="8">
        <v>0</v>
      </c>
      <c r="N440" s="8">
        <v>0</v>
      </c>
      <c r="O440" s="8">
        <v>1</v>
      </c>
      <c r="P440" s="8">
        <v>1</v>
      </c>
      <c r="Q440" s="8">
        <v>0</v>
      </c>
      <c r="R440" s="8">
        <v>0</v>
      </c>
      <c r="S440" s="8">
        <v>1</v>
      </c>
      <c r="T440" s="10">
        <v>3.359</v>
      </c>
      <c r="U440" s="10">
        <v>17.513000000000002</v>
      </c>
      <c r="V440" s="10">
        <v>21.207000000000001</v>
      </c>
      <c r="W440" s="10">
        <f>IF(RIGHT(C440,2)="12",IF(ISNUMBER(T440),T440,""),IF(COUNT(T440,U440,V440)=3,T440+U440-V440,""))</f>
        <v>-0.33500000000000085</v>
      </c>
      <c r="X440" s="10">
        <v>-0.33300000000000002</v>
      </c>
      <c r="Y440" s="10">
        <v>-3.6930000000000001</v>
      </c>
      <c r="Z440" s="10">
        <v>-2.944</v>
      </c>
      <c r="AA440" s="10">
        <v>10.403</v>
      </c>
      <c r="AB440" s="10">
        <v>-4.0979999999999999</v>
      </c>
      <c r="AC440" s="8">
        <v>1</v>
      </c>
      <c r="AD440" s="8">
        <v>1</v>
      </c>
      <c r="AE440" s="8">
        <v>1</v>
      </c>
      <c r="AF440" s="10">
        <v>21.207000000000001</v>
      </c>
      <c r="AG440" s="8">
        <f>COUNTIF(Y440:AB440,"&gt;0")</f>
        <v>1</v>
      </c>
      <c r="AH440" s="10">
        <v>10.403</v>
      </c>
      <c r="AI440" s="10">
        <v>0</v>
      </c>
      <c r="AJ440" s="8" t="str">
        <f>IF(ISNUMBER(X440),IF(X440&gt;0,"+",IF(X440&lt;0,"−","0")),IF(ISNUMBER(W440),IF(W440&gt;0,"+",IF(W440&lt;0,"−","0")),"yok"))</f>
        <v>−</v>
      </c>
      <c r="AK440" s="10">
        <f>IF(AND(RIGHT(C440,2)&lt;&gt;"12",ISNUMBER(U440),ISNUMBER(V440)),U440-V440,"")</f>
        <v>-3.6939999999999991</v>
      </c>
      <c r="AL440" s="11">
        <f>IF(AND(ISNUMBER(AK440),ISNUMBER(V440)),IF(V440&lt;&gt;0,AK440/ABS(V440),""),"")</f>
        <v>-0.17418776818974863</v>
      </c>
      <c r="AM440" s="8">
        <f>IF(ISNUMBER(AK440),IF(AK440&gt;1,1,0),"")</f>
        <v>0</v>
      </c>
      <c r="AN440" s="8">
        <f>IF(ISNUMBER(AK440),IF(AK440&gt;0.05*ABS(V440),1,0),"")</f>
        <v>0</v>
      </c>
      <c r="AO440" s="10">
        <v>-0.33300000000000202</v>
      </c>
      <c r="AP440" s="10">
        <v>0.33300000000000202</v>
      </c>
      <c r="AQ440" s="8" t="s">
        <v>204</v>
      </c>
      <c r="AR440" s="8">
        <v>0</v>
      </c>
      <c r="AS440" s="10">
        <v>-54.854999999999997</v>
      </c>
      <c r="AT440" s="10">
        <v>-68.75</v>
      </c>
      <c r="AU440" s="8" t="s">
        <v>204</v>
      </c>
      <c r="AV440" s="10">
        <v>21.207000000000001</v>
      </c>
      <c r="AW440" s="11">
        <f>IF(AND(ISNUMBER(AV440),ISNUMBER(AT440)),IF(AT440&lt;&gt;0,AV440/ABS(AT440),""),"")</f>
        <v>0.30846545454545454</v>
      </c>
      <c r="AX440" s="8">
        <v>1</v>
      </c>
      <c r="AY440" s="8">
        <v>0</v>
      </c>
      <c r="AZ440" s="8" t="s">
        <v>504</v>
      </c>
      <c r="BA440" s="8">
        <v>0</v>
      </c>
    </row>
    <row r="441" spans="1:53" x14ac:dyDescent="0.2">
      <c r="A441" s="8" t="s">
        <v>501</v>
      </c>
      <c r="B441" s="8" t="s">
        <v>82</v>
      </c>
      <c r="C441" s="8" t="s">
        <v>208</v>
      </c>
      <c r="D441" s="8">
        <v>1</v>
      </c>
      <c r="E441" s="8">
        <v>1</v>
      </c>
      <c r="F441" s="8">
        <f>SUM(G441:M441)</f>
        <v>1</v>
      </c>
      <c r="G441" s="8">
        <v>0</v>
      </c>
      <c r="H441" s="8">
        <v>1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1</v>
      </c>
      <c r="Q441" s="8">
        <v>1</v>
      </c>
      <c r="R441" s="8">
        <v>1</v>
      </c>
      <c r="S441" s="8">
        <v>0</v>
      </c>
      <c r="T441" s="10">
        <v>-3.3639999999999999</v>
      </c>
      <c r="U441" s="10">
        <v>-0.63</v>
      </c>
      <c r="V441" s="10">
        <v>-2.944</v>
      </c>
      <c r="W441" s="10">
        <f>IF(RIGHT(C441,2)="12",IF(ISNUMBER(T441),T441,""),IF(COUNT(T441,U441,V441)=3,T441+U441-V441,""))</f>
        <v>-1.0499999999999998</v>
      </c>
      <c r="X441" s="10">
        <v>-1.05</v>
      </c>
      <c r="Y441" s="10">
        <v>10.403</v>
      </c>
      <c r="Z441" s="10">
        <v>-4.0979999999999999</v>
      </c>
      <c r="AA441" s="10">
        <v>-3.99</v>
      </c>
      <c r="AB441" s="10">
        <v>-3.3639999999999999</v>
      </c>
      <c r="AC441" s="8">
        <v>0</v>
      </c>
      <c r="AD441" s="8">
        <v>0</v>
      </c>
      <c r="AE441" s="8">
        <v>0</v>
      </c>
      <c r="AF441" s="10">
        <v>0</v>
      </c>
      <c r="AG441" s="8">
        <f>COUNTIF(Y441:AB441,"&gt;0")</f>
        <v>1</v>
      </c>
      <c r="AH441" s="10">
        <v>0</v>
      </c>
      <c r="AI441" s="10">
        <v>10.403</v>
      </c>
      <c r="AJ441" s="8" t="str">
        <f>IF(ISNUMBER(X441),IF(X441&gt;0,"+",IF(X441&lt;0,"−","0")),IF(ISNUMBER(W441),IF(W441&gt;0,"+",IF(W441&lt;0,"−","0")),"yok"))</f>
        <v>−</v>
      </c>
      <c r="AK441" s="10">
        <f>IF(AND(RIGHT(C441,2)&lt;&gt;"12",ISNUMBER(U441),ISNUMBER(V441)),U441-V441,"")</f>
        <v>2.3140000000000001</v>
      </c>
      <c r="AL441" s="11">
        <f>IF(AND(ISNUMBER(AK441),ISNUMBER(V441)),IF(V441&lt;&gt;0,AK441/ABS(V441),""),"")</f>
        <v>0.78600543478260876</v>
      </c>
      <c r="AM441" s="8">
        <f>IF(ISNUMBER(AK441),IF(AK441&gt;1,1,0),"")</f>
        <v>1</v>
      </c>
      <c r="AN441" s="8">
        <f>IF(ISNUMBER(AK441),IF(AK441&gt;0.05*ABS(V441),1,0),"")</f>
        <v>1</v>
      </c>
      <c r="AO441" s="10">
        <v>-1.0509999999999999</v>
      </c>
      <c r="AP441" s="10">
        <v>1.0509999999999999</v>
      </c>
      <c r="AQ441" s="8" t="s">
        <v>204</v>
      </c>
      <c r="AR441" s="8">
        <v>0</v>
      </c>
      <c r="AS441" s="10">
        <v>285.07799999999997</v>
      </c>
      <c r="AT441" s="10">
        <v>179.982</v>
      </c>
      <c r="AU441" s="8" t="s">
        <v>204</v>
      </c>
      <c r="AV441" s="10">
        <v>2.3140000000000001</v>
      </c>
      <c r="AW441" s="11">
        <f>IF(AND(ISNUMBER(AV441),ISNUMBER(AT441)),IF(AT441&lt;&gt;0,AV441/ABS(AT441),""),"")</f>
        <v>1.2856841239679524E-2</v>
      </c>
      <c r="AX441" s="8">
        <v>0</v>
      </c>
      <c r="AY441" s="8">
        <v>1</v>
      </c>
      <c r="AZ441" s="10"/>
      <c r="BA441" s="8">
        <v>0</v>
      </c>
    </row>
    <row r="442" spans="1:53" x14ac:dyDescent="0.2">
      <c r="A442" s="8" t="s">
        <v>501</v>
      </c>
      <c r="B442" s="8" t="s">
        <v>82</v>
      </c>
      <c r="C442" s="8" t="s">
        <v>210</v>
      </c>
      <c r="D442" s="8">
        <v>1</v>
      </c>
      <c r="E442" s="8">
        <v>1</v>
      </c>
      <c r="F442" s="8">
        <f>SUM(G442:M442)</f>
        <v>1</v>
      </c>
      <c r="G442" s="8">
        <v>0</v>
      </c>
      <c r="H442" s="8">
        <v>0</v>
      </c>
      <c r="I442" s="8">
        <v>0</v>
      </c>
      <c r="J442" s="8">
        <v>1</v>
      </c>
      <c r="K442" s="8">
        <v>0</v>
      </c>
      <c r="L442" s="8">
        <v>0</v>
      </c>
      <c r="M442" s="8">
        <v>0</v>
      </c>
      <c r="N442" s="8">
        <v>0</v>
      </c>
      <c r="O442" s="8">
        <v>1</v>
      </c>
      <c r="P442" s="8">
        <v>0</v>
      </c>
      <c r="Q442" s="8">
        <v>0</v>
      </c>
      <c r="R442" s="8">
        <v>0</v>
      </c>
      <c r="S442" s="8">
        <v>0</v>
      </c>
      <c r="T442" s="10">
        <v>-6.63</v>
      </c>
      <c r="U442" s="10">
        <v>-0.63</v>
      </c>
      <c r="V442" s="10">
        <v>7.4580000000000002</v>
      </c>
      <c r="W442" s="10">
        <f>IF(RIGHT(C442,2)="12",IF(ISNUMBER(T442),T442,""),IF(COUNT(T442,U442,V442)=3,T442+U442-V442,""))</f>
        <v>-14.718</v>
      </c>
      <c r="X442" s="10">
        <v>-14.718999999999999</v>
      </c>
      <c r="Y442" s="10">
        <v>-4.0979999999999999</v>
      </c>
      <c r="Z442" s="10">
        <v>-3.99</v>
      </c>
      <c r="AA442" s="10">
        <v>-3.3639999999999999</v>
      </c>
      <c r="AB442" s="10">
        <v>-3.2650000000000001</v>
      </c>
      <c r="AC442" s="8">
        <v>0</v>
      </c>
      <c r="AD442" s="8">
        <v>0</v>
      </c>
      <c r="AE442" s="8">
        <v>1</v>
      </c>
      <c r="AF442" s="10">
        <v>7.4580000000000002</v>
      </c>
      <c r="AG442" s="8">
        <f>COUNTIF(Y442:AB442,"&gt;0")</f>
        <v>0</v>
      </c>
      <c r="AH442" s="10">
        <v>0</v>
      </c>
      <c r="AI442" s="10">
        <v>0</v>
      </c>
      <c r="AJ442" s="8" t="str">
        <f>IF(ISNUMBER(X442),IF(X442&gt;0,"+",IF(X442&lt;0,"−","0")),IF(ISNUMBER(W442),IF(W442&gt;0,"+",IF(W442&lt;0,"−","0")),"yok"))</f>
        <v>−</v>
      </c>
      <c r="AK442" s="10">
        <f>IF(AND(RIGHT(C442,2)&lt;&gt;"12",ISNUMBER(U442),ISNUMBER(V442)),U442-V442,"")</f>
        <v>-8.088000000000001</v>
      </c>
      <c r="AL442" s="11">
        <f>IF(AND(ISNUMBER(AK442),ISNUMBER(V442)),IF(V442&lt;&gt;0,AK442/ABS(V442),""),"")</f>
        <v>-1.0844730490748191</v>
      </c>
      <c r="AM442" s="8">
        <f>IF(ISNUMBER(AK442),IF(AK442&gt;1,1,0),"")</f>
        <v>0</v>
      </c>
      <c r="AN442" s="8">
        <f>IF(ISNUMBER(AK442),IF(AK442&gt;0.05*ABS(V442),1,0),"")</f>
        <v>0</v>
      </c>
      <c r="AO442" s="10">
        <v>-14.718999999999999</v>
      </c>
      <c r="AP442" s="10">
        <v>14.718999999999999</v>
      </c>
      <c r="AQ442" s="8" t="s">
        <v>204</v>
      </c>
      <c r="AR442" s="8">
        <v>0</v>
      </c>
      <c r="AS442" s="10">
        <v>149.727</v>
      </c>
      <c r="AT442" s="10">
        <v>85.194000000000003</v>
      </c>
      <c r="AU442" s="8" t="s">
        <v>204</v>
      </c>
      <c r="AV442" s="10">
        <v>7.4580000000000002</v>
      </c>
      <c r="AW442" s="11">
        <f>IF(AND(ISNUMBER(AV442),ISNUMBER(AT442)),IF(AT442&lt;&gt;0,AV442/ABS(AT442),""),"")</f>
        <v>8.7541376153250222E-2</v>
      </c>
      <c r="AX442" s="8">
        <v>1</v>
      </c>
      <c r="AY442" s="8">
        <v>0</v>
      </c>
      <c r="AZ442" s="8" t="s">
        <v>505</v>
      </c>
      <c r="BA442" s="8">
        <v>0</v>
      </c>
    </row>
    <row r="443" spans="1:53" x14ac:dyDescent="0.2">
      <c r="A443" s="8" t="s">
        <v>501</v>
      </c>
      <c r="B443" s="8" t="s">
        <v>83</v>
      </c>
      <c r="C443" s="8" t="s">
        <v>203</v>
      </c>
      <c r="D443" s="8">
        <v>1</v>
      </c>
      <c r="E443" s="8">
        <v>1</v>
      </c>
      <c r="F443" s="8">
        <f>SUM(G443:M443)</f>
        <v>1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1</v>
      </c>
      <c r="N443" s="8">
        <v>0</v>
      </c>
      <c r="O443" s="8">
        <v>0</v>
      </c>
      <c r="P443" s="8">
        <v>1</v>
      </c>
      <c r="Q443" s="8">
        <v>0</v>
      </c>
      <c r="R443" s="8">
        <v>0</v>
      </c>
      <c r="S443" s="8">
        <v>0</v>
      </c>
      <c r="T443" s="10">
        <v>-19.399999999999999</v>
      </c>
      <c r="U443" s="10">
        <v>-131.678</v>
      </c>
      <c r="V443" s="10">
        <v>-34.430999999999997</v>
      </c>
      <c r="W443" s="10">
        <f>IF(RIGHT(C443,2)="12",IF(ISNUMBER(T443),T443,""),IF(COUNT(T443,U443,V443)=3,T443+U443-V443,""))</f>
        <v>-116.64700000000001</v>
      </c>
      <c r="X443" s="10">
        <v>-116.64700000000001</v>
      </c>
      <c r="Y443" s="10">
        <v>-44.267000000000003</v>
      </c>
      <c r="Z443" s="10">
        <v>-106.277</v>
      </c>
      <c r="AA443" s="10">
        <v>53.296999999999997</v>
      </c>
      <c r="AB443" s="10">
        <v>-19.399999999999999</v>
      </c>
      <c r="AC443" s="8">
        <v>0</v>
      </c>
      <c r="AD443" s="8">
        <v>0</v>
      </c>
      <c r="AE443" s="8">
        <v>0</v>
      </c>
      <c r="AF443" s="10">
        <v>0</v>
      </c>
      <c r="AG443" s="8">
        <f>COUNTIF(Y443:AB443,"&gt;0")</f>
        <v>1</v>
      </c>
      <c r="AH443" s="10">
        <v>0</v>
      </c>
      <c r="AI443" s="10">
        <v>53.296999999999997</v>
      </c>
      <c r="AJ443" s="8" t="str">
        <f>IF(ISNUMBER(X443),IF(X443&gt;0,"+",IF(X443&lt;0,"−","0")),IF(ISNUMBER(W443),IF(W443&gt;0,"+",IF(W443&lt;0,"−","0")),"yok"))</f>
        <v>−</v>
      </c>
      <c r="AK443" s="10">
        <f>IF(AND(RIGHT(C443,2)&lt;&gt;"12",ISNUMBER(U443),ISNUMBER(V443)),U443-V443,"")</f>
        <v>-97.247</v>
      </c>
      <c r="AL443" s="11">
        <f>IF(AND(ISNUMBER(AK443),ISNUMBER(V443)),IF(V443&lt;&gt;0,AK443/ABS(V443),""),"")</f>
        <v>-2.824402428044495</v>
      </c>
      <c r="AM443" s="8">
        <f>IF(ISNUMBER(AK443),IF(AK443&gt;1,1,0),"")</f>
        <v>0</v>
      </c>
      <c r="AN443" s="8">
        <f>IF(ISNUMBER(AK443),IF(AK443&gt;0.05*ABS(V443),1,0),"")</f>
        <v>0</v>
      </c>
      <c r="AO443" s="10">
        <v>-116.648</v>
      </c>
      <c r="AP443" s="10">
        <v>116.648</v>
      </c>
      <c r="AQ443" s="8" t="s">
        <v>204</v>
      </c>
      <c r="AR443" s="8">
        <v>0</v>
      </c>
      <c r="AS443" s="10">
        <v>115.42700000000001</v>
      </c>
      <c r="AT443" s="10">
        <v>-1.2209999999999901</v>
      </c>
      <c r="AU443" s="8" t="s">
        <v>204</v>
      </c>
      <c r="AV443" s="10">
        <v>53.296999999999997</v>
      </c>
      <c r="AW443" s="11">
        <f>IF(AND(ISNUMBER(AV443),ISNUMBER(AT443)),IF(AT443&lt;&gt;0,AV443/ABS(AT443),""),"")</f>
        <v>43.650286650287001</v>
      </c>
      <c r="AX443" s="8">
        <v>0</v>
      </c>
      <c r="AY443" s="8">
        <v>0</v>
      </c>
      <c r="AZ443" s="10"/>
      <c r="BA443" s="8">
        <v>0</v>
      </c>
    </row>
    <row r="444" spans="1:53" x14ac:dyDescent="0.2">
      <c r="A444" s="8" t="s">
        <v>501</v>
      </c>
      <c r="B444" s="8" t="s">
        <v>83</v>
      </c>
      <c r="C444" s="8" t="s">
        <v>205</v>
      </c>
      <c r="D444" s="8">
        <v>1</v>
      </c>
      <c r="E444" s="8">
        <v>1</v>
      </c>
      <c r="F444" s="8">
        <f>SUM(G444:M444)</f>
        <v>1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1</v>
      </c>
      <c r="N444" s="8">
        <v>0</v>
      </c>
      <c r="O444" s="8">
        <v>0</v>
      </c>
      <c r="P444" s="8">
        <v>1</v>
      </c>
      <c r="Q444" s="8">
        <v>0</v>
      </c>
      <c r="R444" s="8">
        <v>0</v>
      </c>
      <c r="S444" s="8">
        <v>0</v>
      </c>
      <c r="T444" s="10">
        <v>-44.313000000000002</v>
      </c>
      <c r="U444" s="10">
        <v>-131.678</v>
      </c>
      <c r="V444" s="10">
        <v>-78.698999999999998</v>
      </c>
      <c r="W444" s="10">
        <f>IF(RIGHT(C444,2)="12",IF(ISNUMBER(T444),T444,""),IF(COUNT(T444,U444,V444)=3,T444+U444-V444,""))</f>
        <v>-97.291999999999987</v>
      </c>
      <c r="X444" s="10">
        <v>-97.292000000000002</v>
      </c>
      <c r="Y444" s="10">
        <v>-106.277</v>
      </c>
      <c r="Z444" s="10">
        <v>53.296999999999997</v>
      </c>
      <c r="AA444" s="10">
        <v>-19.399999999999999</v>
      </c>
      <c r="AB444" s="10">
        <v>-24.913</v>
      </c>
      <c r="AC444" s="8">
        <v>0</v>
      </c>
      <c r="AD444" s="8">
        <v>0</v>
      </c>
      <c r="AE444" s="8">
        <v>0</v>
      </c>
      <c r="AF444" s="10">
        <v>0</v>
      </c>
      <c r="AG444" s="8">
        <f>COUNTIF(Y444:AB444,"&gt;0")</f>
        <v>1</v>
      </c>
      <c r="AH444" s="10">
        <v>0</v>
      </c>
      <c r="AI444" s="10">
        <v>53.296999999999997</v>
      </c>
      <c r="AJ444" s="8" t="str">
        <f>IF(ISNUMBER(X444),IF(X444&gt;0,"+",IF(X444&lt;0,"−","0")),IF(ISNUMBER(W444),IF(W444&gt;0,"+",IF(W444&lt;0,"−","0")),"yok"))</f>
        <v>−</v>
      </c>
      <c r="AK444" s="10">
        <f>IF(AND(RIGHT(C444,2)&lt;&gt;"12",ISNUMBER(U444),ISNUMBER(V444)),U444-V444,"")</f>
        <v>-52.978999999999999</v>
      </c>
      <c r="AL444" s="11">
        <f>IF(AND(ISNUMBER(AK444),ISNUMBER(V444)),IF(V444&lt;&gt;0,AK444/ABS(V444),""),"")</f>
        <v>-0.67318517389039256</v>
      </c>
      <c r="AM444" s="8">
        <f>IF(ISNUMBER(AK444),IF(AK444&gt;1,1,0),"")</f>
        <v>0</v>
      </c>
      <c r="AN444" s="8">
        <f>IF(ISNUMBER(AK444),IF(AK444&gt;0.05*ABS(V444),1,0),"")</f>
        <v>0</v>
      </c>
      <c r="AO444" s="10">
        <v>-97.293000000000006</v>
      </c>
      <c r="AP444" s="10">
        <v>97.293000000000006</v>
      </c>
      <c r="AQ444" s="8" t="s">
        <v>204</v>
      </c>
      <c r="AR444" s="8">
        <v>0</v>
      </c>
      <c r="AS444" s="10">
        <v>145.78800000000001</v>
      </c>
      <c r="AT444" s="10">
        <v>48.494999999999997</v>
      </c>
      <c r="AU444" s="8" t="s">
        <v>204</v>
      </c>
      <c r="AV444" s="10">
        <v>53.296999999999997</v>
      </c>
      <c r="AW444" s="11">
        <f>IF(AND(ISNUMBER(AV444),ISNUMBER(AT444)),IF(AT444&lt;&gt;0,AV444/ABS(AT444),""),"")</f>
        <v>1.0990205175791319</v>
      </c>
      <c r="AX444" s="8">
        <v>0</v>
      </c>
      <c r="AY444" s="8">
        <v>0</v>
      </c>
      <c r="AZ444" s="10"/>
      <c r="BA444" s="8">
        <v>0</v>
      </c>
    </row>
    <row r="445" spans="1:53" x14ac:dyDescent="0.2">
      <c r="A445" s="8" t="s">
        <v>501</v>
      </c>
      <c r="B445" s="8" t="s">
        <v>83</v>
      </c>
      <c r="C445" s="8" t="s">
        <v>215</v>
      </c>
      <c r="D445" s="8">
        <v>1</v>
      </c>
      <c r="E445" s="8">
        <v>1</v>
      </c>
      <c r="F445" s="8">
        <f>SUM(G445:M445)</f>
        <v>2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1</v>
      </c>
      <c r="M445" s="8">
        <v>1</v>
      </c>
      <c r="N445" s="8">
        <v>0</v>
      </c>
      <c r="O445" s="8">
        <v>0</v>
      </c>
      <c r="P445" s="8">
        <v>1</v>
      </c>
      <c r="Q445" s="8">
        <v>0</v>
      </c>
      <c r="R445" s="8">
        <v>0</v>
      </c>
      <c r="S445" s="8">
        <v>0</v>
      </c>
      <c r="T445" s="10">
        <v>-66.86</v>
      </c>
      <c r="U445" s="10">
        <v>-131.678</v>
      </c>
      <c r="V445" s="10">
        <v>-184.976</v>
      </c>
      <c r="W445" s="10">
        <f>IF(RIGHT(C445,2)="12",IF(ISNUMBER(T445),T445,""),IF(COUNT(T445,U445,V445)=3,T445+U445-V445,""))</f>
        <v>-13.562000000000012</v>
      </c>
      <c r="X445" s="10">
        <v>-13.561999999999999</v>
      </c>
      <c r="Y445" s="10">
        <v>53.296999999999997</v>
      </c>
      <c r="Z445" s="10">
        <v>-19.399999999999999</v>
      </c>
      <c r="AA445" s="10">
        <v>-24.913</v>
      </c>
      <c r="AB445" s="10">
        <v>-22.545999999999999</v>
      </c>
      <c r="AC445" s="8">
        <v>0</v>
      </c>
      <c r="AD445" s="8">
        <v>0</v>
      </c>
      <c r="AE445" s="8">
        <v>0</v>
      </c>
      <c r="AF445" s="10">
        <v>0</v>
      </c>
      <c r="AG445" s="8">
        <f>COUNTIF(Y445:AB445,"&gt;0")</f>
        <v>1</v>
      </c>
      <c r="AH445" s="10">
        <v>0</v>
      </c>
      <c r="AI445" s="10">
        <v>53.296999999999997</v>
      </c>
      <c r="AJ445" s="8" t="str">
        <f>IF(ISNUMBER(X445),IF(X445&gt;0,"+",IF(X445&lt;0,"−","0")),IF(ISNUMBER(W445),IF(W445&gt;0,"+",IF(W445&lt;0,"−","0")),"yok"))</f>
        <v>−</v>
      </c>
      <c r="AK445" s="10">
        <f>IF(AND(RIGHT(C445,2)&lt;&gt;"12",ISNUMBER(U445),ISNUMBER(V445)),U445-V445,"")</f>
        <v>53.298000000000002</v>
      </c>
      <c r="AL445" s="11">
        <f>IF(AND(ISNUMBER(AK445),ISNUMBER(V445)),IF(V445&lt;&gt;0,AK445/ABS(V445),""),"")</f>
        <v>0.28813467693106132</v>
      </c>
      <c r="AM445" s="8">
        <f>IF(ISNUMBER(AK445),IF(AK445&gt;1,1,0),"")</f>
        <v>1</v>
      </c>
      <c r="AN445" s="8">
        <f>IF(ISNUMBER(AK445),IF(AK445&gt;0.05*ABS(V445),1,0),"")</f>
        <v>1</v>
      </c>
      <c r="AO445" s="10">
        <v>-13.561999999999999</v>
      </c>
      <c r="AP445" s="10">
        <v>13.561999999999999</v>
      </c>
      <c r="AQ445" s="8" t="s">
        <v>204</v>
      </c>
      <c r="AR445" s="8">
        <v>0</v>
      </c>
      <c r="AS445" s="10">
        <v>-54.854999999999997</v>
      </c>
      <c r="AT445" s="10">
        <v>-68.75</v>
      </c>
      <c r="AU445" s="8" t="s">
        <v>204</v>
      </c>
      <c r="AV445" s="10">
        <v>53.298000000000002</v>
      </c>
      <c r="AW445" s="11">
        <f>IF(AND(ISNUMBER(AV445),ISNUMBER(AT445)),IF(AT445&lt;&gt;0,AV445/ABS(AT445),""),"")</f>
        <v>0.77524363636363636</v>
      </c>
      <c r="AX445" s="8">
        <v>0</v>
      </c>
      <c r="AY445" s="8">
        <v>1</v>
      </c>
      <c r="AZ445" s="10"/>
      <c r="BA445" s="8">
        <v>0</v>
      </c>
    </row>
    <row r="446" spans="1:53" x14ac:dyDescent="0.2">
      <c r="A446" s="8" t="s">
        <v>506</v>
      </c>
      <c r="B446" s="8" t="s">
        <v>83</v>
      </c>
      <c r="C446" s="8" t="s">
        <v>203</v>
      </c>
      <c r="D446" s="8">
        <v>1</v>
      </c>
      <c r="E446" s="8">
        <v>1</v>
      </c>
      <c r="F446" s="8">
        <f>SUM(G446:M446)</f>
        <v>1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1</v>
      </c>
      <c r="N446" s="8">
        <v>0</v>
      </c>
      <c r="O446" s="8">
        <v>0</v>
      </c>
      <c r="P446" s="8">
        <v>1</v>
      </c>
      <c r="Q446" s="8">
        <v>0</v>
      </c>
      <c r="R446" s="8">
        <v>0</v>
      </c>
      <c r="S446" s="8">
        <v>0</v>
      </c>
      <c r="T446" s="10">
        <v>-17.542999999999999</v>
      </c>
      <c r="U446" s="10">
        <v>-51.32</v>
      </c>
      <c r="V446" s="10">
        <v>-45.253</v>
      </c>
      <c r="W446" s="10">
        <f>IF(RIGHT(C446,2)="12",IF(ISNUMBER(T446),T446,""),IF(COUNT(T446,U446,V446)=3,T446+U446-V446,""))</f>
        <v>-23.61</v>
      </c>
      <c r="X446" s="10">
        <v>-23.61</v>
      </c>
      <c r="Y446" s="10">
        <v>-2.8519999999999999</v>
      </c>
      <c r="Z446" s="10">
        <v>-14.132</v>
      </c>
      <c r="AA446" s="10">
        <v>10.917999999999999</v>
      </c>
      <c r="AB446" s="10">
        <v>-17.542999999999999</v>
      </c>
      <c r="AC446" s="8">
        <v>0</v>
      </c>
      <c r="AD446" s="8">
        <v>0</v>
      </c>
      <c r="AE446" s="8">
        <v>0</v>
      </c>
      <c r="AF446" s="10">
        <v>0</v>
      </c>
      <c r="AG446" s="8">
        <f>COUNTIF(Y446:AB446,"&gt;0")</f>
        <v>1</v>
      </c>
      <c r="AH446" s="10">
        <v>0</v>
      </c>
      <c r="AI446" s="10">
        <v>10.917999999999999</v>
      </c>
      <c r="AJ446" s="8" t="str">
        <f>IF(ISNUMBER(X446),IF(X446&gt;0,"+",IF(X446&lt;0,"−","0")),IF(ISNUMBER(W446),IF(W446&gt;0,"+",IF(W446&lt;0,"−","0")),"yok"))</f>
        <v>−</v>
      </c>
      <c r="AK446" s="10">
        <f>IF(AND(RIGHT(C446,2)&lt;&gt;"12",ISNUMBER(U446),ISNUMBER(V446)),U446-V446,"")</f>
        <v>-6.0670000000000002</v>
      </c>
      <c r="AL446" s="11">
        <f>IF(AND(ISNUMBER(AK446),ISNUMBER(V446)),IF(V446&lt;&gt;0,AK446/ABS(V446),""),"")</f>
        <v>-0.13406845954964311</v>
      </c>
      <c r="AM446" s="8">
        <f>IF(ISNUMBER(AK446),IF(AK446&gt;1,1,0),"")</f>
        <v>0</v>
      </c>
      <c r="AN446" s="8">
        <f>IF(ISNUMBER(AK446),IF(AK446&gt;0.05*ABS(V446),1,0),"")</f>
        <v>0</v>
      </c>
      <c r="AO446" s="10">
        <v>-23.61</v>
      </c>
      <c r="AP446" s="10">
        <v>23.61</v>
      </c>
      <c r="AQ446" s="8" t="s">
        <v>204</v>
      </c>
      <c r="AR446" s="8">
        <v>0</v>
      </c>
      <c r="AS446" s="10">
        <v>-54.021999999999998</v>
      </c>
      <c r="AT446" s="10">
        <v>-126.56</v>
      </c>
      <c r="AU446" s="8" t="s">
        <v>204</v>
      </c>
      <c r="AV446" s="10">
        <v>10.917999999999999</v>
      </c>
      <c r="AW446" s="11">
        <f>IF(AND(ISNUMBER(AV446),ISNUMBER(AT446)),IF(AT446&lt;&gt;0,AV446/ABS(AT446),""),"")</f>
        <v>8.6267383059418445E-2</v>
      </c>
      <c r="AX446" s="8">
        <v>0</v>
      </c>
      <c r="AY446" s="8">
        <v>0</v>
      </c>
      <c r="AZ446" s="10"/>
      <c r="BA446" s="8">
        <v>0</v>
      </c>
    </row>
    <row r="447" spans="1:53" x14ac:dyDescent="0.2">
      <c r="A447" s="8" t="s">
        <v>506</v>
      </c>
      <c r="B447" s="8" t="s">
        <v>83</v>
      </c>
      <c r="C447" s="8" t="s">
        <v>205</v>
      </c>
      <c r="D447" s="8">
        <v>1</v>
      </c>
      <c r="E447" s="8">
        <v>1</v>
      </c>
      <c r="F447" s="8">
        <f>SUM(G447:M447)</f>
        <v>1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1</v>
      </c>
      <c r="N447" s="8">
        <v>0</v>
      </c>
      <c r="O447" s="8">
        <v>0</v>
      </c>
      <c r="P447" s="8">
        <v>1</v>
      </c>
      <c r="Q447" s="8">
        <v>0</v>
      </c>
      <c r="R447" s="8">
        <v>0</v>
      </c>
      <c r="S447" s="8">
        <v>0</v>
      </c>
      <c r="T447" s="10">
        <v>-26.716999999999999</v>
      </c>
      <c r="U447" s="10">
        <v>-51.32</v>
      </c>
      <c r="V447" s="10">
        <v>-48.106000000000002</v>
      </c>
      <c r="W447" s="10">
        <f>IF(RIGHT(C447,2)="12",IF(ISNUMBER(T447),T447,""),IF(COUNT(T447,U447,V447)=3,T447+U447-V447,""))</f>
        <v>-29.931000000000004</v>
      </c>
      <c r="X447" s="10">
        <v>-29.931000000000001</v>
      </c>
      <c r="Y447" s="10">
        <v>-14.132</v>
      </c>
      <c r="Z447" s="10">
        <v>10.917999999999999</v>
      </c>
      <c r="AA447" s="10">
        <v>-17.542999999999999</v>
      </c>
      <c r="AB447" s="10">
        <v>-9.1739999999999995</v>
      </c>
      <c r="AC447" s="8">
        <v>0</v>
      </c>
      <c r="AD447" s="8">
        <v>0</v>
      </c>
      <c r="AE447" s="8">
        <v>0</v>
      </c>
      <c r="AF447" s="10">
        <v>0</v>
      </c>
      <c r="AG447" s="8">
        <f>COUNTIF(Y447:AB447,"&gt;0")</f>
        <v>1</v>
      </c>
      <c r="AH447" s="10">
        <v>0</v>
      </c>
      <c r="AI447" s="10">
        <v>10.917999999999999</v>
      </c>
      <c r="AJ447" s="8" t="str">
        <f>IF(ISNUMBER(X447),IF(X447&gt;0,"+",IF(X447&lt;0,"−","0")),IF(ISNUMBER(W447),IF(W447&gt;0,"+",IF(W447&lt;0,"−","0")),"yok"))</f>
        <v>−</v>
      </c>
      <c r="AK447" s="10">
        <f>IF(AND(RIGHT(C447,2)&lt;&gt;"12",ISNUMBER(U447),ISNUMBER(V447)),U447-V447,"")</f>
        <v>-3.2139999999999986</v>
      </c>
      <c r="AL447" s="11">
        <f>IF(AND(ISNUMBER(AK447),ISNUMBER(V447)),IF(V447&lt;&gt;0,AK447/ABS(V447),""),"")</f>
        <v>-6.6810792832494872E-2</v>
      </c>
      <c r="AM447" s="8">
        <f>IF(ISNUMBER(AK447),IF(AK447&gt;1,1,0),"")</f>
        <v>0</v>
      </c>
      <c r="AN447" s="8">
        <f>IF(ISNUMBER(AK447),IF(AK447&gt;0.05*ABS(V447),1,0),"")</f>
        <v>0</v>
      </c>
      <c r="AO447" s="10">
        <v>-29.931999999999999</v>
      </c>
      <c r="AP447" s="10">
        <v>29.931999999999999</v>
      </c>
      <c r="AQ447" s="8" t="s">
        <v>204</v>
      </c>
      <c r="AR447" s="8">
        <v>0</v>
      </c>
      <c r="AS447" s="10">
        <v>-377.767</v>
      </c>
      <c r="AT447" s="10">
        <v>-463.14299999999997</v>
      </c>
      <c r="AU447" s="8" t="s">
        <v>204</v>
      </c>
      <c r="AV447" s="10">
        <v>10.917999999999999</v>
      </c>
      <c r="AW447" s="11">
        <f>IF(AND(ISNUMBER(AV447),ISNUMBER(AT447)),IF(AT447&lt;&gt;0,AV447/ABS(AT447),""),"")</f>
        <v>2.357371265462287E-2</v>
      </c>
      <c r="AX447" s="8">
        <v>0</v>
      </c>
      <c r="AY447" s="8">
        <v>0</v>
      </c>
      <c r="AZ447" s="10"/>
      <c r="BA447" s="8">
        <v>0</v>
      </c>
    </row>
    <row r="448" spans="1:53" x14ac:dyDescent="0.2">
      <c r="A448" s="8" t="s">
        <v>506</v>
      </c>
      <c r="B448" s="8" t="s">
        <v>83</v>
      </c>
      <c r="C448" s="8" t="s">
        <v>215</v>
      </c>
      <c r="D448" s="8">
        <v>1</v>
      </c>
      <c r="E448" s="8">
        <v>1</v>
      </c>
      <c r="F448" s="8">
        <f>SUM(G448:M448)</f>
        <v>2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1</v>
      </c>
      <c r="M448" s="8">
        <v>1</v>
      </c>
      <c r="N448" s="8">
        <v>0</v>
      </c>
      <c r="O448" s="8">
        <v>0</v>
      </c>
      <c r="P448" s="8">
        <v>1</v>
      </c>
      <c r="Q448" s="8">
        <v>0</v>
      </c>
      <c r="R448" s="8">
        <v>0</v>
      </c>
      <c r="S448" s="8">
        <v>0</v>
      </c>
      <c r="T448" s="10">
        <v>-67.293999999999997</v>
      </c>
      <c r="U448" s="10">
        <v>-51.32</v>
      </c>
      <c r="V448" s="10">
        <v>-62.238999999999997</v>
      </c>
      <c r="W448" s="10">
        <f>IF(RIGHT(C448,2)="12",IF(ISNUMBER(T448),T448,""),IF(COUNT(T448,U448,V448)=3,T448+U448-V448,""))</f>
        <v>-56.375000000000007</v>
      </c>
      <c r="X448" s="10">
        <v>-56.375</v>
      </c>
      <c r="Y448" s="10">
        <v>10.917999999999999</v>
      </c>
      <c r="Z448" s="10">
        <v>-17.542999999999999</v>
      </c>
      <c r="AA448" s="10">
        <v>-9.1739999999999995</v>
      </c>
      <c r="AB448" s="10">
        <v>-40.576000000000001</v>
      </c>
      <c r="AC448" s="8">
        <v>0</v>
      </c>
      <c r="AD448" s="8">
        <v>0</v>
      </c>
      <c r="AE448" s="8">
        <v>0</v>
      </c>
      <c r="AF448" s="10">
        <v>0</v>
      </c>
      <c r="AG448" s="8">
        <f>COUNTIF(Y448:AB448,"&gt;0")</f>
        <v>1</v>
      </c>
      <c r="AH448" s="10">
        <v>0</v>
      </c>
      <c r="AI448" s="10">
        <v>10.917999999999999</v>
      </c>
      <c r="AJ448" s="8" t="str">
        <f>IF(ISNUMBER(X448),IF(X448&gt;0,"+",IF(X448&lt;0,"−","0")),IF(ISNUMBER(W448),IF(W448&gt;0,"+",IF(W448&lt;0,"−","0")),"yok"))</f>
        <v>−</v>
      </c>
      <c r="AK448" s="10">
        <f>IF(AND(RIGHT(C448,2)&lt;&gt;"12",ISNUMBER(U448),ISNUMBER(V448)),U448-V448,"")</f>
        <v>10.918999999999997</v>
      </c>
      <c r="AL448" s="11">
        <f>IF(AND(ISNUMBER(AK448),ISNUMBER(V448)),IF(V448&lt;&gt;0,AK448/ABS(V448),""),"")</f>
        <v>0.1754366233390639</v>
      </c>
      <c r="AM448" s="8">
        <f>IF(ISNUMBER(AK448),IF(AK448&gt;1,1,0),"")</f>
        <v>1</v>
      </c>
      <c r="AN448" s="8">
        <f>IF(ISNUMBER(AK448),IF(AK448&gt;0.05*ABS(V448),1,0),"")</f>
        <v>1</v>
      </c>
      <c r="AO448" s="10">
        <v>-56.375</v>
      </c>
      <c r="AP448" s="10">
        <v>56.375</v>
      </c>
      <c r="AQ448" s="8" t="s">
        <v>204</v>
      </c>
      <c r="AR448" s="8">
        <v>0</v>
      </c>
      <c r="AS448" s="10">
        <v>-529.39200000000005</v>
      </c>
      <c r="AT448" s="10">
        <v>-671.00900000000001</v>
      </c>
      <c r="AU448" s="8" t="s">
        <v>204</v>
      </c>
      <c r="AV448" s="10">
        <v>10.919</v>
      </c>
      <c r="AW448" s="11">
        <f>IF(AND(ISNUMBER(AV448),ISNUMBER(AT448)),IF(AT448&lt;&gt;0,AV448/ABS(AT448),""),"")</f>
        <v>1.6272509012546777E-2</v>
      </c>
      <c r="AX448" s="8">
        <v>0</v>
      </c>
      <c r="AY448" s="8">
        <v>1</v>
      </c>
      <c r="AZ448" s="10"/>
      <c r="BA448" s="8">
        <v>0</v>
      </c>
    </row>
    <row r="449" spans="1:53" x14ac:dyDescent="0.2">
      <c r="A449" s="8" t="s">
        <v>507</v>
      </c>
      <c r="B449" s="8" t="s">
        <v>82</v>
      </c>
      <c r="C449" s="8" t="s">
        <v>203</v>
      </c>
      <c r="D449" s="8">
        <v>1</v>
      </c>
      <c r="E449" s="8">
        <v>1</v>
      </c>
      <c r="F449" s="8">
        <f>SUM(G449:M449)</f>
        <v>1</v>
      </c>
      <c r="G449" s="8">
        <v>0</v>
      </c>
      <c r="H449" s="8">
        <v>1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1</v>
      </c>
      <c r="Q449" s="8">
        <v>1</v>
      </c>
      <c r="R449" s="8">
        <v>1</v>
      </c>
      <c r="S449" s="8">
        <v>0</v>
      </c>
      <c r="T449" s="10">
        <v>-51.398000000000003</v>
      </c>
      <c r="U449" s="10">
        <v>-36.308999999999997</v>
      </c>
      <c r="V449" s="10">
        <v>-39.26</v>
      </c>
      <c r="W449" s="10">
        <f>IF(RIGHT(C449,2)="12",IF(ISNUMBER(T449),T449,""),IF(COUNT(T449,U449,V449)=3,T449+U449-V449,""))</f>
        <v>-48.446999999999996</v>
      </c>
      <c r="X449" s="10">
        <v>-48.447000000000003</v>
      </c>
      <c r="Y449" s="10">
        <v>3.669</v>
      </c>
      <c r="Z449" s="10">
        <v>4.3940000000000001</v>
      </c>
      <c r="AA449" s="10">
        <v>-5.1120000000000001</v>
      </c>
      <c r="AB449" s="10">
        <v>-51.398000000000003</v>
      </c>
      <c r="AC449" s="8">
        <v>0</v>
      </c>
      <c r="AD449" s="8">
        <v>0</v>
      </c>
      <c r="AE449" s="8">
        <v>0</v>
      </c>
      <c r="AF449" s="10">
        <v>0</v>
      </c>
      <c r="AG449" s="8">
        <f>COUNTIF(Y449:AB449,"&gt;0")</f>
        <v>2</v>
      </c>
      <c r="AH449" s="10">
        <v>0</v>
      </c>
      <c r="AI449" s="10">
        <v>8.0630000000000006</v>
      </c>
      <c r="AJ449" s="8" t="str">
        <f>IF(ISNUMBER(X449),IF(X449&gt;0,"+",IF(X449&lt;0,"−","0")),IF(ISNUMBER(W449),IF(W449&gt;0,"+",IF(W449&lt;0,"−","0")),"yok"))</f>
        <v>−</v>
      </c>
      <c r="AK449" s="10">
        <f>IF(AND(RIGHT(C449,2)&lt;&gt;"12",ISNUMBER(U449),ISNUMBER(V449)),U449-V449,"")</f>
        <v>2.9510000000000005</v>
      </c>
      <c r="AL449" s="11">
        <f>IF(AND(ISNUMBER(AK449),ISNUMBER(V449)),IF(V449&lt;&gt;0,AK449/ABS(V449),""),"")</f>
        <v>7.5165562913907302E-2</v>
      </c>
      <c r="AM449" s="8">
        <f>IF(ISNUMBER(AK449),IF(AK449&gt;1,1,0),"")</f>
        <v>1</v>
      </c>
      <c r="AN449" s="8">
        <f>IF(ISNUMBER(AK449),IF(AK449&gt;0.05*ABS(V449),1,0),"")</f>
        <v>1</v>
      </c>
      <c r="AO449" s="10">
        <v>-48.447000000000003</v>
      </c>
      <c r="AP449" s="10">
        <v>48.447000000000003</v>
      </c>
      <c r="AQ449" s="8" t="s">
        <v>204</v>
      </c>
      <c r="AR449" s="8">
        <v>0</v>
      </c>
      <c r="AS449" s="10">
        <v>3460.2719999999999</v>
      </c>
      <c r="AT449" s="10">
        <v>-705.50900000000001</v>
      </c>
      <c r="AU449" s="8" t="s">
        <v>204</v>
      </c>
      <c r="AV449" s="10">
        <v>2.9510000000000001</v>
      </c>
      <c r="AW449" s="11">
        <f>IF(AND(ISNUMBER(AV449),ISNUMBER(AT449)),IF(AT449&lt;&gt;0,AV449/ABS(AT449),""),"")</f>
        <v>4.1827956836836952E-3</v>
      </c>
      <c r="AX449" s="8">
        <v>0</v>
      </c>
      <c r="AY449" s="8">
        <v>1</v>
      </c>
      <c r="AZ449" s="10"/>
      <c r="BA449" s="8">
        <v>0</v>
      </c>
    </row>
    <row r="450" spans="1:53" x14ac:dyDescent="0.2">
      <c r="A450" s="8" t="s">
        <v>508</v>
      </c>
      <c r="B450" s="8" t="s">
        <v>83</v>
      </c>
      <c r="C450" s="8" t="s">
        <v>203</v>
      </c>
      <c r="D450" s="8">
        <v>1</v>
      </c>
      <c r="E450" s="8">
        <v>1</v>
      </c>
      <c r="F450" s="8">
        <f>SUM(G450:M450)</f>
        <v>1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1</v>
      </c>
      <c r="N450" s="8">
        <v>0</v>
      </c>
      <c r="O450" s="8">
        <v>0</v>
      </c>
      <c r="P450" s="8">
        <v>1</v>
      </c>
      <c r="Q450" s="8">
        <v>0</v>
      </c>
      <c r="R450" s="8">
        <v>0</v>
      </c>
      <c r="S450" s="8">
        <v>0</v>
      </c>
      <c r="T450" s="10">
        <v>-13.257999999999999</v>
      </c>
      <c r="U450" s="10">
        <v>-186.81899999999999</v>
      </c>
      <c r="V450" s="10">
        <v>0</v>
      </c>
      <c r="W450" s="10">
        <f>IF(RIGHT(C450,2)="12",IF(ISNUMBER(T450),T450,""),IF(COUNT(T450,U450,V450)=3,T450+U450-V450,""))</f>
        <v>-200.077</v>
      </c>
      <c r="X450" s="10">
        <v>-200.078</v>
      </c>
      <c r="Y450" s="10">
        <v>-215.05699999999999</v>
      </c>
      <c r="Z450" s="10">
        <v>-23.338999999999999</v>
      </c>
      <c r="AA450" s="10">
        <v>51.576999999999998</v>
      </c>
      <c r="AB450" s="10">
        <v>-13.257999999999999</v>
      </c>
      <c r="AC450" s="8">
        <v>0</v>
      </c>
      <c r="AD450" s="8">
        <v>0</v>
      </c>
      <c r="AE450" s="8">
        <v>0</v>
      </c>
      <c r="AF450" s="10">
        <v>0</v>
      </c>
      <c r="AG450" s="8">
        <f>COUNTIF(Y450:AB450,"&gt;0")</f>
        <v>1</v>
      </c>
      <c r="AH450" s="10">
        <v>0</v>
      </c>
      <c r="AI450" s="10">
        <v>51.576999999999998</v>
      </c>
      <c r="AJ450" s="8" t="str">
        <f>IF(ISNUMBER(X450),IF(X450&gt;0,"+",IF(X450&lt;0,"−","0")),IF(ISNUMBER(W450),IF(W450&gt;0,"+",IF(W450&lt;0,"−","0")),"yok"))</f>
        <v>−</v>
      </c>
      <c r="AK450" s="10">
        <f>IF(AND(RIGHT(C450,2)&lt;&gt;"12",ISNUMBER(U450),ISNUMBER(V450)),U450-V450,"")</f>
        <v>-186.81899999999999</v>
      </c>
      <c r="AL450" s="11" t="str">
        <f>IF(AND(ISNUMBER(AK450),ISNUMBER(V450)),IF(V450&lt;&gt;0,AK450/ABS(V450),""),"")</f>
        <v/>
      </c>
      <c r="AM450" s="8">
        <f>IF(ISNUMBER(AK450),IF(AK450&gt;1,1,0),"")</f>
        <v>0</v>
      </c>
      <c r="AN450" s="8">
        <f>IF(ISNUMBER(AK450),IF(AK450&gt;0.05*ABS(V450),1,0),"")</f>
        <v>0</v>
      </c>
      <c r="AO450" s="10">
        <v>-200.07900000000001</v>
      </c>
      <c r="AP450" s="10">
        <v>200.07900000000001</v>
      </c>
      <c r="AQ450" s="8" t="s">
        <v>204</v>
      </c>
      <c r="AR450" s="8">
        <v>0</v>
      </c>
      <c r="AS450" s="10">
        <v>1685.085</v>
      </c>
      <c r="AT450" s="10">
        <v>1485.0060000000001</v>
      </c>
      <c r="AU450" s="8" t="s">
        <v>204</v>
      </c>
      <c r="AV450" s="10">
        <v>51.576999999999998</v>
      </c>
      <c r="AW450" s="11">
        <f>IF(AND(ISNUMBER(AV450),ISNUMBER(AT450)),IF(AT450&lt;&gt;0,AV450/ABS(AT450),""),"")</f>
        <v>3.4731846201294804E-2</v>
      </c>
      <c r="AX450" s="8">
        <v>0</v>
      </c>
      <c r="AY450" s="8">
        <v>0</v>
      </c>
      <c r="AZ450" s="10"/>
      <c r="BA450" s="8">
        <v>0</v>
      </c>
    </row>
    <row r="451" spans="1:53" x14ac:dyDescent="0.2">
      <c r="A451" s="8" t="s">
        <v>508</v>
      </c>
      <c r="B451" s="8" t="s">
        <v>83</v>
      </c>
      <c r="C451" s="8" t="s">
        <v>205</v>
      </c>
      <c r="D451" s="8">
        <v>1</v>
      </c>
      <c r="E451" s="8">
        <v>1</v>
      </c>
      <c r="F451" s="8">
        <f>SUM(G451:M451)</f>
        <v>2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1</v>
      </c>
      <c r="M451" s="8">
        <v>1</v>
      </c>
      <c r="N451" s="8">
        <v>0</v>
      </c>
      <c r="O451" s="8">
        <v>0</v>
      </c>
      <c r="P451" s="8">
        <v>1</v>
      </c>
      <c r="Q451" s="8">
        <v>0</v>
      </c>
      <c r="R451" s="8">
        <v>0</v>
      </c>
      <c r="S451" s="8">
        <v>0</v>
      </c>
      <c r="T451" s="10">
        <v>-68.771000000000001</v>
      </c>
      <c r="U451" s="10">
        <v>-186.81899999999999</v>
      </c>
      <c r="V451" s="10">
        <v>-215.05699999999999</v>
      </c>
      <c r="W451" s="10">
        <f>IF(RIGHT(C451,2)="12",IF(ISNUMBER(T451),T451,""),IF(COUNT(T451,U451,V451)=3,T451+U451-V451,""))</f>
        <v>-40.532999999999987</v>
      </c>
      <c r="X451" s="10">
        <v>-40.533000000000001</v>
      </c>
      <c r="Y451" s="10">
        <v>-23.338999999999999</v>
      </c>
      <c r="Z451" s="10">
        <v>51.576999999999998</v>
      </c>
      <c r="AA451" s="10">
        <v>-13.257999999999999</v>
      </c>
      <c r="AB451" s="10">
        <v>-55.512</v>
      </c>
      <c r="AC451" s="8">
        <v>0</v>
      </c>
      <c r="AD451" s="8">
        <v>0</v>
      </c>
      <c r="AE451" s="8">
        <v>0</v>
      </c>
      <c r="AF451" s="10">
        <v>0</v>
      </c>
      <c r="AG451" s="8">
        <f>COUNTIF(Y451:AB451,"&gt;0")</f>
        <v>1</v>
      </c>
      <c r="AH451" s="10">
        <v>0</v>
      </c>
      <c r="AI451" s="10">
        <v>51.576999999999998</v>
      </c>
      <c r="AJ451" s="8" t="str">
        <f>IF(ISNUMBER(X451),IF(X451&gt;0,"+",IF(X451&lt;0,"−","0")),IF(ISNUMBER(W451),IF(W451&gt;0,"+",IF(W451&lt;0,"−","0")),"yok"))</f>
        <v>−</v>
      </c>
      <c r="AK451" s="10">
        <f>IF(AND(RIGHT(C451,2)&lt;&gt;"12",ISNUMBER(U451),ISNUMBER(V451)),U451-V451,"")</f>
        <v>28.238</v>
      </c>
      <c r="AL451" s="11">
        <f>IF(AND(ISNUMBER(AK451),ISNUMBER(V451)),IF(V451&lt;&gt;0,AK451/ABS(V451),""),"")</f>
        <v>0.13130472386390585</v>
      </c>
      <c r="AM451" s="8">
        <f>IF(ISNUMBER(AK451),IF(AK451&gt;1,1,0),"")</f>
        <v>1</v>
      </c>
      <c r="AN451" s="8">
        <f>IF(ISNUMBER(AK451),IF(AK451&gt;0.05*ABS(V451),1,0),"")</f>
        <v>1</v>
      </c>
      <c r="AO451" s="10">
        <v>-40.533000000000001</v>
      </c>
      <c r="AP451" s="10">
        <v>40.533000000000001</v>
      </c>
      <c r="AQ451" s="8" t="s">
        <v>204</v>
      </c>
      <c r="AR451" s="8">
        <v>0</v>
      </c>
      <c r="AS451" s="10">
        <v>950.91499999999996</v>
      </c>
      <c r="AT451" s="10">
        <v>910.38199999999995</v>
      </c>
      <c r="AU451" s="8" t="s">
        <v>204</v>
      </c>
      <c r="AV451" s="10">
        <v>28.238</v>
      </c>
      <c r="AW451" s="11">
        <f>IF(AND(ISNUMBER(AV451),ISNUMBER(AT451)),IF(AT451&lt;&gt;0,AV451/ABS(AT451),""),"")</f>
        <v>3.1017748593447587E-2</v>
      </c>
      <c r="AX451" s="8">
        <v>0</v>
      </c>
      <c r="AY451" s="8">
        <v>1</v>
      </c>
      <c r="AZ451" s="10"/>
      <c r="BA451" s="8">
        <v>0</v>
      </c>
    </row>
    <row r="452" spans="1:53" x14ac:dyDescent="0.2">
      <c r="A452" s="8" t="s">
        <v>508</v>
      </c>
      <c r="B452" s="8" t="s">
        <v>83</v>
      </c>
      <c r="C452" s="8" t="s">
        <v>215</v>
      </c>
      <c r="D452" s="8">
        <v>1</v>
      </c>
      <c r="E452" s="8">
        <v>1</v>
      </c>
      <c r="F452" s="8">
        <f>SUM(G452:M452)</f>
        <v>2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1</v>
      </c>
      <c r="M452" s="8">
        <v>1</v>
      </c>
      <c r="N452" s="8">
        <v>0</v>
      </c>
      <c r="O452" s="8">
        <v>0</v>
      </c>
      <c r="P452" s="8">
        <v>1</v>
      </c>
      <c r="Q452" s="8">
        <v>0</v>
      </c>
      <c r="R452" s="8">
        <v>0</v>
      </c>
      <c r="S452" s="8">
        <v>0</v>
      </c>
      <c r="T452" s="10">
        <v>-147.70099999999999</v>
      </c>
      <c r="U452" s="10">
        <v>-186.81899999999999</v>
      </c>
      <c r="V452" s="10">
        <v>-238.39699999999999</v>
      </c>
      <c r="W452" s="10">
        <f>IF(RIGHT(C452,2)="12",IF(ISNUMBER(T452),T452,""),IF(COUNT(T452,U452,V452)=3,T452+U452-V452,""))</f>
        <v>-96.12299999999999</v>
      </c>
      <c r="X452" s="10">
        <v>-96.123000000000005</v>
      </c>
      <c r="Y452" s="10">
        <v>51.576999999999998</v>
      </c>
      <c r="Z452" s="10">
        <v>-13.257999999999999</v>
      </c>
      <c r="AA452" s="10">
        <v>-55.512</v>
      </c>
      <c r="AB452" s="10">
        <v>-78.929000000000002</v>
      </c>
      <c r="AC452" s="8">
        <v>0</v>
      </c>
      <c r="AD452" s="8">
        <v>0</v>
      </c>
      <c r="AE452" s="8">
        <v>0</v>
      </c>
      <c r="AF452" s="10">
        <v>0</v>
      </c>
      <c r="AG452" s="8">
        <f>COUNTIF(Y452:AB452,"&gt;0")</f>
        <v>1</v>
      </c>
      <c r="AH452" s="10">
        <v>0</v>
      </c>
      <c r="AI452" s="10">
        <v>51.576999999999998</v>
      </c>
      <c r="AJ452" s="8" t="str">
        <f>IF(ISNUMBER(X452),IF(X452&gt;0,"+",IF(X452&lt;0,"−","0")),IF(ISNUMBER(W452),IF(W452&gt;0,"+",IF(W452&lt;0,"−","0")),"yok"))</f>
        <v>−</v>
      </c>
      <c r="AK452" s="10">
        <f>IF(AND(RIGHT(C452,2)&lt;&gt;"12",ISNUMBER(U452),ISNUMBER(V452)),U452-V452,"")</f>
        <v>51.578000000000003</v>
      </c>
      <c r="AL452" s="11">
        <f>IF(AND(ISNUMBER(AK452),ISNUMBER(V452)),IF(V452&lt;&gt;0,AK452/ABS(V452),""),"")</f>
        <v>0.21635339370881346</v>
      </c>
      <c r="AM452" s="8">
        <f>IF(ISNUMBER(AK452),IF(AK452&gt;1,1,0),"")</f>
        <v>1</v>
      </c>
      <c r="AN452" s="8">
        <f>IF(ISNUMBER(AK452),IF(AK452&gt;0.05*ABS(V452),1,0),"")</f>
        <v>1</v>
      </c>
      <c r="AO452" s="10">
        <v>-96.123999999999995</v>
      </c>
      <c r="AP452" s="10">
        <v>96.123999999999995</v>
      </c>
      <c r="AQ452" s="8" t="s">
        <v>204</v>
      </c>
      <c r="AR452" s="8">
        <v>0</v>
      </c>
      <c r="AS452" s="10">
        <v>935.68700000000001</v>
      </c>
      <c r="AT452" s="10">
        <v>839.56299999999999</v>
      </c>
      <c r="AU452" s="8" t="s">
        <v>204</v>
      </c>
      <c r="AV452" s="10">
        <v>51.578000000000003</v>
      </c>
      <c r="AW452" s="11">
        <f>IF(AND(ISNUMBER(AV452),ISNUMBER(AT452)),IF(AT452&lt;&gt;0,AV452/ABS(AT452),""),"")</f>
        <v>6.1434341437152429E-2</v>
      </c>
      <c r="AX452" s="8">
        <v>0</v>
      </c>
      <c r="AY452" s="8">
        <v>1</v>
      </c>
      <c r="AZ452" s="10"/>
      <c r="BA452" s="8">
        <v>0</v>
      </c>
    </row>
    <row r="453" spans="1:53" x14ac:dyDescent="0.2">
      <c r="A453" s="8" t="s">
        <v>508</v>
      </c>
      <c r="B453" s="8" t="s">
        <v>83</v>
      </c>
      <c r="C453" s="8" t="s">
        <v>208</v>
      </c>
      <c r="D453" s="8">
        <v>1</v>
      </c>
      <c r="E453" s="8">
        <v>1</v>
      </c>
      <c r="F453" s="8">
        <f>SUM(G453:M453)</f>
        <v>1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1</v>
      </c>
      <c r="N453" s="8">
        <v>0</v>
      </c>
      <c r="O453" s="8">
        <v>0</v>
      </c>
      <c r="P453" s="8">
        <v>1</v>
      </c>
      <c r="Q453" s="8">
        <v>0</v>
      </c>
      <c r="R453" s="8">
        <v>0</v>
      </c>
      <c r="S453" s="8">
        <v>0</v>
      </c>
      <c r="T453" s="10">
        <v>-13.67</v>
      </c>
      <c r="U453" s="10">
        <v>-136.40899999999999</v>
      </c>
      <c r="V453" s="10">
        <v>-13.257999999999999</v>
      </c>
      <c r="W453" s="10">
        <f>IF(RIGHT(C453,2)="12",IF(ISNUMBER(T453),T453,""),IF(COUNT(T453,U453,V453)=3,T453+U453-V453,""))</f>
        <v>-136.82099999999997</v>
      </c>
      <c r="X453" s="10">
        <v>-136.821</v>
      </c>
      <c r="Y453" s="10">
        <v>-55.512</v>
      </c>
      <c r="Z453" s="10">
        <v>-78.929000000000002</v>
      </c>
      <c r="AA453" s="10">
        <v>11.291</v>
      </c>
      <c r="AB453" s="10">
        <v>-13.67</v>
      </c>
      <c r="AC453" s="8">
        <v>0</v>
      </c>
      <c r="AD453" s="8">
        <v>0</v>
      </c>
      <c r="AE453" s="8">
        <v>0</v>
      </c>
      <c r="AF453" s="10">
        <v>0</v>
      </c>
      <c r="AG453" s="8">
        <f>COUNTIF(Y453:AB453,"&gt;0")</f>
        <v>1</v>
      </c>
      <c r="AH453" s="10">
        <v>0</v>
      </c>
      <c r="AI453" s="10">
        <v>11.291</v>
      </c>
      <c r="AJ453" s="8" t="str">
        <f>IF(ISNUMBER(X453),IF(X453&gt;0,"+",IF(X453&lt;0,"−","0")),IF(ISNUMBER(W453),IF(W453&gt;0,"+",IF(W453&lt;0,"−","0")),"yok"))</f>
        <v>−</v>
      </c>
      <c r="AK453" s="10">
        <f>IF(AND(RIGHT(C453,2)&lt;&gt;"12",ISNUMBER(U453),ISNUMBER(V453)),U453-V453,"")</f>
        <v>-123.151</v>
      </c>
      <c r="AL453" s="11">
        <f>IF(AND(ISNUMBER(AK453),ISNUMBER(V453)),IF(V453&lt;&gt;0,AK453/ABS(V453),""),"")</f>
        <v>-9.288806758183739</v>
      </c>
      <c r="AM453" s="8">
        <f>IF(ISNUMBER(AK453),IF(AK453&gt;1,1,0),"")</f>
        <v>0</v>
      </c>
      <c r="AN453" s="8">
        <f>IF(ISNUMBER(AK453),IF(AK453&gt;0.05*ABS(V453),1,0),"")</f>
        <v>0</v>
      </c>
      <c r="AO453" s="10">
        <v>-136.822</v>
      </c>
      <c r="AP453" s="10">
        <v>136.822</v>
      </c>
      <c r="AQ453" s="8" t="s">
        <v>204</v>
      </c>
      <c r="AR453" s="8">
        <v>0</v>
      </c>
      <c r="AS453" s="10">
        <v>485.20100000000002</v>
      </c>
      <c r="AT453" s="10">
        <v>348.37900000000002</v>
      </c>
      <c r="AU453" s="8" t="s">
        <v>204</v>
      </c>
      <c r="AV453" s="10">
        <v>11.291</v>
      </c>
      <c r="AW453" s="11">
        <f>IF(AND(ISNUMBER(AV453),ISNUMBER(AT453)),IF(AT453&lt;&gt;0,AV453/ABS(AT453),""),"")</f>
        <v>3.241010508670155E-2</v>
      </c>
      <c r="AX453" s="8">
        <v>0</v>
      </c>
      <c r="AY453" s="8">
        <v>0</v>
      </c>
      <c r="AZ453" s="10"/>
      <c r="BA453" s="8">
        <v>0</v>
      </c>
    </row>
    <row r="454" spans="1:53" x14ac:dyDescent="0.2">
      <c r="A454" s="8" t="s">
        <v>508</v>
      </c>
      <c r="B454" s="8" t="s">
        <v>83</v>
      </c>
      <c r="C454" s="8" t="s">
        <v>210</v>
      </c>
      <c r="D454" s="8">
        <v>1</v>
      </c>
      <c r="E454" s="8">
        <v>1</v>
      </c>
      <c r="F454" s="8">
        <f>SUM(G454:M454)</f>
        <v>1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1</v>
      </c>
      <c r="N454" s="8">
        <v>0</v>
      </c>
      <c r="O454" s="8">
        <v>0</v>
      </c>
      <c r="P454" s="8">
        <v>1</v>
      </c>
      <c r="Q454" s="8">
        <v>0</v>
      </c>
      <c r="R454" s="8">
        <v>0</v>
      </c>
      <c r="S454" s="8">
        <v>0</v>
      </c>
      <c r="T454" s="10">
        <v>-51.695</v>
      </c>
      <c r="U454" s="10">
        <v>-136.40899999999999</v>
      </c>
      <c r="V454" s="10">
        <v>-68.771000000000001</v>
      </c>
      <c r="W454" s="10">
        <f>IF(RIGHT(C454,2)="12",IF(ISNUMBER(T454),T454,""),IF(COUNT(T454,U454,V454)=3,T454+U454-V454,""))</f>
        <v>-119.33299999999998</v>
      </c>
      <c r="X454" s="10">
        <v>-119.333</v>
      </c>
      <c r="Y454" s="10">
        <v>-78.929000000000002</v>
      </c>
      <c r="Z454" s="10">
        <v>11.291</v>
      </c>
      <c r="AA454" s="10">
        <v>-13.67</v>
      </c>
      <c r="AB454" s="10">
        <v>-38.024000000000001</v>
      </c>
      <c r="AC454" s="8">
        <v>0</v>
      </c>
      <c r="AD454" s="8">
        <v>0</v>
      </c>
      <c r="AE454" s="8">
        <v>0</v>
      </c>
      <c r="AF454" s="10">
        <v>0</v>
      </c>
      <c r="AG454" s="8">
        <f>COUNTIF(Y454:AB454,"&gt;0")</f>
        <v>1</v>
      </c>
      <c r="AH454" s="10">
        <v>0</v>
      </c>
      <c r="AI454" s="10">
        <v>11.291</v>
      </c>
      <c r="AJ454" s="8" t="str">
        <f>IF(ISNUMBER(X454),IF(X454&gt;0,"+",IF(X454&lt;0,"−","0")),IF(ISNUMBER(W454),IF(W454&gt;0,"+",IF(W454&lt;0,"−","0")),"yok"))</f>
        <v>−</v>
      </c>
      <c r="AK454" s="10">
        <f>IF(AND(RIGHT(C454,2)&lt;&gt;"12",ISNUMBER(U454),ISNUMBER(V454)),U454-V454,"")</f>
        <v>-67.637999999999991</v>
      </c>
      <c r="AL454" s="11">
        <f>IF(AND(ISNUMBER(AK454),ISNUMBER(V454)),IF(V454&lt;&gt;0,AK454/ABS(V454),""),"")</f>
        <v>-0.98352503235375366</v>
      </c>
      <c r="AM454" s="8">
        <f>IF(ISNUMBER(AK454),IF(AK454&gt;1,1,0),"")</f>
        <v>0</v>
      </c>
      <c r="AN454" s="8">
        <f>IF(ISNUMBER(AK454),IF(AK454&gt;0.05*ABS(V454),1,0),"")</f>
        <v>0</v>
      </c>
      <c r="AO454" s="10">
        <v>-119.334</v>
      </c>
      <c r="AP454" s="10">
        <v>119.334</v>
      </c>
      <c r="AQ454" s="8" t="s">
        <v>204</v>
      </c>
      <c r="AR454" s="8">
        <v>0</v>
      </c>
      <c r="AS454" s="10">
        <v>443.62400000000002</v>
      </c>
      <c r="AT454" s="10">
        <v>324.29000000000002</v>
      </c>
      <c r="AU454" s="8" t="s">
        <v>204</v>
      </c>
      <c r="AV454" s="10">
        <v>11.291</v>
      </c>
      <c r="AW454" s="11">
        <f>IF(AND(ISNUMBER(AV454),ISNUMBER(AT454)),IF(AT454&lt;&gt;0,AV454/ABS(AT454),""),"")</f>
        <v>3.4817601529495201E-2</v>
      </c>
      <c r="AX454" s="8">
        <v>0</v>
      </c>
      <c r="AY454" s="8">
        <v>0</v>
      </c>
      <c r="AZ454" s="10"/>
      <c r="BA454" s="8">
        <v>0</v>
      </c>
    </row>
    <row r="455" spans="1:53" x14ac:dyDescent="0.2">
      <c r="A455" s="8" t="s">
        <v>509</v>
      </c>
      <c r="B455" s="8" t="s">
        <v>83</v>
      </c>
      <c r="C455" s="8" t="s">
        <v>203</v>
      </c>
      <c r="D455" s="8">
        <v>1</v>
      </c>
      <c r="E455" s="8">
        <v>1</v>
      </c>
      <c r="F455" s="8">
        <f>SUM(G455:M455)</f>
        <v>1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1</v>
      </c>
      <c r="N455" s="8">
        <v>0</v>
      </c>
      <c r="O455" s="8">
        <v>0</v>
      </c>
      <c r="P455" s="8">
        <v>1</v>
      </c>
      <c r="Q455" s="8">
        <v>0</v>
      </c>
      <c r="R455" s="8">
        <v>0</v>
      </c>
      <c r="S455" s="8">
        <v>0</v>
      </c>
      <c r="T455" s="10">
        <v>-16.826000000000001</v>
      </c>
      <c r="U455" s="10">
        <v>-84.433999999999997</v>
      </c>
      <c r="V455" s="10">
        <v>-42.334000000000003</v>
      </c>
      <c r="W455" s="10">
        <f>IF(RIGHT(C455,2)="12",IF(ISNUMBER(T455),T455,""),IF(COUNT(T455,U455,V455)=3,T455+U455-V455,""))</f>
        <v>-58.925999999999988</v>
      </c>
      <c r="X455" s="10">
        <v>-58.927</v>
      </c>
      <c r="Y455" s="10">
        <v>-43.194000000000003</v>
      </c>
      <c r="Z455" s="10">
        <v>-16.905000000000001</v>
      </c>
      <c r="AA455" s="10">
        <v>17.998999999999999</v>
      </c>
      <c r="AB455" s="10">
        <v>-16.826000000000001</v>
      </c>
      <c r="AC455" s="8">
        <v>0</v>
      </c>
      <c r="AD455" s="8">
        <v>0</v>
      </c>
      <c r="AE455" s="8">
        <v>0</v>
      </c>
      <c r="AF455" s="10">
        <v>0</v>
      </c>
      <c r="AG455" s="8">
        <f>COUNTIF(Y455:AB455,"&gt;0")</f>
        <v>1</v>
      </c>
      <c r="AH455" s="10">
        <v>0</v>
      </c>
      <c r="AI455" s="10">
        <v>17.998999999999999</v>
      </c>
      <c r="AJ455" s="8" t="str">
        <f>IF(ISNUMBER(X455),IF(X455&gt;0,"+",IF(X455&lt;0,"−","0")),IF(ISNUMBER(W455),IF(W455&gt;0,"+",IF(W455&lt;0,"−","0")),"yok"))</f>
        <v>−</v>
      </c>
      <c r="AK455" s="10">
        <f>IF(AND(RIGHT(C455,2)&lt;&gt;"12",ISNUMBER(U455),ISNUMBER(V455)),U455-V455,"")</f>
        <v>-42.099999999999994</v>
      </c>
      <c r="AL455" s="11">
        <f>IF(AND(ISNUMBER(AK455),ISNUMBER(V455)),IF(V455&lt;&gt;0,AK455/ABS(V455),""),"")</f>
        <v>-0.99447252799168495</v>
      </c>
      <c r="AM455" s="8">
        <f>IF(ISNUMBER(AK455),IF(AK455&gt;1,1,0),"")</f>
        <v>0</v>
      </c>
      <c r="AN455" s="8">
        <f>IF(ISNUMBER(AK455),IF(AK455&gt;0.05*ABS(V455),1,0),"")</f>
        <v>0</v>
      </c>
      <c r="AO455" s="10">
        <v>-58.927999999999997</v>
      </c>
      <c r="AP455" s="10">
        <v>58.927999999999997</v>
      </c>
      <c r="AQ455" s="8" t="s">
        <v>204</v>
      </c>
      <c r="AR455" s="8">
        <v>0</v>
      </c>
      <c r="AS455" s="10">
        <v>163.68199999999999</v>
      </c>
      <c r="AT455" s="10">
        <v>104.754</v>
      </c>
      <c r="AU455" s="8" t="s">
        <v>212</v>
      </c>
      <c r="AV455" s="10">
        <v>17.998999999999999</v>
      </c>
      <c r="AW455" s="11">
        <f>IF(AND(ISNUMBER(AV455),ISNUMBER(AT455)),IF(AT455&lt;&gt;0,AV455/ABS(AT455),""),"")</f>
        <v>0.17182160108444544</v>
      </c>
      <c r="AX455" s="8">
        <v>0</v>
      </c>
      <c r="AY455" s="8">
        <v>0</v>
      </c>
      <c r="AZ455" s="10"/>
      <c r="BA455" s="8">
        <v>0</v>
      </c>
    </row>
    <row r="456" spans="1:53" x14ac:dyDescent="0.2">
      <c r="A456" s="8" t="s">
        <v>509</v>
      </c>
      <c r="B456" s="8" t="s">
        <v>83</v>
      </c>
      <c r="C456" s="8" t="s">
        <v>205</v>
      </c>
      <c r="D456" s="8">
        <v>1</v>
      </c>
      <c r="E456" s="8">
        <v>1</v>
      </c>
      <c r="F456" s="8">
        <f>SUM(G456:M456)</f>
        <v>1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1</v>
      </c>
      <c r="N456" s="8">
        <v>0</v>
      </c>
      <c r="O456" s="8">
        <v>0</v>
      </c>
      <c r="P456" s="8">
        <v>1</v>
      </c>
      <c r="Q456" s="8">
        <v>0</v>
      </c>
      <c r="R456" s="8">
        <v>0</v>
      </c>
      <c r="S456" s="8">
        <v>0</v>
      </c>
      <c r="T456" s="10">
        <v>-63.648000000000003</v>
      </c>
      <c r="U456" s="10">
        <v>-84.433999999999997</v>
      </c>
      <c r="V456" s="10">
        <v>-85.528000000000006</v>
      </c>
      <c r="W456" s="10">
        <f>IF(RIGHT(C456,2)="12",IF(ISNUMBER(T456),T456,""),IF(COUNT(T456,U456,V456)=3,T456+U456-V456,""))</f>
        <v>-62.553999999999988</v>
      </c>
      <c r="X456" s="10">
        <v>-62.555</v>
      </c>
      <c r="Y456" s="10">
        <v>-16.905000000000001</v>
      </c>
      <c r="Z456" s="10">
        <v>17.998999999999999</v>
      </c>
      <c r="AA456" s="10">
        <v>-16.826000000000001</v>
      </c>
      <c r="AB456" s="10">
        <v>-46.822000000000003</v>
      </c>
      <c r="AC456" s="8">
        <v>0</v>
      </c>
      <c r="AD456" s="8">
        <v>0</v>
      </c>
      <c r="AE456" s="8">
        <v>0</v>
      </c>
      <c r="AF456" s="10">
        <v>0</v>
      </c>
      <c r="AG456" s="8">
        <f>COUNTIF(Y456:AB456,"&gt;0")</f>
        <v>1</v>
      </c>
      <c r="AH456" s="10">
        <v>0</v>
      </c>
      <c r="AI456" s="10">
        <v>17.998999999999999</v>
      </c>
      <c r="AJ456" s="8" t="str">
        <f>IF(ISNUMBER(X456),IF(X456&gt;0,"+",IF(X456&lt;0,"−","0")),IF(ISNUMBER(W456),IF(W456&gt;0,"+",IF(W456&lt;0,"−","0")),"yok"))</f>
        <v>−</v>
      </c>
      <c r="AK456" s="10">
        <f>IF(AND(RIGHT(C456,2)&lt;&gt;"12",ISNUMBER(U456),ISNUMBER(V456)),U456-V456,"")</f>
        <v>1.0940000000000083</v>
      </c>
      <c r="AL456" s="11">
        <f>IF(AND(ISNUMBER(AK456),ISNUMBER(V456)),IF(V456&lt;&gt;0,AK456/ABS(V456),""),"")</f>
        <v>1.279113272846329E-2</v>
      </c>
      <c r="AM456" s="8">
        <f>IF(ISNUMBER(AK456),IF(AK456&gt;1,1,0),"")</f>
        <v>1</v>
      </c>
      <c r="AN456" s="8">
        <f>IF(ISNUMBER(AK456),IF(AK456&gt;0.05*ABS(V456),1,0),"")</f>
        <v>0</v>
      </c>
      <c r="AO456" s="10">
        <v>-62.555999999999997</v>
      </c>
      <c r="AP456" s="10">
        <v>62.555999999999997</v>
      </c>
      <c r="AQ456" s="8" t="s">
        <v>204</v>
      </c>
      <c r="AR456" s="8">
        <v>0</v>
      </c>
      <c r="AS456" s="10">
        <v>-96.191000000000003</v>
      </c>
      <c r="AT456" s="10">
        <v>-158.74700000000001</v>
      </c>
      <c r="AU456" s="8" t="s">
        <v>204</v>
      </c>
      <c r="AV456" s="10">
        <v>1.0940000000000101</v>
      </c>
      <c r="AW456" s="11">
        <f>IF(AND(ISNUMBER(AV456),ISNUMBER(AT456)),IF(AT456&lt;&gt;0,AV456/ABS(AT456),""),"")</f>
        <v>6.8914688151587742E-3</v>
      </c>
      <c r="AX456" s="8">
        <v>0</v>
      </c>
      <c r="AY456" s="8">
        <v>0</v>
      </c>
      <c r="AZ456" s="10"/>
      <c r="BA456" s="8">
        <v>0</v>
      </c>
    </row>
    <row r="457" spans="1:53" x14ac:dyDescent="0.2">
      <c r="A457" s="8" t="s">
        <v>509</v>
      </c>
      <c r="B457" s="8" t="s">
        <v>83</v>
      </c>
      <c r="C457" s="8" t="s">
        <v>215</v>
      </c>
      <c r="D457" s="8">
        <v>1</v>
      </c>
      <c r="E457" s="8">
        <v>1</v>
      </c>
      <c r="F457" s="8">
        <f>SUM(G457:M457)</f>
        <v>2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1</v>
      </c>
      <c r="M457" s="8">
        <v>1</v>
      </c>
      <c r="N457" s="8">
        <v>0</v>
      </c>
      <c r="O457" s="8">
        <v>0</v>
      </c>
      <c r="P457" s="8">
        <v>1</v>
      </c>
      <c r="Q457" s="8">
        <v>0</v>
      </c>
      <c r="R457" s="8">
        <v>0</v>
      </c>
      <c r="S457" s="8">
        <v>0</v>
      </c>
      <c r="T457" s="10">
        <v>-94.218000000000004</v>
      </c>
      <c r="U457" s="10">
        <v>-84.433999999999997</v>
      </c>
      <c r="V457" s="10">
        <v>-102.434</v>
      </c>
      <c r="W457" s="10">
        <f>IF(RIGHT(C457,2)="12",IF(ISNUMBER(T457),T457,""),IF(COUNT(T457,U457,V457)=3,T457+U457-V457,""))</f>
        <v>-76.217999999999989</v>
      </c>
      <c r="X457" s="10">
        <v>-76.218000000000004</v>
      </c>
      <c r="Y457" s="10">
        <v>17.998999999999999</v>
      </c>
      <c r="Z457" s="10">
        <v>-16.826000000000001</v>
      </c>
      <c r="AA457" s="10">
        <v>-46.822000000000003</v>
      </c>
      <c r="AB457" s="10">
        <v>-30.568999999999999</v>
      </c>
      <c r="AC457" s="8">
        <v>0</v>
      </c>
      <c r="AD457" s="8">
        <v>0</v>
      </c>
      <c r="AE457" s="8">
        <v>0</v>
      </c>
      <c r="AF457" s="10">
        <v>0</v>
      </c>
      <c r="AG457" s="8">
        <f>COUNTIF(Y457:AB457,"&gt;0")</f>
        <v>1</v>
      </c>
      <c r="AH457" s="10">
        <v>0</v>
      </c>
      <c r="AI457" s="10">
        <v>17.998999999999999</v>
      </c>
      <c r="AJ457" s="8" t="str">
        <f>IF(ISNUMBER(X457),IF(X457&gt;0,"+",IF(X457&lt;0,"−","0")),IF(ISNUMBER(W457),IF(W457&gt;0,"+",IF(W457&lt;0,"−","0")),"yok"))</f>
        <v>−</v>
      </c>
      <c r="AK457" s="10">
        <f>IF(AND(RIGHT(C457,2)&lt;&gt;"12",ISNUMBER(U457),ISNUMBER(V457)),U457-V457,"")</f>
        <v>18</v>
      </c>
      <c r="AL457" s="11">
        <f>IF(AND(ISNUMBER(AK457),ISNUMBER(V457)),IF(V457&lt;&gt;0,AK457/ABS(V457),""),"")</f>
        <v>0.17572290450436379</v>
      </c>
      <c r="AM457" s="8">
        <f>IF(ISNUMBER(AK457),IF(AK457&gt;1,1,0),"")</f>
        <v>1</v>
      </c>
      <c r="AN457" s="8">
        <f>IF(ISNUMBER(AK457),IF(AK457&gt;0.05*ABS(V457),1,0),"")</f>
        <v>1</v>
      </c>
      <c r="AO457" s="10">
        <v>-76.218999999999994</v>
      </c>
      <c r="AP457" s="10">
        <v>76.218999999999994</v>
      </c>
      <c r="AQ457" s="8" t="s">
        <v>204</v>
      </c>
      <c r="AR457" s="8">
        <v>0</v>
      </c>
      <c r="AS457" s="10">
        <v>303.15899999999999</v>
      </c>
      <c r="AT457" s="10">
        <v>226.94</v>
      </c>
      <c r="AU457" s="8" t="s">
        <v>204</v>
      </c>
      <c r="AV457" s="10">
        <v>18</v>
      </c>
      <c r="AW457" s="11">
        <f>IF(AND(ISNUMBER(AV457),ISNUMBER(AT457)),IF(AT457&lt;&gt;0,AV457/ABS(AT457),""),"")</f>
        <v>7.9316118797920152E-2</v>
      </c>
      <c r="AX457" s="8">
        <v>0</v>
      </c>
      <c r="AY457" s="8">
        <v>1</v>
      </c>
      <c r="AZ457" s="10"/>
      <c r="BA457" s="8">
        <v>0</v>
      </c>
    </row>
    <row r="458" spans="1:53" x14ac:dyDescent="0.2">
      <c r="A458" s="8" t="s">
        <v>510</v>
      </c>
      <c r="B458" s="8" t="s">
        <v>83</v>
      </c>
      <c r="C458" s="8" t="s">
        <v>208</v>
      </c>
      <c r="D458" s="8">
        <v>1</v>
      </c>
      <c r="E458" s="8">
        <v>1</v>
      </c>
      <c r="F458" s="8">
        <f>SUM(G458:M458)</f>
        <v>1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1</v>
      </c>
      <c r="N458" s="8">
        <v>0</v>
      </c>
      <c r="O458" s="8">
        <v>0</v>
      </c>
      <c r="P458" s="8">
        <v>1</v>
      </c>
      <c r="Q458" s="8">
        <v>0</v>
      </c>
      <c r="R458" s="8">
        <v>0</v>
      </c>
      <c r="S458" s="8">
        <v>0</v>
      </c>
      <c r="T458" s="10"/>
      <c r="U458" s="10">
        <v>-2.1800000000000002</v>
      </c>
      <c r="V458" s="10"/>
      <c r="W458" s="10" t="str">
        <f>IF(RIGHT(C458,2)="12",IF(ISNUMBER(T458),T458,""),IF(COUNT(T458,U458,V458)=3,T458+U458-V458,""))</f>
        <v/>
      </c>
      <c r="X458" s="10"/>
      <c r="Y458" s="10">
        <v>-3.4649999999999999</v>
      </c>
      <c r="Z458" s="10"/>
      <c r="AA458" s="10">
        <v>1.284</v>
      </c>
      <c r="AB458" s="10"/>
      <c r="AC458" s="8">
        <v>0</v>
      </c>
      <c r="AD458" s="8">
        <v>0</v>
      </c>
      <c r="AE458" s="8">
        <v>0</v>
      </c>
      <c r="AF458" s="10">
        <v>0</v>
      </c>
      <c r="AG458" s="8">
        <f>COUNTIF(Y458:AB458,"&gt;0")</f>
        <v>1</v>
      </c>
      <c r="AH458" s="10">
        <v>0</v>
      </c>
      <c r="AI458" s="10">
        <v>1.284</v>
      </c>
      <c r="AJ458" s="8" t="str">
        <f>IF(ISNUMBER(X458),IF(X458&gt;0,"+",IF(X458&lt;0,"−","0")),IF(ISNUMBER(W458),IF(W458&gt;0,"+",IF(W458&lt;0,"−","0")),"yok"))</f>
        <v>yok</v>
      </c>
      <c r="AK458" s="10" t="str">
        <f>IF(AND(RIGHT(C458,2)&lt;&gt;"12",ISNUMBER(U458),ISNUMBER(V458)),U458-V458,"")</f>
        <v/>
      </c>
      <c r="AL458" s="11" t="str">
        <f>IF(AND(ISNUMBER(AK458),ISNUMBER(V458)),IF(V458&lt;&gt;0,AK458/ABS(V458),""),"")</f>
        <v/>
      </c>
      <c r="AM458" s="8" t="str">
        <f>IF(ISNUMBER(AK458),IF(AK458&gt;1,1,0),"")</f>
        <v/>
      </c>
      <c r="AN458" s="8" t="str">
        <f>IF(ISNUMBER(AK458),IF(AK458&gt;0.05*ABS(V458),1,0),"")</f>
        <v/>
      </c>
      <c r="AO458" s="10"/>
      <c r="AP458" s="10"/>
      <c r="AQ458" s="8" t="s">
        <v>207</v>
      </c>
      <c r="AR458" s="8">
        <v>0</v>
      </c>
      <c r="AS458" s="10"/>
      <c r="AT458" s="10"/>
      <c r="AU458" s="8" t="s">
        <v>207</v>
      </c>
      <c r="AV458" s="10">
        <v>1.284</v>
      </c>
      <c r="AW458" s="11" t="str">
        <f>IF(AND(ISNUMBER(AV458),ISNUMBER(AT458)),IF(AT458&lt;&gt;0,AV458/ABS(AT458),""),"")</f>
        <v/>
      </c>
      <c r="AX458" s="8">
        <v>0</v>
      </c>
      <c r="AY458" s="8">
        <v>0</v>
      </c>
      <c r="AZ458" s="10"/>
      <c r="BA458" s="8">
        <v>0</v>
      </c>
    </row>
    <row r="459" spans="1:53" x14ac:dyDescent="0.2">
      <c r="A459" s="8" t="s">
        <v>510</v>
      </c>
      <c r="B459" s="8" t="s">
        <v>83</v>
      </c>
      <c r="C459" s="8" t="s">
        <v>210</v>
      </c>
      <c r="D459" s="8">
        <v>1</v>
      </c>
      <c r="E459" s="8">
        <v>1</v>
      </c>
      <c r="F459" s="8">
        <f>SUM(G459:M459)</f>
        <v>2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1</v>
      </c>
      <c r="M459" s="8">
        <v>1</v>
      </c>
      <c r="N459" s="8">
        <v>1</v>
      </c>
      <c r="O459" s="8">
        <v>0</v>
      </c>
      <c r="P459" s="8">
        <v>1</v>
      </c>
      <c r="Q459" s="8">
        <v>0</v>
      </c>
      <c r="R459" s="8">
        <v>0</v>
      </c>
      <c r="S459" s="8">
        <v>0</v>
      </c>
      <c r="T459" s="10">
        <v>-0.221</v>
      </c>
      <c r="U459" s="10">
        <v>-2.1800000000000002</v>
      </c>
      <c r="V459" s="10">
        <v>-3.4649999999999999</v>
      </c>
      <c r="W459" s="10">
        <f>IF(RIGHT(C459,2)="12",IF(ISNUMBER(T459),T459,""),IF(COUNT(T459,U459,V459)=3,T459+U459-V459,""))</f>
        <v>1.0639999999999996</v>
      </c>
      <c r="X459" s="10">
        <v>1.0620000000000001</v>
      </c>
      <c r="Y459" s="10"/>
      <c r="Z459" s="10">
        <v>1.284</v>
      </c>
      <c r="AA459" s="10"/>
      <c r="AB459" s="10">
        <v>-0.221</v>
      </c>
      <c r="AC459" s="8">
        <v>0</v>
      </c>
      <c r="AD459" s="8">
        <v>0</v>
      </c>
      <c r="AE459" s="8">
        <v>0</v>
      </c>
      <c r="AF459" s="10">
        <v>0</v>
      </c>
      <c r="AG459" s="8">
        <f>COUNTIF(Y459:AB459,"&gt;0")</f>
        <v>1</v>
      </c>
      <c r="AH459" s="10">
        <v>0</v>
      </c>
      <c r="AI459" s="10">
        <v>1.284</v>
      </c>
      <c r="AJ459" s="8" t="str">
        <f>IF(ISNUMBER(X459),IF(X459&gt;0,"+",IF(X459&lt;0,"−","0")),IF(ISNUMBER(W459),IF(W459&gt;0,"+",IF(W459&lt;0,"−","0")),"yok"))</f>
        <v>+</v>
      </c>
      <c r="AK459" s="10">
        <f>IF(AND(RIGHT(C459,2)&lt;&gt;"12",ISNUMBER(U459),ISNUMBER(V459)),U459-V459,"")</f>
        <v>1.2849999999999997</v>
      </c>
      <c r="AL459" s="11">
        <f>IF(AND(ISNUMBER(AK459),ISNUMBER(V459)),IF(V459&lt;&gt;0,AK459/ABS(V459),""),"")</f>
        <v>0.37085137085137077</v>
      </c>
      <c r="AM459" s="8">
        <f>IF(ISNUMBER(AK459),IF(AK459&gt;1,1,0),"")</f>
        <v>1</v>
      </c>
      <c r="AN459" s="8">
        <f>IF(ISNUMBER(AK459),IF(AK459&gt;0.05*ABS(V459),1,0),"")</f>
        <v>1</v>
      </c>
      <c r="AO459" s="10"/>
      <c r="AP459" s="10"/>
      <c r="AQ459" s="8" t="s">
        <v>207</v>
      </c>
      <c r="AR459" s="8">
        <v>0</v>
      </c>
      <c r="AS459" s="10"/>
      <c r="AT459" s="10"/>
      <c r="AU459" s="8" t="s">
        <v>207</v>
      </c>
      <c r="AV459" s="10">
        <v>1.2849999999999999</v>
      </c>
      <c r="AW459" s="11" t="str">
        <f>IF(AND(ISNUMBER(AV459),ISNUMBER(AT459)),IF(AT459&lt;&gt;0,AV459/ABS(AT459),""),"")</f>
        <v/>
      </c>
      <c r="AX459" s="8">
        <v>0</v>
      </c>
      <c r="AY459" s="8">
        <v>1</v>
      </c>
      <c r="AZ459" s="10"/>
      <c r="BA459" s="8">
        <v>0</v>
      </c>
    </row>
    <row r="460" spans="1:53" x14ac:dyDescent="0.2">
      <c r="A460" s="8" t="s">
        <v>511</v>
      </c>
      <c r="B460" s="8" t="s">
        <v>83</v>
      </c>
      <c r="C460" s="8" t="s">
        <v>208</v>
      </c>
      <c r="D460" s="8">
        <v>1</v>
      </c>
      <c r="E460" s="8">
        <v>1</v>
      </c>
      <c r="F460" s="8">
        <f>SUM(G460:M460)</f>
        <v>1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1</v>
      </c>
      <c r="N460" s="8">
        <v>0</v>
      </c>
      <c r="O460" s="8">
        <v>0</v>
      </c>
      <c r="P460" s="8">
        <v>1</v>
      </c>
      <c r="Q460" s="8">
        <v>0</v>
      </c>
      <c r="R460" s="8">
        <v>0</v>
      </c>
      <c r="S460" s="8">
        <v>0</v>
      </c>
      <c r="T460" s="10">
        <v>-19.146000000000001</v>
      </c>
      <c r="U460" s="10">
        <v>-177.49799999999999</v>
      </c>
      <c r="V460" s="10">
        <v>-31.77</v>
      </c>
      <c r="W460" s="10">
        <f>IF(RIGHT(C460,2)="12",IF(ISNUMBER(T460),T460,""),IF(COUNT(T460,U460,V460)=3,T460+U460-V460,""))</f>
        <v>-164.874</v>
      </c>
      <c r="X460" s="10">
        <v>-164.874</v>
      </c>
      <c r="Y460" s="10">
        <v>-106.86199999999999</v>
      </c>
      <c r="Z460" s="10">
        <v>21.303000000000001</v>
      </c>
      <c r="AA460" s="10">
        <v>-60.167999999999999</v>
      </c>
      <c r="AB460" s="10">
        <v>-19.146000000000001</v>
      </c>
      <c r="AC460" s="8">
        <v>0</v>
      </c>
      <c r="AD460" s="8">
        <v>0</v>
      </c>
      <c r="AE460" s="8">
        <v>0</v>
      </c>
      <c r="AF460" s="10">
        <v>0</v>
      </c>
      <c r="AG460" s="8">
        <f>COUNTIF(Y460:AB460,"&gt;0")</f>
        <v>1</v>
      </c>
      <c r="AH460" s="10">
        <v>0</v>
      </c>
      <c r="AI460" s="10">
        <v>21.303000000000001</v>
      </c>
      <c r="AJ460" s="8" t="str">
        <f>IF(ISNUMBER(X460),IF(X460&gt;0,"+",IF(X460&lt;0,"−","0")),IF(ISNUMBER(W460),IF(W460&gt;0,"+",IF(W460&lt;0,"−","0")),"yok"))</f>
        <v>−</v>
      </c>
      <c r="AK460" s="10">
        <f>IF(AND(RIGHT(C460,2)&lt;&gt;"12",ISNUMBER(U460),ISNUMBER(V460)),U460-V460,"")</f>
        <v>-145.72799999999998</v>
      </c>
      <c r="AL460" s="11">
        <f>IF(AND(ISNUMBER(AK460),ISNUMBER(V460)),IF(V460&lt;&gt;0,AK460/ABS(V460),""),"")</f>
        <v>-4.5869688385269116</v>
      </c>
      <c r="AM460" s="8">
        <f>IF(ISNUMBER(AK460),IF(AK460&gt;1,1,0),"")</f>
        <v>0</v>
      </c>
      <c r="AN460" s="8">
        <f>IF(ISNUMBER(AK460),IF(AK460&gt;0.05*ABS(V460),1,0),"")</f>
        <v>0</v>
      </c>
      <c r="AO460" s="10">
        <v>-164.874</v>
      </c>
      <c r="AP460" s="10">
        <v>164.874</v>
      </c>
      <c r="AQ460" s="8" t="s">
        <v>204</v>
      </c>
      <c r="AR460" s="8">
        <v>0</v>
      </c>
      <c r="AS460" s="10">
        <v>10.583</v>
      </c>
      <c r="AT460" s="10">
        <v>-163.50899999999999</v>
      </c>
      <c r="AU460" s="8" t="s">
        <v>204</v>
      </c>
      <c r="AV460" s="10">
        <v>21.303000000000001</v>
      </c>
      <c r="AW460" s="11">
        <f>IF(AND(ISNUMBER(AV460),ISNUMBER(AT460)),IF(AT460&lt;&gt;0,AV460/ABS(AT460),""),"")</f>
        <v>0.13028640625286683</v>
      </c>
      <c r="AX460" s="8">
        <v>0</v>
      </c>
      <c r="AY460" s="8">
        <v>0</v>
      </c>
      <c r="AZ460" s="10"/>
      <c r="BA460" s="8">
        <v>0</v>
      </c>
    </row>
    <row r="461" spans="1:53" x14ac:dyDescent="0.2">
      <c r="A461" s="8" t="s">
        <v>511</v>
      </c>
      <c r="B461" s="8" t="s">
        <v>83</v>
      </c>
      <c r="C461" s="8" t="s">
        <v>210</v>
      </c>
      <c r="D461" s="8">
        <v>1</v>
      </c>
      <c r="E461" s="8">
        <v>1</v>
      </c>
      <c r="F461" s="8">
        <f>SUM(G461:M461)</f>
        <v>1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1</v>
      </c>
      <c r="N461" s="8">
        <v>0</v>
      </c>
      <c r="O461" s="8">
        <v>0</v>
      </c>
      <c r="P461" s="8">
        <v>1</v>
      </c>
      <c r="Q461" s="8">
        <v>0</v>
      </c>
      <c r="R461" s="8">
        <v>0</v>
      </c>
      <c r="S461" s="8">
        <v>0</v>
      </c>
      <c r="T461" s="10">
        <v>-22.178999999999998</v>
      </c>
      <c r="U461" s="10">
        <v>-177.49799999999999</v>
      </c>
      <c r="V461" s="10">
        <v>-138.63300000000001</v>
      </c>
      <c r="W461" s="10">
        <f>IF(RIGHT(C461,2)="12",IF(ISNUMBER(T461),T461,""),IF(COUNT(T461,U461,V461)=3,T461+U461-V461,""))</f>
        <v>-61.043999999999983</v>
      </c>
      <c r="X461" s="10">
        <v>-61.043999999999997</v>
      </c>
      <c r="Y461" s="10">
        <v>21.303000000000001</v>
      </c>
      <c r="Z461" s="10">
        <v>-60.167999999999999</v>
      </c>
      <c r="AA461" s="10">
        <v>-19.146000000000001</v>
      </c>
      <c r="AB461" s="10">
        <v>-3.032</v>
      </c>
      <c r="AC461" s="8">
        <v>0</v>
      </c>
      <c r="AD461" s="8">
        <v>0</v>
      </c>
      <c r="AE461" s="8">
        <v>0</v>
      </c>
      <c r="AF461" s="10">
        <v>0</v>
      </c>
      <c r="AG461" s="8">
        <f>COUNTIF(Y461:AB461,"&gt;0")</f>
        <v>1</v>
      </c>
      <c r="AH461" s="10">
        <v>0</v>
      </c>
      <c r="AI461" s="10">
        <v>21.303000000000001</v>
      </c>
      <c r="AJ461" s="8" t="str">
        <f>IF(ISNUMBER(X461),IF(X461&gt;0,"+",IF(X461&lt;0,"−","0")),IF(ISNUMBER(W461),IF(W461&gt;0,"+",IF(W461&lt;0,"−","0")),"yok"))</f>
        <v>−</v>
      </c>
      <c r="AK461" s="10">
        <f>IF(AND(RIGHT(C461,2)&lt;&gt;"12",ISNUMBER(U461),ISNUMBER(V461)),U461-V461,"")</f>
        <v>-38.864999999999981</v>
      </c>
      <c r="AL461" s="11">
        <f>IF(AND(ISNUMBER(AK461),ISNUMBER(V461)),IF(V461&lt;&gt;0,AK461/ABS(V461),""),"")</f>
        <v>-0.28034450671917927</v>
      </c>
      <c r="AM461" s="8">
        <f>IF(ISNUMBER(AK461),IF(AK461&gt;1,1,0),"")</f>
        <v>0</v>
      </c>
      <c r="AN461" s="8">
        <f>IF(ISNUMBER(AK461),IF(AK461&gt;0.05*ABS(V461),1,0),"")</f>
        <v>0</v>
      </c>
      <c r="AO461" s="10">
        <v>-61.043999999999997</v>
      </c>
      <c r="AP461" s="10">
        <v>61.043999999999997</v>
      </c>
      <c r="AQ461" s="8" t="s">
        <v>204</v>
      </c>
      <c r="AR461" s="8">
        <v>0</v>
      </c>
      <c r="AS461" s="10">
        <v>399.89</v>
      </c>
      <c r="AT461" s="10">
        <v>327.18099999999998</v>
      </c>
      <c r="AU461" s="8" t="s">
        <v>204</v>
      </c>
      <c r="AV461" s="10">
        <v>21.303000000000001</v>
      </c>
      <c r="AW461" s="11">
        <f>IF(AND(ISNUMBER(AV461),ISNUMBER(AT461)),IF(AT461&lt;&gt;0,AV461/ABS(AT461),""),"")</f>
        <v>6.5110749096066095E-2</v>
      </c>
      <c r="AX461" s="8">
        <v>0</v>
      </c>
      <c r="AY461" s="8">
        <v>0</v>
      </c>
      <c r="AZ461" s="10"/>
      <c r="BA461" s="8">
        <v>0</v>
      </c>
    </row>
    <row r="462" spans="1:53" x14ac:dyDescent="0.2">
      <c r="A462" s="8" t="s">
        <v>512</v>
      </c>
      <c r="B462" s="8" t="s">
        <v>83</v>
      </c>
      <c r="C462" s="8" t="s">
        <v>203</v>
      </c>
      <c r="D462" s="8">
        <v>1</v>
      </c>
      <c r="E462" s="8">
        <v>1</v>
      </c>
      <c r="F462" s="8">
        <f>SUM(G462:M462)</f>
        <v>1</v>
      </c>
      <c r="G462" s="8">
        <v>0</v>
      </c>
      <c r="H462" s="8">
        <v>0</v>
      </c>
      <c r="I462" s="8">
        <v>1</v>
      </c>
      <c r="J462" s="8">
        <v>0</v>
      </c>
      <c r="K462" s="8">
        <v>0</v>
      </c>
      <c r="L462" s="8">
        <v>0</v>
      </c>
      <c r="M462" s="8">
        <v>0</v>
      </c>
      <c r="N462" s="8">
        <v>1</v>
      </c>
      <c r="O462" s="8">
        <v>0</v>
      </c>
      <c r="P462" s="8">
        <v>1</v>
      </c>
      <c r="Q462" s="8">
        <v>0</v>
      </c>
      <c r="R462" s="8">
        <v>0</v>
      </c>
      <c r="S462" s="8">
        <v>0</v>
      </c>
      <c r="T462" s="10">
        <v>0</v>
      </c>
      <c r="U462" s="10">
        <v>-2.0840000000000001</v>
      </c>
      <c r="V462" s="10">
        <v>-2.5150000000000001</v>
      </c>
      <c r="W462" s="10">
        <f>IF(RIGHT(C462,2)="12",IF(ISNUMBER(T462),T462,""),IF(COUNT(T462,U462,V462)=3,T462+U462-V462,""))</f>
        <v>0.43100000000000005</v>
      </c>
      <c r="X462" s="10">
        <v>0.43</v>
      </c>
      <c r="Y462" s="10"/>
      <c r="Z462" s="10"/>
      <c r="AA462" s="10">
        <v>4.3999999999999997E-2</v>
      </c>
      <c r="AB462" s="10">
        <v>0</v>
      </c>
      <c r="AC462" s="8">
        <v>0</v>
      </c>
      <c r="AD462" s="8">
        <v>0</v>
      </c>
      <c r="AE462" s="8">
        <v>0</v>
      </c>
      <c r="AF462" s="10">
        <v>0</v>
      </c>
      <c r="AG462" s="8">
        <f>COUNTIF(Y462:AB462,"&gt;0")</f>
        <v>1</v>
      </c>
      <c r="AH462" s="10">
        <v>0</v>
      </c>
      <c r="AI462" s="10">
        <v>4.3999999999999997E-2</v>
      </c>
      <c r="AJ462" s="8" t="str">
        <f>IF(ISNUMBER(X462),IF(X462&gt;0,"+",IF(X462&lt;0,"−","0")),IF(ISNUMBER(W462),IF(W462&gt;0,"+",IF(W462&lt;0,"−","0")),"yok"))</f>
        <v>+</v>
      </c>
      <c r="AK462" s="10">
        <f>IF(AND(RIGHT(C462,2)&lt;&gt;"12",ISNUMBER(U462),ISNUMBER(V462)),U462-V462,"")</f>
        <v>0.43100000000000005</v>
      </c>
      <c r="AL462" s="11">
        <f>IF(AND(ISNUMBER(AK462),ISNUMBER(V462)),IF(V462&lt;&gt;0,AK462/ABS(V462),""),"")</f>
        <v>0.17137176938369783</v>
      </c>
      <c r="AM462" s="8">
        <f>IF(ISNUMBER(AK462),IF(AK462&gt;1,1,0),"")</f>
        <v>0</v>
      </c>
      <c r="AN462" s="8">
        <f>IF(ISNUMBER(AK462),IF(AK462&gt;0.05*ABS(V462),1,0),"")</f>
        <v>1</v>
      </c>
      <c r="AO462" s="10">
        <v>0.43</v>
      </c>
      <c r="AP462" s="10">
        <v>0</v>
      </c>
      <c r="AQ462" s="8" t="s">
        <v>209</v>
      </c>
      <c r="AR462" s="8">
        <v>1</v>
      </c>
      <c r="AS462" s="10">
        <v>813.56899999999996</v>
      </c>
      <c r="AT462" s="10">
        <v>813.56899999999996</v>
      </c>
      <c r="AU462" s="8" t="s">
        <v>209</v>
      </c>
      <c r="AV462" s="10">
        <v>0.43099999999999999</v>
      </c>
      <c r="AW462" s="11">
        <f>IF(AND(ISNUMBER(AV462),ISNUMBER(AT462)),IF(AT462&lt;&gt;0,AV462/ABS(AT462),""),"")</f>
        <v>5.297645313427626E-4</v>
      </c>
      <c r="AX462" s="8">
        <v>0</v>
      </c>
      <c r="AY462" s="8">
        <v>0</v>
      </c>
      <c r="AZ462" s="10"/>
      <c r="BA462" s="8">
        <v>0</v>
      </c>
    </row>
    <row r="463" spans="1:53" x14ac:dyDescent="0.2">
      <c r="A463" s="8" t="s">
        <v>512</v>
      </c>
      <c r="B463" s="8" t="s">
        <v>84</v>
      </c>
      <c r="C463" s="8" t="s">
        <v>215</v>
      </c>
      <c r="D463" s="8">
        <v>1</v>
      </c>
      <c r="E463" s="8">
        <v>1</v>
      </c>
      <c r="F463" s="8">
        <f>SUM(G463:M463)</f>
        <v>1</v>
      </c>
      <c r="G463" s="8">
        <v>0</v>
      </c>
      <c r="H463" s="8">
        <v>0</v>
      </c>
      <c r="I463" s="8">
        <v>1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10"/>
      <c r="U463" s="10"/>
      <c r="V463" s="10">
        <v>-4.2889999999999997</v>
      </c>
      <c r="W463" s="10" t="str">
        <f>IF(RIGHT(C463,2)="12",IF(ISNUMBER(T463),T463,""),IF(COUNT(T463,U463,V463)=3,T463+U463-V463,""))</f>
        <v/>
      </c>
      <c r="X463" s="10"/>
      <c r="Y463" s="10"/>
      <c r="Z463" s="10"/>
      <c r="AA463" s="10"/>
      <c r="AB463" s="10"/>
      <c r="AC463" s="8">
        <v>0</v>
      </c>
      <c r="AD463" s="8">
        <v>0</v>
      </c>
      <c r="AE463" s="8">
        <v>0</v>
      </c>
      <c r="AF463" s="10">
        <v>0</v>
      </c>
      <c r="AG463" s="8">
        <f>COUNTIF(Y463:AB463,"&gt;0")</f>
        <v>0</v>
      </c>
      <c r="AH463" s="10">
        <v>0</v>
      </c>
      <c r="AI463" s="10">
        <v>0</v>
      </c>
      <c r="AJ463" s="8" t="str">
        <f>IF(ISNUMBER(X463),IF(X463&gt;0,"+",IF(X463&lt;0,"−","0")),IF(ISNUMBER(W463),IF(W463&gt;0,"+",IF(W463&lt;0,"−","0")),"yok"))</f>
        <v>yok</v>
      </c>
      <c r="AK463" s="10" t="str">
        <f>IF(AND(RIGHT(C463,2)&lt;&gt;"12",ISNUMBER(U463),ISNUMBER(V463)),U463-V463,"")</f>
        <v/>
      </c>
      <c r="AL463" s="11" t="str">
        <f>IF(AND(ISNUMBER(AK463),ISNUMBER(V463)),IF(V463&lt;&gt;0,AK463/ABS(V463),""),"")</f>
        <v/>
      </c>
      <c r="AM463" s="8" t="str">
        <f>IF(ISNUMBER(AK463),IF(AK463&gt;1,1,0),"")</f>
        <v/>
      </c>
      <c r="AN463" s="8" t="str">
        <f>IF(ISNUMBER(AK463),IF(AK463&gt;0.05*ABS(V463),1,0),"")</f>
        <v/>
      </c>
      <c r="AO463" s="10">
        <v>4.29</v>
      </c>
      <c r="AP463" s="10">
        <v>0</v>
      </c>
      <c r="AQ463" s="8" t="s">
        <v>209</v>
      </c>
      <c r="AR463" s="8">
        <v>1</v>
      </c>
      <c r="AS463" s="10">
        <v>593.88800000000003</v>
      </c>
      <c r="AT463" s="10">
        <v>593.78</v>
      </c>
      <c r="AU463" s="8" t="s">
        <v>209</v>
      </c>
      <c r="AV463" s="10">
        <v>0</v>
      </c>
      <c r="AW463" s="11">
        <f>IF(AND(ISNUMBER(AV463),ISNUMBER(AT463)),IF(AT463&lt;&gt;0,AV463/ABS(AT463),""),"")</f>
        <v>0</v>
      </c>
      <c r="AX463" s="8">
        <v>0</v>
      </c>
      <c r="AY463" s="8">
        <v>0</v>
      </c>
      <c r="AZ463" s="10"/>
      <c r="BA463" s="8">
        <v>0</v>
      </c>
    </row>
    <row r="464" spans="1:53" x14ac:dyDescent="0.2">
      <c r="A464" s="8" t="s">
        <v>513</v>
      </c>
      <c r="B464" s="8" t="s">
        <v>83</v>
      </c>
      <c r="C464" s="8" t="s">
        <v>208</v>
      </c>
      <c r="D464" s="8">
        <v>1</v>
      </c>
      <c r="E464" s="8">
        <v>1</v>
      </c>
      <c r="F464" s="8">
        <f>SUM(G464:M464)</f>
        <v>1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1</v>
      </c>
      <c r="N464" s="8">
        <v>0</v>
      </c>
      <c r="O464" s="8">
        <v>0</v>
      </c>
      <c r="P464" s="8">
        <v>1</v>
      </c>
      <c r="Q464" s="8">
        <v>0</v>
      </c>
      <c r="R464" s="8">
        <v>0</v>
      </c>
      <c r="S464" s="8">
        <v>0</v>
      </c>
      <c r="T464" s="10">
        <v>-98.454999999999998</v>
      </c>
      <c r="U464" s="10">
        <v>-716.71199999999999</v>
      </c>
      <c r="V464" s="10">
        <v>-343.245</v>
      </c>
      <c r="W464" s="10">
        <f>IF(RIGHT(C464,2)="12",IF(ISNUMBER(T464),T464,""),IF(COUNT(T464,U464,V464)=3,T464+U464-V464,""))</f>
        <v>-471.92200000000003</v>
      </c>
      <c r="X464" s="10">
        <v>-471.92200000000003</v>
      </c>
      <c r="Y464" s="10">
        <v>-364.41899999999998</v>
      </c>
      <c r="Z464" s="10">
        <v>-247.83</v>
      </c>
      <c r="AA464" s="10">
        <v>238.78299999999999</v>
      </c>
      <c r="AB464" s="10">
        <v>-98.454999999999998</v>
      </c>
      <c r="AC464" s="8">
        <v>0</v>
      </c>
      <c r="AD464" s="8">
        <v>0</v>
      </c>
      <c r="AE464" s="8">
        <v>0</v>
      </c>
      <c r="AF464" s="10">
        <v>0</v>
      </c>
      <c r="AG464" s="8">
        <f>COUNTIF(Y464:AB464,"&gt;0")</f>
        <v>1</v>
      </c>
      <c r="AH464" s="10">
        <v>0</v>
      </c>
      <c r="AI464" s="10">
        <v>238.78299999999999</v>
      </c>
      <c r="AJ464" s="8" t="str">
        <f>IF(ISNUMBER(X464),IF(X464&gt;0,"+",IF(X464&lt;0,"−","0")),IF(ISNUMBER(W464),IF(W464&gt;0,"+",IF(W464&lt;0,"−","0")),"yok"))</f>
        <v>−</v>
      </c>
      <c r="AK464" s="10">
        <f>IF(AND(RIGHT(C464,2)&lt;&gt;"12",ISNUMBER(U464),ISNUMBER(V464)),U464-V464,"")</f>
        <v>-373.46699999999998</v>
      </c>
      <c r="AL464" s="11">
        <f>IF(AND(ISNUMBER(AK464),ISNUMBER(V464)),IF(V464&lt;&gt;0,AK464/ABS(V464),""),"")</f>
        <v>-1.0880478958178559</v>
      </c>
      <c r="AM464" s="8">
        <f>IF(ISNUMBER(AK464),IF(AK464&gt;1,1,0),"")</f>
        <v>0</v>
      </c>
      <c r="AN464" s="8">
        <f>IF(ISNUMBER(AK464),IF(AK464&gt;0.05*ABS(V464),1,0),"")</f>
        <v>0</v>
      </c>
      <c r="AO464" s="10">
        <v>-471.92200000000003</v>
      </c>
      <c r="AP464" s="10">
        <v>471.92200000000003</v>
      </c>
      <c r="AQ464" s="8" t="s">
        <v>204</v>
      </c>
      <c r="AR464" s="8">
        <v>0</v>
      </c>
      <c r="AS464" s="10">
        <v>1128.604</v>
      </c>
      <c r="AT464" s="10">
        <v>-79.7</v>
      </c>
      <c r="AU464" s="8" t="s">
        <v>212</v>
      </c>
      <c r="AV464" s="10">
        <v>238.78299999999999</v>
      </c>
      <c r="AW464" s="11">
        <f>IF(AND(ISNUMBER(AV464),ISNUMBER(AT464)),IF(AT464&lt;&gt;0,AV464/ABS(AT464),""),"")</f>
        <v>2.996022584692597</v>
      </c>
      <c r="AX464" s="8">
        <v>0</v>
      </c>
      <c r="AY464" s="8">
        <v>0</v>
      </c>
      <c r="AZ464" s="10"/>
      <c r="BA464" s="8">
        <v>0</v>
      </c>
    </row>
    <row r="465" spans="1:53" x14ac:dyDescent="0.2">
      <c r="A465" s="8" t="s">
        <v>513</v>
      </c>
      <c r="B465" s="8" t="s">
        <v>83</v>
      </c>
      <c r="C465" s="8" t="s">
        <v>210</v>
      </c>
      <c r="D465" s="8">
        <v>1</v>
      </c>
      <c r="E465" s="8">
        <v>1</v>
      </c>
      <c r="F465" s="8">
        <f>SUM(G465:M465)</f>
        <v>1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1</v>
      </c>
      <c r="N465" s="8">
        <v>0</v>
      </c>
      <c r="O465" s="8">
        <v>0</v>
      </c>
      <c r="P465" s="8">
        <v>1</v>
      </c>
      <c r="Q465" s="8">
        <v>0</v>
      </c>
      <c r="R465" s="8">
        <v>0</v>
      </c>
      <c r="S465" s="8">
        <v>0</v>
      </c>
      <c r="T465" s="10">
        <v>-302.72399999999999</v>
      </c>
      <c r="U465" s="10">
        <v>-716.71199999999999</v>
      </c>
      <c r="V465" s="10">
        <v>-707.66399999999999</v>
      </c>
      <c r="W465" s="10">
        <f>IF(RIGHT(C465,2)="12",IF(ISNUMBER(T465),T465,""),IF(COUNT(T465,U465,V465)=3,T465+U465-V465,""))</f>
        <v>-311.77199999999993</v>
      </c>
      <c r="X465" s="10">
        <v>-311.77100000000002</v>
      </c>
      <c r="Y465" s="10">
        <v>-247.83</v>
      </c>
      <c r="Z465" s="10">
        <v>238.78299999999999</v>
      </c>
      <c r="AA465" s="10">
        <v>-98.454999999999998</v>
      </c>
      <c r="AB465" s="10">
        <v>-204.268</v>
      </c>
      <c r="AC465" s="8">
        <v>0</v>
      </c>
      <c r="AD465" s="8">
        <v>0</v>
      </c>
      <c r="AE465" s="8">
        <v>0</v>
      </c>
      <c r="AF465" s="10">
        <v>0</v>
      </c>
      <c r="AG465" s="8">
        <f>COUNTIF(Y465:AB465,"&gt;0")</f>
        <v>1</v>
      </c>
      <c r="AH465" s="10">
        <v>0</v>
      </c>
      <c r="AI465" s="10">
        <v>238.78299999999999</v>
      </c>
      <c r="AJ465" s="8" t="str">
        <f>IF(ISNUMBER(X465),IF(X465&gt;0,"+",IF(X465&lt;0,"−","0")),IF(ISNUMBER(W465),IF(W465&gt;0,"+",IF(W465&lt;0,"−","0")),"yok"))</f>
        <v>−</v>
      </c>
      <c r="AK465" s="10">
        <f>IF(AND(RIGHT(C465,2)&lt;&gt;"12",ISNUMBER(U465),ISNUMBER(V465)),U465-V465,"")</f>
        <v>-9.0480000000000018</v>
      </c>
      <c r="AL465" s="11">
        <f>IF(AND(ISNUMBER(AK465),ISNUMBER(V465)),IF(V465&lt;&gt;0,AK465/ABS(V465),""),"")</f>
        <v>-1.2785728820457169E-2</v>
      </c>
      <c r="AM465" s="8">
        <f>IF(ISNUMBER(AK465),IF(AK465&gt;1,1,0),"")</f>
        <v>0</v>
      </c>
      <c r="AN465" s="8">
        <f>IF(ISNUMBER(AK465),IF(AK465&gt;0.05*ABS(V465),1,0),"")</f>
        <v>0</v>
      </c>
      <c r="AO465" s="10">
        <v>-311.77199999999999</v>
      </c>
      <c r="AP465" s="10">
        <v>311.77199999999999</v>
      </c>
      <c r="AQ465" s="8" t="s">
        <v>204</v>
      </c>
      <c r="AR465" s="8">
        <v>0</v>
      </c>
      <c r="AS465" s="10">
        <v>1783.1949999999999</v>
      </c>
      <c r="AT465" s="10">
        <v>699.02499999999998</v>
      </c>
      <c r="AU465" s="8" t="s">
        <v>212</v>
      </c>
      <c r="AV465" s="10">
        <v>238.78299999999999</v>
      </c>
      <c r="AW465" s="11">
        <f>IF(AND(ISNUMBER(AV465),ISNUMBER(AT465)),IF(AT465&lt;&gt;0,AV465/ABS(AT465),""),"")</f>
        <v>0.34159436357784057</v>
      </c>
      <c r="AX465" s="8">
        <v>0</v>
      </c>
      <c r="AY465" s="8">
        <v>0</v>
      </c>
      <c r="AZ465" s="10"/>
      <c r="BA465" s="8">
        <v>0</v>
      </c>
    </row>
    <row r="466" spans="1:53" x14ac:dyDescent="0.2">
      <c r="A466" s="8" t="s">
        <v>514</v>
      </c>
      <c r="B466" s="8" t="s">
        <v>84</v>
      </c>
      <c r="C466" s="8" t="s">
        <v>203</v>
      </c>
      <c r="D466" s="8">
        <v>1</v>
      </c>
      <c r="E466" s="8">
        <v>1</v>
      </c>
      <c r="F466" s="8">
        <f>SUM(G466:M466)</f>
        <v>1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1</v>
      </c>
      <c r="N466" s="8">
        <v>0</v>
      </c>
      <c r="O466" s="8">
        <v>0</v>
      </c>
      <c r="P466" s="8">
        <v>1</v>
      </c>
      <c r="Q466" s="8">
        <v>0</v>
      </c>
      <c r="R466" s="8">
        <v>0</v>
      </c>
      <c r="S466" s="8">
        <v>0</v>
      </c>
      <c r="T466" s="10"/>
      <c r="U466" s="10">
        <v>-207.77199999999999</v>
      </c>
      <c r="V466" s="10"/>
      <c r="W466" s="10" t="str">
        <f>IF(RIGHT(C466,2)="12",IF(ISNUMBER(T466),T466,""),IF(COUNT(T466,U466,V466)=3,T466+U466-V466,""))</f>
        <v/>
      </c>
      <c r="X466" s="10"/>
      <c r="Y466" s="10"/>
      <c r="Z466" s="10">
        <v>-8.1850000000000005</v>
      </c>
      <c r="AA466" s="10">
        <v>13.036</v>
      </c>
      <c r="AB466" s="10"/>
      <c r="AC466" s="8">
        <v>0</v>
      </c>
      <c r="AD466" s="8">
        <v>0</v>
      </c>
      <c r="AE466" s="8">
        <v>0</v>
      </c>
      <c r="AF466" s="10">
        <v>0</v>
      </c>
      <c r="AG466" s="8">
        <f>COUNTIF(Y466:AB466,"&gt;0")</f>
        <v>1</v>
      </c>
      <c r="AH466" s="10">
        <v>0</v>
      </c>
      <c r="AI466" s="10">
        <v>13.036</v>
      </c>
      <c r="AJ466" s="8" t="str">
        <f>IF(ISNUMBER(X466),IF(X466&gt;0,"+",IF(X466&lt;0,"−","0")),IF(ISNUMBER(W466),IF(W466&gt;0,"+",IF(W466&lt;0,"−","0")),"yok"))</f>
        <v>yok</v>
      </c>
      <c r="AK466" s="10" t="str">
        <f>IF(AND(RIGHT(C466,2)&lt;&gt;"12",ISNUMBER(U466),ISNUMBER(V466)),U466-V466,"")</f>
        <v/>
      </c>
      <c r="AL466" s="11" t="str">
        <f>IF(AND(ISNUMBER(AK466),ISNUMBER(V466)),IF(V466&lt;&gt;0,AK466/ABS(V466),""),"")</f>
        <v/>
      </c>
      <c r="AM466" s="8" t="str">
        <f>IF(ISNUMBER(AK466),IF(AK466&gt;1,1,0),"")</f>
        <v/>
      </c>
      <c r="AN466" s="8" t="str">
        <f>IF(ISNUMBER(AK466),IF(AK466&gt;0.05*ABS(V466),1,0),"")</f>
        <v/>
      </c>
      <c r="AO466" s="10"/>
      <c r="AP466" s="10"/>
      <c r="AQ466" s="8" t="s">
        <v>207</v>
      </c>
      <c r="AR466" s="8">
        <v>0</v>
      </c>
      <c r="AS466" s="10">
        <v>2212.6350000000002</v>
      </c>
      <c r="AT466" s="10"/>
      <c r="AU466" s="8" t="s">
        <v>207</v>
      </c>
      <c r="AV466" s="10">
        <v>13.036</v>
      </c>
      <c r="AW466" s="11" t="str">
        <f>IF(AND(ISNUMBER(AV466),ISNUMBER(AT466)),IF(AT466&lt;&gt;0,AV466/ABS(AT466),""),"")</f>
        <v/>
      </c>
      <c r="AX466" s="8">
        <v>0</v>
      </c>
      <c r="AY466" s="8">
        <v>0</v>
      </c>
      <c r="AZ466" s="10"/>
      <c r="BA466" s="8">
        <v>0</v>
      </c>
    </row>
    <row r="467" spans="1:53" x14ac:dyDescent="0.2">
      <c r="A467" s="8" t="s">
        <v>514</v>
      </c>
      <c r="B467" s="8" t="s">
        <v>84</v>
      </c>
      <c r="C467" s="8" t="s">
        <v>205</v>
      </c>
      <c r="D467" s="8">
        <v>1</v>
      </c>
      <c r="E467" s="8">
        <v>1</v>
      </c>
      <c r="F467" s="8">
        <f>SUM(G467:M467)</f>
        <v>1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1</v>
      </c>
      <c r="N467" s="8">
        <v>0</v>
      </c>
      <c r="O467" s="8">
        <v>0</v>
      </c>
      <c r="P467" s="8">
        <v>1</v>
      </c>
      <c r="Q467" s="8">
        <v>0</v>
      </c>
      <c r="R467" s="8">
        <v>0</v>
      </c>
      <c r="S467" s="8">
        <v>0</v>
      </c>
      <c r="T467" s="10"/>
      <c r="U467" s="10">
        <v>-207.77199999999999</v>
      </c>
      <c r="V467" s="10">
        <v>-212.62299999999999</v>
      </c>
      <c r="W467" s="10" t="str">
        <f>IF(RIGHT(C467,2)="12",IF(ISNUMBER(T467),T467,""),IF(COUNT(T467,U467,V467)=3,T467+U467-V467,""))</f>
        <v/>
      </c>
      <c r="X467" s="10"/>
      <c r="Y467" s="10">
        <v>-8.1850000000000005</v>
      </c>
      <c r="Z467" s="10">
        <v>13.036</v>
      </c>
      <c r="AA467" s="10"/>
      <c r="AB467" s="10"/>
      <c r="AC467" s="8">
        <v>0</v>
      </c>
      <c r="AD467" s="8">
        <v>0</v>
      </c>
      <c r="AE467" s="8">
        <v>0</v>
      </c>
      <c r="AF467" s="10">
        <v>0</v>
      </c>
      <c r="AG467" s="8">
        <f>COUNTIF(Y467:AB467,"&gt;0")</f>
        <v>1</v>
      </c>
      <c r="AH467" s="10">
        <v>0</v>
      </c>
      <c r="AI467" s="10">
        <v>13.036</v>
      </c>
      <c r="AJ467" s="8" t="str">
        <f>IF(ISNUMBER(X467),IF(X467&gt;0,"+",IF(X467&lt;0,"−","0")),IF(ISNUMBER(W467),IF(W467&gt;0,"+",IF(W467&lt;0,"−","0")),"yok"))</f>
        <v>yok</v>
      </c>
      <c r="AK467" s="10">
        <f>IF(AND(RIGHT(C467,2)&lt;&gt;"12",ISNUMBER(U467),ISNUMBER(V467)),U467-V467,"")</f>
        <v>4.8509999999999991</v>
      </c>
      <c r="AL467" s="11">
        <f>IF(AND(ISNUMBER(AK467),ISNUMBER(V467)),IF(V467&lt;&gt;0,AK467/ABS(V467),""),"")</f>
        <v>2.2815029418266131E-2</v>
      </c>
      <c r="AM467" s="8">
        <f>IF(ISNUMBER(AK467),IF(AK467&gt;1,1,0),"")</f>
        <v>1</v>
      </c>
      <c r="AN467" s="8">
        <f>IF(ISNUMBER(AK467),IF(AK467&gt;0.05*ABS(V467),1,0),"")</f>
        <v>0</v>
      </c>
      <c r="AO467" s="10"/>
      <c r="AP467" s="10"/>
      <c r="AQ467" s="8" t="s">
        <v>207</v>
      </c>
      <c r="AR467" s="8">
        <v>0</v>
      </c>
      <c r="AS467" s="10">
        <v>1984.528</v>
      </c>
      <c r="AT467" s="10"/>
      <c r="AU467" s="8" t="s">
        <v>207</v>
      </c>
      <c r="AV467" s="10">
        <v>13.036</v>
      </c>
      <c r="AW467" s="11" t="str">
        <f>IF(AND(ISNUMBER(AV467),ISNUMBER(AT467)),IF(AT467&lt;&gt;0,AV467/ABS(AT467),""),"")</f>
        <v/>
      </c>
      <c r="AX467" s="8">
        <v>0</v>
      </c>
      <c r="AY467" s="8">
        <v>0</v>
      </c>
      <c r="AZ467" s="10"/>
      <c r="BA467" s="8">
        <v>0</v>
      </c>
    </row>
    <row r="468" spans="1:53" x14ac:dyDescent="0.2">
      <c r="A468" s="8" t="s">
        <v>514</v>
      </c>
      <c r="B468" s="8" t="s">
        <v>84</v>
      </c>
      <c r="C468" s="8" t="s">
        <v>215</v>
      </c>
      <c r="D468" s="8">
        <v>1</v>
      </c>
      <c r="E468" s="8">
        <v>1</v>
      </c>
      <c r="F468" s="8">
        <f>SUM(G468:M468)</f>
        <v>1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1</v>
      </c>
      <c r="N468" s="8">
        <v>0</v>
      </c>
      <c r="O468" s="8">
        <v>0</v>
      </c>
      <c r="P468" s="8">
        <v>1</v>
      </c>
      <c r="Q468" s="8">
        <v>0</v>
      </c>
      <c r="R468" s="8">
        <v>0</v>
      </c>
      <c r="S468" s="8">
        <v>0</v>
      </c>
      <c r="T468" s="10"/>
      <c r="U468" s="10">
        <v>-207.77199999999999</v>
      </c>
      <c r="V468" s="10">
        <v>-220.809</v>
      </c>
      <c r="W468" s="10" t="str">
        <f>IF(RIGHT(C468,2)="12",IF(ISNUMBER(T468),T468,""),IF(COUNT(T468,U468,V468)=3,T468+U468-V468,""))</f>
        <v/>
      </c>
      <c r="X468" s="10"/>
      <c r="Y468" s="10">
        <v>13.036</v>
      </c>
      <c r="Z468" s="10"/>
      <c r="AA468" s="10"/>
      <c r="AB468" s="10"/>
      <c r="AC468" s="8">
        <v>0</v>
      </c>
      <c r="AD468" s="8">
        <v>0</v>
      </c>
      <c r="AE468" s="8">
        <v>0</v>
      </c>
      <c r="AF468" s="10">
        <v>0</v>
      </c>
      <c r="AG468" s="8">
        <f>COUNTIF(Y468:AB468,"&gt;0")</f>
        <v>1</v>
      </c>
      <c r="AH468" s="10">
        <v>0</v>
      </c>
      <c r="AI468" s="10">
        <v>13.036</v>
      </c>
      <c r="AJ468" s="8" t="str">
        <f>IF(ISNUMBER(X468),IF(X468&gt;0,"+",IF(X468&lt;0,"−","0")),IF(ISNUMBER(W468),IF(W468&gt;0,"+",IF(W468&lt;0,"−","0")),"yok"))</f>
        <v>yok</v>
      </c>
      <c r="AK468" s="10">
        <f>IF(AND(RIGHT(C468,2)&lt;&gt;"12",ISNUMBER(U468),ISNUMBER(V468)),U468-V468,"")</f>
        <v>13.037000000000006</v>
      </c>
      <c r="AL468" s="11">
        <f>IF(AND(ISNUMBER(AK468),ISNUMBER(V468)),IF(V468&lt;&gt;0,AK468/ABS(V468),""),"")</f>
        <v>5.9041977455629099E-2</v>
      </c>
      <c r="AM468" s="8">
        <f>IF(ISNUMBER(AK468),IF(AK468&gt;1,1,0),"")</f>
        <v>1</v>
      </c>
      <c r="AN468" s="8">
        <f>IF(ISNUMBER(AK468),IF(AK468&gt;0.05*ABS(V468),1,0),"")</f>
        <v>1</v>
      </c>
      <c r="AO468" s="10"/>
      <c r="AP468" s="10"/>
      <c r="AQ468" s="8" t="s">
        <v>207</v>
      </c>
      <c r="AR468" s="8">
        <v>0</v>
      </c>
      <c r="AS468" s="10">
        <v>2166.0410000000002</v>
      </c>
      <c r="AT468" s="10"/>
      <c r="AU468" s="8" t="s">
        <v>207</v>
      </c>
      <c r="AV468" s="10">
        <v>13.036</v>
      </c>
      <c r="AW468" s="11" t="str">
        <f>IF(AND(ISNUMBER(AV468),ISNUMBER(AT468)),IF(AT468&lt;&gt;0,AV468/ABS(AT468),""),"")</f>
        <v/>
      </c>
      <c r="AX468" s="8">
        <v>0</v>
      </c>
      <c r="AY468" s="8">
        <v>0</v>
      </c>
      <c r="AZ468" s="10"/>
      <c r="BA468" s="8">
        <v>0</v>
      </c>
    </row>
    <row r="469" spans="1:53" x14ac:dyDescent="0.2">
      <c r="A469" s="8" t="s">
        <v>515</v>
      </c>
      <c r="B469" s="8" t="s">
        <v>82</v>
      </c>
      <c r="C469" s="8" t="s">
        <v>203</v>
      </c>
      <c r="D469" s="8">
        <v>1</v>
      </c>
      <c r="E469" s="8">
        <v>1</v>
      </c>
      <c r="F469" s="8">
        <f>SUM(G469:M469)</f>
        <v>1</v>
      </c>
      <c r="G469" s="8">
        <v>1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1</v>
      </c>
      <c r="O469" s="8">
        <v>0</v>
      </c>
      <c r="P469" s="8">
        <v>1</v>
      </c>
      <c r="Q469" s="8">
        <v>1</v>
      </c>
      <c r="R469" s="8">
        <v>1</v>
      </c>
      <c r="S469" s="8">
        <v>0</v>
      </c>
      <c r="T469" s="10">
        <v>-76.960999999999999</v>
      </c>
      <c r="U469" s="10">
        <v>-273.68799999999999</v>
      </c>
      <c r="V469" s="10">
        <v>-589.89499999999998</v>
      </c>
      <c r="W469" s="10">
        <f>IF(RIGHT(C469,2)="12",IF(ISNUMBER(T469),T469,""),IF(COUNT(T469,U469,V469)=3,T469+U469-V469,""))</f>
        <v>239.24599999999998</v>
      </c>
      <c r="X469" s="10">
        <v>239.245</v>
      </c>
      <c r="Y469" s="10">
        <v>109.896</v>
      </c>
      <c r="Z469" s="10">
        <v>58.835000000000001</v>
      </c>
      <c r="AA469" s="10">
        <v>147.47499999999999</v>
      </c>
      <c r="AB469" s="10">
        <v>-76.960999999999999</v>
      </c>
      <c r="AC469" s="8">
        <v>0</v>
      </c>
      <c r="AD469" s="8">
        <v>0</v>
      </c>
      <c r="AE469" s="8">
        <v>0</v>
      </c>
      <c r="AF469" s="10">
        <v>0</v>
      </c>
      <c r="AG469" s="8">
        <f>COUNTIF(Y469:AB469,"&gt;0")</f>
        <v>3</v>
      </c>
      <c r="AH469" s="10">
        <v>0</v>
      </c>
      <c r="AI469" s="10">
        <v>316.20600000000002</v>
      </c>
      <c r="AJ469" s="8" t="str">
        <f>IF(ISNUMBER(X469),IF(X469&gt;0,"+",IF(X469&lt;0,"−","0")),IF(ISNUMBER(W469),IF(W469&gt;0,"+",IF(W469&lt;0,"−","0")),"yok"))</f>
        <v>+</v>
      </c>
      <c r="AK469" s="10">
        <f>IF(AND(RIGHT(C469,2)&lt;&gt;"12",ISNUMBER(U469),ISNUMBER(V469)),U469-V469,"")</f>
        <v>316.20699999999999</v>
      </c>
      <c r="AL469" s="11">
        <f>IF(AND(ISNUMBER(AK469),ISNUMBER(V469)),IF(V469&lt;&gt;0,AK469/ABS(V469),""),"")</f>
        <v>0.53603946465048868</v>
      </c>
      <c r="AM469" s="8">
        <f>IF(ISNUMBER(AK469),IF(AK469&gt;1,1,0),"")</f>
        <v>1</v>
      </c>
      <c r="AN469" s="8">
        <f>IF(ISNUMBER(AK469),IF(AK469&gt;0.05*ABS(V469),1,0),"")</f>
        <v>1</v>
      </c>
      <c r="AO469" s="10">
        <v>239.245</v>
      </c>
      <c r="AP469" s="10">
        <v>0</v>
      </c>
      <c r="AQ469" s="8" t="s">
        <v>204</v>
      </c>
      <c r="AR469" s="8">
        <v>1</v>
      </c>
      <c r="AS469" s="10">
        <v>8599.0869999999995</v>
      </c>
      <c r="AT469" s="10">
        <v>3703.6190000000001</v>
      </c>
      <c r="AU469" s="8" t="s">
        <v>204</v>
      </c>
      <c r="AV469" s="10">
        <v>316.20699999999999</v>
      </c>
      <c r="AW469" s="11">
        <f>IF(AND(ISNUMBER(AV469),ISNUMBER(AT469)),IF(AT469&lt;&gt;0,AV469/ABS(AT469),""),"")</f>
        <v>8.537784259126005E-2</v>
      </c>
      <c r="AX469" s="8">
        <v>0</v>
      </c>
      <c r="AY469" s="8">
        <v>1</v>
      </c>
      <c r="AZ469" s="10"/>
      <c r="BA469" s="8">
        <v>1</v>
      </c>
    </row>
    <row r="470" spans="1:53" x14ac:dyDescent="0.2">
      <c r="A470" s="8" t="s">
        <v>515</v>
      </c>
      <c r="B470" s="8" t="s">
        <v>82</v>
      </c>
      <c r="C470" s="8" t="s">
        <v>205</v>
      </c>
      <c r="D470" s="8">
        <v>1</v>
      </c>
      <c r="E470" s="8">
        <v>1</v>
      </c>
      <c r="F470" s="8">
        <f>SUM(G470:M470)</f>
        <v>1</v>
      </c>
      <c r="G470" s="8">
        <v>1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1</v>
      </c>
      <c r="O470" s="8">
        <v>0</v>
      </c>
      <c r="P470" s="8">
        <v>1</v>
      </c>
      <c r="Q470" s="8">
        <v>1</v>
      </c>
      <c r="R470" s="8">
        <v>1</v>
      </c>
      <c r="S470" s="8">
        <v>0</v>
      </c>
      <c r="T470" s="10">
        <v>-155.065</v>
      </c>
      <c r="U470" s="10">
        <v>-273.68799999999999</v>
      </c>
      <c r="V470" s="10">
        <v>-479.99799999999999</v>
      </c>
      <c r="W470" s="10">
        <f>IF(RIGHT(C470,2)="12",IF(ISNUMBER(T470),T470,""),IF(COUNT(T470,U470,V470)=3,T470+U470-V470,""))</f>
        <v>51.245000000000005</v>
      </c>
      <c r="X470" s="10">
        <v>51.244999999999997</v>
      </c>
      <c r="Y470" s="10">
        <v>58.835000000000001</v>
      </c>
      <c r="Z470" s="10">
        <v>147.47499999999999</v>
      </c>
      <c r="AA470" s="10">
        <v>-76.960999999999999</v>
      </c>
      <c r="AB470" s="10">
        <v>-78.102999999999994</v>
      </c>
      <c r="AC470" s="8">
        <v>0</v>
      </c>
      <c r="AD470" s="8">
        <v>0</v>
      </c>
      <c r="AE470" s="8">
        <v>0</v>
      </c>
      <c r="AF470" s="10">
        <v>0</v>
      </c>
      <c r="AG470" s="8">
        <f>COUNTIF(Y470:AB470,"&gt;0")</f>
        <v>2</v>
      </c>
      <c r="AH470" s="10">
        <v>0</v>
      </c>
      <c r="AI470" s="10">
        <v>206.31</v>
      </c>
      <c r="AJ470" s="8" t="str">
        <f>IF(ISNUMBER(X470),IF(X470&gt;0,"+",IF(X470&lt;0,"−","0")),IF(ISNUMBER(W470),IF(W470&gt;0,"+",IF(W470&lt;0,"−","0")),"yok"))</f>
        <v>+</v>
      </c>
      <c r="AK470" s="10">
        <f>IF(AND(RIGHT(C470,2)&lt;&gt;"12",ISNUMBER(U470),ISNUMBER(V470)),U470-V470,"")</f>
        <v>206.31</v>
      </c>
      <c r="AL470" s="11">
        <f>IF(AND(ISNUMBER(AK470),ISNUMBER(V470)),IF(V470&lt;&gt;0,AK470/ABS(V470),""),"")</f>
        <v>0.42981429089287876</v>
      </c>
      <c r="AM470" s="8">
        <f>IF(ISNUMBER(AK470),IF(AK470&gt;1,1,0),"")</f>
        <v>1</v>
      </c>
      <c r="AN470" s="8">
        <f>IF(ISNUMBER(AK470),IF(AK470&gt;0.05*ABS(V470),1,0),"")</f>
        <v>1</v>
      </c>
      <c r="AO470" s="10">
        <v>51.246000000000002</v>
      </c>
      <c r="AP470" s="10">
        <v>0</v>
      </c>
      <c r="AQ470" s="8" t="s">
        <v>204</v>
      </c>
      <c r="AR470" s="8">
        <v>1</v>
      </c>
      <c r="AS470" s="10">
        <v>8635.7070000000003</v>
      </c>
      <c r="AT470" s="10">
        <v>3468.6660000000002</v>
      </c>
      <c r="AU470" s="8" t="s">
        <v>204</v>
      </c>
      <c r="AV470" s="10">
        <v>206.31</v>
      </c>
      <c r="AW470" s="11">
        <f>IF(AND(ISNUMBER(AV470),ISNUMBER(AT470)),IF(AT470&lt;&gt;0,AV470/ABS(AT470),""),"")</f>
        <v>5.9478197093637726E-2</v>
      </c>
      <c r="AX470" s="8">
        <v>0</v>
      </c>
      <c r="AY470" s="8">
        <v>1</v>
      </c>
      <c r="AZ470" s="10"/>
      <c r="BA470" s="8">
        <v>1</v>
      </c>
    </row>
    <row r="471" spans="1:53" x14ac:dyDescent="0.2">
      <c r="A471" s="8" t="s">
        <v>515</v>
      </c>
      <c r="B471" s="8" t="s">
        <v>82</v>
      </c>
      <c r="C471" s="8" t="s">
        <v>215</v>
      </c>
      <c r="D471" s="8">
        <v>1</v>
      </c>
      <c r="E471" s="8">
        <v>1</v>
      </c>
      <c r="F471" s="8">
        <f>SUM(G471:M471)</f>
        <v>1</v>
      </c>
      <c r="G471" s="8">
        <v>0</v>
      </c>
      <c r="H471" s="8">
        <v>1</v>
      </c>
      <c r="I471" s="8">
        <v>0</v>
      </c>
      <c r="J471" s="8">
        <v>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1</v>
      </c>
      <c r="Q471" s="8">
        <v>1</v>
      </c>
      <c r="R471" s="8">
        <v>1</v>
      </c>
      <c r="S471" s="8">
        <v>0</v>
      </c>
      <c r="T471" s="10">
        <v>-237.70400000000001</v>
      </c>
      <c r="U471" s="10">
        <v>-273.68799999999999</v>
      </c>
      <c r="V471" s="10">
        <v>-421.16300000000001</v>
      </c>
      <c r="W471" s="10">
        <f>IF(RIGHT(C471,2)="12",IF(ISNUMBER(T471),T471,""),IF(COUNT(T471,U471,V471)=3,T471+U471-V471,""))</f>
        <v>-90.228999999999985</v>
      </c>
      <c r="X471" s="10">
        <v>-90.227999999999994</v>
      </c>
      <c r="Y471" s="10">
        <v>147.47499999999999</v>
      </c>
      <c r="Z471" s="10">
        <v>-76.960999999999999</v>
      </c>
      <c r="AA471" s="10">
        <v>-78.102999999999994</v>
      </c>
      <c r="AB471" s="10">
        <v>-82.638999999999996</v>
      </c>
      <c r="AC471" s="8">
        <v>0</v>
      </c>
      <c r="AD471" s="8">
        <v>0</v>
      </c>
      <c r="AE471" s="8">
        <v>0</v>
      </c>
      <c r="AF471" s="10">
        <v>0</v>
      </c>
      <c r="AG471" s="8">
        <f>COUNTIF(Y471:AB471,"&gt;0")</f>
        <v>1</v>
      </c>
      <c r="AH471" s="10">
        <v>0</v>
      </c>
      <c r="AI471" s="10">
        <v>147.47499999999999</v>
      </c>
      <c r="AJ471" s="8" t="str">
        <f>IF(ISNUMBER(X471),IF(X471&gt;0,"+",IF(X471&lt;0,"−","0")),IF(ISNUMBER(W471),IF(W471&gt;0,"+",IF(W471&lt;0,"−","0")),"yok"))</f>
        <v>−</v>
      </c>
      <c r="AK471" s="10">
        <f>IF(AND(RIGHT(C471,2)&lt;&gt;"12",ISNUMBER(U471),ISNUMBER(V471)),U471-V471,"")</f>
        <v>147.47500000000002</v>
      </c>
      <c r="AL471" s="11">
        <f>IF(AND(ISNUMBER(AK471),ISNUMBER(V471)),IF(V471&lt;&gt;0,AK471/ABS(V471),""),"")</f>
        <v>0.3501613389590254</v>
      </c>
      <c r="AM471" s="8">
        <f>IF(ISNUMBER(AK471),IF(AK471&gt;1,1,0),"")</f>
        <v>1</v>
      </c>
      <c r="AN471" s="8">
        <f>IF(ISNUMBER(AK471),IF(AK471&gt;0.05*ABS(V471),1,0),"")</f>
        <v>1</v>
      </c>
      <c r="AO471" s="10">
        <v>-90.228999999999999</v>
      </c>
      <c r="AP471" s="10">
        <v>90.228999999999999</v>
      </c>
      <c r="AQ471" s="8" t="s">
        <v>204</v>
      </c>
      <c r="AR471" s="8">
        <v>0</v>
      </c>
      <c r="AS471" s="10">
        <v>2333.6660000000002</v>
      </c>
      <c r="AT471" s="10">
        <v>-2596.7939999999999</v>
      </c>
      <c r="AU471" s="8" t="s">
        <v>204</v>
      </c>
      <c r="AV471" s="10">
        <v>147.47499999999999</v>
      </c>
      <c r="AW471" s="11">
        <f>IF(AND(ISNUMBER(AV471),ISNUMBER(AT471)),IF(AT471&lt;&gt;0,AV471/ABS(AT471),""),"")</f>
        <v>5.6791181741793921E-2</v>
      </c>
      <c r="AX471" s="8">
        <v>0</v>
      </c>
      <c r="AY471" s="8">
        <v>1</v>
      </c>
      <c r="AZ471" s="10"/>
      <c r="BA471" s="8">
        <v>1</v>
      </c>
    </row>
    <row r="472" spans="1:53" x14ac:dyDescent="0.2">
      <c r="A472" s="8" t="s">
        <v>516</v>
      </c>
      <c r="B472" s="8" t="s">
        <v>82</v>
      </c>
      <c r="C472" s="8" t="s">
        <v>208</v>
      </c>
      <c r="D472" s="8">
        <v>1</v>
      </c>
      <c r="E472" s="8">
        <v>1</v>
      </c>
      <c r="F472" s="8">
        <f>SUM(G472:M472)</f>
        <v>1</v>
      </c>
      <c r="G472" s="8">
        <v>1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1</v>
      </c>
      <c r="O472" s="8">
        <v>0</v>
      </c>
      <c r="P472" s="8">
        <v>1</v>
      </c>
      <c r="Q472" s="8">
        <v>1</v>
      </c>
      <c r="R472" s="8">
        <v>1</v>
      </c>
      <c r="S472" s="8">
        <v>0</v>
      </c>
      <c r="T472" s="10">
        <v>-27.591000000000001</v>
      </c>
      <c r="U472" s="10">
        <v>-0.63700000000000001</v>
      </c>
      <c r="V472" s="10">
        <v>-32.533000000000001</v>
      </c>
      <c r="W472" s="10">
        <f>IF(RIGHT(C472,2)="12",IF(ISNUMBER(T472),T472,""),IF(COUNT(T472,U472,V472)=3,T472+U472-V472,""))</f>
        <v>4.3049999999999997</v>
      </c>
      <c r="X472" s="10">
        <v>4.3040000000000003</v>
      </c>
      <c r="Y472" s="10">
        <v>32.533000000000001</v>
      </c>
      <c r="Z472" s="10">
        <v>0</v>
      </c>
      <c r="AA472" s="10">
        <v>-0.63700000000000001</v>
      </c>
      <c r="AB472" s="10">
        <v>-27.591000000000001</v>
      </c>
      <c r="AC472" s="8">
        <v>0</v>
      </c>
      <c r="AD472" s="8">
        <v>0</v>
      </c>
      <c r="AE472" s="8">
        <v>0</v>
      </c>
      <c r="AF472" s="10">
        <v>0</v>
      </c>
      <c r="AG472" s="8">
        <f>COUNTIF(Y472:AB472,"&gt;0")</f>
        <v>1</v>
      </c>
      <c r="AH472" s="10">
        <v>0</v>
      </c>
      <c r="AI472" s="10">
        <v>32.533000000000001</v>
      </c>
      <c r="AJ472" s="8" t="str">
        <f>IF(ISNUMBER(X472),IF(X472&gt;0,"+",IF(X472&lt;0,"−","0")),IF(ISNUMBER(W472),IF(W472&gt;0,"+",IF(W472&lt;0,"−","0")),"yok"))</f>
        <v>+</v>
      </c>
      <c r="AK472" s="10">
        <f>IF(AND(RIGHT(C472,2)&lt;&gt;"12",ISNUMBER(U472),ISNUMBER(V472)),U472-V472,"")</f>
        <v>31.896000000000001</v>
      </c>
      <c r="AL472" s="11">
        <f>IF(AND(ISNUMBER(AK472),ISNUMBER(V472)),IF(V472&lt;&gt;0,AK472/ABS(V472),""),"")</f>
        <v>0.98041988135124336</v>
      </c>
      <c r="AM472" s="8">
        <f>IF(ISNUMBER(AK472),IF(AK472&gt;1,1,0),"")</f>
        <v>1</v>
      </c>
      <c r="AN472" s="8">
        <f>IF(ISNUMBER(AK472),IF(AK472&gt;0.05*ABS(V472),1,0),"")</f>
        <v>1</v>
      </c>
      <c r="AO472" s="10">
        <v>4.3040000000000003</v>
      </c>
      <c r="AP472" s="10">
        <v>0</v>
      </c>
      <c r="AQ472" s="8" t="s">
        <v>204</v>
      </c>
      <c r="AR472" s="8">
        <v>1</v>
      </c>
      <c r="AS472" s="10">
        <v>1041.2190000000001</v>
      </c>
      <c r="AT472" s="10">
        <v>-301.13600000000002</v>
      </c>
      <c r="AU472" s="8" t="s">
        <v>204</v>
      </c>
      <c r="AV472" s="10">
        <v>31.896000000000001</v>
      </c>
      <c r="AW472" s="11">
        <f>IF(AND(ISNUMBER(AV472),ISNUMBER(AT472)),IF(AT472&lt;&gt;0,AV472/ABS(AT472),""),"")</f>
        <v>0.10591892035492269</v>
      </c>
      <c r="AX472" s="8">
        <v>0</v>
      </c>
      <c r="AY472" s="8">
        <v>1</v>
      </c>
      <c r="AZ472" s="10"/>
      <c r="BA472" s="8">
        <v>0</v>
      </c>
    </row>
    <row r="473" spans="1:53" x14ac:dyDescent="0.2">
      <c r="A473" s="8" t="s">
        <v>517</v>
      </c>
      <c r="B473" s="8" t="s">
        <v>82</v>
      </c>
      <c r="C473" s="8" t="s">
        <v>203</v>
      </c>
      <c r="D473" s="8">
        <v>1</v>
      </c>
      <c r="E473" s="8">
        <v>1</v>
      </c>
      <c r="F473" s="8">
        <f>SUM(G473:M473)</f>
        <v>1</v>
      </c>
      <c r="G473" s="8">
        <v>1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1</v>
      </c>
      <c r="O473" s="8">
        <v>1</v>
      </c>
      <c r="P473" s="8">
        <v>1</v>
      </c>
      <c r="Q473" s="8">
        <v>1</v>
      </c>
      <c r="R473" s="8">
        <v>1</v>
      </c>
      <c r="S473" s="8">
        <v>0</v>
      </c>
      <c r="T473" s="10">
        <v>-213.52699999999999</v>
      </c>
      <c r="U473" s="10">
        <v>113.036</v>
      </c>
      <c r="V473" s="10">
        <v>-736.69299999999998</v>
      </c>
      <c r="W473" s="10">
        <f>IF(RIGHT(C473,2)="12",IF(ISNUMBER(T473),T473,""),IF(COUNT(T473,U473,V473)=3,T473+U473-V473,""))</f>
        <v>636.202</v>
      </c>
      <c r="X473" s="10">
        <v>636.202</v>
      </c>
      <c r="Y473" s="10">
        <v>264.08300000000003</v>
      </c>
      <c r="Z473" s="10">
        <v>719.89400000000001</v>
      </c>
      <c r="AA473" s="10">
        <v>-134.24700000000001</v>
      </c>
      <c r="AB473" s="10">
        <v>-213.52699999999999</v>
      </c>
      <c r="AC473" s="8">
        <v>0</v>
      </c>
      <c r="AD473" s="8">
        <v>1</v>
      </c>
      <c r="AE473" s="8">
        <v>0</v>
      </c>
      <c r="AF473" s="10">
        <v>113.036</v>
      </c>
      <c r="AG473" s="8">
        <f>COUNTIF(Y473:AB473,"&gt;0")</f>
        <v>2</v>
      </c>
      <c r="AH473" s="10">
        <v>0</v>
      </c>
      <c r="AI473" s="10">
        <v>983.97699999999998</v>
      </c>
      <c r="AJ473" s="8" t="str">
        <f>IF(ISNUMBER(X473),IF(X473&gt;0,"+",IF(X473&lt;0,"−","0")),IF(ISNUMBER(W473),IF(W473&gt;0,"+",IF(W473&lt;0,"−","0")),"yok"))</f>
        <v>+</v>
      </c>
      <c r="AK473" s="10">
        <f>IF(AND(RIGHT(C473,2)&lt;&gt;"12",ISNUMBER(U473),ISNUMBER(V473)),U473-V473,"")</f>
        <v>849.72900000000004</v>
      </c>
      <c r="AL473" s="11">
        <f>IF(AND(ISNUMBER(AK473),ISNUMBER(V473)),IF(V473&lt;&gt;0,AK473/ABS(V473),""),"")</f>
        <v>1.1534370490828609</v>
      </c>
      <c r="AM473" s="8">
        <f>IF(ISNUMBER(AK473),IF(AK473&gt;1,1,0),"")</f>
        <v>1</v>
      </c>
      <c r="AN473" s="8">
        <f>IF(ISNUMBER(AK473),IF(AK473&gt;0.05*ABS(V473),1,0),"")</f>
        <v>1</v>
      </c>
      <c r="AO473" s="10">
        <v>636.202</v>
      </c>
      <c r="AP473" s="10">
        <v>0</v>
      </c>
      <c r="AQ473" s="8" t="s">
        <v>204</v>
      </c>
      <c r="AR473" s="8">
        <v>1</v>
      </c>
      <c r="AS473" s="10">
        <v>231.05799999999999</v>
      </c>
      <c r="AT473" s="10">
        <v>-156.363</v>
      </c>
      <c r="AU473" s="8" t="s">
        <v>204</v>
      </c>
      <c r="AV473" s="10">
        <v>113.036</v>
      </c>
      <c r="AW473" s="11">
        <f>IF(AND(ISNUMBER(AV473),ISNUMBER(AT473)),IF(AT473&lt;&gt;0,AV473/ABS(AT473),""),"")</f>
        <v>0.72290759322857712</v>
      </c>
      <c r="AX473" s="8">
        <v>1</v>
      </c>
      <c r="AY473" s="8">
        <v>0</v>
      </c>
      <c r="AZ473" s="8" t="s">
        <v>518</v>
      </c>
      <c r="BA473" s="8">
        <v>0</v>
      </c>
    </row>
    <row r="474" spans="1:53" x14ac:dyDescent="0.2">
      <c r="A474" s="8" t="s">
        <v>517</v>
      </c>
      <c r="B474" s="8" t="s">
        <v>82</v>
      </c>
      <c r="C474" s="8" t="s">
        <v>205</v>
      </c>
      <c r="D474" s="8">
        <v>1</v>
      </c>
      <c r="E474" s="8">
        <v>1</v>
      </c>
      <c r="F474" s="8">
        <f>SUM(G474:M474)</f>
        <v>1</v>
      </c>
      <c r="G474" s="8">
        <v>1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1</v>
      </c>
      <c r="O474" s="8">
        <v>1</v>
      </c>
      <c r="P474" s="8">
        <v>1</v>
      </c>
      <c r="Q474" s="8">
        <v>1</v>
      </c>
      <c r="R474" s="8">
        <v>1</v>
      </c>
      <c r="S474" s="8">
        <v>0</v>
      </c>
      <c r="T474" s="10">
        <v>-333.03899999999999</v>
      </c>
      <c r="U474" s="10">
        <v>113.036</v>
      </c>
      <c r="V474" s="10">
        <v>-472.61</v>
      </c>
      <c r="W474" s="10">
        <f>IF(RIGHT(C474,2)="12",IF(ISNUMBER(T474),T474,""),IF(COUNT(T474,U474,V474)=3,T474+U474-V474,""))</f>
        <v>252.60700000000003</v>
      </c>
      <c r="X474" s="10">
        <v>252.607</v>
      </c>
      <c r="Y474" s="10">
        <v>719.89400000000001</v>
      </c>
      <c r="Z474" s="10">
        <v>-134.24700000000001</v>
      </c>
      <c r="AA474" s="10">
        <v>-213.52699999999999</v>
      </c>
      <c r="AB474" s="10">
        <v>-119.511</v>
      </c>
      <c r="AC474" s="8">
        <v>0</v>
      </c>
      <c r="AD474" s="8">
        <v>1</v>
      </c>
      <c r="AE474" s="8">
        <v>0</v>
      </c>
      <c r="AF474" s="10">
        <v>113.036</v>
      </c>
      <c r="AG474" s="8">
        <f>COUNTIF(Y474:AB474,"&gt;0")</f>
        <v>1</v>
      </c>
      <c r="AH474" s="10">
        <v>0</v>
      </c>
      <c r="AI474" s="10">
        <v>719.89400000000001</v>
      </c>
      <c r="AJ474" s="8" t="str">
        <f>IF(ISNUMBER(X474),IF(X474&gt;0,"+",IF(X474&lt;0,"−","0")),IF(ISNUMBER(W474),IF(W474&gt;0,"+",IF(W474&lt;0,"−","0")),"yok"))</f>
        <v>+</v>
      </c>
      <c r="AK474" s="10">
        <f>IF(AND(RIGHT(C474,2)&lt;&gt;"12",ISNUMBER(U474),ISNUMBER(V474)),U474-V474,"")</f>
        <v>585.64599999999996</v>
      </c>
      <c r="AL474" s="11">
        <f>IF(AND(ISNUMBER(AK474),ISNUMBER(V474)),IF(V474&lt;&gt;0,AK474/ABS(V474),""),"")</f>
        <v>1.239173948921944</v>
      </c>
      <c r="AM474" s="8">
        <f>IF(ISNUMBER(AK474),IF(AK474&gt;1,1,0),"")</f>
        <v>1</v>
      </c>
      <c r="AN474" s="8">
        <f>IF(ISNUMBER(AK474),IF(AK474&gt;0.05*ABS(V474),1,0),"")</f>
        <v>1</v>
      </c>
      <c r="AO474" s="10">
        <v>252.608</v>
      </c>
      <c r="AP474" s="10">
        <v>0</v>
      </c>
      <c r="AQ474" s="8" t="s">
        <v>204</v>
      </c>
      <c r="AR474" s="8">
        <v>1</v>
      </c>
      <c r="AS474" s="10">
        <v>309.274</v>
      </c>
      <c r="AT474" s="10">
        <v>-82.891000000000005</v>
      </c>
      <c r="AU474" s="8" t="s">
        <v>204</v>
      </c>
      <c r="AV474" s="10">
        <v>113.036</v>
      </c>
      <c r="AW474" s="11">
        <f>IF(AND(ISNUMBER(AV474),ISNUMBER(AT474)),IF(AT474&lt;&gt;0,AV474/ABS(AT474),""),"")</f>
        <v>1.363670362282998</v>
      </c>
      <c r="AX474" s="8">
        <v>1</v>
      </c>
      <c r="AY474" s="8">
        <v>0</v>
      </c>
      <c r="AZ474" s="8" t="s">
        <v>518</v>
      </c>
      <c r="BA474" s="8">
        <v>0</v>
      </c>
    </row>
    <row r="475" spans="1:53" x14ac:dyDescent="0.2">
      <c r="A475" s="8" t="s">
        <v>517</v>
      </c>
      <c r="B475" s="8" t="s">
        <v>82</v>
      </c>
      <c r="C475" s="8" t="s">
        <v>215</v>
      </c>
      <c r="D475" s="8">
        <v>1</v>
      </c>
      <c r="E475" s="8">
        <v>1</v>
      </c>
      <c r="F475" s="8">
        <f>SUM(G475:M475)</f>
        <v>1</v>
      </c>
      <c r="G475" s="8">
        <v>0</v>
      </c>
      <c r="H475" s="8">
        <v>0</v>
      </c>
      <c r="I475" s="8">
        <v>0</v>
      </c>
      <c r="J475" s="8">
        <v>1</v>
      </c>
      <c r="K475" s="8">
        <v>0</v>
      </c>
      <c r="L475" s="8">
        <v>0</v>
      </c>
      <c r="M475" s="8">
        <v>0</v>
      </c>
      <c r="N475" s="8">
        <v>0</v>
      </c>
      <c r="O475" s="8">
        <v>1</v>
      </c>
      <c r="P475" s="8">
        <v>1</v>
      </c>
      <c r="Q475" s="8">
        <v>0</v>
      </c>
      <c r="R475" s="8">
        <v>0</v>
      </c>
      <c r="S475" s="8">
        <v>1</v>
      </c>
      <c r="T475" s="10">
        <v>-159.09</v>
      </c>
      <c r="U475" s="10">
        <v>113.036</v>
      </c>
      <c r="V475" s="10">
        <v>247.28399999999999</v>
      </c>
      <c r="W475" s="10">
        <f>IF(RIGHT(C475,2)="12",IF(ISNUMBER(T475),T475,""),IF(COUNT(T475,U475,V475)=3,T475+U475-V475,""))</f>
        <v>-293.33799999999997</v>
      </c>
      <c r="X475" s="10">
        <v>-293.33800000000002</v>
      </c>
      <c r="Y475" s="10">
        <v>-134.24700000000001</v>
      </c>
      <c r="Z475" s="10">
        <v>-213.52699999999999</v>
      </c>
      <c r="AA475" s="10">
        <v>-119.511</v>
      </c>
      <c r="AB475" s="10">
        <v>173.94800000000001</v>
      </c>
      <c r="AC475" s="8">
        <v>0</v>
      </c>
      <c r="AD475" s="8">
        <v>1</v>
      </c>
      <c r="AE475" s="8">
        <v>1</v>
      </c>
      <c r="AF475" s="10">
        <v>247.28399999999999</v>
      </c>
      <c r="AG475" s="8">
        <f>COUNTIF(Y475:AB475,"&gt;0")</f>
        <v>1</v>
      </c>
      <c r="AH475" s="10">
        <v>173.94800000000001</v>
      </c>
      <c r="AI475" s="10">
        <v>0</v>
      </c>
      <c r="AJ475" s="8" t="str">
        <f>IF(ISNUMBER(X475),IF(X475&gt;0,"+",IF(X475&lt;0,"−","0")),IF(ISNUMBER(W475),IF(W475&gt;0,"+",IF(W475&lt;0,"−","0")),"yok"))</f>
        <v>−</v>
      </c>
      <c r="AK475" s="10">
        <f>IF(AND(RIGHT(C475,2)&lt;&gt;"12",ISNUMBER(U475),ISNUMBER(V475)),U475-V475,"")</f>
        <v>-134.24799999999999</v>
      </c>
      <c r="AL475" s="11">
        <f>IF(AND(ISNUMBER(AK475),ISNUMBER(V475)),IF(V475&lt;&gt;0,AK475/ABS(V475),""),"")</f>
        <v>-0.54288995648727778</v>
      </c>
      <c r="AM475" s="8">
        <f>IF(ISNUMBER(AK475),IF(AK475&gt;1,1,0),"")</f>
        <v>0</v>
      </c>
      <c r="AN475" s="8">
        <f>IF(ISNUMBER(AK475),IF(AK475&gt;0.05*ABS(V475),1,0),"")</f>
        <v>0</v>
      </c>
      <c r="AO475" s="10">
        <v>-293.339</v>
      </c>
      <c r="AP475" s="10">
        <v>293.339</v>
      </c>
      <c r="AQ475" s="8" t="s">
        <v>204</v>
      </c>
      <c r="AR475" s="8">
        <v>0</v>
      </c>
      <c r="AS475" s="10">
        <v>507.928</v>
      </c>
      <c r="AT475" s="10">
        <v>-2598.2159999999999</v>
      </c>
      <c r="AU475" s="8" t="s">
        <v>204</v>
      </c>
      <c r="AV475" s="10">
        <v>247.28399999999999</v>
      </c>
      <c r="AW475" s="11">
        <f>IF(AND(ISNUMBER(AV475),ISNUMBER(AT475)),IF(AT475&lt;&gt;0,AV475/ABS(AT475),""),"")</f>
        <v>9.5174535142574748E-2</v>
      </c>
      <c r="AX475" s="8">
        <v>1</v>
      </c>
      <c r="AY475" s="8">
        <v>0</v>
      </c>
      <c r="AZ475" s="8" t="s">
        <v>519</v>
      </c>
      <c r="BA475" s="8">
        <v>0</v>
      </c>
    </row>
    <row r="476" spans="1:53" x14ac:dyDescent="0.2">
      <c r="A476" s="8" t="s">
        <v>517</v>
      </c>
      <c r="B476" s="8" t="s">
        <v>82</v>
      </c>
      <c r="C476" s="8" t="s">
        <v>208</v>
      </c>
      <c r="D476" s="8">
        <v>1</v>
      </c>
      <c r="E476" s="8">
        <v>1</v>
      </c>
      <c r="F476" s="8">
        <f>SUM(G476:M476)</f>
        <v>1</v>
      </c>
      <c r="G476" s="8">
        <v>0</v>
      </c>
      <c r="H476" s="8">
        <v>1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1</v>
      </c>
      <c r="Q476" s="8">
        <v>1</v>
      </c>
      <c r="R476" s="8">
        <v>1</v>
      </c>
      <c r="S476" s="8">
        <v>0</v>
      </c>
      <c r="T476" s="10">
        <v>-223.374</v>
      </c>
      <c r="U476" s="10">
        <v>-177.47800000000001</v>
      </c>
      <c r="V476" s="10">
        <v>-213.52699999999999</v>
      </c>
      <c r="W476" s="10">
        <f>IF(RIGHT(C476,2)="12",IF(ISNUMBER(T476),T476,""),IF(COUNT(T476,U476,V476)=3,T476+U476-V476,""))</f>
        <v>-187.32499999999999</v>
      </c>
      <c r="X476" s="10">
        <v>-187.32499999999999</v>
      </c>
      <c r="Y476" s="10">
        <v>-119.511</v>
      </c>
      <c r="Z476" s="10">
        <v>173.94800000000001</v>
      </c>
      <c r="AA476" s="10">
        <v>-18.387</v>
      </c>
      <c r="AB476" s="10">
        <v>-223.374</v>
      </c>
      <c r="AC476" s="8">
        <v>0</v>
      </c>
      <c r="AD476" s="8">
        <v>0</v>
      </c>
      <c r="AE476" s="8">
        <v>0</v>
      </c>
      <c r="AF476" s="10">
        <v>0</v>
      </c>
      <c r="AG476" s="8">
        <f>COUNTIF(Y476:AB476,"&gt;0")</f>
        <v>1</v>
      </c>
      <c r="AH476" s="10">
        <v>0</v>
      </c>
      <c r="AI476" s="10">
        <v>173.94800000000001</v>
      </c>
      <c r="AJ476" s="8" t="str">
        <f>IF(ISNUMBER(X476),IF(X476&gt;0,"+",IF(X476&lt;0,"−","0")),IF(ISNUMBER(W476),IF(W476&gt;0,"+",IF(W476&lt;0,"−","0")),"yok"))</f>
        <v>−</v>
      </c>
      <c r="AK476" s="10">
        <f>IF(AND(RIGHT(C476,2)&lt;&gt;"12",ISNUMBER(U476),ISNUMBER(V476)),U476-V476,"")</f>
        <v>36.048999999999978</v>
      </c>
      <c r="AL476" s="11">
        <f>IF(AND(ISNUMBER(AK476),ISNUMBER(V476)),IF(V476&lt;&gt;0,AK476/ABS(V476),""),"")</f>
        <v>0.16882642476127133</v>
      </c>
      <c r="AM476" s="8">
        <f>IF(ISNUMBER(AK476),IF(AK476&gt;1,1,0),"")</f>
        <v>1</v>
      </c>
      <c r="AN476" s="8">
        <f>IF(ISNUMBER(AK476),IF(AK476&gt;0.05*ABS(V476),1,0),"")</f>
        <v>1</v>
      </c>
      <c r="AO476" s="10">
        <v>-187.32599999999999</v>
      </c>
      <c r="AP476" s="10">
        <v>187.32599999999999</v>
      </c>
      <c r="AQ476" s="8" t="s">
        <v>204</v>
      </c>
      <c r="AR476" s="8">
        <v>0</v>
      </c>
      <c r="AS476" s="10">
        <v>3961.1869999999999</v>
      </c>
      <c r="AT476" s="10"/>
      <c r="AU476" s="8" t="s">
        <v>207</v>
      </c>
      <c r="AV476" s="10">
        <v>36.048999999999999</v>
      </c>
      <c r="AW476" s="11" t="str">
        <f>IF(AND(ISNUMBER(AV476),ISNUMBER(AT476)),IF(AT476&lt;&gt;0,AV476/ABS(AT476),""),"")</f>
        <v/>
      </c>
      <c r="AX476" s="8">
        <v>0</v>
      </c>
      <c r="AY476" s="8">
        <v>1</v>
      </c>
      <c r="AZ476" s="10"/>
      <c r="BA476" s="8">
        <v>0</v>
      </c>
    </row>
    <row r="477" spans="1:53" x14ac:dyDescent="0.2">
      <c r="A477" s="8" t="s">
        <v>517</v>
      </c>
      <c r="B477" s="8" t="s">
        <v>82</v>
      </c>
      <c r="C477" s="8" t="s">
        <v>210</v>
      </c>
      <c r="D477" s="8">
        <v>1</v>
      </c>
      <c r="E477" s="8">
        <v>1</v>
      </c>
      <c r="F477" s="8">
        <f>SUM(G477:M477)</f>
        <v>2</v>
      </c>
      <c r="G477" s="8">
        <v>1</v>
      </c>
      <c r="H477" s="8">
        <v>1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1</v>
      </c>
      <c r="O477" s="8">
        <v>0</v>
      </c>
      <c r="P477" s="8">
        <v>1</v>
      </c>
      <c r="Q477" s="8">
        <v>1</v>
      </c>
      <c r="R477" s="8">
        <v>1</v>
      </c>
      <c r="S477" s="8">
        <v>1</v>
      </c>
      <c r="T477" s="10">
        <v>-33.58</v>
      </c>
      <c r="U477" s="10">
        <v>-177.47800000000001</v>
      </c>
      <c r="V477" s="10">
        <v>-333.03899999999999</v>
      </c>
      <c r="W477" s="10">
        <f>IF(RIGHT(C477,2)="12",IF(ISNUMBER(T477),T477,""),IF(COUNT(T477,U477,V477)=3,T477+U477-V477,""))</f>
        <v>121.98099999999999</v>
      </c>
      <c r="X477" s="10">
        <v>121.98</v>
      </c>
      <c r="Y477" s="10">
        <v>173.94800000000001</v>
      </c>
      <c r="Z477" s="10">
        <v>-18.387</v>
      </c>
      <c r="AA477" s="10">
        <v>-223.374</v>
      </c>
      <c r="AB477" s="10">
        <v>189.79400000000001</v>
      </c>
      <c r="AC477" s="8">
        <v>0</v>
      </c>
      <c r="AD477" s="8">
        <v>0</v>
      </c>
      <c r="AE477" s="8">
        <v>0</v>
      </c>
      <c r="AF477" s="10">
        <v>0</v>
      </c>
      <c r="AG477" s="8">
        <f>COUNTIF(Y477:AB477,"&gt;0")</f>
        <v>2</v>
      </c>
      <c r="AH477" s="10">
        <v>189.79400000000001</v>
      </c>
      <c r="AI477" s="10">
        <v>173.94800000000001</v>
      </c>
      <c r="AJ477" s="8" t="str">
        <f>IF(ISNUMBER(X477),IF(X477&gt;0,"+",IF(X477&lt;0,"−","0")),IF(ISNUMBER(W477),IF(W477&gt;0,"+",IF(W477&lt;0,"−","0")),"yok"))</f>
        <v>+</v>
      </c>
      <c r="AK477" s="10">
        <f>IF(AND(RIGHT(C477,2)&lt;&gt;"12",ISNUMBER(U477),ISNUMBER(V477)),U477-V477,"")</f>
        <v>155.56099999999998</v>
      </c>
      <c r="AL477" s="11">
        <f>IF(AND(ISNUMBER(AK477),ISNUMBER(V477)),IF(V477&lt;&gt;0,AK477/ABS(V477),""),"")</f>
        <v>0.46709544527818059</v>
      </c>
      <c r="AM477" s="8">
        <f>IF(ISNUMBER(AK477),IF(AK477&gt;1,1,0),"")</f>
        <v>1</v>
      </c>
      <c r="AN477" s="8">
        <f>IF(ISNUMBER(AK477),IF(AK477&gt;0.05*ABS(V477),1,0),"")</f>
        <v>1</v>
      </c>
      <c r="AO477" s="10">
        <v>121.98</v>
      </c>
      <c r="AP477" s="10">
        <v>121.98</v>
      </c>
      <c r="AQ477" s="8" t="s">
        <v>204</v>
      </c>
      <c r="AR477" s="8">
        <v>0</v>
      </c>
      <c r="AS477" s="10">
        <v>5492.4179999999997</v>
      </c>
      <c r="AT477" s="10"/>
      <c r="AU477" s="8" t="s">
        <v>207</v>
      </c>
      <c r="AV477" s="10">
        <v>155.56100000000001</v>
      </c>
      <c r="AW477" s="11" t="str">
        <f>IF(AND(ISNUMBER(AV477),ISNUMBER(AT477)),IF(AT477&lt;&gt;0,AV477/ABS(AT477),""),"")</f>
        <v/>
      </c>
      <c r="AX477" s="8">
        <v>0</v>
      </c>
      <c r="AY477" s="8">
        <v>1</v>
      </c>
      <c r="AZ477" s="10"/>
      <c r="BA477" s="8">
        <v>0</v>
      </c>
    </row>
    <row r="478" spans="1:53" x14ac:dyDescent="0.2">
      <c r="A478" s="8" t="s">
        <v>517</v>
      </c>
      <c r="B478" s="8" t="s">
        <v>83</v>
      </c>
      <c r="C478" s="8" t="s">
        <v>203</v>
      </c>
      <c r="D478" s="8">
        <v>1</v>
      </c>
      <c r="E478" s="8">
        <v>1</v>
      </c>
      <c r="F478" s="8">
        <f>SUM(G478:M478)</f>
        <v>1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1</v>
      </c>
      <c r="N478" s="8">
        <v>0</v>
      </c>
      <c r="O478" s="8">
        <v>0</v>
      </c>
      <c r="P478" s="8">
        <v>1</v>
      </c>
      <c r="Q478" s="8">
        <v>0</v>
      </c>
      <c r="R478" s="8">
        <v>0</v>
      </c>
      <c r="S478" s="8">
        <v>0</v>
      </c>
      <c r="T478" s="10">
        <v>-15.954000000000001</v>
      </c>
      <c r="U478" s="10">
        <v>-390.69600000000003</v>
      </c>
      <c r="V478" s="10">
        <v>-19.228000000000002</v>
      </c>
      <c r="W478" s="10">
        <f>IF(RIGHT(C478,2)="12",IF(ISNUMBER(T478),T478,""),IF(COUNT(T478,U478,V478)=3,T478+U478-V478,""))</f>
        <v>-387.42200000000003</v>
      </c>
      <c r="X478" s="10">
        <v>-387.42200000000003</v>
      </c>
      <c r="Y478" s="10">
        <v>1.1339999999999999</v>
      </c>
      <c r="Z478" s="10">
        <v>-46.171999999999997</v>
      </c>
      <c r="AA478" s="10">
        <v>-326.42899999999997</v>
      </c>
      <c r="AB478" s="10">
        <v>-15.954000000000001</v>
      </c>
      <c r="AC478" s="8">
        <v>0</v>
      </c>
      <c r="AD478" s="8">
        <v>0</v>
      </c>
      <c r="AE478" s="8">
        <v>0</v>
      </c>
      <c r="AF478" s="10">
        <v>0</v>
      </c>
      <c r="AG478" s="8">
        <f>COUNTIF(Y478:AB478,"&gt;0")</f>
        <v>1</v>
      </c>
      <c r="AH478" s="10">
        <v>0</v>
      </c>
      <c r="AI478" s="10">
        <v>1.1339999999999999</v>
      </c>
      <c r="AJ478" s="8" t="str">
        <f>IF(ISNUMBER(X478),IF(X478&gt;0,"+",IF(X478&lt;0,"−","0")),IF(ISNUMBER(W478),IF(W478&gt;0,"+",IF(W478&lt;0,"−","0")),"yok"))</f>
        <v>−</v>
      </c>
      <c r="AK478" s="10">
        <f>IF(AND(RIGHT(C478,2)&lt;&gt;"12",ISNUMBER(U478),ISNUMBER(V478)),U478-V478,"")</f>
        <v>-371.46800000000002</v>
      </c>
      <c r="AL478" s="11">
        <f>IF(AND(ISNUMBER(AK478),ISNUMBER(V478)),IF(V478&lt;&gt;0,AK478/ABS(V478),""),"")</f>
        <v>-19.319117952985231</v>
      </c>
      <c r="AM478" s="8">
        <f>IF(ISNUMBER(AK478),IF(AK478&gt;1,1,0),"")</f>
        <v>0</v>
      </c>
      <c r="AN478" s="8">
        <f>IF(ISNUMBER(AK478),IF(AK478&gt;0.05*ABS(V478),1,0),"")</f>
        <v>0</v>
      </c>
      <c r="AO478" s="10">
        <v>-387.42099999999999</v>
      </c>
      <c r="AP478" s="10">
        <v>387.42099999999999</v>
      </c>
      <c r="AQ478" s="8" t="s">
        <v>204</v>
      </c>
      <c r="AR478" s="8">
        <v>0</v>
      </c>
      <c r="AS478" s="10">
        <v>231.05799999999999</v>
      </c>
      <c r="AT478" s="10">
        <v>-156.363</v>
      </c>
      <c r="AU478" s="8" t="s">
        <v>204</v>
      </c>
      <c r="AV478" s="10">
        <v>1.1339999999999999</v>
      </c>
      <c r="AW478" s="11">
        <f>IF(AND(ISNUMBER(AV478),ISNUMBER(AT478)),IF(AT478&lt;&gt;0,AV478/ABS(AT478),""),"")</f>
        <v>7.2523550967939976E-3</v>
      </c>
      <c r="AX478" s="8">
        <v>0</v>
      </c>
      <c r="AY478" s="8">
        <v>0</v>
      </c>
      <c r="AZ478" s="10"/>
      <c r="BA478" s="8">
        <v>0</v>
      </c>
    </row>
    <row r="479" spans="1:53" x14ac:dyDescent="0.2">
      <c r="A479" s="8" t="s">
        <v>520</v>
      </c>
      <c r="B479" s="8" t="s">
        <v>83</v>
      </c>
      <c r="C479" s="8" t="s">
        <v>203</v>
      </c>
      <c r="D479" s="8">
        <v>1</v>
      </c>
      <c r="E479" s="8">
        <v>1</v>
      </c>
      <c r="F479" s="8">
        <f>SUM(G479:M479)</f>
        <v>1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1</v>
      </c>
      <c r="N479" s="8">
        <v>0</v>
      </c>
      <c r="O479" s="8">
        <v>0</v>
      </c>
      <c r="P479" s="8">
        <v>1</v>
      </c>
      <c r="Q479" s="8">
        <v>0</v>
      </c>
      <c r="R479" s="8">
        <v>0</v>
      </c>
      <c r="S479" s="8">
        <v>0</v>
      </c>
      <c r="T479" s="10">
        <v>-6.5970000000000004</v>
      </c>
      <c r="U479" s="10">
        <v>-12.510999999999999</v>
      </c>
      <c r="V479" s="10">
        <v>-5.8109999999999999</v>
      </c>
      <c r="W479" s="10">
        <f>IF(RIGHT(C479,2)="12",IF(ISNUMBER(T479),T479,""),IF(COUNT(T479,U479,V479)=3,T479+U479-V479,""))</f>
        <v>-13.297000000000001</v>
      </c>
      <c r="X479" s="10">
        <v>-13.298</v>
      </c>
      <c r="Y479" s="10">
        <v>-7.7519999999999998</v>
      </c>
      <c r="Z479" s="10">
        <v>-1.345</v>
      </c>
      <c r="AA479" s="10">
        <v>2.3959999999999999</v>
      </c>
      <c r="AB479" s="10">
        <v>-6.5970000000000004</v>
      </c>
      <c r="AC479" s="8">
        <v>0</v>
      </c>
      <c r="AD479" s="8">
        <v>0</v>
      </c>
      <c r="AE479" s="8">
        <v>0</v>
      </c>
      <c r="AF479" s="10">
        <v>0</v>
      </c>
      <c r="AG479" s="8">
        <f>COUNTIF(Y479:AB479,"&gt;0")</f>
        <v>1</v>
      </c>
      <c r="AH479" s="10">
        <v>0</v>
      </c>
      <c r="AI479" s="10">
        <v>2.3959999999999999</v>
      </c>
      <c r="AJ479" s="8" t="str">
        <f>IF(ISNUMBER(X479),IF(X479&gt;0,"+",IF(X479&lt;0,"−","0")),IF(ISNUMBER(W479),IF(W479&gt;0,"+",IF(W479&lt;0,"−","0")),"yok"))</f>
        <v>−</v>
      </c>
      <c r="AK479" s="10">
        <f>IF(AND(RIGHT(C479,2)&lt;&gt;"12",ISNUMBER(U479),ISNUMBER(V479)),U479-V479,"")</f>
        <v>-6.6999999999999993</v>
      </c>
      <c r="AL479" s="11">
        <f>IF(AND(ISNUMBER(AK479),ISNUMBER(V479)),IF(V479&lt;&gt;0,AK479/ABS(V479),""),"")</f>
        <v>-1.152985716744106</v>
      </c>
      <c r="AM479" s="8">
        <f>IF(ISNUMBER(AK479),IF(AK479&gt;1,1,0),"")</f>
        <v>0</v>
      </c>
      <c r="AN479" s="8">
        <f>IF(ISNUMBER(AK479),IF(AK479&gt;0.05*ABS(V479),1,0),"")</f>
        <v>0</v>
      </c>
      <c r="AO479" s="10">
        <v>-13.298999999999999</v>
      </c>
      <c r="AP479" s="10">
        <v>13.298999999999999</v>
      </c>
      <c r="AQ479" s="8" t="s">
        <v>204</v>
      </c>
      <c r="AR479" s="8">
        <v>0</v>
      </c>
      <c r="AS479" s="10">
        <v>-9.0120000000000005</v>
      </c>
      <c r="AT479" s="10">
        <v>-22.311</v>
      </c>
      <c r="AU479" s="8" t="s">
        <v>204</v>
      </c>
      <c r="AV479" s="10">
        <v>2.3959999999999999</v>
      </c>
      <c r="AW479" s="11">
        <f>IF(AND(ISNUMBER(AV479),ISNUMBER(AT479)),IF(AT479&lt;&gt;0,AV479/ABS(AT479),""),"")</f>
        <v>0.10739097306261484</v>
      </c>
      <c r="AX479" s="8">
        <v>0</v>
      </c>
      <c r="AY479" s="8">
        <v>0</v>
      </c>
      <c r="AZ479" s="10"/>
      <c r="BA479" s="8">
        <v>0</v>
      </c>
    </row>
    <row r="480" spans="1:53" x14ac:dyDescent="0.2">
      <c r="A480" s="8" t="s">
        <v>520</v>
      </c>
      <c r="B480" s="8" t="s">
        <v>83</v>
      </c>
      <c r="C480" s="8" t="s">
        <v>205</v>
      </c>
      <c r="D480" s="8">
        <v>1</v>
      </c>
      <c r="E480" s="8">
        <v>1</v>
      </c>
      <c r="F480" s="8">
        <f>SUM(G480:M480)</f>
        <v>2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1</v>
      </c>
      <c r="M480" s="8">
        <v>1</v>
      </c>
      <c r="N480" s="8">
        <v>0</v>
      </c>
      <c r="O480" s="8">
        <v>0</v>
      </c>
      <c r="P480" s="8">
        <v>1</v>
      </c>
      <c r="Q480" s="8">
        <v>0</v>
      </c>
      <c r="R480" s="8">
        <v>0</v>
      </c>
      <c r="S480" s="8">
        <v>0</v>
      </c>
      <c r="T480" s="10">
        <v>-18.184999999999999</v>
      </c>
      <c r="U480" s="10">
        <v>-12.510999999999999</v>
      </c>
      <c r="V480" s="10">
        <v>-13.563000000000001</v>
      </c>
      <c r="W480" s="10">
        <f>IF(RIGHT(C480,2)="12",IF(ISNUMBER(T480),T480,""),IF(COUNT(T480,U480,V480)=3,T480+U480-V480,""))</f>
        <v>-17.132999999999996</v>
      </c>
      <c r="X480" s="10">
        <v>-17.132999999999999</v>
      </c>
      <c r="Y480" s="10">
        <v>-1.345</v>
      </c>
      <c r="Z480" s="10">
        <v>2.3959999999999999</v>
      </c>
      <c r="AA480" s="10">
        <v>-6.5970000000000004</v>
      </c>
      <c r="AB480" s="10">
        <v>-11.587</v>
      </c>
      <c r="AC480" s="8">
        <v>0</v>
      </c>
      <c r="AD480" s="8">
        <v>0</v>
      </c>
      <c r="AE480" s="8">
        <v>0</v>
      </c>
      <c r="AF480" s="10">
        <v>0</v>
      </c>
      <c r="AG480" s="8">
        <f>COUNTIF(Y480:AB480,"&gt;0")</f>
        <v>1</v>
      </c>
      <c r="AH480" s="10">
        <v>0</v>
      </c>
      <c r="AI480" s="10">
        <v>2.3959999999999999</v>
      </c>
      <c r="AJ480" s="8" t="str">
        <f>IF(ISNUMBER(X480),IF(X480&gt;0,"+",IF(X480&lt;0,"−","0")),IF(ISNUMBER(W480),IF(W480&gt;0,"+",IF(W480&lt;0,"−","0")),"yok"))</f>
        <v>−</v>
      </c>
      <c r="AK480" s="10">
        <f>IF(AND(RIGHT(C480,2)&lt;&gt;"12",ISNUMBER(U480),ISNUMBER(V480)),U480-V480,"")</f>
        <v>1.0520000000000014</v>
      </c>
      <c r="AL480" s="11">
        <f>IF(AND(ISNUMBER(AK480),ISNUMBER(V480)),IF(V480&lt;&gt;0,AK480/ABS(V480),""),"")</f>
        <v>7.7563960775639706E-2</v>
      </c>
      <c r="AM480" s="8">
        <f>IF(ISNUMBER(AK480),IF(AK480&gt;1,1,0),"")</f>
        <v>1</v>
      </c>
      <c r="AN480" s="8">
        <f>IF(ISNUMBER(AK480),IF(AK480&gt;0.05*ABS(V480),1,0),"")</f>
        <v>1</v>
      </c>
      <c r="AO480" s="10">
        <v>-17.134</v>
      </c>
      <c r="AP480" s="10">
        <v>17.134</v>
      </c>
      <c r="AQ480" s="8" t="s">
        <v>204</v>
      </c>
      <c r="AR480" s="8">
        <v>0</v>
      </c>
      <c r="AS480" s="10">
        <v>-4.82</v>
      </c>
      <c r="AT480" s="10">
        <v>-21.954000000000001</v>
      </c>
      <c r="AU480" s="8" t="s">
        <v>204</v>
      </c>
      <c r="AV480" s="10">
        <v>1.052</v>
      </c>
      <c r="AW480" s="11">
        <f>IF(AND(ISNUMBER(AV480),ISNUMBER(AT480)),IF(AT480&lt;&gt;0,AV480/ABS(AT480),""),"")</f>
        <v>4.7918374783638515E-2</v>
      </c>
      <c r="AX480" s="8">
        <v>0</v>
      </c>
      <c r="AY480" s="8">
        <v>1</v>
      </c>
      <c r="AZ480" s="10"/>
      <c r="BA480" s="8">
        <v>1</v>
      </c>
    </row>
    <row r="481" spans="1:53" x14ac:dyDescent="0.2">
      <c r="A481" s="8" t="s">
        <v>520</v>
      </c>
      <c r="B481" s="8" t="s">
        <v>83</v>
      </c>
      <c r="C481" s="8" t="s">
        <v>215</v>
      </c>
      <c r="D481" s="8">
        <v>1</v>
      </c>
      <c r="E481" s="8">
        <v>1</v>
      </c>
      <c r="F481" s="8">
        <f>SUM(G481:M481)</f>
        <v>2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1</v>
      </c>
      <c r="M481" s="8">
        <v>1</v>
      </c>
      <c r="N481" s="8">
        <v>0</v>
      </c>
      <c r="O481" s="8">
        <v>0</v>
      </c>
      <c r="P481" s="8">
        <v>1</v>
      </c>
      <c r="Q481" s="8">
        <v>0</v>
      </c>
      <c r="R481" s="8">
        <v>0</v>
      </c>
      <c r="S481" s="8">
        <v>0</v>
      </c>
      <c r="T481" s="10">
        <v>-21.896000000000001</v>
      </c>
      <c r="U481" s="10">
        <v>-12.510999999999999</v>
      </c>
      <c r="V481" s="10">
        <v>-14.907999999999999</v>
      </c>
      <c r="W481" s="10">
        <f>IF(RIGHT(C481,2)="12",IF(ISNUMBER(T481),T481,""),IF(COUNT(T481,U481,V481)=3,T481+U481-V481,""))</f>
        <v>-19.498999999999995</v>
      </c>
      <c r="X481" s="10">
        <v>-19.498999999999999</v>
      </c>
      <c r="Y481" s="10">
        <v>2.3959999999999999</v>
      </c>
      <c r="Z481" s="10">
        <v>-6.5970000000000004</v>
      </c>
      <c r="AA481" s="10">
        <v>-11.587</v>
      </c>
      <c r="AB481" s="10">
        <v>-3.7109999999999999</v>
      </c>
      <c r="AC481" s="8">
        <v>0</v>
      </c>
      <c r="AD481" s="8">
        <v>0</v>
      </c>
      <c r="AE481" s="8">
        <v>0</v>
      </c>
      <c r="AF481" s="10">
        <v>0</v>
      </c>
      <c r="AG481" s="8">
        <f>COUNTIF(Y481:AB481,"&gt;0")</f>
        <v>1</v>
      </c>
      <c r="AH481" s="10">
        <v>0</v>
      </c>
      <c r="AI481" s="10">
        <v>2.3959999999999999</v>
      </c>
      <c r="AJ481" s="8" t="str">
        <f>IF(ISNUMBER(X481),IF(X481&gt;0,"+",IF(X481&lt;0,"−","0")),IF(ISNUMBER(W481),IF(W481&gt;0,"+",IF(W481&lt;0,"−","0")),"yok"))</f>
        <v>−</v>
      </c>
      <c r="AK481" s="10">
        <f>IF(AND(RIGHT(C481,2)&lt;&gt;"12",ISNUMBER(U481),ISNUMBER(V481)),U481-V481,"")</f>
        <v>2.3970000000000002</v>
      </c>
      <c r="AL481" s="11">
        <f>IF(AND(ISNUMBER(AK481),ISNUMBER(V481)),IF(V481&lt;&gt;0,AK481/ABS(V481),""),"")</f>
        <v>0.16078615508451841</v>
      </c>
      <c r="AM481" s="8">
        <f>IF(ISNUMBER(AK481),IF(AK481&gt;1,1,0),"")</f>
        <v>1</v>
      </c>
      <c r="AN481" s="8">
        <f>IF(ISNUMBER(AK481),IF(AK481&gt;0.05*ABS(V481),1,0),"")</f>
        <v>1</v>
      </c>
      <c r="AO481" s="10">
        <v>-19.5</v>
      </c>
      <c r="AP481" s="10">
        <v>19.5</v>
      </c>
      <c r="AQ481" s="8" t="s">
        <v>204</v>
      </c>
      <c r="AR481" s="8">
        <v>0</v>
      </c>
      <c r="AS481" s="10">
        <v>19.646000000000001</v>
      </c>
      <c r="AT481" s="10">
        <v>0.14600000000000099</v>
      </c>
      <c r="AU481" s="8" t="s">
        <v>204</v>
      </c>
      <c r="AV481" s="10">
        <v>2.3969999999999998</v>
      </c>
      <c r="AW481" s="11">
        <f>IF(AND(ISNUMBER(AV481),ISNUMBER(AT481)),IF(AT481&lt;&gt;0,AV481/ABS(AT481),""),"")</f>
        <v>16.417808219177971</v>
      </c>
      <c r="AX481" s="8">
        <v>0</v>
      </c>
      <c r="AY481" s="8">
        <v>1</v>
      </c>
      <c r="AZ481" s="10"/>
      <c r="BA481" s="8">
        <v>0</v>
      </c>
    </row>
    <row r="482" spans="1:53" x14ac:dyDescent="0.2">
      <c r="A482" s="8" t="s">
        <v>521</v>
      </c>
      <c r="B482" s="8" t="s">
        <v>82</v>
      </c>
      <c r="C482" s="8" t="s">
        <v>208</v>
      </c>
      <c r="D482" s="8">
        <v>1</v>
      </c>
      <c r="E482" s="8">
        <v>1</v>
      </c>
      <c r="F482" s="8">
        <f>SUM(G482:M482)</f>
        <v>1</v>
      </c>
      <c r="G482" s="8">
        <v>0</v>
      </c>
      <c r="H482" s="8">
        <v>1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1</v>
      </c>
      <c r="Q482" s="8">
        <v>1</v>
      </c>
      <c r="R482" s="8">
        <v>1</v>
      </c>
      <c r="S482" s="8">
        <v>0</v>
      </c>
      <c r="T482" s="10">
        <v>-11.971</v>
      </c>
      <c r="U482" s="10">
        <v>-13.125999999999999</v>
      </c>
      <c r="V482" s="10">
        <v>-15.726000000000001</v>
      </c>
      <c r="W482" s="10">
        <f>IF(RIGHT(C482,2)="12",IF(ISNUMBER(T482),T482,""),IF(COUNT(T482,U482,V482)=3,T482+U482-V482,""))</f>
        <v>-9.3710000000000004</v>
      </c>
      <c r="X482" s="10">
        <v>-9.3710000000000004</v>
      </c>
      <c r="Y482" s="10">
        <v>-3.03</v>
      </c>
      <c r="Z482" s="10">
        <v>1.3089999999999999</v>
      </c>
      <c r="AA482" s="10">
        <v>4.3209999999999997</v>
      </c>
      <c r="AB482" s="10">
        <v>-11.971</v>
      </c>
      <c r="AC482" s="8">
        <v>0</v>
      </c>
      <c r="AD482" s="8">
        <v>0</v>
      </c>
      <c r="AE482" s="8">
        <v>0</v>
      </c>
      <c r="AF482" s="10">
        <v>0</v>
      </c>
      <c r="AG482" s="8">
        <f>COUNTIF(Y482:AB482,"&gt;0")</f>
        <v>2</v>
      </c>
      <c r="AH482" s="10">
        <v>0</v>
      </c>
      <c r="AI482" s="10">
        <v>5.63</v>
      </c>
      <c r="AJ482" s="8" t="str">
        <f>IF(ISNUMBER(X482),IF(X482&gt;0,"+",IF(X482&lt;0,"−","0")),IF(ISNUMBER(W482),IF(W482&gt;0,"+",IF(W482&lt;0,"−","0")),"yok"))</f>
        <v>−</v>
      </c>
      <c r="AK482" s="10">
        <f>IF(AND(RIGHT(C482,2)&lt;&gt;"12",ISNUMBER(U482),ISNUMBER(V482)),U482-V482,"")</f>
        <v>2.6000000000000014</v>
      </c>
      <c r="AL482" s="11">
        <f>IF(AND(ISNUMBER(AK482),ISNUMBER(V482)),IF(V482&lt;&gt;0,AK482/ABS(V482),""),"")</f>
        <v>0.16533129848658282</v>
      </c>
      <c r="AM482" s="8">
        <f>IF(ISNUMBER(AK482),IF(AK482&gt;1,1,0),"")</f>
        <v>1</v>
      </c>
      <c r="AN482" s="8">
        <f>IF(ISNUMBER(AK482),IF(AK482&gt;0.05*ABS(V482),1,0),"")</f>
        <v>1</v>
      </c>
      <c r="AO482" s="10">
        <v>-9.3719999999999999</v>
      </c>
      <c r="AP482" s="10">
        <v>9.3719999999999999</v>
      </c>
      <c r="AQ482" s="8" t="s">
        <v>204</v>
      </c>
      <c r="AR482" s="8">
        <v>0</v>
      </c>
      <c r="AS482" s="10">
        <v>798.726</v>
      </c>
      <c r="AT482" s="10">
        <v>711.38300000000004</v>
      </c>
      <c r="AU482" s="8" t="s">
        <v>212</v>
      </c>
      <c r="AV482" s="10">
        <v>2.6</v>
      </c>
      <c r="AW482" s="11">
        <f>IF(AND(ISNUMBER(AV482),ISNUMBER(AT482)),IF(AT482&lt;&gt;0,AV482/ABS(AT482),""),"")</f>
        <v>3.6548525899550593E-3</v>
      </c>
      <c r="AX482" s="8">
        <v>0</v>
      </c>
      <c r="AY482" s="8">
        <v>1</v>
      </c>
      <c r="AZ482" s="10"/>
      <c r="BA482" s="8">
        <v>0</v>
      </c>
    </row>
    <row r="483" spans="1:53" x14ac:dyDescent="0.2">
      <c r="A483" s="8" t="s">
        <v>521</v>
      </c>
      <c r="B483" s="8" t="s">
        <v>82</v>
      </c>
      <c r="C483" s="8" t="s">
        <v>210</v>
      </c>
      <c r="D483" s="8">
        <v>1</v>
      </c>
      <c r="E483" s="8">
        <v>1</v>
      </c>
      <c r="F483" s="8">
        <f>SUM(G483:M483)</f>
        <v>1</v>
      </c>
      <c r="G483" s="8">
        <v>0</v>
      </c>
      <c r="H483" s="8">
        <v>1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1</v>
      </c>
      <c r="Q483" s="8">
        <v>1</v>
      </c>
      <c r="R483" s="8">
        <v>1</v>
      </c>
      <c r="S483" s="8">
        <v>0</v>
      </c>
      <c r="T483" s="10">
        <v>-14.198</v>
      </c>
      <c r="U483" s="10">
        <v>-13.125999999999999</v>
      </c>
      <c r="V483" s="10">
        <v>-18.757000000000001</v>
      </c>
      <c r="W483" s="10">
        <f>IF(RIGHT(C483,2)="12",IF(ISNUMBER(T483),T483,""),IF(COUNT(T483,U483,V483)=3,T483+U483-V483,""))</f>
        <v>-8.5669999999999966</v>
      </c>
      <c r="X483" s="10">
        <v>-8.5670000000000002</v>
      </c>
      <c r="Y483" s="10">
        <v>1.3089999999999999</v>
      </c>
      <c r="Z483" s="10">
        <v>4.3209999999999997</v>
      </c>
      <c r="AA483" s="10">
        <v>-11.971</v>
      </c>
      <c r="AB483" s="10">
        <v>-2.226</v>
      </c>
      <c r="AC483" s="8">
        <v>0</v>
      </c>
      <c r="AD483" s="8">
        <v>0</v>
      </c>
      <c r="AE483" s="8">
        <v>0</v>
      </c>
      <c r="AF483" s="10">
        <v>0</v>
      </c>
      <c r="AG483" s="8">
        <f>COUNTIF(Y483:AB483,"&gt;0")</f>
        <v>2</v>
      </c>
      <c r="AH483" s="10">
        <v>0</v>
      </c>
      <c r="AI483" s="10">
        <v>5.63</v>
      </c>
      <c r="AJ483" s="8" t="str">
        <f>IF(ISNUMBER(X483),IF(X483&gt;0,"+",IF(X483&lt;0,"−","0")),IF(ISNUMBER(W483),IF(W483&gt;0,"+",IF(W483&lt;0,"−","0")),"yok"))</f>
        <v>−</v>
      </c>
      <c r="AK483" s="10">
        <f>IF(AND(RIGHT(C483,2)&lt;&gt;"12",ISNUMBER(U483),ISNUMBER(V483)),U483-V483,"")</f>
        <v>5.631000000000002</v>
      </c>
      <c r="AL483" s="11">
        <f>IF(AND(ISNUMBER(AK483),ISNUMBER(V483)),IF(V483&lt;&gt;0,AK483/ABS(V483),""),"")</f>
        <v>0.30020792237564653</v>
      </c>
      <c r="AM483" s="8">
        <f>IF(ISNUMBER(AK483),IF(AK483&gt;1,1,0),"")</f>
        <v>1</v>
      </c>
      <c r="AN483" s="8">
        <f>IF(ISNUMBER(AK483),IF(AK483&gt;0.05*ABS(V483),1,0),"")</f>
        <v>1</v>
      </c>
      <c r="AO483" s="10">
        <v>-8.5679999999999996</v>
      </c>
      <c r="AP483" s="10">
        <v>8.5679999999999996</v>
      </c>
      <c r="AQ483" s="8" t="s">
        <v>204</v>
      </c>
      <c r="AR483" s="8">
        <v>0</v>
      </c>
      <c r="AS483" s="10">
        <v>319.96300000000002</v>
      </c>
      <c r="AT483" s="10">
        <v>183.92699999999999</v>
      </c>
      <c r="AU483" s="8" t="s">
        <v>212</v>
      </c>
      <c r="AV483" s="10">
        <v>5.6310000000000002</v>
      </c>
      <c r="AW483" s="11">
        <f>IF(AND(ISNUMBER(AV483),ISNUMBER(AT483)),IF(AT483&lt;&gt;0,AV483/ABS(AT483),""),"")</f>
        <v>3.0615407199595494E-2</v>
      </c>
      <c r="AX483" s="8">
        <v>0</v>
      </c>
      <c r="AY483" s="8">
        <v>1</v>
      </c>
      <c r="AZ483" s="10"/>
      <c r="BA483" s="8">
        <v>0</v>
      </c>
    </row>
    <row r="484" spans="1:53" x14ac:dyDescent="0.2">
      <c r="A484" s="8" t="s">
        <v>522</v>
      </c>
      <c r="B484" s="8" t="s">
        <v>83</v>
      </c>
      <c r="C484" s="8" t="s">
        <v>203</v>
      </c>
      <c r="D484" s="8">
        <v>1</v>
      </c>
      <c r="E484" s="8">
        <v>1</v>
      </c>
      <c r="F484" s="8">
        <f>SUM(G484:M484)</f>
        <v>2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1</v>
      </c>
      <c r="M484" s="8">
        <v>1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10">
        <v>-20.83</v>
      </c>
      <c r="U484" s="10">
        <v>-9.1080000000000005</v>
      </c>
      <c r="V484" s="10">
        <v>-20.03</v>
      </c>
      <c r="W484" s="10">
        <f>IF(RIGHT(C484,2)="12",IF(ISNUMBER(T484),T484,""),IF(COUNT(T484,U484,V484)=3,T484+U484-V484,""))</f>
        <v>-9.9079999999999977</v>
      </c>
      <c r="X484" s="10">
        <v>-9.9079999999999995</v>
      </c>
      <c r="Y484" s="10"/>
      <c r="Z484" s="10"/>
      <c r="AA484" s="10"/>
      <c r="AB484" s="10">
        <v>-20.83</v>
      </c>
      <c r="AC484" s="8">
        <v>0</v>
      </c>
      <c r="AD484" s="8">
        <v>0</v>
      </c>
      <c r="AE484" s="8">
        <v>0</v>
      </c>
      <c r="AF484" s="10">
        <v>0</v>
      </c>
      <c r="AG484" s="8">
        <f>COUNTIF(Y484:AB484,"&gt;0")</f>
        <v>0</v>
      </c>
      <c r="AH484" s="10">
        <v>0</v>
      </c>
      <c r="AI484" s="10">
        <v>0</v>
      </c>
      <c r="AJ484" s="8" t="str">
        <f>IF(ISNUMBER(X484),IF(X484&gt;0,"+",IF(X484&lt;0,"−","0")),IF(ISNUMBER(W484),IF(W484&gt;0,"+",IF(W484&lt;0,"−","0")),"yok"))</f>
        <v>−</v>
      </c>
      <c r="AK484" s="10">
        <f>IF(AND(RIGHT(C484,2)&lt;&gt;"12",ISNUMBER(U484),ISNUMBER(V484)),U484-V484,"")</f>
        <v>10.922000000000001</v>
      </c>
      <c r="AL484" s="11">
        <f>IF(AND(ISNUMBER(AK484),ISNUMBER(V484)),IF(V484&lt;&gt;0,AK484/ABS(V484),""),"")</f>
        <v>0.54528207688467301</v>
      </c>
      <c r="AM484" s="8">
        <f>IF(ISNUMBER(AK484),IF(AK484&gt;1,1,0),"")</f>
        <v>1</v>
      </c>
      <c r="AN484" s="8">
        <f>IF(ISNUMBER(AK484),IF(AK484&gt;0.05*ABS(V484),1,0),"")</f>
        <v>1</v>
      </c>
      <c r="AO484" s="10"/>
      <c r="AP484" s="10"/>
      <c r="AQ484" s="8" t="s">
        <v>207</v>
      </c>
      <c r="AR484" s="8">
        <v>0</v>
      </c>
      <c r="AS484" s="10">
        <v>183.98599999999999</v>
      </c>
      <c r="AT484" s="10"/>
      <c r="AU484" s="8" t="s">
        <v>207</v>
      </c>
      <c r="AV484" s="10">
        <v>10.922000000000001</v>
      </c>
      <c r="AW484" s="11" t="str">
        <f>IF(AND(ISNUMBER(AV484),ISNUMBER(AT484)),IF(AT484&lt;&gt;0,AV484/ABS(AT484),""),"")</f>
        <v/>
      </c>
      <c r="AX484" s="8">
        <v>0</v>
      </c>
      <c r="AY484" s="8">
        <v>1</v>
      </c>
      <c r="AZ484" s="10"/>
      <c r="BA484" s="8">
        <v>0</v>
      </c>
    </row>
    <row r="485" spans="1:53" x14ac:dyDescent="0.2">
      <c r="A485" s="8" t="s">
        <v>522</v>
      </c>
      <c r="B485" s="8" t="s">
        <v>83</v>
      </c>
      <c r="C485" s="8" t="s">
        <v>208</v>
      </c>
      <c r="D485" s="8">
        <v>1</v>
      </c>
      <c r="E485" s="8">
        <v>1</v>
      </c>
      <c r="F485" s="8">
        <f>SUM(G485:M485)</f>
        <v>1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1</v>
      </c>
      <c r="N485" s="8">
        <v>0</v>
      </c>
      <c r="O485" s="8">
        <v>0</v>
      </c>
      <c r="P485" s="8">
        <v>1</v>
      </c>
      <c r="Q485" s="8">
        <v>0</v>
      </c>
      <c r="R485" s="8">
        <v>0</v>
      </c>
      <c r="S485" s="8">
        <v>0</v>
      </c>
      <c r="T485" s="10">
        <v>-0.02</v>
      </c>
      <c r="U485" s="10"/>
      <c r="V485" s="10">
        <v>-20.83</v>
      </c>
      <c r="W485" s="10" t="str">
        <f>IF(RIGHT(C485,2)="12",IF(ISNUMBER(T485),T485,""),IF(COUNT(T485,U485,V485)=3,T485+U485-V485,""))</f>
        <v/>
      </c>
      <c r="X485" s="10"/>
      <c r="Y485" s="10">
        <v>11.257999999999999</v>
      </c>
      <c r="Z485" s="10"/>
      <c r="AA485" s="10"/>
      <c r="AB485" s="10">
        <v>-0.02</v>
      </c>
      <c r="AC485" s="8">
        <v>0</v>
      </c>
      <c r="AD485" s="8">
        <v>0</v>
      </c>
      <c r="AE485" s="8">
        <v>0</v>
      </c>
      <c r="AF485" s="10">
        <v>0</v>
      </c>
      <c r="AG485" s="8">
        <f>COUNTIF(Y485:AB485,"&gt;0")</f>
        <v>1</v>
      </c>
      <c r="AH485" s="10">
        <v>0</v>
      </c>
      <c r="AI485" s="10">
        <v>11.257999999999999</v>
      </c>
      <c r="AJ485" s="8" t="str">
        <f>IF(ISNUMBER(X485),IF(X485&gt;0,"+",IF(X485&lt;0,"−","0")),IF(ISNUMBER(W485),IF(W485&gt;0,"+",IF(W485&lt;0,"−","0")),"yok"))</f>
        <v>yok</v>
      </c>
      <c r="AK485" s="10" t="str">
        <f>IF(AND(RIGHT(C485,2)&lt;&gt;"12",ISNUMBER(U485),ISNUMBER(V485)),U485-V485,"")</f>
        <v/>
      </c>
      <c r="AL485" s="11" t="str">
        <f>IF(AND(ISNUMBER(AK485),ISNUMBER(V485)),IF(V485&lt;&gt;0,AK485/ABS(V485),""),"")</f>
        <v/>
      </c>
      <c r="AM485" s="8" t="str">
        <f>IF(ISNUMBER(AK485),IF(AK485&gt;1,1,0),"")</f>
        <v/>
      </c>
      <c r="AN485" s="8" t="str">
        <f>IF(ISNUMBER(AK485),IF(AK485&gt;0.05*ABS(V485),1,0),"")</f>
        <v/>
      </c>
      <c r="AO485" s="10"/>
      <c r="AP485" s="10"/>
      <c r="AQ485" s="8" t="s">
        <v>207</v>
      </c>
      <c r="AR485" s="8">
        <v>0</v>
      </c>
      <c r="AS485" s="10">
        <v>-8.8960000000000008</v>
      </c>
      <c r="AT485" s="10"/>
      <c r="AU485" s="8" t="s">
        <v>207</v>
      </c>
      <c r="AV485" s="10">
        <v>11.257999999999999</v>
      </c>
      <c r="AW485" s="11" t="str">
        <f>IF(AND(ISNUMBER(AV485),ISNUMBER(AT485)),IF(AT485&lt;&gt;0,AV485/ABS(AT485),""),"")</f>
        <v/>
      </c>
      <c r="AX485" s="8">
        <v>0</v>
      </c>
      <c r="AY485" s="8">
        <v>0</v>
      </c>
      <c r="AZ485" s="10"/>
      <c r="BA485" s="8">
        <v>0</v>
      </c>
    </row>
    <row r="486" spans="1:53" x14ac:dyDescent="0.2">
      <c r="A486" s="8" t="s">
        <v>523</v>
      </c>
      <c r="B486" s="8" t="s">
        <v>84</v>
      </c>
      <c r="C486" s="8" t="s">
        <v>205</v>
      </c>
      <c r="D486" s="8">
        <v>1</v>
      </c>
      <c r="E486" s="8">
        <v>1</v>
      </c>
      <c r="F486" s="8">
        <f>SUM(G486:M486)</f>
        <v>1</v>
      </c>
      <c r="G486" s="8">
        <v>0</v>
      </c>
      <c r="H486" s="8">
        <v>0</v>
      </c>
      <c r="I486" s="8">
        <v>1</v>
      </c>
      <c r="J486" s="8">
        <v>0</v>
      </c>
      <c r="K486" s="8">
        <v>0</v>
      </c>
      <c r="L486" s="8">
        <v>0</v>
      </c>
      <c r="M486" s="8">
        <v>0</v>
      </c>
      <c r="N486" s="8">
        <v>1</v>
      </c>
      <c r="O486" s="8">
        <v>0</v>
      </c>
      <c r="P486" s="8">
        <v>1</v>
      </c>
      <c r="Q486" s="8">
        <v>0</v>
      </c>
      <c r="R486" s="8">
        <v>0</v>
      </c>
      <c r="S486" s="8">
        <v>1</v>
      </c>
      <c r="T486" s="10">
        <v>0</v>
      </c>
      <c r="U486" s="10">
        <v>-66.930999999999997</v>
      </c>
      <c r="V486" s="10">
        <v>-70.120999999999995</v>
      </c>
      <c r="W486" s="10">
        <f>IF(RIGHT(C486,2)="12",IF(ISNUMBER(T486),T486,""),IF(COUNT(T486,U486,V486)=3,T486+U486-V486,""))</f>
        <v>3.1899999999999977</v>
      </c>
      <c r="X486" s="10">
        <v>3.19</v>
      </c>
      <c r="Y486" s="10">
        <v>3.19</v>
      </c>
      <c r="Z486" s="10">
        <v>0</v>
      </c>
      <c r="AA486" s="10">
        <v>-13.784000000000001</v>
      </c>
      <c r="AB486" s="10">
        <v>13.784000000000001</v>
      </c>
      <c r="AC486" s="8">
        <v>0</v>
      </c>
      <c r="AD486" s="8">
        <v>0</v>
      </c>
      <c r="AE486" s="8">
        <v>0</v>
      </c>
      <c r="AF486" s="10">
        <v>0</v>
      </c>
      <c r="AG486" s="8">
        <f>COUNTIF(Y486:AB486,"&gt;0")</f>
        <v>2</v>
      </c>
      <c r="AH486" s="10">
        <v>13.784000000000001</v>
      </c>
      <c r="AI486" s="10">
        <v>3.19</v>
      </c>
      <c r="AJ486" s="8" t="str">
        <f>IF(ISNUMBER(X486),IF(X486&gt;0,"+",IF(X486&lt;0,"−","0")),IF(ISNUMBER(W486),IF(W486&gt;0,"+",IF(W486&lt;0,"−","0")),"yok"))</f>
        <v>+</v>
      </c>
      <c r="AK486" s="10">
        <f>IF(AND(RIGHT(C486,2)&lt;&gt;"12",ISNUMBER(U486),ISNUMBER(V486)),U486-V486,"")</f>
        <v>3.1899999999999977</v>
      </c>
      <c r="AL486" s="11">
        <f>IF(AND(ISNUMBER(AK486),ISNUMBER(V486)),IF(V486&lt;&gt;0,AK486/ABS(V486),""),"")</f>
        <v>4.5492791032643545E-2</v>
      </c>
      <c r="AM486" s="8">
        <f>IF(ISNUMBER(AK486),IF(AK486&gt;1,1,0),"")</f>
        <v>1</v>
      </c>
      <c r="AN486" s="8">
        <f>IF(ISNUMBER(AK486),IF(AK486&gt;0.05*ABS(V486),1,0),"")</f>
        <v>0</v>
      </c>
      <c r="AO486" s="10">
        <v>3.1909999999999998</v>
      </c>
      <c r="AP486" s="10">
        <v>0</v>
      </c>
      <c r="AQ486" s="8" t="s">
        <v>204</v>
      </c>
      <c r="AR486" s="8">
        <v>1</v>
      </c>
      <c r="AS486" s="10">
        <v>2725.8229999999999</v>
      </c>
      <c r="AT486" s="10">
        <v>-1554.865</v>
      </c>
      <c r="AU486" s="8" t="s">
        <v>204</v>
      </c>
      <c r="AV486" s="10">
        <v>3.19</v>
      </c>
      <c r="AW486" s="11">
        <f>IF(AND(ISNUMBER(AV486),ISNUMBER(AT486)),IF(AT486&lt;&gt;0,AV486/ABS(AT486),""),"")</f>
        <v>2.0516250606965876E-3</v>
      </c>
      <c r="AX486" s="8">
        <v>0</v>
      </c>
      <c r="AY486" s="8">
        <v>0</v>
      </c>
      <c r="AZ486" s="10"/>
      <c r="BA486" s="8">
        <v>1</v>
      </c>
    </row>
    <row r="487" spans="1:53" x14ac:dyDescent="0.2">
      <c r="A487" s="8" t="s">
        <v>524</v>
      </c>
      <c r="B487" s="8" t="s">
        <v>83</v>
      </c>
      <c r="C487" s="8" t="s">
        <v>208</v>
      </c>
      <c r="D487" s="8">
        <v>1</v>
      </c>
      <c r="E487" s="8">
        <v>1</v>
      </c>
      <c r="F487" s="8">
        <f>SUM(G487:M487)</f>
        <v>1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1</v>
      </c>
      <c r="N487" s="8">
        <v>0</v>
      </c>
      <c r="O487" s="8">
        <v>0</v>
      </c>
      <c r="P487" s="8">
        <v>1</v>
      </c>
      <c r="Q487" s="8">
        <v>0</v>
      </c>
      <c r="R487" s="8">
        <v>0</v>
      </c>
      <c r="S487" s="8">
        <v>0</v>
      </c>
      <c r="T487" s="10">
        <v>-16.727</v>
      </c>
      <c r="U487" s="10">
        <v>-328.37099999999998</v>
      </c>
      <c r="V487" s="10">
        <v>-1.59</v>
      </c>
      <c r="W487" s="10">
        <f>IF(RIGHT(C487,2)="12",IF(ISNUMBER(T487),T487,""),IF(COUNT(T487,U487,V487)=3,T487+U487-V487,""))</f>
        <v>-343.50799999999998</v>
      </c>
      <c r="X487" s="10">
        <v>-343.50799999999998</v>
      </c>
      <c r="Y487" s="10">
        <v>-309.29599999999999</v>
      </c>
      <c r="Z487" s="10">
        <v>42.743000000000002</v>
      </c>
      <c r="AA487" s="10">
        <v>-60.226999999999997</v>
      </c>
      <c r="AB487" s="10">
        <v>-16.727</v>
      </c>
      <c r="AC487" s="8">
        <v>0</v>
      </c>
      <c r="AD487" s="8">
        <v>0</v>
      </c>
      <c r="AE487" s="8">
        <v>0</v>
      </c>
      <c r="AF487" s="10">
        <v>0</v>
      </c>
      <c r="AG487" s="8">
        <f>COUNTIF(Y487:AB487,"&gt;0")</f>
        <v>1</v>
      </c>
      <c r="AH487" s="10">
        <v>0</v>
      </c>
      <c r="AI487" s="10">
        <v>42.743000000000002</v>
      </c>
      <c r="AJ487" s="8" t="str">
        <f>IF(ISNUMBER(X487),IF(X487&gt;0,"+",IF(X487&lt;0,"−","0")),IF(ISNUMBER(W487),IF(W487&gt;0,"+",IF(W487&lt;0,"−","0")),"yok"))</f>
        <v>−</v>
      </c>
      <c r="AK487" s="10">
        <f>IF(AND(RIGHT(C487,2)&lt;&gt;"12",ISNUMBER(U487),ISNUMBER(V487)),U487-V487,"")</f>
        <v>-326.78100000000001</v>
      </c>
      <c r="AL487" s="11">
        <f>IF(AND(ISNUMBER(AK487),ISNUMBER(V487)),IF(V487&lt;&gt;0,AK487/ABS(V487),""),"")</f>
        <v>-205.52264150943395</v>
      </c>
      <c r="AM487" s="8">
        <f>IF(ISNUMBER(AK487),IF(AK487&gt;1,1,0),"")</f>
        <v>0</v>
      </c>
      <c r="AN487" s="8">
        <f>IF(ISNUMBER(AK487),IF(AK487&gt;0.05*ABS(V487),1,0),"")</f>
        <v>0</v>
      </c>
      <c r="AO487" s="10">
        <v>-343.50799999999998</v>
      </c>
      <c r="AP487" s="10">
        <v>343.50799999999998</v>
      </c>
      <c r="AQ487" s="8" t="s">
        <v>204</v>
      </c>
      <c r="AR487" s="8">
        <v>0</v>
      </c>
      <c r="AS487" s="10">
        <v>672.52700000000004</v>
      </c>
      <c r="AT487" s="10"/>
      <c r="AU487" s="8" t="s">
        <v>207</v>
      </c>
      <c r="AV487" s="10">
        <v>42.743000000000002</v>
      </c>
      <c r="AW487" s="11" t="str">
        <f>IF(AND(ISNUMBER(AV487),ISNUMBER(AT487)),IF(AT487&lt;&gt;0,AV487/ABS(AT487),""),"")</f>
        <v/>
      </c>
      <c r="AX487" s="8">
        <v>0</v>
      </c>
      <c r="AY487" s="8">
        <v>0</v>
      </c>
      <c r="AZ487" s="10"/>
      <c r="BA487" s="8">
        <v>0</v>
      </c>
    </row>
    <row r="488" spans="1:53" x14ac:dyDescent="0.2">
      <c r="A488" s="8" t="s">
        <v>524</v>
      </c>
      <c r="B488" s="8" t="s">
        <v>83</v>
      </c>
      <c r="C488" s="8" t="s">
        <v>210</v>
      </c>
      <c r="D488" s="8">
        <v>1</v>
      </c>
      <c r="E488" s="8">
        <v>1</v>
      </c>
      <c r="F488" s="8">
        <f>SUM(G488:M488)</f>
        <v>1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1</v>
      </c>
      <c r="N488" s="8">
        <v>0</v>
      </c>
      <c r="O488" s="8">
        <v>0</v>
      </c>
      <c r="P488" s="8">
        <v>1</v>
      </c>
      <c r="Q488" s="8">
        <v>0</v>
      </c>
      <c r="R488" s="8">
        <v>0</v>
      </c>
      <c r="S488" s="8">
        <v>0</v>
      </c>
      <c r="T488" s="10">
        <v>-28.628</v>
      </c>
      <c r="U488" s="10">
        <v>-328.37099999999998</v>
      </c>
      <c r="V488" s="10">
        <v>-310.887</v>
      </c>
      <c r="W488" s="10">
        <f>IF(RIGHT(C488,2)="12",IF(ISNUMBER(T488),T488,""),IF(COUNT(T488,U488,V488)=3,T488+U488-V488,""))</f>
        <v>-46.111999999999966</v>
      </c>
      <c r="X488" s="10">
        <v>-46.112000000000002</v>
      </c>
      <c r="Y488" s="10">
        <v>42.743000000000002</v>
      </c>
      <c r="Z488" s="10">
        <v>-60.226999999999997</v>
      </c>
      <c r="AA488" s="10">
        <v>-16.727</v>
      </c>
      <c r="AB488" s="10">
        <v>-11.901</v>
      </c>
      <c r="AC488" s="8">
        <v>0</v>
      </c>
      <c r="AD488" s="8">
        <v>0</v>
      </c>
      <c r="AE488" s="8">
        <v>0</v>
      </c>
      <c r="AF488" s="10">
        <v>0</v>
      </c>
      <c r="AG488" s="8">
        <f>COUNTIF(Y488:AB488,"&gt;0")</f>
        <v>1</v>
      </c>
      <c r="AH488" s="10">
        <v>0</v>
      </c>
      <c r="AI488" s="10">
        <v>42.743000000000002</v>
      </c>
      <c r="AJ488" s="8" t="str">
        <f>IF(ISNUMBER(X488),IF(X488&gt;0,"+",IF(X488&lt;0,"−","0")),IF(ISNUMBER(W488),IF(W488&gt;0,"+",IF(W488&lt;0,"−","0")),"yok"))</f>
        <v>−</v>
      </c>
      <c r="AK488" s="10">
        <f>IF(AND(RIGHT(C488,2)&lt;&gt;"12",ISNUMBER(U488),ISNUMBER(V488)),U488-V488,"")</f>
        <v>-17.48399999999998</v>
      </c>
      <c r="AL488" s="11">
        <f>IF(AND(ISNUMBER(AK488),ISNUMBER(V488)),IF(V488&lt;&gt;0,AK488/ABS(V488),""),"")</f>
        <v>-5.6239083654189399E-2</v>
      </c>
      <c r="AM488" s="8">
        <f>IF(ISNUMBER(AK488),IF(AK488&gt;1,1,0),"")</f>
        <v>0</v>
      </c>
      <c r="AN488" s="8">
        <f>IF(ISNUMBER(AK488),IF(AK488&gt;0.05*ABS(V488),1,0),"")</f>
        <v>0</v>
      </c>
      <c r="AO488" s="10">
        <v>-46.113</v>
      </c>
      <c r="AP488" s="10">
        <v>46.113</v>
      </c>
      <c r="AQ488" s="8" t="s">
        <v>204</v>
      </c>
      <c r="AR488" s="8">
        <v>0</v>
      </c>
      <c r="AS488" s="10">
        <v>279.75099999999998</v>
      </c>
      <c r="AT488" s="10"/>
      <c r="AU488" s="8" t="s">
        <v>207</v>
      </c>
      <c r="AV488" s="10">
        <v>42.743000000000002</v>
      </c>
      <c r="AW488" s="11" t="str">
        <f>IF(AND(ISNUMBER(AV488),ISNUMBER(AT488)),IF(AT488&lt;&gt;0,AV488/ABS(AT488),""),"")</f>
        <v/>
      </c>
      <c r="AX488" s="8">
        <v>0</v>
      </c>
      <c r="AY488" s="8">
        <v>0</v>
      </c>
      <c r="AZ488" s="10"/>
      <c r="BA488" s="8">
        <v>0</v>
      </c>
    </row>
    <row r="489" spans="1:53" x14ac:dyDescent="0.2">
      <c r="A489" s="8" t="s">
        <v>525</v>
      </c>
      <c r="B489" s="8" t="s">
        <v>82</v>
      </c>
      <c r="C489" s="8" t="s">
        <v>210</v>
      </c>
      <c r="D489" s="8">
        <v>1</v>
      </c>
      <c r="E489" s="8">
        <v>1</v>
      </c>
      <c r="F489" s="8">
        <f>SUM(G489:M489)</f>
        <v>1</v>
      </c>
      <c r="G489" s="8">
        <v>1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1</v>
      </c>
      <c r="O489" s="8">
        <v>0</v>
      </c>
      <c r="P489" s="8">
        <v>1</v>
      </c>
      <c r="Q489" s="8">
        <v>1</v>
      </c>
      <c r="R489" s="8">
        <v>1</v>
      </c>
      <c r="S489" s="8">
        <v>0</v>
      </c>
      <c r="T489" s="10">
        <v>0</v>
      </c>
      <c r="U489" s="10">
        <v>-27.5</v>
      </c>
      <c r="V489" s="10">
        <v>-38.334000000000003</v>
      </c>
      <c r="W489" s="10">
        <f>IF(RIGHT(C489,2)="12",IF(ISNUMBER(T489),T489,""),IF(COUNT(T489,U489,V489)=3,T489+U489-V489,""))</f>
        <v>10.834000000000003</v>
      </c>
      <c r="X489" s="10">
        <v>10.833</v>
      </c>
      <c r="Y489" s="10">
        <v>-0.44800000000000001</v>
      </c>
      <c r="Z489" s="10">
        <v>11.281000000000001</v>
      </c>
      <c r="AA489" s="10">
        <v>0</v>
      </c>
      <c r="AB489" s="10">
        <v>0</v>
      </c>
      <c r="AC489" s="8">
        <v>0</v>
      </c>
      <c r="AD489" s="8">
        <v>0</v>
      </c>
      <c r="AE489" s="8">
        <v>0</v>
      </c>
      <c r="AF489" s="10">
        <v>0</v>
      </c>
      <c r="AG489" s="8">
        <f>COUNTIF(Y489:AB489,"&gt;0")</f>
        <v>1</v>
      </c>
      <c r="AH489" s="10">
        <v>0</v>
      </c>
      <c r="AI489" s="10">
        <v>11.281000000000001</v>
      </c>
      <c r="AJ489" s="8" t="str">
        <f>IF(ISNUMBER(X489),IF(X489&gt;0,"+",IF(X489&lt;0,"−","0")),IF(ISNUMBER(W489),IF(W489&gt;0,"+",IF(W489&lt;0,"−","0")),"yok"))</f>
        <v>+</v>
      </c>
      <c r="AK489" s="10">
        <f>IF(AND(RIGHT(C489,2)&lt;&gt;"12",ISNUMBER(U489),ISNUMBER(V489)),U489-V489,"")</f>
        <v>10.834000000000003</v>
      </c>
      <c r="AL489" s="11">
        <f>IF(AND(ISNUMBER(AK489),ISNUMBER(V489)),IF(V489&lt;&gt;0,AK489/ABS(V489),""),"")</f>
        <v>0.28262117180570778</v>
      </c>
      <c r="AM489" s="8">
        <f>IF(ISNUMBER(AK489),IF(AK489&gt;1,1,0),"")</f>
        <v>1</v>
      </c>
      <c r="AN489" s="8">
        <f>IF(ISNUMBER(AK489),IF(AK489&gt;0.05*ABS(V489),1,0),"")</f>
        <v>1</v>
      </c>
      <c r="AO489" s="10">
        <v>10.834</v>
      </c>
      <c r="AP489" s="10">
        <v>0</v>
      </c>
      <c r="AQ489" s="8" t="s">
        <v>204</v>
      </c>
      <c r="AR489" s="8">
        <v>1</v>
      </c>
      <c r="AS489" s="10">
        <v>-21170.148000000001</v>
      </c>
      <c r="AT489" s="10">
        <v>-30816.057000000001</v>
      </c>
      <c r="AU489" s="8" t="s">
        <v>204</v>
      </c>
      <c r="AV489" s="10">
        <v>10.834</v>
      </c>
      <c r="AW489" s="11">
        <f>IF(AND(ISNUMBER(AV489),ISNUMBER(AT489)),IF(AT489&lt;&gt;0,AV489/ABS(AT489),""),"")</f>
        <v>3.5156996237383647E-4</v>
      </c>
      <c r="AX489" s="8">
        <v>0</v>
      </c>
      <c r="AY489" s="8">
        <v>1</v>
      </c>
      <c r="AZ489" s="10"/>
      <c r="BA489" s="8">
        <v>1</v>
      </c>
    </row>
    <row r="490" spans="1:53" x14ac:dyDescent="0.2">
      <c r="A490" s="8" t="s">
        <v>526</v>
      </c>
      <c r="B490" s="8" t="s">
        <v>82</v>
      </c>
      <c r="C490" s="8" t="s">
        <v>203</v>
      </c>
      <c r="D490" s="8">
        <v>1</v>
      </c>
      <c r="E490" s="8">
        <v>1</v>
      </c>
      <c r="F490" s="8">
        <f>SUM(G490:M490)</f>
        <v>2</v>
      </c>
      <c r="G490" s="8">
        <v>1</v>
      </c>
      <c r="H490" s="8">
        <v>1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1</v>
      </c>
      <c r="O490" s="8">
        <v>0</v>
      </c>
      <c r="P490" s="8">
        <v>1</v>
      </c>
      <c r="Q490" s="8">
        <v>1</v>
      </c>
      <c r="R490" s="8">
        <v>1</v>
      </c>
      <c r="S490" s="8">
        <v>0</v>
      </c>
      <c r="T490" s="10">
        <v>-2.1549999999999998</v>
      </c>
      <c r="U490" s="10">
        <v>-15.552</v>
      </c>
      <c r="V490" s="10">
        <v>-21.015000000000001</v>
      </c>
      <c r="W490" s="10">
        <f>IF(RIGHT(C490,2)="12",IF(ISNUMBER(T490),T490,""),IF(COUNT(T490,U490,V490)=3,T490+U490-V490,""))</f>
        <v>3.3079999999999998</v>
      </c>
      <c r="X490" s="10">
        <v>3.3069999999999999</v>
      </c>
      <c r="Y490" s="10">
        <v>12.180999999999999</v>
      </c>
      <c r="Z490" s="10">
        <v>-10.448</v>
      </c>
      <c r="AA490" s="10">
        <v>3.7290000000000001</v>
      </c>
      <c r="AB490" s="10">
        <v>-2.1549999999999998</v>
      </c>
      <c r="AC490" s="8">
        <v>0</v>
      </c>
      <c r="AD490" s="8">
        <v>0</v>
      </c>
      <c r="AE490" s="8">
        <v>0</v>
      </c>
      <c r="AF490" s="10">
        <v>0</v>
      </c>
      <c r="AG490" s="8">
        <f>COUNTIF(Y490:AB490,"&gt;0")</f>
        <v>2</v>
      </c>
      <c r="AH490" s="10">
        <v>0</v>
      </c>
      <c r="AI490" s="10">
        <v>15.91</v>
      </c>
      <c r="AJ490" s="8" t="str">
        <f>IF(ISNUMBER(X490),IF(X490&gt;0,"+",IF(X490&lt;0,"−","0")),IF(ISNUMBER(W490),IF(W490&gt;0,"+",IF(W490&lt;0,"−","0")),"yok"))</f>
        <v>+</v>
      </c>
      <c r="AK490" s="10">
        <f>IF(AND(RIGHT(C490,2)&lt;&gt;"12",ISNUMBER(U490),ISNUMBER(V490)),U490-V490,"")</f>
        <v>5.463000000000001</v>
      </c>
      <c r="AL490" s="11">
        <f>IF(AND(ISNUMBER(AK490),ISNUMBER(V490)),IF(V490&lt;&gt;0,AK490/ABS(V490),""),"")</f>
        <v>0.25995717344753749</v>
      </c>
      <c r="AM490" s="8">
        <f>IF(ISNUMBER(AK490),IF(AK490&gt;1,1,0),"")</f>
        <v>1</v>
      </c>
      <c r="AN490" s="8">
        <f>IF(ISNUMBER(AK490),IF(AK490&gt;0.05*ABS(V490),1,0),"")</f>
        <v>1</v>
      </c>
      <c r="AO490" s="10">
        <v>3.3069999999999999</v>
      </c>
      <c r="AP490" s="10">
        <v>3.3069999999999999</v>
      </c>
      <c r="AQ490" s="8" t="s">
        <v>204</v>
      </c>
      <c r="AR490" s="8">
        <v>0</v>
      </c>
      <c r="AS490" s="10">
        <v>-1558.49</v>
      </c>
      <c r="AT490" s="10"/>
      <c r="AU490" s="8" t="s">
        <v>207</v>
      </c>
      <c r="AV490" s="10">
        <v>5.4630000000000001</v>
      </c>
      <c r="AW490" s="11" t="str">
        <f>IF(AND(ISNUMBER(AV490),ISNUMBER(AT490)),IF(AT490&lt;&gt;0,AV490/ABS(AT490),""),"")</f>
        <v/>
      </c>
      <c r="AX490" s="8">
        <v>0</v>
      </c>
      <c r="AY490" s="8">
        <v>1</v>
      </c>
      <c r="AZ490" s="10"/>
      <c r="BA490" s="8">
        <v>0</v>
      </c>
    </row>
    <row r="491" spans="1:53" x14ac:dyDescent="0.2">
      <c r="A491" s="8" t="s">
        <v>526</v>
      </c>
      <c r="B491" s="8" t="s">
        <v>82</v>
      </c>
      <c r="C491" s="8" t="s">
        <v>215</v>
      </c>
      <c r="D491" s="8">
        <v>1</v>
      </c>
      <c r="E491" s="8">
        <v>1</v>
      </c>
      <c r="F491" s="8">
        <f>SUM(G491:M491)</f>
        <v>1</v>
      </c>
      <c r="G491" s="8">
        <v>0</v>
      </c>
      <c r="H491" s="8">
        <v>1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1</v>
      </c>
      <c r="Q491" s="8">
        <v>1</v>
      </c>
      <c r="R491" s="8">
        <v>1</v>
      </c>
      <c r="S491" s="8">
        <v>0</v>
      </c>
      <c r="T491" s="10">
        <v>-4.6689999999999996</v>
      </c>
      <c r="U491" s="10">
        <v>-15.552</v>
      </c>
      <c r="V491" s="10">
        <v>-19.282</v>
      </c>
      <c r="W491" s="10">
        <f>IF(RIGHT(C491,2)="12",IF(ISNUMBER(T491),T491,""),IF(COUNT(T491,U491,V491)=3,T491+U491-V491,""))</f>
        <v>-0.93900000000000006</v>
      </c>
      <c r="X491" s="10">
        <v>-0.93899999999999995</v>
      </c>
      <c r="Y491" s="10">
        <v>3.7290000000000001</v>
      </c>
      <c r="Z491" s="10">
        <v>-2.1549999999999998</v>
      </c>
      <c r="AA491" s="10">
        <v>-3.0609999999999999</v>
      </c>
      <c r="AB491" s="10">
        <v>0.54700000000000004</v>
      </c>
      <c r="AC491" s="8">
        <v>0</v>
      </c>
      <c r="AD491" s="8">
        <v>0</v>
      </c>
      <c r="AE491" s="8">
        <v>0</v>
      </c>
      <c r="AF491" s="10">
        <v>0</v>
      </c>
      <c r="AG491" s="8">
        <f>COUNTIF(Y491:AB491,"&gt;0")</f>
        <v>2</v>
      </c>
      <c r="AH491" s="10">
        <v>0.54700000000000004</v>
      </c>
      <c r="AI491" s="10">
        <v>3.7290000000000001</v>
      </c>
      <c r="AJ491" s="8" t="str">
        <f>IF(ISNUMBER(X491),IF(X491&gt;0,"+",IF(X491&lt;0,"−","0")),IF(ISNUMBER(W491),IF(W491&gt;0,"+",IF(W491&lt;0,"−","0")),"yok"))</f>
        <v>−</v>
      </c>
      <c r="AK491" s="10">
        <f>IF(AND(RIGHT(C491,2)&lt;&gt;"12",ISNUMBER(U491),ISNUMBER(V491)),U491-V491,"")</f>
        <v>3.7300000000000004</v>
      </c>
      <c r="AL491" s="11">
        <f>IF(AND(ISNUMBER(AK491),ISNUMBER(V491)),IF(V491&lt;&gt;0,AK491/ABS(V491),""),"")</f>
        <v>0.19344466341665806</v>
      </c>
      <c r="AM491" s="8">
        <f>IF(ISNUMBER(AK491),IF(AK491&gt;1,1,0),"")</f>
        <v>1</v>
      </c>
      <c r="AN491" s="8">
        <f>IF(ISNUMBER(AK491),IF(AK491&gt;0.05*ABS(V491),1,0),"")</f>
        <v>1</v>
      </c>
      <c r="AO491" s="10">
        <v>-0.94099999999999895</v>
      </c>
      <c r="AP491" s="10">
        <v>0.94099999999999895</v>
      </c>
      <c r="AQ491" s="8" t="s">
        <v>204</v>
      </c>
      <c r="AR491" s="8">
        <v>0</v>
      </c>
      <c r="AS491" s="10">
        <v>8175.3429999999998</v>
      </c>
      <c r="AT491" s="10"/>
      <c r="AU491" s="8" t="s">
        <v>207</v>
      </c>
      <c r="AV491" s="10">
        <v>3.73</v>
      </c>
      <c r="AW491" s="11" t="str">
        <f>IF(AND(ISNUMBER(AV491),ISNUMBER(AT491)),IF(AT491&lt;&gt;0,AV491/ABS(AT491),""),"")</f>
        <v/>
      </c>
      <c r="AX491" s="8">
        <v>0</v>
      </c>
      <c r="AY491" s="8">
        <v>1</v>
      </c>
      <c r="AZ491" s="10"/>
      <c r="BA491" s="8">
        <v>0</v>
      </c>
    </row>
    <row r="492" spans="1:53" x14ac:dyDescent="0.2">
      <c r="A492" s="8" t="s">
        <v>527</v>
      </c>
      <c r="B492" s="8" t="s">
        <v>82</v>
      </c>
      <c r="C492" s="8" t="s">
        <v>205</v>
      </c>
      <c r="D492" s="8">
        <v>1</v>
      </c>
      <c r="E492" s="8">
        <v>1</v>
      </c>
      <c r="F492" s="8">
        <f>SUM(G492:M492)</f>
        <v>1</v>
      </c>
      <c r="G492" s="8">
        <v>1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1</v>
      </c>
      <c r="O492" s="8">
        <v>1</v>
      </c>
      <c r="P492" s="8">
        <v>1</v>
      </c>
      <c r="Q492" s="8">
        <v>0</v>
      </c>
      <c r="R492" s="8">
        <v>0</v>
      </c>
      <c r="S492" s="8">
        <v>1</v>
      </c>
      <c r="T492" s="10">
        <v>3.048</v>
      </c>
      <c r="U492" s="10">
        <v>-2.6970000000000001</v>
      </c>
      <c r="V492" s="10">
        <v>-1.5269999999999999</v>
      </c>
      <c r="W492" s="10">
        <f>IF(RIGHT(C492,2)="12",IF(ISNUMBER(T492),T492,""),IF(COUNT(T492,U492,V492)=3,T492+U492-V492,""))</f>
        <v>1.8779999999999999</v>
      </c>
      <c r="X492" s="10">
        <v>1.877</v>
      </c>
      <c r="Y492" s="10">
        <v>-0.60699999999999998</v>
      </c>
      <c r="Z492" s="10">
        <v>-0.56299999999999994</v>
      </c>
      <c r="AA492" s="10">
        <v>-0.214</v>
      </c>
      <c r="AB492" s="10">
        <v>3.262</v>
      </c>
      <c r="AC492" s="8">
        <v>1</v>
      </c>
      <c r="AD492" s="8">
        <v>0</v>
      </c>
      <c r="AE492" s="8">
        <v>0</v>
      </c>
      <c r="AF492" s="10">
        <v>3.048</v>
      </c>
      <c r="AG492" s="8">
        <f>COUNTIF(Y492:AB492,"&gt;0")</f>
        <v>1</v>
      </c>
      <c r="AH492" s="10">
        <v>3.262</v>
      </c>
      <c r="AI492" s="10">
        <v>0</v>
      </c>
      <c r="AJ492" s="8" t="str">
        <f>IF(ISNUMBER(X492),IF(X492&gt;0,"+",IF(X492&lt;0,"−","0")),IF(ISNUMBER(W492),IF(W492&gt;0,"+",IF(W492&lt;0,"−","0")),"yok"))</f>
        <v>+</v>
      </c>
      <c r="AK492" s="10">
        <f>IF(AND(RIGHT(C492,2)&lt;&gt;"12",ISNUMBER(U492),ISNUMBER(V492)),U492-V492,"")</f>
        <v>-1.1700000000000002</v>
      </c>
      <c r="AL492" s="11">
        <f>IF(AND(ISNUMBER(AK492),ISNUMBER(V492)),IF(V492&lt;&gt;0,AK492/ABS(V492),""),"")</f>
        <v>-0.7662082514734776</v>
      </c>
      <c r="AM492" s="8">
        <f>IF(ISNUMBER(AK492),IF(AK492&gt;1,1,0),"")</f>
        <v>0</v>
      </c>
      <c r="AN492" s="8">
        <f>IF(ISNUMBER(AK492),IF(AK492&gt;0.05*ABS(V492),1,0),"")</f>
        <v>0</v>
      </c>
      <c r="AO492" s="10">
        <v>1.8779999999999999</v>
      </c>
      <c r="AP492" s="10">
        <v>0</v>
      </c>
      <c r="AQ492" s="8" t="s">
        <v>204</v>
      </c>
      <c r="AR492" s="8">
        <v>1</v>
      </c>
      <c r="AS492" s="10">
        <v>155.376</v>
      </c>
      <c r="AT492" s="10">
        <v>153.27199999999999</v>
      </c>
      <c r="AU492" s="8" t="s">
        <v>204</v>
      </c>
      <c r="AV492" s="10">
        <v>3.048</v>
      </c>
      <c r="AW492" s="11">
        <f>IF(AND(ISNUMBER(AV492),ISNUMBER(AT492)),IF(AT492&lt;&gt;0,AV492/ABS(AT492),""),"")</f>
        <v>1.98862153557075E-2</v>
      </c>
      <c r="AX492" s="8">
        <v>1</v>
      </c>
      <c r="AY492" s="8">
        <v>0</v>
      </c>
      <c r="AZ492" s="8" t="s">
        <v>528</v>
      </c>
      <c r="BA492" s="8">
        <v>0</v>
      </c>
    </row>
    <row r="493" spans="1:53" x14ac:dyDescent="0.2">
      <c r="A493" s="8" t="s">
        <v>529</v>
      </c>
      <c r="B493" s="8" t="s">
        <v>82</v>
      </c>
      <c r="C493" s="8" t="s">
        <v>208</v>
      </c>
      <c r="D493" s="8">
        <v>1</v>
      </c>
      <c r="E493" s="8">
        <v>1</v>
      </c>
      <c r="F493" s="8">
        <f>SUM(G493:M493)</f>
        <v>1</v>
      </c>
      <c r="G493" s="8">
        <v>1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1</v>
      </c>
      <c r="P493" s="8">
        <v>1</v>
      </c>
      <c r="Q493" s="8">
        <v>0</v>
      </c>
      <c r="R493" s="8">
        <v>0</v>
      </c>
      <c r="S493" s="8">
        <v>0</v>
      </c>
      <c r="T493" s="10">
        <v>88.804000000000002</v>
      </c>
      <c r="U493" s="10"/>
      <c r="V493" s="10">
        <v>-0.88900000000000001</v>
      </c>
      <c r="W493" s="10" t="str">
        <f>IF(RIGHT(C493,2)="12",IF(ISNUMBER(T493),T493,""),IF(COUNT(T493,U493,V493)=3,T493+U493-V493,""))</f>
        <v/>
      </c>
      <c r="X493" s="10"/>
      <c r="Y493" s="10"/>
      <c r="Z493" s="10"/>
      <c r="AA493" s="10"/>
      <c r="AB493" s="10">
        <v>88.804000000000002</v>
      </c>
      <c r="AC493" s="8">
        <v>1</v>
      </c>
      <c r="AD493" s="8">
        <v>0</v>
      </c>
      <c r="AE493" s="8">
        <v>0</v>
      </c>
      <c r="AF493" s="10">
        <v>88.804000000000002</v>
      </c>
      <c r="AG493" s="8">
        <f>COUNTIF(Y493:AB493,"&gt;0")</f>
        <v>1</v>
      </c>
      <c r="AH493" s="10">
        <v>0</v>
      </c>
      <c r="AI493" s="10">
        <v>0</v>
      </c>
      <c r="AJ493" s="8" t="str">
        <f>IF(ISNUMBER(X493),IF(X493&gt;0,"+",IF(X493&lt;0,"−","0")),IF(ISNUMBER(W493),IF(W493&gt;0,"+",IF(W493&lt;0,"−","0")),"yok"))</f>
        <v>yok</v>
      </c>
      <c r="AK493" s="10" t="str">
        <f>IF(AND(RIGHT(C493,2)&lt;&gt;"12",ISNUMBER(U493),ISNUMBER(V493)),U493-V493,"")</f>
        <v/>
      </c>
      <c r="AL493" s="11" t="str">
        <f>IF(AND(ISNUMBER(AK493),ISNUMBER(V493)),IF(V493&lt;&gt;0,AK493/ABS(V493),""),"")</f>
        <v/>
      </c>
      <c r="AM493" s="8" t="str">
        <f>IF(ISNUMBER(AK493),IF(AK493&gt;1,1,0),"")</f>
        <v/>
      </c>
      <c r="AN493" s="8" t="str">
        <f>IF(ISNUMBER(AK493),IF(AK493&gt;0.05*ABS(V493),1,0),"")</f>
        <v/>
      </c>
      <c r="AO493" s="10">
        <v>89.694999999999993</v>
      </c>
      <c r="AP493" s="10">
        <v>0</v>
      </c>
      <c r="AQ493" s="8" t="s">
        <v>209</v>
      </c>
      <c r="AR493" s="8">
        <v>1</v>
      </c>
      <c r="AS493" s="10">
        <v>781.529</v>
      </c>
      <c r="AT493" s="10">
        <v>-336.25900000000001</v>
      </c>
      <c r="AU493" s="8" t="s">
        <v>209</v>
      </c>
      <c r="AV493" s="10">
        <v>88.804000000000002</v>
      </c>
      <c r="AW493" s="11">
        <f>IF(AND(ISNUMBER(AV493),ISNUMBER(AT493)),IF(AT493&lt;&gt;0,AV493/ABS(AT493),""),"")</f>
        <v>0.2640940465534008</v>
      </c>
      <c r="AX493" s="8">
        <v>1</v>
      </c>
      <c r="AY493" s="8">
        <v>0</v>
      </c>
      <c r="AZ493" s="8" t="s">
        <v>530</v>
      </c>
      <c r="BA493" s="8">
        <v>0</v>
      </c>
    </row>
    <row r="494" spans="1:53" x14ac:dyDescent="0.2">
      <c r="A494" s="8" t="s">
        <v>531</v>
      </c>
      <c r="B494" s="8" t="s">
        <v>84</v>
      </c>
      <c r="C494" s="8" t="s">
        <v>210</v>
      </c>
      <c r="D494" s="8">
        <v>1</v>
      </c>
      <c r="E494" s="8">
        <v>1</v>
      </c>
      <c r="F494" s="8">
        <f>SUM(G494:M494)</f>
        <v>1</v>
      </c>
      <c r="G494" s="8">
        <v>0</v>
      </c>
      <c r="H494" s="8">
        <v>0</v>
      </c>
      <c r="I494" s="8">
        <v>0</v>
      </c>
      <c r="J494" s="8">
        <v>0</v>
      </c>
      <c r="K494" s="8">
        <v>1</v>
      </c>
      <c r="L494" s="8">
        <v>0</v>
      </c>
      <c r="M494" s="8">
        <v>0</v>
      </c>
      <c r="N494" s="8">
        <v>0</v>
      </c>
      <c r="O494" s="8">
        <v>1</v>
      </c>
      <c r="P494" s="8">
        <v>0</v>
      </c>
      <c r="Q494" s="8">
        <v>0</v>
      </c>
      <c r="R494" s="8">
        <v>0</v>
      </c>
      <c r="S494" s="8">
        <v>0</v>
      </c>
      <c r="T494" s="10">
        <v>-777.73199999999997</v>
      </c>
      <c r="U494" s="10">
        <v>0</v>
      </c>
      <c r="V494" s="10">
        <v>2077.0770000000002</v>
      </c>
      <c r="W494" s="10">
        <f>IF(RIGHT(C494,2)="12",IF(ISNUMBER(T494),T494,""),IF(COUNT(T494,U494,V494)=3,T494+U494-V494,""))</f>
        <v>-2854.8090000000002</v>
      </c>
      <c r="X494" s="10">
        <v>-2854.8090000000002</v>
      </c>
      <c r="Y494" s="10"/>
      <c r="Z494" s="10"/>
      <c r="AA494" s="10"/>
      <c r="AB494" s="10"/>
      <c r="AC494" s="8">
        <v>0</v>
      </c>
      <c r="AD494" s="8">
        <v>0</v>
      </c>
      <c r="AE494" s="8">
        <v>1</v>
      </c>
      <c r="AF494" s="10">
        <v>2077.0770000000002</v>
      </c>
      <c r="AG494" s="8">
        <f>COUNTIF(Y494:AB494,"&gt;0")</f>
        <v>0</v>
      </c>
      <c r="AH494" s="10">
        <v>0</v>
      </c>
      <c r="AI494" s="10">
        <v>0</v>
      </c>
      <c r="AJ494" s="8" t="str">
        <f>IF(ISNUMBER(X494),IF(X494&gt;0,"+",IF(X494&lt;0,"−","0")),IF(ISNUMBER(W494),IF(W494&gt;0,"+",IF(W494&lt;0,"−","0")),"yok"))</f>
        <v>−</v>
      </c>
      <c r="AK494" s="10">
        <f>IF(AND(RIGHT(C494,2)&lt;&gt;"12",ISNUMBER(U494),ISNUMBER(V494)),U494-V494,"")</f>
        <v>-2077.0770000000002</v>
      </c>
      <c r="AL494" s="11">
        <f>IF(AND(ISNUMBER(AK494),ISNUMBER(V494)),IF(V494&lt;&gt;0,AK494/ABS(V494),""),"")</f>
        <v>-1</v>
      </c>
      <c r="AM494" s="8">
        <f>IF(ISNUMBER(AK494),IF(AK494&gt;1,1,0),"")</f>
        <v>0</v>
      </c>
      <c r="AN494" s="8">
        <f>IF(ISNUMBER(AK494),IF(AK494&gt;0.05*ABS(V494),1,0),"")</f>
        <v>0</v>
      </c>
      <c r="AO494" s="10"/>
      <c r="AP494" s="10"/>
      <c r="AQ494" s="8" t="s">
        <v>207</v>
      </c>
      <c r="AR494" s="8">
        <v>0</v>
      </c>
      <c r="AS494" s="10">
        <v>11333.391</v>
      </c>
      <c r="AT494" s="10"/>
      <c r="AU494" s="8" t="s">
        <v>207</v>
      </c>
      <c r="AV494" s="10">
        <v>2077.0770000000002</v>
      </c>
      <c r="AW494" s="11" t="str">
        <f>IF(AND(ISNUMBER(AV494),ISNUMBER(AT494)),IF(AT494&lt;&gt;0,AV494/ABS(AT494),""),"")</f>
        <v/>
      </c>
      <c r="AX494" s="8">
        <v>1</v>
      </c>
      <c r="AY494" s="8">
        <v>0</v>
      </c>
      <c r="AZ494" s="8" t="s">
        <v>532</v>
      </c>
      <c r="BA494" s="8">
        <v>0</v>
      </c>
    </row>
    <row r="495" spans="1:53" x14ac:dyDescent="0.2">
      <c r="A495" s="8" t="s">
        <v>533</v>
      </c>
      <c r="B495" s="8" t="s">
        <v>82</v>
      </c>
      <c r="C495" s="8" t="s">
        <v>205</v>
      </c>
      <c r="D495" s="8">
        <v>1</v>
      </c>
      <c r="E495" s="8">
        <v>1</v>
      </c>
      <c r="F495" s="8">
        <f>SUM(G495:M495)</f>
        <v>1</v>
      </c>
      <c r="G495" s="8">
        <v>1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1</v>
      </c>
      <c r="O495" s="8">
        <v>0</v>
      </c>
      <c r="P495" s="8">
        <v>1</v>
      </c>
      <c r="Q495" s="8">
        <v>1</v>
      </c>
      <c r="R495" s="8">
        <v>1</v>
      </c>
      <c r="S495" s="8">
        <v>0</v>
      </c>
      <c r="T495" s="10">
        <v>-38.267000000000003</v>
      </c>
      <c r="U495" s="10">
        <v>-80.953000000000003</v>
      </c>
      <c r="V495" s="10">
        <v>-159.91800000000001</v>
      </c>
      <c r="W495" s="10">
        <f>IF(RIGHT(C495,2)="12",IF(ISNUMBER(T495),T495,""),IF(COUNT(T495,U495,V495)=3,T495+U495-V495,""))</f>
        <v>40.698000000000008</v>
      </c>
      <c r="X495" s="10">
        <v>40.695999999999998</v>
      </c>
      <c r="Y495" s="10">
        <v>15.859</v>
      </c>
      <c r="Z495" s="10">
        <v>63.104999999999997</v>
      </c>
      <c r="AA495" s="10">
        <v>-18.387</v>
      </c>
      <c r="AB495" s="10">
        <v>-19.879000000000001</v>
      </c>
      <c r="AC495" s="8">
        <v>0</v>
      </c>
      <c r="AD495" s="8">
        <v>0</v>
      </c>
      <c r="AE495" s="8">
        <v>0</v>
      </c>
      <c r="AF495" s="10">
        <v>0</v>
      </c>
      <c r="AG495" s="8">
        <f>COUNTIF(Y495:AB495,"&gt;0")</f>
        <v>2</v>
      </c>
      <c r="AH495" s="10">
        <v>0</v>
      </c>
      <c r="AI495" s="10">
        <v>78.963999999999999</v>
      </c>
      <c r="AJ495" s="8" t="str">
        <f>IF(ISNUMBER(X495),IF(X495&gt;0,"+",IF(X495&lt;0,"−","0")),IF(ISNUMBER(W495),IF(W495&gt;0,"+",IF(W495&lt;0,"−","0")),"yok"))</f>
        <v>+</v>
      </c>
      <c r="AK495" s="10">
        <f>IF(AND(RIGHT(C495,2)&lt;&gt;"12",ISNUMBER(U495),ISNUMBER(V495)),U495-V495,"")</f>
        <v>78.965000000000003</v>
      </c>
      <c r="AL495" s="11">
        <f>IF(AND(ISNUMBER(AK495),ISNUMBER(V495)),IF(V495&lt;&gt;0,AK495/ABS(V495),""),"")</f>
        <v>0.49378431446116133</v>
      </c>
      <c r="AM495" s="8">
        <f>IF(ISNUMBER(AK495),IF(AK495&gt;1,1,0),"")</f>
        <v>1</v>
      </c>
      <c r="AN495" s="8">
        <f>IF(ISNUMBER(AK495),IF(AK495&gt;0.05*ABS(V495),1,0),"")</f>
        <v>1</v>
      </c>
      <c r="AO495" s="10">
        <v>40.695999999999998</v>
      </c>
      <c r="AP495" s="10">
        <v>0</v>
      </c>
      <c r="AQ495" s="8" t="s">
        <v>204</v>
      </c>
      <c r="AR495" s="8">
        <v>1</v>
      </c>
      <c r="AS495" s="10">
        <v>3463.0909999999999</v>
      </c>
      <c r="AT495" s="10">
        <v>-1373.7349999999999</v>
      </c>
      <c r="AU495" s="8" t="s">
        <v>204</v>
      </c>
      <c r="AV495" s="10">
        <v>78.965000000000003</v>
      </c>
      <c r="AW495" s="11">
        <f>IF(AND(ISNUMBER(AV495),ISNUMBER(AT495)),IF(AT495&lt;&gt;0,AV495/ABS(AT495),""),"")</f>
        <v>5.748197432547035E-2</v>
      </c>
      <c r="AX495" s="8">
        <v>0</v>
      </c>
      <c r="AY495" s="8">
        <v>1</v>
      </c>
      <c r="AZ495" s="10"/>
      <c r="BA495" s="8">
        <v>0</v>
      </c>
    </row>
    <row r="496" spans="1:53" x14ac:dyDescent="0.2">
      <c r="A496" s="8" t="s">
        <v>533</v>
      </c>
      <c r="B496" s="8" t="s">
        <v>82</v>
      </c>
      <c r="C496" s="8" t="s">
        <v>215</v>
      </c>
      <c r="D496" s="8">
        <v>1</v>
      </c>
      <c r="E496" s="8">
        <v>1</v>
      </c>
      <c r="F496" s="8">
        <f>SUM(G496:M496)</f>
        <v>1</v>
      </c>
      <c r="G496" s="8">
        <v>1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1</v>
      </c>
      <c r="O496" s="8">
        <v>0</v>
      </c>
      <c r="P496" s="8">
        <v>1</v>
      </c>
      <c r="Q496" s="8">
        <v>1</v>
      </c>
      <c r="R496" s="8">
        <v>1</v>
      </c>
      <c r="S496" s="8">
        <v>0</v>
      </c>
      <c r="T496" s="10">
        <v>-51.149000000000001</v>
      </c>
      <c r="U496" s="10">
        <v>-80.953000000000003</v>
      </c>
      <c r="V496" s="10">
        <v>-144.05799999999999</v>
      </c>
      <c r="W496" s="10">
        <f>IF(RIGHT(C496,2)="12",IF(ISNUMBER(T496),T496,""),IF(COUNT(T496,U496,V496)=3,T496+U496-V496,""))</f>
        <v>11.955999999999989</v>
      </c>
      <c r="X496" s="10">
        <v>11.955</v>
      </c>
      <c r="Y496" s="10">
        <v>63.104999999999997</v>
      </c>
      <c r="Z496" s="10">
        <v>-18.387</v>
      </c>
      <c r="AA496" s="10">
        <v>-19.879000000000001</v>
      </c>
      <c r="AB496" s="10">
        <v>-12.882</v>
      </c>
      <c r="AC496" s="8">
        <v>0</v>
      </c>
      <c r="AD496" s="8">
        <v>0</v>
      </c>
      <c r="AE496" s="8">
        <v>0</v>
      </c>
      <c r="AF496" s="10">
        <v>0</v>
      </c>
      <c r="AG496" s="8">
        <f>COUNTIF(Y496:AB496,"&gt;0")</f>
        <v>1</v>
      </c>
      <c r="AH496" s="10">
        <v>0</v>
      </c>
      <c r="AI496" s="10">
        <v>63.104999999999997</v>
      </c>
      <c r="AJ496" s="8" t="str">
        <f>IF(ISNUMBER(X496),IF(X496&gt;0,"+",IF(X496&lt;0,"−","0")),IF(ISNUMBER(W496),IF(W496&gt;0,"+",IF(W496&lt;0,"−","0")),"yok"))</f>
        <v>+</v>
      </c>
      <c r="AK496" s="10">
        <f>IF(AND(RIGHT(C496,2)&lt;&gt;"12",ISNUMBER(U496),ISNUMBER(V496)),U496-V496,"")</f>
        <v>63.10499999999999</v>
      </c>
      <c r="AL496" s="11">
        <f>IF(AND(ISNUMBER(AK496),ISNUMBER(V496)),IF(V496&lt;&gt;0,AK496/ABS(V496),""),"")</f>
        <v>0.43805272876202633</v>
      </c>
      <c r="AM496" s="8">
        <f>IF(ISNUMBER(AK496),IF(AK496&gt;1,1,0),"")</f>
        <v>1</v>
      </c>
      <c r="AN496" s="8">
        <f>IF(ISNUMBER(AK496),IF(AK496&gt;0.05*ABS(V496),1,0),"")</f>
        <v>1</v>
      </c>
      <c r="AO496" s="10">
        <v>11.955</v>
      </c>
      <c r="AP496" s="10">
        <v>0</v>
      </c>
      <c r="AQ496" s="8" t="s">
        <v>204</v>
      </c>
      <c r="AR496" s="8">
        <v>1</v>
      </c>
      <c r="AS496" s="10">
        <v>-212.360999999999</v>
      </c>
      <c r="AT496" s="10">
        <v>-5124.3370000000004</v>
      </c>
      <c r="AU496" s="8" t="s">
        <v>204</v>
      </c>
      <c r="AV496" s="10">
        <v>63.104999999999997</v>
      </c>
      <c r="AW496" s="11">
        <f>IF(AND(ISNUMBER(AV496),ISNUMBER(AT496)),IF(AT496&lt;&gt;0,AV496/ABS(AT496),""),"")</f>
        <v>1.2314763841644294E-2</v>
      </c>
      <c r="AX496" s="8">
        <v>0</v>
      </c>
      <c r="AY496" s="8">
        <v>1</v>
      </c>
      <c r="AZ496" s="10"/>
      <c r="BA496" s="8">
        <v>0</v>
      </c>
    </row>
    <row r="497" spans="1:53" x14ac:dyDescent="0.2">
      <c r="A497" s="8" t="s">
        <v>534</v>
      </c>
      <c r="B497" s="8" t="s">
        <v>82</v>
      </c>
      <c r="C497" s="8" t="s">
        <v>205</v>
      </c>
      <c r="D497" s="8">
        <v>1</v>
      </c>
      <c r="E497" s="8">
        <v>1</v>
      </c>
      <c r="F497" s="8">
        <f>SUM(G497:M497)</f>
        <v>1</v>
      </c>
      <c r="G497" s="8">
        <v>1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1</v>
      </c>
      <c r="O497" s="8">
        <v>1</v>
      </c>
      <c r="P497" s="8">
        <v>1</v>
      </c>
      <c r="Q497" s="8">
        <v>1</v>
      </c>
      <c r="R497" s="8">
        <v>1</v>
      </c>
      <c r="S497" s="8">
        <v>0</v>
      </c>
      <c r="T497" s="10">
        <v>-33.116999999999997</v>
      </c>
      <c r="U497" s="10">
        <v>20.178999999999998</v>
      </c>
      <c r="V497" s="10">
        <v>-18.518999999999998</v>
      </c>
      <c r="W497" s="10">
        <f>IF(RIGHT(C497,2)="12",IF(ISNUMBER(T497),T497,""),IF(COUNT(T497,U497,V497)=3,T497+U497-V497,""))</f>
        <v>5.5809999999999995</v>
      </c>
      <c r="X497" s="10">
        <v>5.5810000000000004</v>
      </c>
      <c r="Y497" s="10">
        <v>-10.593999999999999</v>
      </c>
      <c r="Z497" s="10">
        <v>49.292000000000002</v>
      </c>
      <c r="AA497" s="10">
        <v>32.56</v>
      </c>
      <c r="AB497" s="10">
        <v>-65.677000000000007</v>
      </c>
      <c r="AC497" s="8">
        <v>0</v>
      </c>
      <c r="AD497" s="8">
        <v>1</v>
      </c>
      <c r="AE497" s="8">
        <v>0</v>
      </c>
      <c r="AF497" s="10">
        <v>20.178999999999998</v>
      </c>
      <c r="AG497" s="8">
        <f>COUNTIF(Y497:AB497,"&gt;0")</f>
        <v>2</v>
      </c>
      <c r="AH497" s="10">
        <v>0</v>
      </c>
      <c r="AI497" s="10">
        <v>49.292000000000002</v>
      </c>
      <c r="AJ497" s="8" t="str">
        <f>IF(ISNUMBER(X497),IF(X497&gt;0,"+",IF(X497&lt;0,"−","0")),IF(ISNUMBER(W497),IF(W497&gt;0,"+",IF(W497&lt;0,"−","0")),"yok"))</f>
        <v>+</v>
      </c>
      <c r="AK497" s="10">
        <f>IF(AND(RIGHT(C497,2)&lt;&gt;"12",ISNUMBER(U497),ISNUMBER(V497)),U497-V497,"")</f>
        <v>38.697999999999993</v>
      </c>
      <c r="AL497" s="11">
        <f>IF(AND(ISNUMBER(AK497),ISNUMBER(V497)),IF(V497&lt;&gt;0,AK497/ABS(V497),""),"")</f>
        <v>2.0896376694205947</v>
      </c>
      <c r="AM497" s="8">
        <f>IF(ISNUMBER(AK497),IF(AK497&gt;1,1,0),"")</f>
        <v>1</v>
      </c>
      <c r="AN497" s="8">
        <f>IF(ISNUMBER(AK497),IF(AK497&gt;0.05*ABS(V497),1,0),"")</f>
        <v>1</v>
      </c>
      <c r="AO497" s="10">
        <v>5.5810000000000004</v>
      </c>
      <c r="AP497" s="10">
        <v>0</v>
      </c>
      <c r="AQ497" s="8" t="s">
        <v>204</v>
      </c>
      <c r="AR497" s="8">
        <v>1</v>
      </c>
      <c r="AS497" s="10">
        <v>953.78200000000004</v>
      </c>
      <c r="AT497" s="10">
        <v>-737.25800000000004</v>
      </c>
      <c r="AU497" s="8" t="s">
        <v>204</v>
      </c>
      <c r="AV497" s="10">
        <v>20.178999999999998</v>
      </c>
      <c r="AW497" s="11">
        <f>IF(AND(ISNUMBER(AV497),ISNUMBER(AT497)),IF(AT497&lt;&gt;0,AV497/ABS(AT497),""),"")</f>
        <v>2.7370337114008932E-2</v>
      </c>
      <c r="AX497" s="8">
        <v>1</v>
      </c>
      <c r="AY497" s="8">
        <v>0</v>
      </c>
      <c r="AZ497" s="8" t="s">
        <v>535</v>
      </c>
      <c r="BA497" s="8">
        <v>0</v>
      </c>
    </row>
    <row r="498" spans="1:53" x14ac:dyDescent="0.2">
      <c r="A498" s="8" t="s">
        <v>534</v>
      </c>
      <c r="B498" s="8" t="s">
        <v>82</v>
      </c>
      <c r="C498" s="8" t="s">
        <v>215</v>
      </c>
      <c r="D498" s="8">
        <v>1</v>
      </c>
      <c r="E498" s="8">
        <v>1</v>
      </c>
      <c r="F498" s="8">
        <f>SUM(G498:M498)</f>
        <v>1</v>
      </c>
      <c r="G498" s="8">
        <v>1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1</v>
      </c>
      <c r="O498" s="8">
        <v>1</v>
      </c>
      <c r="P498" s="8">
        <v>1</v>
      </c>
      <c r="Q498" s="8">
        <v>1</v>
      </c>
      <c r="R498" s="8">
        <v>1</v>
      </c>
      <c r="S498" s="8">
        <v>0</v>
      </c>
      <c r="T498" s="10">
        <v>-44.472999999999999</v>
      </c>
      <c r="U498" s="10">
        <v>20.178999999999998</v>
      </c>
      <c r="V498" s="10">
        <v>-29.113</v>
      </c>
      <c r="W498" s="10">
        <f>IF(RIGHT(C498,2)="12",IF(ISNUMBER(T498),T498,""),IF(COUNT(T498,U498,V498)=3,T498+U498-V498,""))</f>
        <v>4.8189999999999991</v>
      </c>
      <c r="X498" s="10">
        <v>4.819</v>
      </c>
      <c r="Y498" s="10">
        <v>49.292000000000002</v>
      </c>
      <c r="Z498" s="10">
        <v>32.56</v>
      </c>
      <c r="AA498" s="10">
        <v>-65.677000000000007</v>
      </c>
      <c r="AB498" s="10">
        <v>-11.356</v>
      </c>
      <c r="AC498" s="8">
        <v>0</v>
      </c>
      <c r="AD498" s="8">
        <v>1</v>
      </c>
      <c r="AE498" s="8">
        <v>0</v>
      </c>
      <c r="AF498" s="10">
        <v>20.178999999999998</v>
      </c>
      <c r="AG498" s="8">
        <f>COUNTIF(Y498:AB498,"&gt;0")</f>
        <v>2</v>
      </c>
      <c r="AH498" s="10">
        <v>0</v>
      </c>
      <c r="AI498" s="10">
        <v>49.292000000000002</v>
      </c>
      <c r="AJ498" s="8" t="str">
        <f>IF(ISNUMBER(X498),IF(X498&gt;0,"+",IF(X498&lt;0,"−","0")),IF(ISNUMBER(W498),IF(W498&gt;0,"+",IF(W498&lt;0,"−","0")),"yok"))</f>
        <v>+</v>
      </c>
      <c r="AK498" s="10">
        <f>IF(AND(RIGHT(C498,2)&lt;&gt;"12",ISNUMBER(U498),ISNUMBER(V498)),U498-V498,"")</f>
        <v>49.292000000000002</v>
      </c>
      <c r="AL498" s="11">
        <f>IF(AND(ISNUMBER(AK498),ISNUMBER(V498)),IF(V498&lt;&gt;0,AK498/ABS(V498),""),"")</f>
        <v>1.6931267818500326</v>
      </c>
      <c r="AM498" s="8">
        <f>IF(ISNUMBER(AK498),IF(AK498&gt;1,1,0),"")</f>
        <v>1</v>
      </c>
      <c r="AN498" s="8">
        <f>IF(ISNUMBER(AK498),IF(AK498&gt;0.05*ABS(V498),1,0),"")</f>
        <v>1</v>
      </c>
      <c r="AO498" s="10">
        <v>4.82</v>
      </c>
      <c r="AP498" s="10">
        <v>0</v>
      </c>
      <c r="AQ498" s="8" t="s">
        <v>204</v>
      </c>
      <c r="AR498" s="8">
        <v>1</v>
      </c>
      <c r="AS498" s="10">
        <v>1652.5360000000001</v>
      </c>
      <c r="AT498" s="10">
        <v>-343.63900000000001</v>
      </c>
      <c r="AU498" s="8" t="s">
        <v>204</v>
      </c>
      <c r="AV498" s="10">
        <v>20.178999999999998</v>
      </c>
      <c r="AW498" s="11">
        <f>IF(AND(ISNUMBER(AV498),ISNUMBER(AT498)),IF(AT498&lt;&gt;0,AV498/ABS(AT498),""),"")</f>
        <v>5.8721507163040275E-2</v>
      </c>
      <c r="AX498" s="8">
        <v>1</v>
      </c>
      <c r="AY498" s="8">
        <v>0</v>
      </c>
      <c r="AZ498" s="8" t="s">
        <v>535</v>
      </c>
      <c r="BA498" s="8">
        <v>0</v>
      </c>
    </row>
    <row r="499" spans="1:53" x14ac:dyDescent="0.2">
      <c r="A499" s="8" t="s">
        <v>534</v>
      </c>
      <c r="B499" s="8" t="s">
        <v>82</v>
      </c>
      <c r="C499" s="8" t="s">
        <v>290</v>
      </c>
      <c r="D499" s="8">
        <v>1</v>
      </c>
      <c r="E499" s="8">
        <v>1</v>
      </c>
      <c r="F499" s="8">
        <f>SUM(G499:M499)</f>
        <v>1</v>
      </c>
      <c r="G499" s="8">
        <v>1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1</v>
      </c>
      <c r="O499" s="8">
        <v>1</v>
      </c>
      <c r="P499" s="8">
        <v>1</v>
      </c>
      <c r="Q499" s="8">
        <v>0</v>
      </c>
      <c r="R499" s="8">
        <v>0</v>
      </c>
      <c r="S499" s="8">
        <v>1</v>
      </c>
      <c r="T499" s="10">
        <v>95.224999999999994</v>
      </c>
      <c r="U499" s="10"/>
      <c r="V499" s="10"/>
      <c r="W499" s="10">
        <f>IF(RIGHT(C499,2)="12",IF(ISNUMBER(T499),T499,""),IF(COUNT(T499,U499,V499)=3,T499+U499-V499,""))</f>
        <v>95.224999999999994</v>
      </c>
      <c r="X499" s="10">
        <v>95.224999999999994</v>
      </c>
      <c r="Y499" s="10">
        <v>32.56</v>
      </c>
      <c r="Z499" s="10">
        <v>-65.677000000000007</v>
      </c>
      <c r="AA499" s="10">
        <v>-11.356</v>
      </c>
      <c r="AB499" s="10">
        <v>139.69800000000001</v>
      </c>
      <c r="AC499" s="8">
        <v>1</v>
      </c>
      <c r="AD499" s="8">
        <v>0</v>
      </c>
      <c r="AE499" s="8">
        <v>0</v>
      </c>
      <c r="AF499" s="10">
        <v>95.224999999999994</v>
      </c>
      <c r="AG499" s="8">
        <f>COUNTIF(Y499:AB499,"&gt;0")</f>
        <v>2</v>
      </c>
      <c r="AH499" s="10">
        <v>139.69800000000001</v>
      </c>
      <c r="AI499" s="10">
        <v>0</v>
      </c>
      <c r="AJ499" s="8" t="str">
        <f>IF(ISNUMBER(X499),IF(X499&gt;0,"+",IF(X499&lt;0,"−","0")),IF(ISNUMBER(W499),IF(W499&gt;0,"+",IF(W499&lt;0,"−","0")),"yok"))</f>
        <v>+</v>
      </c>
      <c r="AK499" s="10" t="str">
        <f>IF(AND(RIGHT(C499,2)&lt;&gt;"12",ISNUMBER(U499),ISNUMBER(V499)),U499-V499,"")</f>
        <v/>
      </c>
      <c r="AL499" s="11" t="str">
        <f>IF(AND(ISNUMBER(AK499),ISNUMBER(V499)),IF(V499&lt;&gt;0,AK499/ABS(V499),""),"")</f>
        <v/>
      </c>
      <c r="AM499" s="8" t="str">
        <f>IF(ISNUMBER(AK499),IF(AK499&gt;1,1,0),"")</f>
        <v/>
      </c>
      <c r="AN499" s="8" t="str">
        <f>IF(ISNUMBER(AK499),IF(AK499&gt;0.05*ABS(V499),1,0),"")</f>
        <v/>
      </c>
      <c r="AO499" s="10">
        <v>95.224999999999994</v>
      </c>
      <c r="AP499" s="10">
        <v>0</v>
      </c>
      <c r="AQ499" s="8" t="s">
        <v>204</v>
      </c>
      <c r="AR499" s="8">
        <v>1</v>
      </c>
      <c r="AS499" s="10">
        <v>1985.2</v>
      </c>
      <c r="AT499" s="10">
        <v>248.83</v>
      </c>
      <c r="AU499" s="8" t="s">
        <v>204</v>
      </c>
      <c r="AV499" s="10">
        <v>95.224999999999994</v>
      </c>
      <c r="AW499" s="11">
        <f>IF(AND(ISNUMBER(AV499),ISNUMBER(AT499)),IF(AT499&lt;&gt;0,AV499/ABS(AT499),""),"")</f>
        <v>0.38269099385122368</v>
      </c>
      <c r="AX499" s="8">
        <v>1</v>
      </c>
      <c r="AY499" s="8">
        <v>0</v>
      </c>
      <c r="AZ499" s="8" t="s">
        <v>536</v>
      </c>
      <c r="BA499" s="8">
        <v>0</v>
      </c>
    </row>
    <row r="500" spans="1:53" x14ac:dyDescent="0.2">
      <c r="A500" s="8" t="s">
        <v>534</v>
      </c>
      <c r="B500" s="8" t="s">
        <v>82</v>
      </c>
      <c r="C500" s="8" t="s">
        <v>208</v>
      </c>
      <c r="D500" s="8">
        <v>1</v>
      </c>
      <c r="E500" s="8">
        <v>1</v>
      </c>
      <c r="F500" s="8">
        <f>SUM(G500:M500)</f>
        <v>1</v>
      </c>
      <c r="G500" s="8">
        <v>1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1</v>
      </c>
      <c r="O500" s="8">
        <v>1</v>
      </c>
      <c r="P500" s="8">
        <v>1</v>
      </c>
      <c r="Q500" s="8">
        <v>1</v>
      </c>
      <c r="R500" s="8">
        <v>1</v>
      </c>
      <c r="S500" s="8">
        <v>0</v>
      </c>
      <c r="T500" s="10">
        <v>-25.114000000000001</v>
      </c>
      <c r="U500" s="10">
        <v>95.224999999999994</v>
      </c>
      <c r="V500" s="10">
        <v>32.56</v>
      </c>
      <c r="W500" s="10">
        <f>IF(RIGHT(C500,2)="12",IF(ISNUMBER(T500),T500,""),IF(COUNT(T500,U500,V500)=3,T500+U500-V500,""))</f>
        <v>37.550999999999988</v>
      </c>
      <c r="X500" s="10">
        <v>37.548999999999999</v>
      </c>
      <c r="Y500" s="10">
        <v>-65.677000000000007</v>
      </c>
      <c r="Z500" s="10">
        <v>-11.356</v>
      </c>
      <c r="AA500" s="10">
        <v>139.69800000000001</v>
      </c>
      <c r="AB500" s="10">
        <v>-25.114000000000001</v>
      </c>
      <c r="AC500" s="8">
        <v>0</v>
      </c>
      <c r="AD500" s="8">
        <v>1</v>
      </c>
      <c r="AE500" s="8">
        <v>1</v>
      </c>
      <c r="AF500" s="10">
        <v>95.224999999999994</v>
      </c>
      <c r="AG500" s="8">
        <f>COUNTIF(Y500:AB500,"&gt;0")</f>
        <v>1</v>
      </c>
      <c r="AH500" s="10">
        <v>0</v>
      </c>
      <c r="AI500" s="10">
        <v>139.69800000000001</v>
      </c>
      <c r="AJ500" s="8" t="str">
        <f>IF(ISNUMBER(X500),IF(X500&gt;0,"+",IF(X500&lt;0,"−","0")),IF(ISNUMBER(W500),IF(W500&gt;0,"+",IF(W500&lt;0,"−","0")),"yok"))</f>
        <v>+</v>
      </c>
      <c r="AK500" s="10">
        <f>IF(AND(RIGHT(C500,2)&lt;&gt;"12",ISNUMBER(U500),ISNUMBER(V500)),U500-V500,"")</f>
        <v>62.664999999999992</v>
      </c>
      <c r="AL500" s="11">
        <f>IF(AND(ISNUMBER(AK500),ISNUMBER(V500)),IF(V500&lt;&gt;0,AK500/ABS(V500),""),"")</f>
        <v>1.9246007371007368</v>
      </c>
      <c r="AM500" s="8">
        <f>IF(ISNUMBER(AK500),IF(AK500&gt;1,1,0),"")</f>
        <v>1</v>
      </c>
      <c r="AN500" s="8">
        <f>IF(ISNUMBER(AK500),IF(AK500&gt;0.05*ABS(V500),1,0),"")</f>
        <v>1</v>
      </c>
      <c r="AO500" s="10">
        <v>37.548999999999999</v>
      </c>
      <c r="AP500" s="10">
        <v>0</v>
      </c>
      <c r="AQ500" s="8" t="s">
        <v>204</v>
      </c>
      <c r="AR500" s="8">
        <v>1</v>
      </c>
      <c r="AS500" s="10">
        <v>1977.665</v>
      </c>
      <c r="AT500" s="10">
        <v>48.505000000000102</v>
      </c>
      <c r="AU500" s="8" t="s">
        <v>204</v>
      </c>
      <c r="AV500" s="10">
        <v>95.224999999999994</v>
      </c>
      <c r="AW500" s="11">
        <f>IF(AND(ISNUMBER(AV500),ISNUMBER(AT500)),IF(AT500&lt;&gt;0,AV500/ABS(AT500),""),"")</f>
        <v>1.9631996701370951</v>
      </c>
      <c r="AX500" s="8">
        <v>1</v>
      </c>
      <c r="AY500" s="8">
        <v>0</v>
      </c>
      <c r="AZ500" s="8" t="s">
        <v>537</v>
      </c>
      <c r="BA500" s="8">
        <v>0</v>
      </c>
    </row>
    <row r="501" spans="1:53" x14ac:dyDescent="0.2">
      <c r="A501" s="8" t="s">
        <v>534</v>
      </c>
      <c r="B501" s="8" t="s">
        <v>82</v>
      </c>
      <c r="C501" s="8" t="s">
        <v>210</v>
      </c>
      <c r="D501" s="8">
        <v>1</v>
      </c>
      <c r="E501" s="8">
        <v>1</v>
      </c>
      <c r="F501" s="8">
        <f>SUM(G501:M501)</f>
        <v>1</v>
      </c>
      <c r="G501" s="8">
        <v>1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1</v>
      </c>
      <c r="O501" s="8">
        <v>1</v>
      </c>
      <c r="P501" s="8">
        <v>1</v>
      </c>
      <c r="Q501" s="8">
        <v>1</v>
      </c>
      <c r="R501" s="8">
        <v>1</v>
      </c>
      <c r="S501" s="8">
        <v>0</v>
      </c>
      <c r="T501" s="10">
        <v>-47.027999999999999</v>
      </c>
      <c r="U501" s="10">
        <v>95.224999999999994</v>
      </c>
      <c r="V501" s="10">
        <v>-33.116999999999997</v>
      </c>
      <c r="W501" s="10">
        <f>IF(RIGHT(C501,2)="12",IF(ISNUMBER(T501),T501,""),IF(COUNT(T501,U501,V501)=3,T501+U501-V501,""))</f>
        <v>81.313999999999993</v>
      </c>
      <c r="X501" s="10">
        <v>81.313999999999993</v>
      </c>
      <c r="Y501" s="10">
        <v>-11.356</v>
      </c>
      <c r="Z501" s="10">
        <v>139.69800000000001</v>
      </c>
      <c r="AA501" s="10">
        <v>-25.114000000000001</v>
      </c>
      <c r="AB501" s="10">
        <v>-21.913</v>
      </c>
      <c r="AC501" s="8">
        <v>0</v>
      </c>
      <c r="AD501" s="8">
        <v>1</v>
      </c>
      <c r="AE501" s="8">
        <v>0</v>
      </c>
      <c r="AF501" s="10">
        <v>95.224999999999994</v>
      </c>
      <c r="AG501" s="8">
        <f>COUNTIF(Y501:AB501,"&gt;0")</f>
        <v>1</v>
      </c>
      <c r="AH501" s="10">
        <v>0</v>
      </c>
      <c r="AI501" s="10">
        <v>139.69800000000001</v>
      </c>
      <c r="AJ501" s="8" t="str">
        <f>IF(ISNUMBER(X501),IF(X501&gt;0,"+",IF(X501&lt;0,"−","0")),IF(ISNUMBER(W501),IF(W501&gt;0,"+",IF(W501&lt;0,"−","0")),"yok"))</f>
        <v>+</v>
      </c>
      <c r="AK501" s="10">
        <f>IF(AND(RIGHT(C501,2)&lt;&gt;"12",ISNUMBER(U501),ISNUMBER(V501)),U501-V501,"")</f>
        <v>128.34199999999998</v>
      </c>
      <c r="AL501" s="11">
        <f>IF(AND(ISNUMBER(AK501),ISNUMBER(V501)),IF(V501&lt;&gt;0,AK501/ABS(V501),""),"")</f>
        <v>3.8754114201165564</v>
      </c>
      <c r="AM501" s="8">
        <f>IF(ISNUMBER(AK501),IF(AK501&gt;1,1,0),"")</f>
        <v>1</v>
      </c>
      <c r="AN501" s="8">
        <f>IF(ISNUMBER(AK501),IF(AK501&gt;0.05*ABS(V501),1,0),"")</f>
        <v>1</v>
      </c>
      <c r="AO501" s="10">
        <v>81.313999999999993</v>
      </c>
      <c r="AP501" s="10">
        <v>0</v>
      </c>
      <c r="AQ501" s="8" t="s">
        <v>204</v>
      </c>
      <c r="AR501" s="8">
        <v>1</v>
      </c>
      <c r="AS501" s="10">
        <v>2323.6559999999999</v>
      </c>
      <c r="AT501" s="10">
        <v>675.00900000000001</v>
      </c>
      <c r="AU501" s="8" t="s">
        <v>204</v>
      </c>
      <c r="AV501" s="10">
        <v>95.224999999999994</v>
      </c>
      <c r="AW501" s="11">
        <f>IF(AND(ISNUMBER(AV501),ISNUMBER(AT501)),IF(AT501&lt;&gt;0,AV501/ABS(AT501),""),"")</f>
        <v>0.14107219311149924</v>
      </c>
      <c r="AX501" s="8">
        <v>1</v>
      </c>
      <c r="AY501" s="8">
        <v>0</v>
      </c>
      <c r="AZ501" s="8" t="s">
        <v>538</v>
      </c>
      <c r="BA501" s="8">
        <v>0</v>
      </c>
    </row>
    <row r="502" spans="1:53" x14ac:dyDescent="0.2">
      <c r="A502" s="8" t="s">
        <v>539</v>
      </c>
      <c r="B502" s="8" t="s">
        <v>84</v>
      </c>
      <c r="C502" s="8" t="s">
        <v>208</v>
      </c>
      <c r="D502" s="8">
        <v>1</v>
      </c>
      <c r="E502" s="8">
        <v>1</v>
      </c>
      <c r="F502" s="8">
        <f>SUM(G502:M502)</f>
        <v>1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1</v>
      </c>
      <c r="M502" s="8">
        <v>0</v>
      </c>
      <c r="N502" s="8">
        <v>1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10">
        <v>0</v>
      </c>
      <c r="U502" s="10">
        <v>0</v>
      </c>
      <c r="V502" s="10">
        <v>-6.4850000000000003</v>
      </c>
      <c r="W502" s="10">
        <f>IF(RIGHT(C502,2)="12",IF(ISNUMBER(T502),T502,""),IF(COUNT(T502,U502,V502)=3,T502+U502-V502,""))</f>
        <v>6.4850000000000003</v>
      </c>
      <c r="X502" s="10">
        <v>6.4850000000000003</v>
      </c>
      <c r="Y502" s="10">
        <v>0</v>
      </c>
      <c r="Z502" s="10"/>
      <c r="AA502" s="10"/>
      <c r="AB502" s="10">
        <v>0</v>
      </c>
      <c r="AC502" s="8">
        <v>0</v>
      </c>
      <c r="AD502" s="8">
        <v>0</v>
      </c>
      <c r="AE502" s="8">
        <v>0</v>
      </c>
      <c r="AF502" s="10">
        <v>0</v>
      </c>
      <c r="AG502" s="8">
        <f>COUNTIF(Y502:AB502,"&gt;0")</f>
        <v>0</v>
      </c>
      <c r="AH502" s="10">
        <v>0</v>
      </c>
      <c r="AI502" s="10">
        <v>0</v>
      </c>
      <c r="AJ502" s="8" t="str">
        <f>IF(ISNUMBER(X502),IF(X502&gt;0,"+",IF(X502&lt;0,"−","0")),IF(ISNUMBER(W502),IF(W502&gt;0,"+",IF(W502&lt;0,"−","0")),"yok"))</f>
        <v>+</v>
      </c>
      <c r="AK502" s="10">
        <f>IF(AND(RIGHT(C502,2)&lt;&gt;"12",ISNUMBER(U502),ISNUMBER(V502)),U502-V502,"")</f>
        <v>6.4850000000000003</v>
      </c>
      <c r="AL502" s="11">
        <f>IF(AND(ISNUMBER(AK502),ISNUMBER(V502)),IF(V502&lt;&gt;0,AK502/ABS(V502),""),"")</f>
        <v>1</v>
      </c>
      <c r="AM502" s="8">
        <f>IF(ISNUMBER(AK502),IF(AK502&gt;1,1,0),"")</f>
        <v>1</v>
      </c>
      <c r="AN502" s="8">
        <f>IF(ISNUMBER(AK502),IF(AK502&gt;0.05*ABS(V502),1,0),"")</f>
        <v>1</v>
      </c>
      <c r="AO502" s="10"/>
      <c r="AP502" s="10"/>
      <c r="AQ502" s="8" t="s">
        <v>207</v>
      </c>
      <c r="AR502" s="8">
        <v>0</v>
      </c>
      <c r="AS502" s="10">
        <v>-225.102</v>
      </c>
      <c r="AT502" s="10"/>
      <c r="AU502" s="8" t="s">
        <v>207</v>
      </c>
      <c r="AV502" s="10">
        <v>6.4850000000000003</v>
      </c>
      <c r="AW502" s="11" t="str">
        <f>IF(AND(ISNUMBER(AV502),ISNUMBER(AT502)),IF(AT502&lt;&gt;0,AV502/ABS(AT502),""),"")</f>
        <v/>
      </c>
      <c r="AX502" s="8">
        <v>0</v>
      </c>
      <c r="AY502" s="8">
        <v>1</v>
      </c>
      <c r="AZ502" s="10"/>
      <c r="BA502" s="8">
        <v>0</v>
      </c>
    </row>
    <row r="503" spans="1:53" x14ac:dyDescent="0.2">
      <c r="A503" s="8" t="s">
        <v>539</v>
      </c>
      <c r="B503" s="8" t="s">
        <v>84</v>
      </c>
      <c r="C503" s="8" t="s">
        <v>210</v>
      </c>
      <c r="D503" s="8">
        <v>1</v>
      </c>
      <c r="E503" s="8">
        <v>1</v>
      </c>
      <c r="F503" s="8">
        <f>SUM(G503:M503)</f>
        <v>1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1</v>
      </c>
      <c r="M503" s="8">
        <v>0</v>
      </c>
      <c r="N503" s="8">
        <v>1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10">
        <v>-2.2280000000000002</v>
      </c>
      <c r="U503" s="10">
        <v>0</v>
      </c>
      <c r="V503" s="10">
        <v>-6.4850000000000003</v>
      </c>
      <c r="W503" s="10">
        <f>IF(RIGHT(C503,2)="12",IF(ISNUMBER(T503),T503,""),IF(COUNT(T503,U503,V503)=3,T503+U503-V503,""))</f>
        <v>4.2569999999999997</v>
      </c>
      <c r="X503" s="10">
        <v>4.2569999999999997</v>
      </c>
      <c r="Y503" s="10"/>
      <c r="Z503" s="10"/>
      <c r="AA503" s="10">
        <v>0</v>
      </c>
      <c r="AB503" s="10">
        <v>-2.2280000000000002</v>
      </c>
      <c r="AC503" s="8">
        <v>0</v>
      </c>
      <c r="AD503" s="8">
        <v>0</v>
      </c>
      <c r="AE503" s="8">
        <v>0</v>
      </c>
      <c r="AF503" s="10">
        <v>0</v>
      </c>
      <c r="AG503" s="8">
        <f>COUNTIF(Y503:AB503,"&gt;0")</f>
        <v>0</v>
      </c>
      <c r="AH503" s="10">
        <v>0</v>
      </c>
      <c r="AI503" s="10">
        <v>0</v>
      </c>
      <c r="AJ503" s="8" t="str">
        <f>IF(ISNUMBER(X503),IF(X503&gt;0,"+",IF(X503&lt;0,"−","0")),IF(ISNUMBER(W503),IF(W503&gt;0,"+",IF(W503&lt;0,"−","0")),"yok"))</f>
        <v>+</v>
      </c>
      <c r="AK503" s="10">
        <f>IF(AND(RIGHT(C503,2)&lt;&gt;"12",ISNUMBER(U503),ISNUMBER(V503)),U503-V503,"")</f>
        <v>6.4850000000000003</v>
      </c>
      <c r="AL503" s="11">
        <f>IF(AND(ISNUMBER(AK503),ISNUMBER(V503)),IF(V503&lt;&gt;0,AK503/ABS(V503),""),"")</f>
        <v>1</v>
      </c>
      <c r="AM503" s="8">
        <f>IF(ISNUMBER(AK503),IF(AK503&gt;1,1,0),"")</f>
        <v>1</v>
      </c>
      <c r="AN503" s="8">
        <f>IF(ISNUMBER(AK503),IF(AK503&gt;0.05*ABS(V503),1,0),"")</f>
        <v>1</v>
      </c>
      <c r="AO503" s="10"/>
      <c r="AP503" s="10"/>
      <c r="AQ503" s="8" t="s">
        <v>207</v>
      </c>
      <c r="AR503" s="8">
        <v>0</v>
      </c>
      <c r="AS503" s="10">
        <v>-525.11099999999999</v>
      </c>
      <c r="AT503" s="10"/>
      <c r="AU503" s="8" t="s">
        <v>207</v>
      </c>
      <c r="AV503" s="10">
        <v>6.4850000000000003</v>
      </c>
      <c r="AW503" s="11" t="str">
        <f>IF(AND(ISNUMBER(AV503),ISNUMBER(AT503)),IF(AT503&lt;&gt;0,AV503/ABS(AT503),""),"")</f>
        <v/>
      </c>
      <c r="AX503" s="8">
        <v>0</v>
      </c>
      <c r="AY503" s="8">
        <v>1</v>
      </c>
      <c r="AZ503" s="10"/>
      <c r="BA503" s="8">
        <v>0</v>
      </c>
    </row>
    <row r="504" spans="1:53" x14ac:dyDescent="0.2">
      <c r="A504" s="8" t="s">
        <v>540</v>
      </c>
      <c r="B504" s="8" t="s">
        <v>82</v>
      </c>
      <c r="C504" s="8" t="s">
        <v>203</v>
      </c>
      <c r="D504" s="8">
        <v>1</v>
      </c>
      <c r="E504" s="8">
        <v>1</v>
      </c>
      <c r="F504" s="8">
        <f>SUM(G504:M504)</f>
        <v>1</v>
      </c>
      <c r="G504" s="8">
        <v>1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1</v>
      </c>
      <c r="O504" s="8">
        <v>0</v>
      </c>
      <c r="P504" s="8">
        <v>1</v>
      </c>
      <c r="Q504" s="8">
        <v>1</v>
      </c>
      <c r="R504" s="8">
        <v>1</v>
      </c>
      <c r="S504" s="8">
        <v>0</v>
      </c>
      <c r="T504" s="10">
        <v>-3.641</v>
      </c>
      <c r="U504" s="10">
        <v>-5.6749999999999998</v>
      </c>
      <c r="V504" s="10">
        <v>-16.387</v>
      </c>
      <c r="W504" s="10">
        <f>IF(RIGHT(C504,2)="12",IF(ISNUMBER(T504),T504,""),IF(COUNT(T504,U504,V504)=3,T504+U504-V504,""))</f>
        <v>7.0710000000000015</v>
      </c>
      <c r="X504" s="10">
        <v>7.0709999999999997</v>
      </c>
      <c r="Y504" s="10">
        <v>1.27</v>
      </c>
      <c r="Z504" s="10">
        <v>-2.34</v>
      </c>
      <c r="AA504" s="10">
        <v>11.782999999999999</v>
      </c>
      <c r="AB504" s="10">
        <v>-3.641</v>
      </c>
      <c r="AC504" s="8">
        <v>0</v>
      </c>
      <c r="AD504" s="8">
        <v>0</v>
      </c>
      <c r="AE504" s="8">
        <v>0</v>
      </c>
      <c r="AF504" s="10">
        <v>0</v>
      </c>
      <c r="AG504" s="8">
        <f>COUNTIF(Y504:AB504,"&gt;0")</f>
        <v>2</v>
      </c>
      <c r="AH504" s="10">
        <v>0</v>
      </c>
      <c r="AI504" s="10">
        <v>13.053000000000001</v>
      </c>
      <c r="AJ504" s="8" t="str">
        <f>IF(ISNUMBER(X504),IF(X504&gt;0,"+",IF(X504&lt;0,"−","0")),IF(ISNUMBER(W504),IF(W504&gt;0,"+",IF(W504&lt;0,"−","0")),"yok"))</f>
        <v>+</v>
      </c>
      <c r="AK504" s="10">
        <f>IF(AND(RIGHT(C504,2)&lt;&gt;"12",ISNUMBER(U504),ISNUMBER(V504)),U504-V504,"")</f>
        <v>10.712</v>
      </c>
      <c r="AL504" s="11">
        <f>IF(AND(ISNUMBER(AK504),ISNUMBER(V504)),IF(V504&lt;&gt;0,AK504/ABS(V504),""),"")</f>
        <v>0.65368889973759681</v>
      </c>
      <c r="AM504" s="8">
        <f>IF(ISNUMBER(AK504),IF(AK504&gt;1,1,0),"")</f>
        <v>1</v>
      </c>
      <c r="AN504" s="8">
        <f>IF(ISNUMBER(AK504),IF(AK504&gt;0.05*ABS(V504),1,0),"")</f>
        <v>1</v>
      </c>
      <c r="AO504" s="10">
        <v>7.0720000000000001</v>
      </c>
      <c r="AP504" s="10">
        <v>0</v>
      </c>
      <c r="AQ504" s="8" t="s">
        <v>204</v>
      </c>
      <c r="AR504" s="8">
        <v>1</v>
      </c>
      <c r="AS504" s="10">
        <v>-159.99199999999999</v>
      </c>
      <c r="AT504" s="10">
        <v>-217.304</v>
      </c>
      <c r="AU504" s="8" t="s">
        <v>204</v>
      </c>
      <c r="AV504" s="10">
        <v>10.712</v>
      </c>
      <c r="AW504" s="11">
        <f>IF(AND(ISNUMBER(AV504),ISNUMBER(AT504)),IF(AT504&lt;&gt;0,AV504/ABS(AT504),""),"")</f>
        <v>4.9294996870743291E-2</v>
      </c>
      <c r="AX504" s="8">
        <v>0</v>
      </c>
      <c r="AY504" s="8">
        <v>1</v>
      </c>
      <c r="AZ504" s="10"/>
      <c r="BA504" s="8">
        <v>0</v>
      </c>
    </row>
    <row r="505" spans="1:53" x14ac:dyDescent="0.2">
      <c r="A505" s="8" t="s">
        <v>540</v>
      </c>
      <c r="B505" s="8" t="s">
        <v>82</v>
      </c>
      <c r="C505" s="8" t="s">
        <v>205</v>
      </c>
      <c r="D505" s="8">
        <v>1</v>
      </c>
      <c r="E505" s="8">
        <v>1</v>
      </c>
      <c r="F505" s="8">
        <f>SUM(G505:M505)</f>
        <v>1</v>
      </c>
      <c r="G505" s="8">
        <v>1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1</v>
      </c>
      <c r="O505" s="8">
        <v>0</v>
      </c>
      <c r="P505" s="8">
        <v>1</v>
      </c>
      <c r="Q505" s="8">
        <v>1</v>
      </c>
      <c r="R505" s="8">
        <v>1</v>
      </c>
      <c r="S505" s="8">
        <v>0</v>
      </c>
      <c r="T505" s="10">
        <v>-8.8379999999999992</v>
      </c>
      <c r="U505" s="10">
        <v>-5.6749999999999998</v>
      </c>
      <c r="V505" s="10">
        <v>-15.117000000000001</v>
      </c>
      <c r="W505" s="10">
        <f>IF(RIGHT(C505,2)="12",IF(ISNUMBER(T505),T505,""),IF(COUNT(T505,U505,V505)=3,T505+U505-V505,""))</f>
        <v>0.60400000000000276</v>
      </c>
      <c r="X505" s="10">
        <v>0.60299999999999998</v>
      </c>
      <c r="Y505" s="10">
        <v>-2.34</v>
      </c>
      <c r="Z505" s="10">
        <v>11.782999999999999</v>
      </c>
      <c r="AA505" s="10">
        <v>-3.641</v>
      </c>
      <c r="AB505" s="10">
        <v>-5.1970000000000001</v>
      </c>
      <c r="AC505" s="8">
        <v>0</v>
      </c>
      <c r="AD505" s="8">
        <v>0</v>
      </c>
      <c r="AE505" s="8">
        <v>0</v>
      </c>
      <c r="AF505" s="10">
        <v>0</v>
      </c>
      <c r="AG505" s="8">
        <f>COUNTIF(Y505:AB505,"&gt;0")</f>
        <v>1</v>
      </c>
      <c r="AH505" s="10">
        <v>0</v>
      </c>
      <c r="AI505" s="10">
        <v>11.782999999999999</v>
      </c>
      <c r="AJ505" s="8" t="str">
        <f>IF(ISNUMBER(X505),IF(X505&gt;0,"+",IF(X505&lt;0,"−","0")),IF(ISNUMBER(W505),IF(W505&gt;0,"+",IF(W505&lt;0,"−","0")),"yok"))</f>
        <v>+</v>
      </c>
      <c r="AK505" s="10">
        <f>IF(AND(RIGHT(C505,2)&lt;&gt;"12",ISNUMBER(U505),ISNUMBER(V505)),U505-V505,"")</f>
        <v>9.4420000000000002</v>
      </c>
      <c r="AL505" s="11">
        <f>IF(AND(ISNUMBER(AK505),ISNUMBER(V505)),IF(V505&lt;&gt;0,AK505/ABS(V505),""),"")</f>
        <v>0.62459482701594227</v>
      </c>
      <c r="AM505" s="8">
        <f>IF(ISNUMBER(AK505),IF(AK505&gt;1,1,0),"")</f>
        <v>1</v>
      </c>
      <c r="AN505" s="8">
        <f>IF(ISNUMBER(AK505),IF(AK505&gt;0.05*ABS(V505),1,0),"")</f>
        <v>1</v>
      </c>
      <c r="AO505" s="10">
        <v>0.60300000000000198</v>
      </c>
      <c r="AP505" s="10">
        <v>0</v>
      </c>
      <c r="AQ505" s="8" t="s">
        <v>204</v>
      </c>
      <c r="AR505" s="8">
        <v>1</v>
      </c>
      <c r="AS505" s="10">
        <v>-650.56700000000001</v>
      </c>
      <c r="AT505" s="10">
        <v>-754.81399999999996</v>
      </c>
      <c r="AU505" s="8" t="s">
        <v>204</v>
      </c>
      <c r="AV505" s="10">
        <v>9.4420000000000002</v>
      </c>
      <c r="AW505" s="11">
        <f>IF(AND(ISNUMBER(AV505),ISNUMBER(AT505)),IF(AT505&lt;&gt;0,AV505/ABS(AT505),""),"")</f>
        <v>1.2509041962655702E-2</v>
      </c>
      <c r="AX505" s="8">
        <v>0</v>
      </c>
      <c r="AY505" s="8">
        <v>1</v>
      </c>
      <c r="AZ505" s="10"/>
      <c r="BA505" s="8">
        <v>0</v>
      </c>
    </row>
    <row r="506" spans="1:53" x14ac:dyDescent="0.2">
      <c r="A506" s="8" t="s">
        <v>540</v>
      </c>
      <c r="B506" s="8" t="s">
        <v>82</v>
      </c>
      <c r="C506" s="8" t="s">
        <v>215</v>
      </c>
      <c r="D506" s="8">
        <v>1</v>
      </c>
      <c r="E506" s="8">
        <v>1</v>
      </c>
      <c r="F506" s="8">
        <f>SUM(G506:M506)</f>
        <v>1</v>
      </c>
      <c r="G506" s="8">
        <v>0</v>
      </c>
      <c r="H506" s="8">
        <v>1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1</v>
      </c>
      <c r="Q506" s="8">
        <v>1</v>
      </c>
      <c r="R506" s="8">
        <v>1</v>
      </c>
      <c r="S506" s="8">
        <v>0</v>
      </c>
      <c r="T506" s="10">
        <v>-20.489000000000001</v>
      </c>
      <c r="U506" s="10">
        <v>-5.6749999999999998</v>
      </c>
      <c r="V506" s="10">
        <v>-17.457999999999998</v>
      </c>
      <c r="W506" s="10">
        <f>IF(RIGHT(C506,2)="12",IF(ISNUMBER(T506),T506,""),IF(COUNT(T506,U506,V506)=3,T506+U506-V506,""))</f>
        <v>-8.7060000000000031</v>
      </c>
      <c r="X506" s="10">
        <v>-8.7059999999999995</v>
      </c>
      <c r="Y506" s="10">
        <v>11.782999999999999</v>
      </c>
      <c r="Z506" s="10">
        <v>-3.641</v>
      </c>
      <c r="AA506" s="10">
        <v>-5.1970000000000001</v>
      </c>
      <c r="AB506" s="10">
        <v>-11.651</v>
      </c>
      <c r="AC506" s="8">
        <v>0</v>
      </c>
      <c r="AD506" s="8">
        <v>0</v>
      </c>
      <c r="AE506" s="8">
        <v>0</v>
      </c>
      <c r="AF506" s="10">
        <v>0</v>
      </c>
      <c r="AG506" s="8">
        <f>COUNTIF(Y506:AB506,"&gt;0")</f>
        <v>1</v>
      </c>
      <c r="AH506" s="10">
        <v>0</v>
      </c>
      <c r="AI506" s="10">
        <v>11.782999999999999</v>
      </c>
      <c r="AJ506" s="8" t="str">
        <f>IF(ISNUMBER(X506),IF(X506&gt;0,"+",IF(X506&lt;0,"−","0")),IF(ISNUMBER(W506),IF(W506&gt;0,"+",IF(W506&lt;0,"−","0")),"yok"))</f>
        <v>−</v>
      </c>
      <c r="AK506" s="10">
        <f>IF(AND(RIGHT(C506,2)&lt;&gt;"12",ISNUMBER(U506),ISNUMBER(V506)),U506-V506,"")</f>
        <v>11.782999999999998</v>
      </c>
      <c r="AL506" s="11">
        <f>IF(AND(ISNUMBER(AK506),ISNUMBER(V506)),IF(V506&lt;&gt;0,AK506/ABS(V506),""),"")</f>
        <v>0.67493412762057503</v>
      </c>
      <c r="AM506" s="8">
        <f>IF(ISNUMBER(AK506),IF(AK506&gt;1,1,0),"")</f>
        <v>1</v>
      </c>
      <c r="AN506" s="8">
        <f>IF(ISNUMBER(AK506),IF(AK506&gt;0.05*ABS(V506),1,0),"")</f>
        <v>1</v>
      </c>
      <c r="AO506" s="10">
        <v>-8.7070000000000007</v>
      </c>
      <c r="AP506" s="10">
        <v>8.7070000000000007</v>
      </c>
      <c r="AQ506" s="8" t="s">
        <v>204</v>
      </c>
      <c r="AR506" s="8">
        <v>0</v>
      </c>
      <c r="AS506" s="10">
        <v>240.77099999999999</v>
      </c>
      <c r="AT506" s="10">
        <v>99.658000000000001</v>
      </c>
      <c r="AU506" s="8" t="s">
        <v>204</v>
      </c>
      <c r="AV506" s="10">
        <v>11.782999999999999</v>
      </c>
      <c r="AW506" s="11">
        <f>IF(AND(ISNUMBER(AV506),ISNUMBER(AT506)),IF(AT506&lt;&gt;0,AV506/ABS(AT506),""),"")</f>
        <v>0.11823436151638603</v>
      </c>
      <c r="AX506" s="8">
        <v>0</v>
      </c>
      <c r="AY506" s="8">
        <v>1</v>
      </c>
      <c r="AZ506" s="10"/>
      <c r="BA506" s="8">
        <v>0</v>
      </c>
    </row>
    <row r="507" spans="1:53" x14ac:dyDescent="0.2">
      <c r="A507" s="8" t="s">
        <v>540</v>
      </c>
      <c r="B507" s="8" t="s">
        <v>83</v>
      </c>
      <c r="C507" s="8" t="s">
        <v>203</v>
      </c>
      <c r="D507" s="8">
        <v>1</v>
      </c>
      <c r="E507" s="8">
        <v>1</v>
      </c>
      <c r="F507" s="8">
        <f>SUM(G507:M507)</f>
        <v>1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1</v>
      </c>
      <c r="N507" s="8">
        <v>0</v>
      </c>
      <c r="O507" s="8">
        <v>0</v>
      </c>
      <c r="P507" s="8">
        <v>1</v>
      </c>
      <c r="Q507" s="8">
        <v>0</v>
      </c>
      <c r="R507" s="8">
        <v>0</v>
      </c>
      <c r="S507" s="8">
        <v>0</v>
      </c>
      <c r="T507" s="10">
        <v>-35.162999999999997</v>
      </c>
      <c r="U507" s="10">
        <v>-70.066999999999993</v>
      </c>
      <c r="V507" s="10">
        <v>-47.917000000000002</v>
      </c>
      <c r="W507" s="10">
        <f>IF(RIGHT(C507,2)="12",IF(ISNUMBER(T507),T507,""),IF(COUNT(T507,U507,V507)=3,T507+U507-V507,""))</f>
        <v>-57.312999999999988</v>
      </c>
      <c r="X507" s="10">
        <v>-57.311999999999998</v>
      </c>
      <c r="Y507" s="10">
        <v>-11.753</v>
      </c>
      <c r="Z507" s="10">
        <v>25.376999999999999</v>
      </c>
      <c r="AA507" s="10">
        <v>-35.773000000000003</v>
      </c>
      <c r="AB507" s="10">
        <v>-35.162999999999997</v>
      </c>
      <c r="AC507" s="8">
        <v>0</v>
      </c>
      <c r="AD507" s="8">
        <v>0</v>
      </c>
      <c r="AE507" s="8">
        <v>0</v>
      </c>
      <c r="AF507" s="10">
        <v>0</v>
      </c>
      <c r="AG507" s="8">
        <f>COUNTIF(Y507:AB507,"&gt;0")</f>
        <v>1</v>
      </c>
      <c r="AH507" s="10">
        <v>0</v>
      </c>
      <c r="AI507" s="10">
        <v>25.376999999999999</v>
      </c>
      <c r="AJ507" s="8" t="str">
        <f>IF(ISNUMBER(X507),IF(X507&gt;0,"+",IF(X507&lt;0,"−","0")),IF(ISNUMBER(W507),IF(W507&gt;0,"+",IF(W507&lt;0,"−","0")),"yok"))</f>
        <v>−</v>
      </c>
      <c r="AK507" s="10">
        <f>IF(AND(RIGHT(C507,2)&lt;&gt;"12",ISNUMBER(U507),ISNUMBER(V507)),U507-V507,"")</f>
        <v>-22.149999999999991</v>
      </c>
      <c r="AL507" s="11">
        <f>IF(AND(ISNUMBER(AK507),ISNUMBER(V507)),IF(V507&lt;&gt;0,AK507/ABS(V507),""),"")</f>
        <v>-0.46225765385979906</v>
      </c>
      <c r="AM507" s="8">
        <f>IF(ISNUMBER(AK507),IF(AK507&gt;1,1,0),"")</f>
        <v>0</v>
      </c>
      <c r="AN507" s="8">
        <f>IF(ISNUMBER(AK507),IF(AK507&gt;0.05*ABS(V507),1,0),"")</f>
        <v>0</v>
      </c>
      <c r="AO507" s="10">
        <v>-57.311999999999998</v>
      </c>
      <c r="AP507" s="10">
        <v>57.311999999999998</v>
      </c>
      <c r="AQ507" s="8" t="s">
        <v>204</v>
      </c>
      <c r="AR507" s="8">
        <v>0</v>
      </c>
      <c r="AS507" s="10">
        <v>-159.99199999999999</v>
      </c>
      <c r="AT507" s="10">
        <v>-217.304</v>
      </c>
      <c r="AU507" s="8" t="s">
        <v>204</v>
      </c>
      <c r="AV507" s="10">
        <v>25.376999999999999</v>
      </c>
      <c r="AW507" s="11">
        <f>IF(AND(ISNUMBER(AV507),ISNUMBER(AT507)),IF(AT507&lt;&gt;0,AV507/ABS(AT507),""),"")</f>
        <v>0.11678109928947465</v>
      </c>
      <c r="AX507" s="8">
        <v>0</v>
      </c>
      <c r="AY507" s="8">
        <v>0</v>
      </c>
      <c r="AZ507" s="10"/>
      <c r="BA507" s="8">
        <v>0</v>
      </c>
    </row>
    <row r="508" spans="1:53" x14ac:dyDescent="0.2">
      <c r="A508" s="8" t="s">
        <v>540</v>
      </c>
      <c r="B508" s="8" t="s">
        <v>83</v>
      </c>
      <c r="C508" s="8" t="s">
        <v>205</v>
      </c>
      <c r="D508" s="8">
        <v>1</v>
      </c>
      <c r="E508" s="8">
        <v>1</v>
      </c>
      <c r="F508" s="8">
        <f>SUM(G508:M508)</f>
        <v>1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1</v>
      </c>
      <c r="N508" s="8">
        <v>0</v>
      </c>
      <c r="O508" s="8">
        <v>0</v>
      </c>
      <c r="P508" s="8">
        <v>1</v>
      </c>
      <c r="Q508" s="8">
        <v>0</v>
      </c>
      <c r="R508" s="8">
        <v>0</v>
      </c>
      <c r="S508" s="8">
        <v>0</v>
      </c>
      <c r="T508" s="10">
        <v>-93.85</v>
      </c>
      <c r="U508" s="10">
        <v>-70.066999999999993</v>
      </c>
      <c r="V508" s="10">
        <v>-59.670999999999999</v>
      </c>
      <c r="W508" s="10">
        <f>IF(RIGHT(C508,2)="12",IF(ISNUMBER(T508),T508,""),IF(COUNT(T508,U508,V508)=3,T508+U508-V508,""))</f>
        <v>-104.24599999999998</v>
      </c>
      <c r="X508" s="10">
        <v>-104.247</v>
      </c>
      <c r="Y508" s="10">
        <v>25.376999999999999</v>
      </c>
      <c r="Z508" s="10">
        <v>-35.773000000000003</v>
      </c>
      <c r="AA508" s="10">
        <v>-35.162999999999997</v>
      </c>
      <c r="AB508" s="10">
        <v>-58.686999999999998</v>
      </c>
      <c r="AC508" s="8">
        <v>0</v>
      </c>
      <c r="AD508" s="8">
        <v>0</v>
      </c>
      <c r="AE508" s="8">
        <v>0</v>
      </c>
      <c r="AF508" s="10">
        <v>0</v>
      </c>
      <c r="AG508" s="8">
        <f>COUNTIF(Y508:AB508,"&gt;0")</f>
        <v>1</v>
      </c>
      <c r="AH508" s="10">
        <v>0</v>
      </c>
      <c r="AI508" s="10">
        <v>25.376999999999999</v>
      </c>
      <c r="AJ508" s="8" t="str">
        <f>IF(ISNUMBER(X508),IF(X508&gt;0,"+",IF(X508&lt;0,"−","0")),IF(ISNUMBER(W508),IF(W508&gt;0,"+",IF(W508&lt;0,"−","0")),"yok"))</f>
        <v>−</v>
      </c>
      <c r="AK508" s="10">
        <f>IF(AND(RIGHT(C508,2)&lt;&gt;"12",ISNUMBER(U508),ISNUMBER(V508)),U508-V508,"")</f>
        <v>-10.395999999999994</v>
      </c>
      <c r="AL508" s="11">
        <f>IF(AND(ISNUMBER(AK508),ISNUMBER(V508)),IF(V508&lt;&gt;0,AK508/ABS(V508),""),"")</f>
        <v>-0.17422198387826571</v>
      </c>
      <c r="AM508" s="8">
        <f>IF(ISNUMBER(AK508),IF(AK508&gt;1,1,0),"")</f>
        <v>0</v>
      </c>
      <c r="AN508" s="8">
        <f>IF(ISNUMBER(AK508),IF(AK508&gt;0.05*ABS(V508),1,0),"")</f>
        <v>0</v>
      </c>
      <c r="AO508" s="10">
        <v>-104.247</v>
      </c>
      <c r="AP508" s="10">
        <v>104.247</v>
      </c>
      <c r="AQ508" s="8" t="s">
        <v>204</v>
      </c>
      <c r="AR508" s="8">
        <v>0</v>
      </c>
      <c r="AS508" s="10">
        <v>-650.56700000000001</v>
      </c>
      <c r="AT508" s="10">
        <v>-754.81399999999996</v>
      </c>
      <c r="AU508" s="8" t="s">
        <v>204</v>
      </c>
      <c r="AV508" s="10">
        <v>25.376999999999999</v>
      </c>
      <c r="AW508" s="11">
        <f>IF(AND(ISNUMBER(AV508),ISNUMBER(AT508)),IF(AT508&lt;&gt;0,AV508/ABS(AT508),""),"")</f>
        <v>3.3620203122888555E-2</v>
      </c>
      <c r="AX508" s="8">
        <v>0</v>
      </c>
      <c r="AY508" s="8">
        <v>0</v>
      </c>
      <c r="AZ508" s="10"/>
      <c r="BA508" s="8">
        <v>0</v>
      </c>
    </row>
    <row r="509" spans="1:53" x14ac:dyDescent="0.2">
      <c r="A509" s="8" t="s">
        <v>541</v>
      </c>
      <c r="B509" s="8" t="s">
        <v>82</v>
      </c>
      <c r="C509" s="8" t="s">
        <v>203</v>
      </c>
      <c r="D509" s="8">
        <v>1</v>
      </c>
      <c r="E509" s="8">
        <v>1</v>
      </c>
      <c r="F509" s="8">
        <f>SUM(G509:M509)</f>
        <v>1</v>
      </c>
      <c r="G509" s="8">
        <v>1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1</v>
      </c>
      <c r="O509" s="8">
        <v>1</v>
      </c>
      <c r="P509" s="8">
        <v>1</v>
      </c>
      <c r="Q509" s="8">
        <v>0</v>
      </c>
      <c r="R509" s="8">
        <v>1</v>
      </c>
      <c r="S509" s="8">
        <v>0</v>
      </c>
      <c r="T509" s="10">
        <v>2.4529999999999998</v>
      </c>
      <c r="U509" s="10">
        <v>-6.1269999999999998</v>
      </c>
      <c r="V509" s="10">
        <v>-3.9279999999999999</v>
      </c>
      <c r="W509" s="10">
        <f>IF(RIGHT(C509,2)="12",IF(ISNUMBER(T509),T509,""),IF(COUNT(T509,U509,V509)=3,T509+U509-V509,""))</f>
        <v>0.254</v>
      </c>
      <c r="X509" s="10">
        <v>0.255</v>
      </c>
      <c r="Y509" s="10">
        <v>2.0750000000000002</v>
      </c>
      <c r="Z509" s="10">
        <v>-2.0129999999999999</v>
      </c>
      <c r="AA509" s="10">
        <v>-2.2599999999999998</v>
      </c>
      <c r="AB509" s="10">
        <v>2.4529999999999998</v>
      </c>
      <c r="AC509" s="8">
        <v>1</v>
      </c>
      <c r="AD509" s="8">
        <v>0</v>
      </c>
      <c r="AE509" s="8">
        <v>0</v>
      </c>
      <c r="AF509" s="10">
        <v>2.4529999999999998</v>
      </c>
      <c r="AG509" s="8">
        <f>COUNTIF(Y509:AB509,"&gt;0")</f>
        <v>2</v>
      </c>
      <c r="AH509" s="10">
        <v>0</v>
      </c>
      <c r="AI509" s="10">
        <v>2.0750000000000002</v>
      </c>
      <c r="AJ509" s="8" t="str">
        <f>IF(ISNUMBER(X509),IF(X509&gt;0,"+",IF(X509&lt;0,"−","0")),IF(ISNUMBER(W509),IF(W509&gt;0,"+",IF(W509&lt;0,"−","0")),"yok"))</f>
        <v>+</v>
      </c>
      <c r="AK509" s="10">
        <f>IF(AND(RIGHT(C509,2)&lt;&gt;"12",ISNUMBER(U509),ISNUMBER(V509)),U509-V509,"")</f>
        <v>-2.1989999999999998</v>
      </c>
      <c r="AL509" s="11">
        <f>IF(AND(ISNUMBER(AK509),ISNUMBER(V509)),IF(V509&lt;&gt;0,AK509/ABS(V509),""),"")</f>
        <v>-0.55982688391038693</v>
      </c>
      <c r="AM509" s="8">
        <f>IF(ISNUMBER(AK509),IF(AK509&gt;1,1,0),"")</f>
        <v>0</v>
      </c>
      <c r="AN509" s="8">
        <f>IF(ISNUMBER(AK509),IF(AK509&gt;0.05*ABS(V509),1,0),"")</f>
        <v>0</v>
      </c>
      <c r="AO509" s="10">
        <v>0.25600000000000001</v>
      </c>
      <c r="AP509" s="10">
        <v>0</v>
      </c>
      <c r="AQ509" s="8" t="s">
        <v>204</v>
      </c>
      <c r="AR509" s="8">
        <v>1</v>
      </c>
      <c r="AS509" s="10">
        <v>204.839</v>
      </c>
      <c r="AT509" s="10">
        <v>183.99799999999999</v>
      </c>
      <c r="AU509" s="8" t="s">
        <v>212</v>
      </c>
      <c r="AV509" s="10">
        <v>2.4529999999999998</v>
      </c>
      <c r="AW509" s="11">
        <f>IF(AND(ISNUMBER(AV509),ISNUMBER(AT509)),IF(AT509&lt;&gt;0,AV509/ABS(AT509),""),"")</f>
        <v>1.3331666648550528E-2</v>
      </c>
      <c r="AX509" s="8">
        <v>1</v>
      </c>
      <c r="AY509" s="8">
        <v>0</v>
      </c>
      <c r="AZ509" s="8" t="s">
        <v>467</v>
      </c>
      <c r="BA509" s="8">
        <v>0</v>
      </c>
    </row>
    <row r="510" spans="1:53" x14ac:dyDescent="0.2">
      <c r="A510" s="8" t="s">
        <v>541</v>
      </c>
      <c r="B510" s="8" t="s">
        <v>82</v>
      </c>
      <c r="C510" s="8" t="s">
        <v>208</v>
      </c>
      <c r="D510" s="8">
        <v>1</v>
      </c>
      <c r="E510" s="8">
        <v>1</v>
      </c>
      <c r="F510" s="8">
        <f>SUM(G510:M510)</f>
        <v>1</v>
      </c>
      <c r="G510" s="8">
        <v>0</v>
      </c>
      <c r="H510" s="8">
        <v>0</v>
      </c>
      <c r="I510" s="8">
        <v>0</v>
      </c>
      <c r="J510" s="8">
        <v>1</v>
      </c>
      <c r="K510" s="8">
        <v>0</v>
      </c>
      <c r="L510" s="8">
        <v>0</v>
      </c>
      <c r="M510" s="8">
        <v>0</v>
      </c>
      <c r="N510" s="8">
        <v>0</v>
      </c>
      <c r="O510" s="8">
        <v>1</v>
      </c>
      <c r="P510" s="8">
        <v>0</v>
      </c>
      <c r="Q510" s="8">
        <v>0</v>
      </c>
      <c r="R510" s="8">
        <v>0</v>
      </c>
      <c r="S510" s="8">
        <v>0</v>
      </c>
      <c r="T510" s="10">
        <v>-2.923</v>
      </c>
      <c r="U510" s="10">
        <v>-15.018000000000001</v>
      </c>
      <c r="V510" s="10">
        <v>2.4529999999999998</v>
      </c>
      <c r="W510" s="10">
        <f>IF(RIGHT(C510,2)="12",IF(ISNUMBER(T510),T510,""),IF(COUNT(T510,U510,V510)=3,T510+U510-V510,""))</f>
        <v>-20.394000000000002</v>
      </c>
      <c r="X510" s="10">
        <v>-20.395</v>
      </c>
      <c r="Y510" s="10">
        <v>-9.4909999999999997</v>
      </c>
      <c r="Z510" s="10">
        <v>-3.8090000000000002</v>
      </c>
      <c r="AA510" s="10">
        <v>-4.17</v>
      </c>
      <c r="AB510" s="10">
        <v>-2.923</v>
      </c>
      <c r="AC510" s="8">
        <v>0</v>
      </c>
      <c r="AD510" s="8">
        <v>0</v>
      </c>
      <c r="AE510" s="8">
        <v>1</v>
      </c>
      <c r="AF510" s="10">
        <v>2.4529999999999998</v>
      </c>
      <c r="AG510" s="8">
        <f>COUNTIF(Y510:AB510,"&gt;0")</f>
        <v>0</v>
      </c>
      <c r="AH510" s="10">
        <v>0</v>
      </c>
      <c r="AI510" s="10">
        <v>0</v>
      </c>
      <c r="AJ510" s="8" t="str">
        <f>IF(ISNUMBER(X510),IF(X510&gt;0,"+",IF(X510&lt;0,"−","0")),IF(ISNUMBER(W510),IF(W510&gt;0,"+",IF(W510&lt;0,"−","0")),"yok"))</f>
        <v>−</v>
      </c>
      <c r="AK510" s="10">
        <f>IF(AND(RIGHT(C510,2)&lt;&gt;"12",ISNUMBER(U510),ISNUMBER(V510)),U510-V510,"")</f>
        <v>-17.471</v>
      </c>
      <c r="AL510" s="11">
        <f>IF(AND(ISNUMBER(AK510),ISNUMBER(V510)),IF(V510&lt;&gt;0,AK510/ABS(V510),""),"")</f>
        <v>-7.1222992254382396</v>
      </c>
      <c r="AM510" s="8">
        <f>IF(ISNUMBER(AK510),IF(AK510&gt;1,1,0),"")</f>
        <v>0</v>
      </c>
      <c r="AN510" s="8">
        <f>IF(ISNUMBER(AK510),IF(AK510&gt;0.05*ABS(V510),1,0),"")</f>
        <v>0</v>
      </c>
      <c r="AO510" s="10">
        <v>-20.395</v>
      </c>
      <c r="AP510" s="10">
        <v>20.395</v>
      </c>
      <c r="AQ510" s="8" t="s">
        <v>204</v>
      </c>
      <c r="AR510" s="8">
        <v>0</v>
      </c>
      <c r="AS510" s="10">
        <v>-1241.462</v>
      </c>
      <c r="AT510" s="10">
        <v>-1282.404</v>
      </c>
      <c r="AU510" s="8" t="s">
        <v>204</v>
      </c>
      <c r="AV510" s="10">
        <v>2.4529999999999998</v>
      </c>
      <c r="AW510" s="11">
        <f>IF(AND(ISNUMBER(AV510),ISNUMBER(AT510)),IF(AT510&lt;&gt;0,AV510/ABS(AT510),""),"")</f>
        <v>1.9128137466820126E-3</v>
      </c>
      <c r="AX510" s="8">
        <v>1</v>
      </c>
      <c r="AY510" s="8">
        <v>0</v>
      </c>
      <c r="AZ510" s="8" t="s">
        <v>468</v>
      </c>
      <c r="BA510" s="8">
        <v>0</v>
      </c>
    </row>
    <row r="511" spans="1:53" x14ac:dyDescent="0.2">
      <c r="A511" s="8" t="s">
        <v>542</v>
      </c>
      <c r="B511" s="8" t="s">
        <v>82</v>
      </c>
      <c r="C511" s="8" t="s">
        <v>205</v>
      </c>
      <c r="D511" s="8">
        <v>1</v>
      </c>
      <c r="E511" s="8">
        <v>1</v>
      </c>
      <c r="F511" s="8">
        <f>SUM(G511:M511)</f>
        <v>1</v>
      </c>
      <c r="G511" s="8">
        <v>1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1</v>
      </c>
      <c r="O511" s="8">
        <v>1</v>
      </c>
      <c r="P511" s="8">
        <v>1</v>
      </c>
      <c r="Q511" s="8">
        <v>0</v>
      </c>
      <c r="R511" s="8">
        <v>1</v>
      </c>
      <c r="S511" s="8">
        <v>1</v>
      </c>
      <c r="T511" s="10">
        <v>39.039000000000001</v>
      </c>
      <c r="U511" s="10">
        <v>-48.031999999999996</v>
      </c>
      <c r="V511" s="10">
        <v>-28.49</v>
      </c>
      <c r="W511" s="10">
        <f>IF(RIGHT(C511,2)="12",IF(ISNUMBER(T511),T511,""),IF(COUNT(T511,U511,V511)=3,T511+U511-V511,""))</f>
        <v>19.497000000000003</v>
      </c>
      <c r="X511" s="10">
        <v>19.497</v>
      </c>
      <c r="Y511" s="10">
        <v>-22.989000000000001</v>
      </c>
      <c r="Z511" s="10">
        <v>3.4470000000000001</v>
      </c>
      <c r="AA511" s="10">
        <v>-7.2649999999999997</v>
      </c>
      <c r="AB511" s="10">
        <v>46.305</v>
      </c>
      <c r="AC511" s="8">
        <v>1</v>
      </c>
      <c r="AD511" s="8">
        <v>0</v>
      </c>
      <c r="AE511" s="8">
        <v>0</v>
      </c>
      <c r="AF511" s="10">
        <v>39.039000000000001</v>
      </c>
      <c r="AG511" s="8">
        <f>COUNTIF(Y511:AB511,"&gt;0")</f>
        <v>2</v>
      </c>
      <c r="AH511" s="10">
        <v>46.305</v>
      </c>
      <c r="AI511" s="10">
        <v>3.4470000000000001</v>
      </c>
      <c r="AJ511" s="8" t="str">
        <f>IF(ISNUMBER(X511),IF(X511&gt;0,"+",IF(X511&lt;0,"−","0")),IF(ISNUMBER(W511),IF(W511&gt;0,"+",IF(W511&lt;0,"−","0")),"yok"))</f>
        <v>+</v>
      </c>
      <c r="AK511" s="10">
        <f>IF(AND(RIGHT(C511,2)&lt;&gt;"12",ISNUMBER(U511),ISNUMBER(V511)),U511-V511,"")</f>
        <v>-19.541999999999998</v>
      </c>
      <c r="AL511" s="11">
        <f>IF(AND(ISNUMBER(AK511),ISNUMBER(V511)),IF(V511&lt;&gt;0,AK511/ABS(V511),""),"")</f>
        <v>-0.68592488592488587</v>
      </c>
      <c r="AM511" s="8">
        <f>IF(ISNUMBER(AK511),IF(AK511&gt;1,1,0),"")</f>
        <v>0</v>
      </c>
      <c r="AN511" s="8">
        <f>IF(ISNUMBER(AK511),IF(AK511&gt;0.05*ABS(V511),1,0),"")</f>
        <v>0</v>
      </c>
      <c r="AO511" s="10">
        <v>19.498000000000001</v>
      </c>
      <c r="AP511" s="10">
        <v>0</v>
      </c>
      <c r="AQ511" s="8" t="s">
        <v>204</v>
      </c>
      <c r="AR511" s="8">
        <v>1</v>
      </c>
      <c r="AS511" s="10">
        <v>-845.49</v>
      </c>
      <c r="AT511" s="10">
        <v>-1345.2850000000001</v>
      </c>
      <c r="AU511" s="8" t="s">
        <v>204</v>
      </c>
      <c r="AV511" s="10">
        <v>39.039000000000001</v>
      </c>
      <c r="AW511" s="11">
        <f>IF(AND(ISNUMBER(AV511),ISNUMBER(AT511)),IF(AT511&lt;&gt;0,AV511/ABS(AT511),""),"")</f>
        <v>2.9019129775475085E-2</v>
      </c>
      <c r="AX511" s="8">
        <v>1</v>
      </c>
      <c r="AY511" s="8">
        <v>0</v>
      </c>
      <c r="AZ511" s="8" t="s">
        <v>543</v>
      </c>
      <c r="BA511" s="8">
        <v>0</v>
      </c>
    </row>
    <row r="512" spans="1:53" x14ac:dyDescent="0.2">
      <c r="A512" s="8" t="s">
        <v>542</v>
      </c>
      <c r="B512" s="8" t="s">
        <v>82</v>
      </c>
      <c r="C512" s="8" t="s">
        <v>215</v>
      </c>
      <c r="D512" s="8">
        <v>1</v>
      </c>
      <c r="E512" s="8">
        <v>1</v>
      </c>
      <c r="F512" s="8">
        <f>SUM(G512:M512)</f>
        <v>1</v>
      </c>
      <c r="G512" s="8">
        <v>1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1</v>
      </c>
      <c r="O512" s="8">
        <v>1</v>
      </c>
      <c r="P512" s="8">
        <v>1</v>
      </c>
      <c r="Q512" s="8">
        <v>1</v>
      </c>
      <c r="R512" s="8">
        <v>1</v>
      </c>
      <c r="S512" s="8">
        <v>1</v>
      </c>
      <c r="T512" s="10">
        <v>17.402000000000001</v>
      </c>
      <c r="U512" s="10">
        <v>-48.031999999999996</v>
      </c>
      <c r="V512" s="10">
        <v>-51.48</v>
      </c>
      <c r="W512" s="10">
        <f>IF(RIGHT(C512,2)="12",IF(ISNUMBER(T512),T512,""),IF(COUNT(T512,U512,V512)=3,T512+U512-V512,""))</f>
        <v>20.85</v>
      </c>
      <c r="X512" s="10">
        <v>20.85</v>
      </c>
      <c r="Y512" s="10">
        <v>3.4470000000000001</v>
      </c>
      <c r="Z512" s="10">
        <v>-7.2649999999999997</v>
      </c>
      <c r="AA512" s="10">
        <v>46.305</v>
      </c>
      <c r="AB512" s="10">
        <v>-21.635999999999999</v>
      </c>
      <c r="AC512" s="8">
        <v>1</v>
      </c>
      <c r="AD512" s="8">
        <v>0</v>
      </c>
      <c r="AE512" s="8">
        <v>0</v>
      </c>
      <c r="AF512" s="10">
        <v>17.402000000000001</v>
      </c>
      <c r="AG512" s="8">
        <f>COUNTIF(Y512:AB512,"&gt;0")</f>
        <v>2</v>
      </c>
      <c r="AH512" s="10">
        <v>46.305</v>
      </c>
      <c r="AI512" s="10">
        <v>3.4470000000000001</v>
      </c>
      <c r="AJ512" s="8" t="str">
        <f>IF(ISNUMBER(X512),IF(X512&gt;0,"+",IF(X512&lt;0,"−","0")),IF(ISNUMBER(W512),IF(W512&gt;0,"+",IF(W512&lt;0,"−","0")),"yok"))</f>
        <v>+</v>
      </c>
      <c r="AK512" s="10">
        <f>IF(AND(RIGHT(C512,2)&lt;&gt;"12",ISNUMBER(U512),ISNUMBER(V512)),U512-V512,"")</f>
        <v>3.4480000000000004</v>
      </c>
      <c r="AL512" s="11">
        <f>IF(AND(ISNUMBER(AK512),ISNUMBER(V512)),IF(V512&lt;&gt;0,AK512/ABS(V512),""),"")</f>
        <v>6.6977466977466996E-2</v>
      </c>
      <c r="AM512" s="8">
        <f>IF(ISNUMBER(AK512),IF(AK512&gt;1,1,0),"")</f>
        <v>1</v>
      </c>
      <c r="AN512" s="8">
        <f>IF(ISNUMBER(AK512),IF(AK512&gt;0.05*ABS(V512),1,0),"")</f>
        <v>1</v>
      </c>
      <c r="AO512" s="10">
        <v>20.85</v>
      </c>
      <c r="AP512" s="10">
        <v>0</v>
      </c>
      <c r="AQ512" s="8" t="s">
        <v>204</v>
      </c>
      <c r="AR512" s="8">
        <v>1</v>
      </c>
      <c r="AS512" s="10">
        <v>-625.85299999999995</v>
      </c>
      <c r="AT512" s="10">
        <v>-1184.326</v>
      </c>
      <c r="AU512" s="8" t="s">
        <v>204</v>
      </c>
      <c r="AV512" s="10">
        <v>17.402000000000001</v>
      </c>
      <c r="AW512" s="11">
        <f>IF(AND(ISNUMBER(AV512),ISNUMBER(AT512)),IF(AT512&lt;&gt;0,AV512/ABS(AT512),""),"")</f>
        <v>1.4693589433990304E-2</v>
      </c>
      <c r="AX512" s="8">
        <v>1</v>
      </c>
      <c r="AY512" s="8">
        <v>0</v>
      </c>
      <c r="AZ512" s="8" t="s">
        <v>544</v>
      </c>
      <c r="BA512" s="8">
        <v>0</v>
      </c>
    </row>
    <row r="513" spans="1:53" x14ac:dyDescent="0.2">
      <c r="A513" s="8" t="s">
        <v>542</v>
      </c>
      <c r="B513" s="8" t="s">
        <v>82</v>
      </c>
      <c r="C513" s="8" t="s">
        <v>208</v>
      </c>
      <c r="D513" s="8">
        <v>1</v>
      </c>
      <c r="E513" s="8">
        <v>1</v>
      </c>
      <c r="F513" s="8">
        <f>SUM(G513:M513)</f>
        <v>1</v>
      </c>
      <c r="G513" s="8">
        <v>0</v>
      </c>
      <c r="H513" s="8">
        <v>1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1</v>
      </c>
      <c r="Q513" s="8">
        <v>1</v>
      </c>
      <c r="R513" s="8">
        <v>1</v>
      </c>
      <c r="S513" s="8">
        <v>0</v>
      </c>
      <c r="T513" s="10">
        <v>-25.928999999999998</v>
      </c>
      <c r="U513" s="10">
        <v>-2.0259999999999998</v>
      </c>
      <c r="V513" s="10">
        <v>-7.2649999999999997</v>
      </c>
      <c r="W513" s="10">
        <f>IF(RIGHT(C513,2)="12",IF(ISNUMBER(T513),T513,""),IF(COUNT(T513,U513,V513)=3,T513+U513-V513,""))</f>
        <v>-20.689999999999998</v>
      </c>
      <c r="X513" s="10">
        <v>-20.689</v>
      </c>
      <c r="Y513" s="10">
        <v>46.305</v>
      </c>
      <c r="Z513" s="10">
        <v>-21.635999999999999</v>
      </c>
      <c r="AA513" s="10">
        <v>-19.428999999999998</v>
      </c>
      <c r="AB513" s="10">
        <v>-25.928999999999998</v>
      </c>
      <c r="AC513" s="8">
        <v>0</v>
      </c>
      <c r="AD513" s="8">
        <v>0</v>
      </c>
      <c r="AE513" s="8">
        <v>0</v>
      </c>
      <c r="AF513" s="10">
        <v>0</v>
      </c>
      <c r="AG513" s="8">
        <f>COUNTIF(Y513:AB513,"&gt;0")</f>
        <v>1</v>
      </c>
      <c r="AH513" s="10">
        <v>0</v>
      </c>
      <c r="AI513" s="10">
        <v>46.305</v>
      </c>
      <c r="AJ513" s="8" t="str">
        <f>IF(ISNUMBER(X513),IF(X513&gt;0,"+",IF(X513&lt;0,"−","0")),IF(ISNUMBER(W513),IF(W513&gt;0,"+",IF(W513&lt;0,"−","0")),"yok"))</f>
        <v>−</v>
      </c>
      <c r="AK513" s="10">
        <f>IF(AND(RIGHT(C513,2)&lt;&gt;"12",ISNUMBER(U513),ISNUMBER(V513)),U513-V513,"")</f>
        <v>5.2389999999999999</v>
      </c>
      <c r="AL513" s="11">
        <f>IF(AND(ISNUMBER(AK513),ISNUMBER(V513)),IF(V513&lt;&gt;0,AK513/ABS(V513),""),"")</f>
        <v>0.72112869924294565</v>
      </c>
      <c r="AM513" s="8">
        <f>IF(ISNUMBER(AK513),IF(AK513&gt;1,1,0),"")</f>
        <v>1</v>
      </c>
      <c r="AN513" s="8">
        <f>IF(ISNUMBER(AK513),IF(AK513&gt;0.05*ABS(V513),1,0),"")</f>
        <v>1</v>
      </c>
      <c r="AO513" s="10">
        <v>-20.69</v>
      </c>
      <c r="AP513" s="10">
        <v>20.69</v>
      </c>
      <c r="AQ513" s="8" t="s">
        <v>204</v>
      </c>
      <c r="AR513" s="8">
        <v>0</v>
      </c>
      <c r="AS513" s="10">
        <v>-592.78300000000002</v>
      </c>
      <c r="AT513" s="10">
        <v>-1949.7650000000001</v>
      </c>
      <c r="AU513" s="8" t="s">
        <v>204</v>
      </c>
      <c r="AV513" s="10">
        <v>5.2389999999999999</v>
      </c>
      <c r="AW513" s="11">
        <f>IF(AND(ISNUMBER(AV513),ISNUMBER(AT513)),IF(AT513&lt;&gt;0,AV513/ABS(AT513),""),"")</f>
        <v>2.6869904834685202E-3</v>
      </c>
      <c r="AX513" s="8">
        <v>0</v>
      </c>
      <c r="AY513" s="8">
        <v>1</v>
      </c>
      <c r="AZ513" s="10"/>
      <c r="BA513" s="8">
        <v>0</v>
      </c>
    </row>
    <row r="514" spans="1:53" x14ac:dyDescent="0.2">
      <c r="A514" s="8" t="s">
        <v>542</v>
      </c>
      <c r="B514" s="8" t="s">
        <v>82</v>
      </c>
      <c r="C514" s="8" t="s">
        <v>210</v>
      </c>
      <c r="D514" s="8">
        <v>1</v>
      </c>
      <c r="E514" s="8">
        <v>1</v>
      </c>
      <c r="F514" s="8">
        <f>SUM(G514:M514)</f>
        <v>1</v>
      </c>
      <c r="G514" s="8">
        <v>0</v>
      </c>
      <c r="H514" s="8">
        <v>0</v>
      </c>
      <c r="I514" s="8">
        <v>0</v>
      </c>
      <c r="J514" s="8">
        <v>1</v>
      </c>
      <c r="K514" s="8">
        <v>0</v>
      </c>
      <c r="L514" s="8">
        <v>0</v>
      </c>
      <c r="M514" s="8">
        <v>0</v>
      </c>
      <c r="N514" s="8">
        <v>0</v>
      </c>
      <c r="O514" s="8">
        <v>1</v>
      </c>
      <c r="P514" s="8">
        <v>0</v>
      </c>
      <c r="Q514" s="8">
        <v>0</v>
      </c>
      <c r="R514" s="8">
        <v>0</v>
      </c>
      <c r="S514" s="8">
        <v>0</v>
      </c>
      <c r="T514" s="10">
        <v>-27.916</v>
      </c>
      <c r="U514" s="10">
        <v>-2.0259999999999998</v>
      </c>
      <c r="V514" s="10">
        <v>39.039000000000001</v>
      </c>
      <c r="W514" s="10">
        <f>IF(RIGHT(C514,2)="12",IF(ISNUMBER(T514),T514,""),IF(COUNT(T514,U514,V514)=3,T514+U514-V514,""))</f>
        <v>-68.980999999999995</v>
      </c>
      <c r="X514" s="10">
        <v>-68.981999999999999</v>
      </c>
      <c r="Y514" s="10">
        <v>-21.635999999999999</v>
      </c>
      <c r="Z514" s="10">
        <v>-19.428999999999998</v>
      </c>
      <c r="AA514" s="10">
        <v>-25.928999999999998</v>
      </c>
      <c r="AB514" s="10">
        <v>-1.986</v>
      </c>
      <c r="AC514" s="8">
        <v>0</v>
      </c>
      <c r="AD514" s="8">
        <v>0</v>
      </c>
      <c r="AE514" s="8">
        <v>1</v>
      </c>
      <c r="AF514" s="10">
        <v>39.039000000000001</v>
      </c>
      <c r="AG514" s="8">
        <f>COUNTIF(Y514:AB514,"&gt;0")</f>
        <v>0</v>
      </c>
      <c r="AH514" s="10">
        <v>0</v>
      </c>
      <c r="AI514" s="10">
        <v>0</v>
      </c>
      <c r="AJ514" s="8" t="str">
        <f>IF(ISNUMBER(X514),IF(X514&gt;0,"+",IF(X514&lt;0,"−","0")),IF(ISNUMBER(W514),IF(W514&gt;0,"+",IF(W514&lt;0,"−","0")),"yok"))</f>
        <v>−</v>
      </c>
      <c r="AK514" s="10">
        <f>IF(AND(RIGHT(C514,2)&lt;&gt;"12",ISNUMBER(U514),ISNUMBER(V514)),U514-V514,"")</f>
        <v>-41.064999999999998</v>
      </c>
      <c r="AL514" s="11">
        <f>IF(AND(ISNUMBER(AK514),ISNUMBER(V514)),IF(V514&lt;&gt;0,AK514/ABS(V514),""),"")</f>
        <v>-1.0518968211275903</v>
      </c>
      <c r="AM514" s="8">
        <f>IF(ISNUMBER(AK514),IF(AK514&gt;1,1,0),"")</f>
        <v>0</v>
      </c>
      <c r="AN514" s="8">
        <f>IF(ISNUMBER(AK514),IF(AK514&gt;0.05*ABS(V514),1,0),"")</f>
        <v>0</v>
      </c>
      <c r="AO514" s="10">
        <v>-68.983000000000004</v>
      </c>
      <c r="AP514" s="10">
        <v>68.983000000000004</v>
      </c>
      <c r="AQ514" s="8" t="s">
        <v>204</v>
      </c>
      <c r="AR514" s="8">
        <v>0</v>
      </c>
      <c r="AS514" s="10">
        <v>-1056.501</v>
      </c>
      <c r="AT514" s="10">
        <v>-2456.8209999999999</v>
      </c>
      <c r="AU514" s="8" t="s">
        <v>204</v>
      </c>
      <c r="AV514" s="10">
        <v>39.039000000000001</v>
      </c>
      <c r="AW514" s="11">
        <f>IF(AND(ISNUMBER(AV514),ISNUMBER(AT514)),IF(AT514&lt;&gt;0,AV514/ABS(AT514),""),"")</f>
        <v>1.5890046527606203E-2</v>
      </c>
      <c r="AX514" s="8">
        <v>1</v>
      </c>
      <c r="AY514" s="8">
        <v>0</v>
      </c>
      <c r="AZ514" s="8" t="s">
        <v>545</v>
      </c>
      <c r="BA514" s="8">
        <v>0</v>
      </c>
    </row>
    <row r="515" spans="1:53" x14ac:dyDescent="0.2">
      <c r="A515" s="8" t="s">
        <v>546</v>
      </c>
      <c r="B515" s="8" t="s">
        <v>83</v>
      </c>
      <c r="C515" s="8" t="s">
        <v>203</v>
      </c>
      <c r="D515" s="8">
        <v>1</v>
      </c>
      <c r="E515" s="8">
        <v>1</v>
      </c>
      <c r="F515" s="8">
        <f>SUM(G515:M515)</f>
        <v>1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1</v>
      </c>
      <c r="N515" s="8">
        <v>0</v>
      </c>
      <c r="O515" s="8">
        <v>0</v>
      </c>
      <c r="P515" s="8">
        <v>1</v>
      </c>
      <c r="Q515" s="8">
        <v>0</v>
      </c>
      <c r="R515" s="8">
        <v>0</v>
      </c>
      <c r="S515" s="8">
        <v>0</v>
      </c>
      <c r="T515" s="10">
        <v>-17.654</v>
      </c>
      <c r="U515" s="10">
        <v>-12.294</v>
      </c>
      <c r="V515" s="10">
        <v>0</v>
      </c>
      <c r="W515" s="10">
        <f>IF(RIGHT(C515,2)="12",IF(ISNUMBER(T515),T515,""),IF(COUNT(T515,U515,V515)=3,T515+U515-V515,""))</f>
        <v>-29.948</v>
      </c>
      <c r="X515" s="10">
        <v>-29.949000000000002</v>
      </c>
      <c r="Y515" s="10">
        <v>0</v>
      </c>
      <c r="Z515" s="10">
        <v>-18.619</v>
      </c>
      <c r="AA515" s="10">
        <v>6.3239999999999998</v>
      </c>
      <c r="AB515" s="10">
        <v>-17.654</v>
      </c>
      <c r="AC515" s="8">
        <v>0</v>
      </c>
      <c r="AD515" s="8">
        <v>0</v>
      </c>
      <c r="AE515" s="8">
        <v>0</v>
      </c>
      <c r="AF515" s="10">
        <v>0</v>
      </c>
      <c r="AG515" s="8">
        <f>COUNTIF(Y515:AB515,"&gt;0")</f>
        <v>1</v>
      </c>
      <c r="AH515" s="10">
        <v>0</v>
      </c>
      <c r="AI515" s="10">
        <v>6.3239999999999998</v>
      </c>
      <c r="AJ515" s="8" t="str">
        <f>IF(ISNUMBER(X515),IF(X515&gt;0,"+",IF(X515&lt;0,"−","0")),IF(ISNUMBER(W515),IF(W515&gt;0,"+",IF(W515&lt;0,"−","0")),"yok"))</f>
        <v>−</v>
      </c>
      <c r="AK515" s="10">
        <f>IF(AND(RIGHT(C515,2)&lt;&gt;"12",ISNUMBER(U515),ISNUMBER(V515)),U515-V515,"")</f>
        <v>-12.294</v>
      </c>
      <c r="AL515" s="11" t="str">
        <f>IF(AND(ISNUMBER(AK515),ISNUMBER(V515)),IF(V515&lt;&gt;0,AK515/ABS(V515),""),"")</f>
        <v/>
      </c>
      <c r="AM515" s="8">
        <f>IF(ISNUMBER(AK515),IF(AK515&gt;1,1,0),"")</f>
        <v>0</v>
      </c>
      <c r="AN515" s="8">
        <f>IF(ISNUMBER(AK515),IF(AK515&gt;0.05*ABS(V515),1,0),"")</f>
        <v>0</v>
      </c>
      <c r="AO515" s="10">
        <v>-29.95</v>
      </c>
      <c r="AP515" s="10">
        <v>29.95</v>
      </c>
      <c r="AQ515" s="8" t="s">
        <v>204</v>
      </c>
      <c r="AR515" s="8">
        <v>0</v>
      </c>
      <c r="AS515" s="10">
        <v>28.890999999999998</v>
      </c>
      <c r="AT515" s="10">
        <v>-1.0589999999999999</v>
      </c>
      <c r="AU515" s="8" t="s">
        <v>204</v>
      </c>
      <c r="AV515" s="10">
        <v>6.3239999999999998</v>
      </c>
      <c r="AW515" s="11">
        <f>IF(AND(ISNUMBER(AV515),ISNUMBER(AT515)),IF(AT515&lt;&gt;0,AV515/ABS(AT515),""),"")</f>
        <v>5.9716713881019832</v>
      </c>
      <c r="AX515" s="8">
        <v>0</v>
      </c>
      <c r="AY515" s="8">
        <v>0</v>
      </c>
      <c r="AZ515" s="10"/>
      <c r="BA515" s="8">
        <v>0</v>
      </c>
    </row>
    <row r="516" spans="1:53" x14ac:dyDescent="0.2">
      <c r="A516" s="8" t="s">
        <v>546</v>
      </c>
      <c r="B516" s="8" t="s">
        <v>83</v>
      </c>
      <c r="C516" s="8" t="s">
        <v>205</v>
      </c>
      <c r="D516" s="8">
        <v>1</v>
      </c>
      <c r="E516" s="8">
        <v>1</v>
      </c>
      <c r="F516" s="8">
        <f>SUM(G516:M516)</f>
        <v>1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1</v>
      </c>
      <c r="N516" s="8">
        <v>0</v>
      </c>
      <c r="O516" s="8">
        <v>0</v>
      </c>
      <c r="P516" s="8">
        <v>1</v>
      </c>
      <c r="Q516" s="8">
        <v>0</v>
      </c>
      <c r="R516" s="8">
        <v>0</v>
      </c>
      <c r="S516" s="8">
        <v>1</v>
      </c>
      <c r="T516" s="10">
        <v>0</v>
      </c>
      <c r="U516" s="10">
        <v>-12.294</v>
      </c>
      <c r="V516" s="10">
        <v>0</v>
      </c>
      <c r="W516" s="10">
        <f>IF(RIGHT(C516,2)="12",IF(ISNUMBER(T516),T516,""),IF(COUNT(T516,U516,V516)=3,T516+U516-V516,""))</f>
        <v>-12.294</v>
      </c>
      <c r="X516" s="10">
        <v>-12.294</v>
      </c>
      <c r="Y516" s="10">
        <v>-18.619</v>
      </c>
      <c r="Z516" s="10">
        <v>6.3239999999999998</v>
      </c>
      <c r="AA516" s="10">
        <v>-17.654</v>
      </c>
      <c r="AB516" s="10">
        <v>17.654</v>
      </c>
      <c r="AC516" s="8">
        <v>0</v>
      </c>
      <c r="AD516" s="8">
        <v>0</v>
      </c>
      <c r="AE516" s="8">
        <v>0</v>
      </c>
      <c r="AF516" s="10">
        <v>0</v>
      </c>
      <c r="AG516" s="8">
        <f>COUNTIF(Y516:AB516,"&gt;0")</f>
        <v>2</v>
      </c>
      <c r="AH516" s="10">
        <v>17.654</v>
      </c>
      <c r="AI516" s="10">
        <v>6.3239999999999998</v>
      </c>
      <c r="AJ516" s="8" t="str">
        <f>IF(ISNUMBER(X516),IF(X516&gt;0,"+",IF(X516&lt;0,"−","0")),IF(ISNUMBER(W516),IF(W516&gt;0,"+",IF(W516&lt;0,"−","0")),"yok"))</f>
        <v>−</v>
      </c>
      <c r="AK516" s="10">
        <f>IF(AND(RIGHT(C516,2)&lt;&gt;"12",ISNUMBER(U516),ISNUMBER(V516)),U516-V516,"")</f>
        <v>-12.294</v>
      </c>
      <c r="AL516" s="11" t="str">
        <f>IF(AND(ISNUMBER(AK516),ISNUMBER(V516)),IF(V516&lt;&gt;0,AK516/ABS(V516),""),"")</f>
        <v/>
      </c>
      <c r="AM516" s="8">
        <f>IF(ISNUMBER(AK516),IF(AK516&gt;1,1,0),"")</f>
        <v>0</v>
      </c>
      <c r="AN516" s="8">
        <f>IF(ISNUMBER(AK516),IF(AK516&gt;0.05*ABS(V516),1,0),"")</f>
        <v>0</v>
      </c>
      <c r="AO516" s="10">
        <v>-12.295</v>
      </c>
      <c r="AP516" s="10">
        <v>12.295</v>
      </c>
      <c r="AQ516" s="8" t="s">
        <v>204</v>
      </c>
      <c r="AR516" s="8">
        <v>0</v>
      </c>
      <c r="AS516" s="10">
        <v>12.42</v>
      </c>
      <c r="AT516" s="10">
        <v>0.125</v>
      </c>
      <c r="AU516" s="8" t="s">
        <v>204</v>
      </c>
      <c r="AV516" s="10">
        <v>17.654</v>
      </c>
      <c r="AW516" s="11">
        <f>IF(AND(ISNUMBER(AV516),ISNUMBER(AT516)),IF(AT516&lt;&gt;0,AV516/ABS(AT516),""),"")</f>
        <v>141.232</v>
      </c>
      <c r="AX516" s="8">
        <v>0</v>
      </c>
      <c r="AY516" s="8">
        <v>0</v>
      </c>
      <c r="AZ516" s="10"/>
      <c r="BA516" s="8">
        <v>0</v>
      </c>
    </row>
    <row r="517" spans="1:53" x14ac:dyDescent="0.2">
      <c r="A517" s="8" t="s">
        <v>546</v>
      </c>
      <c r="B517" s="8" t="s">
        <v>83</v>
      </c>
      <c r="C517" s="8" t="s">
        <v>215</v>
      </c>
      <c r="D517" s="8">
        <v>1</v>
      </c>
      <c r="E517" s="8">
        <v>1</v>
      </c>
      <c r="F517" s="8">
        <f>SUM(G517:M517)</f>
        <v>3</v>
      </c>
      <c r="G517" s="8">
        <v>0</v>
      </c>
      <c r="H517" s="8">
        <v>0</v>
      </c>
      <c r="I517" s="8">
        <v>1</v>
      </c>
      <c r="J517" s="8">
        <v>0</v>
      </c>
      <c r="K517" s="8">
        <v>0</v>
      </c>
      <c r="L517" s="8">
        <v>1</v>
      </c>
      <c r="M517" s="8">
        <v>1</v>
      </c>
      <c r="N517" s="8">
        <v>1</v>
      </c>
      <c r="O517" s="8">
        <v>0</v>
      </c>
      <c r="P517" s="8">
        <v>1</v>
      </c>
      <c r="Q517" s="8">
        <v>0</v>
      </c>
      <c r="R517" s="8">
        <v>0</v>
      </c>
      <c r="S517" s="8">
        <v>1</v>
      </c>
      <c r="T517" s="10">
        <v>0</v>
      </c>
      <c r="U517" s="10">
        <v>-12.294</v>
      </c>
      <c r="V517" s="10">
        <v>-18.619</v>
      </c>
      <c r="W517" s="10">
        <f>IF(RIGHT(C517,2)="12",IF(ISNUMBER(T517),T517,""),IF(COUNT(T517,U517,V517)=3,T517+U517-V517,""))</f>
        <v>6.3249999999999993</v>
      </c>
      <c r="X517" s="10">
        <v>6.3239999999999998</v>
      </c>
      <c r="Y517" s="10">
        <v>6.3239999999999998</v>
      </c>
      <c r="Z517" s="10">
        <v>-17.654</v>
      </c>
      <c r="AA517" s="10">
        <v>17.654</v>
      </c>
      <c r="AB517" s="10">
        <v>0</v>
      </c>
      <c r="AC517" s="8">
        <v>0</v>
      </c>
      <c r="AD517" s="8">
        <v>0</v>
      </c>
      <c r="AE517" s="8">
        <v>0</v>
      </c>
      <c r="AF517" s="10">
        <v>0</v>
      </c>
      <c r="AG517" s="8">
        <f>COUNTIF(Y517:AB517,"&gt;0")</f>
        <v>2</v>
      </c>
      <c r="AH517" s="10">
        <v>17.654</v>
      </c>
      <c r="AI517" s="10">
        <v>6.3239999999999998</v>
      </c>
      <c r="AJ517" s="8" t="str">
        <f>IF(ISNUMBER(X517),IF(X517&gt;0,"+",IF(X517&lt;0,"−","0")),IF(ISNUMBER(W517),IF(W517&gt;0,"+",IF(W517&lt;0,"−","0")),"yok"))</f>
        <v>+</v>
      </c>
      <c r="AK517" s="10">
        <f>IF(AND(RIGHT(C517,2)&lt;&gt;"12",ISNUMBER(U517),ISNUMBER(V517)),U517-V517,"")</f>
        <v>6.3249999999999993</v>
      </c>
      <c r="AL517" s="11">
        <f>IF(AND(ISNUMBER(AK517),ISNUMBER(V517)),IF(V517&lt;&gt;0,AK517/ABS(V517),""),"")</f>
        <v>0.33970675116816151</v>
      </c>
      <c r="AM517" s="8">
        <f>IF(ISNUMBER(AK517),IF(AK517&gt;1,1,0),"")</f>
        <v>1</v>
      </c>
      <c r="AN517" s="8">
        <f>IF(ISNUMBER(AK517),IF(AK517&gt;0.05*ABS(V517),1,0),"")</f>
        <v>1</v>
      </c>
      <c r="AO517" s="10">
        <v>6.3239999999999998</v>
      </c>
      <c r="AP517" s="10">
        <v>0</v>
      </c>
      <c r="AQ517" s="8" t="s">
        <v>204</v>
      </c>
      <c r="AR517" s="8">
        <v>1</v>
      </c>
      <c r="AS517" s="10">
        <v>-7.6440000000000001</v>
      </c>
      <c r="AT517" s="10">
        <v>-7.6440000000000001</v>
      </c>
      <c r="AU517" s="8" t="s">
        <v>204</v>
      </c>
      <c r="AV517" s="10">
        <v>6.3250000000000002</v>
      </c>
      <c r="AW517" s="11">
        <f>IF(AND(ISNUMBER(AV517),ISNUMBER(AT517)),IF(AT517&lt;&gt;0,AV517/ABS(AT517),""),"")</f>
        <v>0.8274463631606489</v>
      </c>
      <c r="AX517" s="8">
        <v>0</v>
      </c>
      <c r="AY517" s="8">
        <v>1</v>
      </c>
      <c r="AZ517" s="10"/>
      <c r="BA517" s="8">
        <v>0</v>
      </c>
    </row>
    <row r="518" spans="1:53" x14ac:dyDescent="0.2">
      <c r="A518" s="8" t="s">
        <v>546</v>
      </c>
      <c r="B518" s="8" t="s">
        <v>83</v>
      </c>
      <c r="C518" s="8" t="s">
        <v>208</v>
      </c>
      <c r="D518" s="8">
        <v>1</v>
      </c>
      <c r="E518" s="8">
        <v>1</v>
      </c>
      <c r="F518" s="8">
        <f>SUM(G518:M518)</f>
        <v>2</v>
      </c>
      <c r="G518" s="8">
        <v>0</v>
      </c>
      <c r="H518" s="8">
        <v>0</v>
      </c>
      <c r="I518" s="8">
        <v>1</v>
      </c>
      <c r="J518" s="8">
        <v>0</v>
      </c>
      <c r="K518" s="8">
        <v>0</v>
      </c>
      <c r="L518" s="8">
        <v>1</v>
      </c>
      <c r="M518" s="8">
        <v>0</v>
      </c>
      <c r="N518" s="8">
        <v>1</v>
      </c>
      <c r="O518" s="8">
        <v>0</v>
      </c>
      <c r="P518" s="8">
        <v>1</v>
      </c>
      <c r="Q518" s="8">
        <v>0</v>
      </c>
      <c r="R518" s="8">
        <v>0</v>
      </c>
      <c r="S518" s="8">
        <v>0</v>
      </c>
      <c r="T518" s="10">
        <v>0</v>
      </c>
      <c r="U518" s="10">
        <v>0</v>
      </c>
      <c r="V518" s="10">
        <v>-17.654</v>
      </c>
      <c r="W518" s="10">
        <f>IF(RIGHT(C518,2)="12",IF(ISNUMBER(T518),T518,""),IF(COUNT(T518,U518,V518)=3,T518+U518-V518,""))</f>
        <v>17.654</v>
      </c>
      <c r="X518" s="10">
        <v>17.654</v>
      </c>
      <c r="Y518" s="10">
        <v>17.654</v>
      </c>
      <c r="Z518" s="10">
        <v>0</v>
      </c>
      <c r="AA518" s="10">
        <v>0</v>
      </c>
      <c r="AB518" s="10">
        <v>0</v>
      </c>
      <c r="AC518" s="8">
        <v>0</v>
      </c>
      <c r="AD518" s="8">
        <v>0</v>
      </c>
      <c r="AE518" s="8">
        <v>0</v>
      </c>
      <c r="AF518" s="10">
        <v>0</v>
      </c>
      <c r="AG518" s="8">
        <f>COUNTIF(Y518:AB518,"&gt;0")</f>
        <v>1</v>
      </c>
      <c r="AH518" s="10">
        <v>0</v>
      </c>
      <c r="AI518" s="10">
        <v>17.654</v>
      </c>
      <c r="AJ518" s="8" t="str">
        <f>IF(ISNUMBER(X518),IF(X518&gt;0,"+",IF(X518&lt;0,"−","0")),IF(ISNUMBER(W518),IF(W518&gt;0,"+",IF(W518&lt;0,"−","0")),"yok"))</f>
        <v>+</v>
      </c>
      <c r="AK518" s="10">
        <f>IF(AND(RIGHT(C518,2)&lt;&gt;"12",ISNUMBER(U518),ISNUMBER(V518)),U518-V518,"")</f>
        <v>17.654</v>
      </c>
      <c r="AL518" s="11">
        <f>IF(AND(ISNUMBER(AK518),ISNUMBER(V518)),IF(V518&lt;&gt;0,AK518/ABS(V518),""),"")</f>
        <v>1</v>
      </c>
      <c r="AM518" s="8">
        <f>IF(ISNUMBER(AK518),IF(AK518&gt;1,1,0),"")</f>
        <v>1</v>
      </c>
      <c r="AN518" s="8">
        <f>IF(ISNUMBER(AK518),IF(AK518&gt;0.05*ABS(V518),1,0),"")</f>
        <v>1</v>
      </c>
      <c r="AO518" s="10">
        <v>17.655000000000001</v>
      </c>
      <c r="AP518" s="10">
        <v>0</v>
      </c>
      <c r="AQ518" s="8" t="s">
        <v>204</v>
      </c>
      <c r="AR518" s="8">
        <v>1</v>
      </c>
      <c r="AS518" s="10">
        <v>-20.437000000000001</v>
      </c>
      <c r="AT518" s="10">
        <v>-20.437000000000001</v>
      </c>
      <c r="AU518" s="8" t="s">
        <v>204</v>
      </c>
      <c r="AV518" s="10">
        <v>17.654</v>
      </c>
      <c r="AW518" s="11">
        <f>IF(AND(ISNUMBER(AV518),ISNUMBER(AT518)),IF(AT518&lt;&gt;0,AV518/ABS(AT518),""),"")</f>
        <v>0.86382541468904428</v>
      </c>
      <c r="AX518" s="8">
        <v>0</v>
      </c>
      <c r="AY518" s="8">
        <v>1</v>
      </c>
      <c r="AZ518" s="10"/>
      <c r="BA518" s="8">
        <v>0</v>
      </c>
    </row>
    <row r="519" spans="1:53" x14ac:dyDescent="0.2">
      <c r="A519" s="8" t="s">
        <v>547</v>
      </c>
      <c r="B519" s="8" t="s">
        <v>84</v>
      </c>
      <c r="C519" s="8" t="s">
        <v>203</v>
      </c>
      <c r="D519" s="8">
        <v>1</v>
      </c>
      <c r="E519" s="8">
        <v>1</v>
      </c>
      <c r="F519" s="8">
        <f>SUM(G519:M519)</f>
        <v>1</v>
      </c>
      <c r="G519" s="8">
        <v>0</v>
      </c>
      <c r="H519" s="8">
        <v>0</v>
      </c>
      <c r="I519" s="8">
        <v>1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10">
        <v>-0.80200000000000005</v>
      </c>
      <c r="U519" s="10"/>
      <c r="V519" s="10">
        <v>-6.0090000000000003</v>
      </c>
      <c r="W519" s="10" t="str">
        <f>IF(RIGHT(C519,2)="12",IF(ISNUMBER(T519),T519,""),IF(COUNT(T519,U519,V519)=3,T519+U519-V519,""))</f>
        <v/>
      </c>
      <c r="X519" s="10"/>
      <c r="Y519" s="10">
        <v>-6.1840000000000002</v>
      </c>
      <c r="Z519" s="10"/>
      <c r="AA519" s="10"/>
      <c r="AB519" s="10">
        <v>-0.80200000000000005</v>
      </c>
      <c r="AC519" s="8">
        <v>0</v>
      </c>
      <c r="AD519" s="8">
        <v>0</v>
      </c>
      <c r="AE519" s="8">
        <v>0</v>
      </c>
      <c r="AF519" s="10">
        <v>0</v>
      </c>
      <c r="AG519" s="8">
        <f>COUNTIF(Y519:AB519,"&gt;0")</f>
        <v>0</v>
      </c>
      <c r="AH519" s="10">
        <v>0</v>
      </c>
      <c r="AI519" s="10">
        <v>0</v>
      </c>
      <c r="AJ519" s="8" t="str">
        <f>IF(ISNUMBER(X519),IF(X519&gt;0,"+",IF(X519&lt;0,"−","0")),IF(ISNUMBER(W519),IF(W519&gt;0,"+",IF(W519&lt;0,"−","0")),"yok"))</f>
        <v>yok</v>
      </c>
      <c r="AK519" s="10" t="str">
        <f>IF(AND(RIGHT(C519,2)&lt;&gt;"12",ISNUMBER(U519),ISNUMBER(V519)),U519-V519,"")</f>
        <v/>
      </c>
      <c r="AL519" s="11" t="str">
        <f>IF(AND(ISNUMBER(AK519),ISNUMBER(V519)),IF(V519&lt;&gt;0,AK519/ABS(V519),""),"")</f>
        <v/>
      </c>
      <c r="AM519" s="8" t="str">
        <f>IF(ISNUMBER(AK519),IF(AK519&gt;1,1,0),"")</f>
        <v/>
      </c>
      <c r="AN519" s="8" t="str">
        <f>IF(ISNUMBER(AK519),IF(AK519&gt;0.05*ABS(V519),1,0),"")</f>
        <v/>
      </c>
      <c r="AO519" s="10">
        <v>5.2080000000000002</v>
      </c>
      <c r="AP519" s="10">
        <v>0</v>
      </c>
      <c r="AQ519" s="8" t="s">
        <v>209</v>
      </c>
      <c r="AR519" s="8">
        <v>1</v>
      </c>
      <c r="AS519" s="10">
        <v>10.82</v>
      </c>
      <c r="AT519" s="10">
        <v>-1.94</v>
      </c>
      <c r="AU519" s="8" t="s">
        <v>209</v>
      </c>
      <c r="AV519" s="10">
        <v>0</v>
      </c>
      <c r="AW519" s="11">
        <f>IF(AND(ISNUMBER(AV519),ISNUMBER(AT519)),IF(AT519&lt;&gt;0,AV519/ABS(AT519),""),"")</f>
        <v>0</v>
      </c>
      <c r="AX519" s="8">
        <v>0</v>
      </c>
      <c r="AY519" s="8">
        <v>0</v>
      </c>
      <c r="AZ519" s="10"/>
      <c r="BA519" s="8">
        <v>0</v>
      </c>
    </row>
    <row r="520" spans="1:53" x14ac:dyDescent="0.2">
      <c r="A520" s="8" t="s">
        <v>548</v>
      </c>
      <c r="B520" s="8" t="s">
        <v>83</v>
      </c>
      <c r="C520" s="8" t="s">
        <v>208</v>
      </c>
      <c r="D520" s="8">
        <v>1</v>
      </c>
      <c r="E520" s="8">
        <v>1</v>
      </c>
      <c r="F520" s="8">
        <f>SUM(G520:M520)</f>
        <v>1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1</v>
      </c>
      <c r="N520" s="8">
        <v>0</v>
      </c>
      <c r="O520" s="8">
        <v>0</v>
      </c>
      <c r="P520" s="8">
        <v>1</v>
      </c>
      <c r="Q520" s="8">
        <v>0</v>
      </c>
      <c r="R520" s="8">
        <v>0</v>
      </c>
      <c r="S520" s="8">
        <v>0</v>
      </c>
      <c r="T520" s="10">
        <v>-0.71899999999999997</v>
      </c>
      <c r="U520" s="10">
        <v>-22.538</v>
      </c>
      <c r="V520" s="10">
        <v>-21.077999999999999</v>
      </c>
      <c r="W520" s="10">
        <f>IF(RIGHT(C520,2)="12",IF(ISNUMBER(T520),T520,""),IF(COUNT(T520,U520,V520)=3,T520+U520-V520,""))</f>
        <v>-2.179000000000002</v>
      </c>
      <c r="X520" s="10">
        <v>-2.1789999999999998</v>
      </c>
      <c r="Y520" s="10">
        <v>9.0020000000000007</v>
      </c>
      <c r="Z520" s="10">
        <v>-0.81499999999999995</v>
      </c>
      <c r="AA520" s="10">
        <v>-9.6460000000000008</v>
      </c>
      <c r="AB520" s="10">
        <v>-0.71899999999999997</v>
      </c>
      <c r="AC520" s="8">
        <v>0</v>
      </c>
      <c r="AD520" s="8">
        <v>0</v>
      </c>
      <c r="AE520" s="8">
        <v>0</v>
      </c>
      <c r="AF520" s="10">
        <v>0</v>
      </c>
      <c r="AG520" s="8">
        <f>COUNTIF(Y520:AB520,"&gt;0")</f>
        <v>1</v>
      </c>
      <c r="AH520" s="10">
        <v>0</v>
      </c>
      <c r="AI520" s="10">
        <v>9.0020000000000007</v>
      </c>
      <c r="AJ520" s="8" t="str">
        <f>IF(ISNUMBER(X520),IF(X520&gt;0,"+",IF(X520&lt;0,"−","0")),IF(ISNUMBER(W520),IF(W520&gt;0,"+",IF(W520&lt;0,"−","0")),"yok"))</f>
        <v>−</v>
      </c>
      <c r="AK520" s="10">
        <f>IF(AND(RIGHT(C520,2)&lt;&gt;"12",ISNUMBER(U520),ISNUMBER(V520)),U520-V520,"")</f>
        <v>-1.4600000000000009</v>
      </c>
      <c r="AL520" s="11">
        <f>IF(AND(ISNUMBER(AK520),ISNUMBER(V520)),IF(V520&lt;&gt;0,AK520/ABS(V520),""),"")</f>
        <v>-6.9266533826738821E-2</v>
      </c>
      <c r="AM520" s="8">
        <f>IF(ISNUMBER(AK520),IF(AK520&gt;1,1,0),"")</f>
        <v>0</v>
      </c>
      <c r="AN520" s="8">
        <f>IF(ISNUMBER(AK520),IF(AK520&gt;0.05*ABS(V520),1,0),"")</f>
        <v>0</v>
      </c>
      <c r="AO520" s="10">
        <v>-2.1789999999999998</v>
      </c>
      <c r="AP520" s="10">
        <v>2.1789999999999998</v>
      </c>
      <c r="AQ520" s="8" t="s">
        <v>204</v>
      </c>
      <c r="AR520" s="8">
        <v>0</v>
      </c>
      <c r="AS520" s="10">
        <v>391.214</v>
      </c>
      <c r="AT520" s="10">
        <v>389.03500000000003</v>
      </c>
      <c r="AU520" s="8" t="s">
        <v>204</v>
      </c>
      <c r="AV520" s="10">
        <v>9.0020000000000007</v>
      </c>
      <c r="AW520" s="11">
        <f>IF(AND(ISNUMBER(AV520),ISNUMBER(AT520)),IF(AT520&lt;&gt;0,AV520/ABS(AT520),""),"")</f>
        <v>2.3139306232087088E-2</v>
      </c>
      <c r="AX520" s="8">
        <v>0</v>
      </c>
      <c r="AY520" s="8">
        <v>0</v>
      </c>
      <c r="AZ520" s="10"/>
      <c r="BA520" s="8">
        <v>0</v>
      </c>
    </row>
    <row r="521" spans="1:53" x14ac:dyDescent="0.2">
      <c r="A521" s="8" t="s">
        <v>549</v>
      </c>
      <c r="B521" s="8" t="s">
        <v>82</v>
      </c>
      <c r="C521" s="8" t="s">
        <v>203</v>
      </c>
      <c r="D521" s="8">
        <v>1</v>
      </c>
      <c r="E521" s="8">
        <v>1</v>
      </c>
      <c r="F521" s="8">
        <f>SUM(G521:M521)</f>
        <v>1</v>
      </c>
      <c r="G521" s="8">
        <v>0</v>
      </c>
      <c r="H521" s="8">
        <v>0</v>
      </c>
      <c r="I521" s="8">
        <v>0</v>
      </c>
      <c r="J521" s="8">
        <v>1</v>
      </c>
      <c r="K521" s="8">
        <v>0</v>
      </c>
      <c r="L521" s="8">
        <v>0</v>
      </c>
      <c r="M521" s="8">
        <v>0</v>
      </c>
      <c r="N521" s="8">
        <v>0</v>
      </c>
      <c r="O521" s="8">
        <v>1</v>
      </c>
      <c r="P521" s="8">
        <v>0</v>
      </c>
      <c r="Q521" s="8">
        <v>0</v>
      </c>
      <c r="R521" s="8">
        <v>0</v>
      </c>
      <c r="S521" s="8">
        <v>0</v>
      </c>
      <c r="T521" s="10">
        <v>-79.481999999999999</v>
      </c>
      <c r="U521" s="10">
        <v>-100.214</v>
      </c>
      <c r="V521" s="10">
        <v>106.479</v>
      </c>
      <c r="W521" s="10">
        <f>IF(RIGHT(C521,2)="12",IF(ISNUMBER(T521),T521,""),IF(COUNT(T521,U521,V521)=3,T521+U521-V521,""))</f>
        <v>-286.17500000000001</v>
      </c>
      <c r="X521" s="10">
        <v>-286.17599999999999</v>
      </c>
      <c r="Y521" s="10">
        <v>-34.188000000000002</v>
      </c>
      <c r="Z521" s="10">
        <v>-97.593000000000004</v>
      </c>
      <c r="AA521" s="10">
        <v>-74.912000000000006</v>
      </c>
      <c r="AB521" s="10">
        <v>-79.481999999999999</v>
      </c>
      <c r="AC521" s="8">
        <v>0</v>
      </c>
      <c r="AD521" s="8">
        <v>0</v>
      </c>
      <c r="AE521" s="8">
        <v>1</v>
      </c>
      <c r="AF521" s="10">
        <v>106.479</v>
      </c>
      <c r="AG521" s="8">
        <f>COUNTIF(Y521:AB521,"&gt;0")</f>
        <v>0</v>
      </c>
      <c r="AH521" s="10">
        <v>0</v>
      </c>
      <c r="AI521" s="10">
        <v>0</v>
      </c>
      <c r="AJ521" s="8" t="str">
        <f>IF(ISNUMBER(X521),IF(X521&gt;0,"+",IF(X521&lt;0,"−","0")),IF(ISNUMBER(W521),IF(W521&gt;0,"+",IF(W521&lt;0,"−","0")),"yok"))</f>
        <v>−</v>
      </c>
      <c r="AK521" s="10">
        <f>IF(AND(RIGHT(C521,2)&lt;&gt;"12",ISNUMBER(U521),ISNUMBER(V521)),U521-V521,"")</f>
        <v>-206.69299999999998</v>
      </c>
      <c r="AL521" s="11">
        <f>IF(AND(ISNUMBER(AK521),ISNUMBER(V521)),IF(V521&lt;&gt;0,AK521/ABS(V521),""),"")</f>
        <v>-1.9411621070821474</v>
      </c>
      <c r="AM521" s="8">
        <f>IF(ISNUMBER(AK521),IF(AK521&gt;1,1,0),"")</f>
        <v>0</v>
      </c>
      <c r="AN521" s="8">
        <f>IF(ISNUMBER(AK521),IF(AK521&gt;0.05*ABS(V521),1,0),"")</f>
        <v>0</v>
      </c>
      <c r="AO521" s="10">
        <v>-286.17700000000002</v>
      </c>
      <c r="AP521" s="10">
        <v>286.17700000000002</v>
      </c>
      <c r="AQ521" s="8" t="s">
        <v>204</v>
      </c>
      <c r="AR521" s="8">
        <v>0</v>
      </c>
      <c r="AS521" s="10">
        <v>10274.726000000001</v>
      </c>
      <c r="AT521" s="10">
        <v>4165.6279999999997</v>
      </c>
      <c r="AU521" s="8" t="s">
        <v>204</v>
      </c>
      <c r="AV521" s="10">
        <v>106.479</v>
      </c>
      <c r="AW521" s="11">
        <f>IF(AND(ISNUMBER(AV521),ISNUMBER(AT521)),IF(AT521&lt;&gt;0,AV521/ABS(AT521),""),"")</f>
        <v>2.5561331928823219E-2</v>
      </c>
      <c r="AX521" s="8">
        <v>1</v>
      </c>
      <c r="AY521" s="8">
        <v>0</v>
      </c>
      <c r="AZ521" s="8" t="s">
        <v>550</v>
      </c>
      <c r="BA521" s="8">
        <v>1</v>
      </c>
    </row>
    <row r="522" spans="1:53" x14ac:dyDescent="0.2">
      <c r="A522" s="8" t="s">
        <v>549</v>
      </c>
      <c r="B522" s="8" t="s">
        <v>82</v>
      </c>
      <c r="C522" s="8" t="s">
        <v>205</v>
      </c>
      <c r="D522" s="8">
        <v>1</v>
      </c>
      <c r="E522" s="8">
        <v>1</v>
      </c>
      <c r="F522" s="8">
        <f>SUM(G522:M522)</f>
        <v>1</v>
      </c>
      <c r="G522" s="8">
        <v>0</v>
      </c>
      <c r="H522" s="8">
        <v>0</v>
      </c>
      <c r="I522" s="8">
        <v>0</v>
      </c>
      <c r="J522" s="8">
        <v>1</v>
      </c>
      <c r="K522" s="8">
        <v>0</v>
      </c>
      <c r="L522" s="8">
        <v>0</v>
      </c>
      <c r="M522" s="8">
        <v>0</v>
      </c>
      <c r="N522" s="8">
        <v>0</v>
      </c>
      <c r="O522" s="8">
        <v>1</v>
      </c>
      <c r="P522" s="8">
        <v>0</v>
      </c>
      <c r="Q522" s="8">
        <v>0</v>
      </c>
      <c r="R522" s="8">
        <v>0</v>
      </c>
      <c r="S522" s="8">
        <v>0</v>
      </c>
      <c r="T522" s="10">
        <v>-191.65700000000001</v>
      </c>
      <c r="U522" s="10">
        <v>-100.214</v>
      </c>
      <c r="V522" s="10">
        <v>72.290000000000006</v>
      </c>
      <c r="W522" s="10">
        <f>IF(RIGHT(C522,2)="12",IF(ISNUMBER(T522),T522,""),IF(COUNT(T522,U522,V522)=3,T522+U522-V522,""))</f>
        <v>-364.161</v>
      </c>
      <c r="X522" s="10">
        <v>-364.16199999999998</v>
      </c>
      <c r="Y522" s="10">
        <v>-97.593000000000004</v>
      </c>
      <c r="Z522" s="10">
        <v>-74.912000000000006</v>
      </c>
      <c r="AA522" s="10">
        <v>-79.481999999999999</v>
      </c>
      <c r="AB522" s="10">
        <v>-112.17400000000001</v>
      </c>
      <c r="AC522" s="8">
        <v>0</v>
      </c>
      <c r="AD522" s="8">
        <v>0</v>
      </c>
      <c r="AE522" s="8">
        <v>1</v>
      </c>
      <c r="AF522" s="10">
        <v>72.290000000000006</v>
      </c>
      <c r="AG522" s="8">
        <f>COUNTIF(Y522:AB522,"&gt;0")</f>
        <v>0</v>
      </c>
      <c r="AH522" s="10">
        <v>0</v>
      </c>
      <c r="AI522" s="10">
        <v>0</v>
      </c>
      <c r="AJ522" s="8" t="str">
        <f>IF(ISNUMBER(X522),IF(X522&gt;0,"+",IF(X522&lt;0,"−","0")),IF(ISNUMBER(W522),IF(W522&gt;0,"+",IF(W522&lt;0,"−","0")),"yok"))</f>
        <v>−</v>
      </c>
      <c r="AK522" s="10">
        <f>IF(AND(RIGHT(C522,2)&lt;&gt;"12",ISNUMBER(U522),ISNUMBER(V522)),U522-V522,"")</f>
        <v>-172.50400000000002</v>
      </c>
      <c r="AL522" s="11">
        <f>IF(AND(ISNUMBER(AK522),ISNUMBER(V522)),IF(V522&lt;&gt;0,AK522/ABS(V522),""),"")</f>
        <v>-2.3862774934292434</v>
      </c>
      <c r="AM522" s="8">
        <f>IF(ISNUMBER(AK522),IF(AK522&gt;1,1,0),"")</f>
        <v>0</v>
      </c>
      <c r="AN522" s="8">
        <f>IF(ISNUMBER(AK522),IF(AK522&gt;0.05*ABS(V522),1,0),"")</f>
        <v>0</v>
      </c>
      <c r="AO522" s="10">
        <v>-364.16300000000001</v>
      </c>
      <c r="AP522" s="10">
        <v>364.16300000000001</v>
      </c>
      <c r="AQ522" s="8" t="s">
        <v>204</v>
      </c>
      <c r="AR522" s="8">
        <v>0</v>
      </c>
      <c r="AS522" s="10">
        <v>12520.393</v>
      </c>
      <c r="AT522" s="10">
        <v>6912.741</v>
      </c>
      <c r="AU522" s="8" t="s">
        <v>204</v>
      </c>
      <c r="AV522" s="10">
        <v>72.290000000000006</v>
      </c>
      <c r="AW522" s="11">
        <f>IF(AND(ISNUMBER(AV522),ISNUMBER(AT522)),IF(AT522&lt;&gt;0,AV522/ABS(AT522),""),"")</f>
        <v>1.0457501590179642E-2</v>
      </c>
      <c r="AX522" s="8">
        <v>1</v>
      </c>
      <c r="AY522" s="8">
        <v>0</v>
      </c>
      <c r="AZ522" s="8" t="s">
        <v>551</v>
      </c>
      <c r="BA522" s="8">
        <v>0</v>
      </c>
    </row>
    <row r="523" spans="1:53" x14ac:dyDescent="0.2">
      <c r="A523" s="8" t="s">
        <v>552</v>
      </c>
      <c r="B523" s="8" t="s">
        <v>82</v>
      </c>
      <c r="C523" s="8" t="s">
        <v>203</v>
      </c>
      <c r="D523" s="8">
        <v>1</v>
      </c>
      <c r="E523" s="8">
        <v>1</v>
      </c>
      <c r="F523" s="8">
        <f>SUM(G523:M523)</f>
        <v>1</v>
      </c>
      <c r="G523" s="8">
        <v>0</v>
      </c>
      <c r="H523" s="8">
        <v>0</v>
      </c>
      <c r="I523" s="8">
        <v>0</v>
      </c>
      <c r="J523" s="8">
        <v>1</v>
      </c>
      <c r="K523" s="8">
        <v>0</v>
      </c>
      <c r="L523" s="8">
        <v>0</v>
      </c>
      <c r="M523" s="8">
        <v>0</v>
      </c>
      <c r="N523" s="8">
        <v>0</v>
      </c>
      <c r="O523" s="8">
        <v>1</v>
      </c>
      <c r="P523" s="8">
        <v>1</v>
      </c>
      <c r="Q523" s="8">
        <v>0</v>
      </c>
      <c r="R523" s="8">
        <v>1</v>
      </c>
      <c r="S523" s="8">
        <v>0</v>
      </c>
      <c r="T523" s="10">
        <v>-1.3009999999999999</v>
      </c>
      <c r="U523" s="10">
        <v>-3.2679999999999998</v>
      </c>
      <c r="V523" s="10">
        <v>2.911</v>
      </c>
      <c r="W523" s="10">
        <f>IF(RIGHT(C523,2)="12",IF(ISNUMBER(T523),T523,""),IF(COUNT(T523,U523,V523)=3,T523+U523-V523,""))</f>
        <v>-7.48</v>
      </c>
      <c r="X523" s="10">
        <v>-7.4820000000000002</v>
      </c>
      <c r="Y523" s="10">
        <v>-20.228000000000002</v>
      </c>
      <c r="Z523" s="10">
        <v>-2.5670000000000002</v>
      </c>
      <c r="AA523" s="10">
        <v>16.614999999999998</v>
      </c>
      <c r="AB523" s="10">
        <v>-1.3009999999999999</v>
      </c>
      <c r="AC523" s="8">
        <v>0</v>
      </c>
      <c r="AD523" s="8">
        <v>0</v>
      </c>
      <c r="AE523" s="8">
        <v>1</v>
      </c>
      <c r="AF523" s="10">
        <v>2.911</v>
      </c>
      <c r="AG523" s="8">
        <f>COUNTIF(Y523:AB523,"&gt;0")</f>
        <v>1</v>
      </c>
      <c r="AH523" s="10">
        <v>0</v>
      </c>
      <c r="AI523" s="10">
        <v>16.614999999999998</v>
      </c>
      <c r="AJ523" s="8" t="str">
        <f>IF(ISNUMBER(X523),IF(X523&gt;0,"+",IF(X523&lt;0,"−","0")),IF(ISNUMBER(W523),IF(W523&gt;0,"+",IF(W523&lt;0,"−","0")),"yok"))</f>
        <v>−</v>
      </c>
      <c r="AK523" s="10">
        <f>IF(AND(RIGHT(C523,2)&lt;&gt;"12",ISNUMBER(U523),ISNUMBER(V523)),U523-V523,"")</f>
        <v>-6.1790000000000003</v>
      </c>
      <c r="AL523" s="11">
        <f>IF(AND(ISNUMBER(AK523),ISNUMBER(V523)),IF(V523&lt;&gt;0,AK523/ABS(V523),""),"")</f>
        <v>-2.1226382686362077</v>
      </c>
      <c r="AM523" s="8">
        <f>IF(ISNUMBER(AK523),IF(AK523&gt;1,1,0),"")</f>
        <v>0</v>
      </c>
      <c r="AN523" s="8">
        <f>IF(ISNUMBER(AK523),IF(AK523&gt;0.05*ABS(V523),1,0),"")</f>
        <v>0</v>
      </c>
      <c r="AO523" s="10">
        <v>-7.4829999999999997</v>
      </c>
      <c r="AP523" s="10">
        <v>7.4829999999999997</v>
      </c>
      <c r="AQ523" s="8" t="s">
        <v>204</v>
      </c>
      <c r="AR523" s="8">
        <v>0</v>
      </c>
      <c r="AS523" s="10">
        <v>-627.51900000000001</v>
      </c>
      <c r="AT523" s="10">
        <v>-677.96100000000001</v>
      </c>
      <c r="AU523" s="8" t="s">
        <v>204</v>
      </c>
      <c r="AV523" s="10">
        <v>2.911</v>
      </c>
      <c r="AW523" s="11">
        <f>IF(AND(ISNUMBER(AV523),ISNUMBER(AT523)),IF(AT523&lt;&gt;0,AV523/ABS(AT523),""),"")</f>
        <v>4.2937573105237617E-3</v>
      </c>
      <c r="AX523" s="8">
        <v>1</v>
      </c>
      <c r="AY523" s="8">
        <v>0</v>
      </c>
      <c r="AZ523" s="8" t="s">
        <v>553</v>
      </c>
      <c r="BA523" s="8">
        <v>0</v>
      </c>
    </row>
    <row r="524" spans="1:53" x14ac:dyDescent="0.2">
      <c r="A524" s="8" t="s">
        <v>552</v>
      </c>
      <c r="B524" s="8" t="s">
        <v>82</v>
      </c>
      <c r="C524" s="8" t="s">
        <v>205</v>
      </c>
      <c r="D524" s="8">
        <v>1</v>
      </c>
      <c r="E524" s="8">
        <v>1</v>
      </c>
      <c r="F524" s="8">
        <f>SUM(G524:M524)</f>
        <v>1</v>
      </c>
      <c r="G524" s="8">
        <v>1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1</v>
      </c>
      <c r="O524" s="8">
        <v>0</v>
      </c>
      <c r="P524" s="8">
        <v>1</v>
      </c>
      <c r="Q524" s="8">
        <v>1</v>
      </c>
      <c r="R524" s="8">
        <v>1</v>
      </c>
      <c r="S524" s="8">
        <v>0</v>
      </c>
      <c r="T524" s="10">
        <v>-5.4859999999999998</v>
      </c>
      <c r="U524" s="10">
        <v>-3.2679999999999998</v>
      </c>
      <c r="V524" s="10">
        <v>-17.315999999999999</v>
      </c>
      <c r="W524" s="10">
        <f>IF(RIGHT(C524,2)="12",IF(ISNUMBER(T524),T524,""),IF(COUNT(T524,U524,V524)=3,T524+U524-V524,""))</f>
        <v>8.5619999999999994</v>
      </c>
      <c r="X524" s="10">
        <v>8.5609999999999999</v>
      </c>
      <c r="Y524" s="10">
        <v>-2.5670000000000002</v>
      </c>
      <c r="Z524" s="10">
        <v>16.614999999999998</v>
      </c>
      <c r="AA524" s="10">
        <v>-1.3009999999999999</v>
      </c>
      <c r="AB524" s="10">
        <v>-4.1840000000000002</v>
      </c>
      <c r="AC524" s="8">
        <v>0</v>
      </c>
      <c r="AD524" s="8">
        <v>0</v>
      </c>
      <c r="AE524" s="8">
        <v>0</v>
      </c>
      <c r="AF524" s="10">
        <v>0</v>
      </c>
      <c r="AG524" s="8">
        <f>COUNTIF(Y524:AB524,"&gt;0")</f>
        <v>1</v>
      </c>
      <c r="AH524" s="10">
        <v>0</v>
      </c>
      <c r="AI524" s="10">
        <v>16.614999999999998</v>
      </c>
      <c r="AJ524" s="8" t="str">
        <f>IF(ISNUMBER(X524),IF(X524&gt;0,"+",IF(X524&lt;0,"−","0")),IF(ISNUMBER(W524),IF(W524&gt;0,"+",IF(W524&lt;0,"−","0")),"yok"))</f>
        <v>+</v>
      </c>
      <c r="AK524" s="10">
        <f>IF(AND(RIGHT(C524,2)&lt;&gt;"12",ISNUMBER(U524),ISNUMBER(V524)),U524-V524,"")</f>
        <v>14.047999999999998</v>
      </c>
      <c r="AL524" s="11">
        <f>IF(AND(ISNUMBER(AK524),ISNUMBER(V524)),IF(V524&lt;&gt;0,AK524/ABS(V524),""),"")</f>
        <v>0.81127281127281126</v>
      </c>
      <c r="AM524" s="8">
        <f>IF(ISNUMBER(AK524),IF(AK524&gt;1,1,0),"")</f>
        <v>1</v>
      </c>
      <c r="AN524" s="8">
        <f>IF(ISNUMBER(AK524),IF(AK524&gt;0.05*ABS(V524),1,0),"")</f>
        <v>1</v>
      </c>
      <c r="AO524" s="10">
        <v>8.5619999999999994</v>
      </c>
      <c r="AP524" s="10">
        <v>0</v>
      </c>
      <c r="AQ524" s="8" t="s">
        <v>204</v>
      </c>
      <c r="AR524" s="8">
        <v>1</v>
      </c>
      <c r="AS524" s="10">
        <v>-458.62200000000001</v>
      </c>
      <c r="AT524" s="10">
        <v>-521.37800000000004</v>
      </c>
      <c r="AU524" s="8" t="s">
        <v>204</v>
      </c>
      <c r="AV524" s="10">
        <v>14.048</v>
      </c>
      <c r="AW524" s="11">
        <f>IF(AND(ISNUMBER(AV524),ISNUMBER(AT524)),IF(AT524&lt;&gt;0,AV524/ABS(AT524),""),"")</f>
        <v>2.6943983060274884E-2</v>
      </c>
      <c r="AX524" s="8">
        <v>0</v>
      </c>
      <c r="AY524" s="8">
        <v>1</v>
      </c>
      <c r="AZ524" s="10"/>
      <c r="BA524" s="8">
        <v>0</v>
      </c>
    </row>
    <row r="525" spans="1:53" x14ac:dyDescent="0.2">
      <c r="A525" s="8" t="s">
        <v>552</v>
      </c>
      <c r="B525" s="8" t="s">
        <v>82</v>
      </c>
      <c r="C525" s="8" t="s">
        <v>215</v>
      </c>
      <c r="D525" s="8">
        <v>1</v>
      </c>
      <c r="E525" s="8">
        <v>1</v>
      </c>
      <c r="F525" s="8">
        <f>SUM(G525:M525)</f>
        <v>1</v>
      </c>
      <c r="G525" s="8">
        <v>1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1</v>
      </c>
      <c r="O525" s="8">
        <v>0</v>
      </c>
      <c r="P525" s="8">
        <v>1</v>
      </c>
      <c r="Q525" s="8">
        <v>1</v>
      </c>
      <c r="R525" s="8">
        <v>1</v>
      </c>
      <c r="S525" s="8">
        <v>0</v>
      </c>
      <c r="T525" s="10">
        <v>-7.7690000000000001</v>
      </c>
      <c r="U525" s="10">
        <v>-3.2679999999999998</v>
      </c>
      <c r="V525" s="10">
        <v>-19.882999999999999</v>
      </c>
      <c r="W525" s="10">
        <f>IF(RIGHT(C525,2)="12",IF(ISNUMBER(T525),T525,""),IF(COUNT(T525,U525,V525)=3,T525+U525-V525,""))</f>
        <v>8.8460000000000001</v>
      </c>
      <c r="X525" s="10">
        <v>8.8450000000000006</v>
      </c>
      <c r="Y525" s="10">
        <v>16.614999999999998</v>
      </c>
      <c r="Z525" s="10">
        <v>-1.3009999999999999</v>
      </c>
      <c r="AA525" s="10">
        <v>-4.1840000000000002</v>
      </c>
      <c r="AB525" s="10">
        <v>-2.2829999999999999</v>
      </c>
      <c r="AC525" s="8">
        <v>0</v>
      </c>
      <c r="AD525" s="8">
        <v>0</v>
      </c>
      <c r="AE525" s="8">
        <v>0</v>
      </c>
      <c r="AF525" s="10">
        <v>0</v>
      </c>
      <c r="AG525" s="8">
        <f>COUNTIF(Y525:AB525,"&gt;0")</f>
        <v>1</v>
      </c>
      <c r="AH525" s="10">
        <v>0</v>
      </c>
      <c r="AI525" s="10">
        <v>16.614999999999998</v>
      </c>
      <c r="AJ525" s="8" t="str">
        <f>IF(ISNUMBER(X525),IF(X525&gt;0,"+",IF(X525&lt;0,"−","0")),IF(ISNUMBER(W525),IF(W525&gt;0,"+",IF(W525&lt;0,"−","0")),"yok"))</f>
        <v>+</v>
      </c>
      <c r="AK525" s="10">
        <f>IF(AND(RIGHT(C525,2)&lt;&gt;"12",ISNUMBER(U525),ISNUMBER(V525)),U525-V525,"")</f>
        <v>16.614999999999998</v>
      </c>
      <c r="AL525" s="11">
        <f>IF(AND(ISNUMBER(AK525),ISNUMBER(V525)),IF(V525&lt;&gt;0,AK525/ABS(V525),""),"")</f>
        <v>0.83563848513805761</v>
      </c>
      <c r="AM525" s="8">
        <f>IF(ISNUMBER(AK525),IF(AK525&gt;1,1,0),"")</f>
        <v>1</v>
      </c>
      <c r="AN525" s="8">
        <f>IF(ISNUMBER(AK525),IF(AK525&gt;0.05*ABS(V525),1,0),"")</f>
        <v>1</v>
      </c>
      <c r="AO525" s="10">
        <v>8.8450000000000006</v>
      </c>
      <c r="AP525" s="10">
        <v>0</v>
      </c>
      <c r="AQ525" s="8" t="s">
        <v>204</v>
      </c>
      <c r="AR525" s="8">
        <v>1</v>
      </c>
      <c r="AS525" s="10">
        <v>-431.089</v>
      </c>
      <c r="AT525" s="10">
        <v>-485.76600000000002</v>
      </c>
      <c r="AU525" s="8" t="s">
        <v>204</v>
      </c>
      <c r="AV525" s="10">
        <v>16.614999999999998</v>
      </c>
      <c r="AW525" s="11">
        <f>IF(AND(ISNUMBER(AV525),ISNUMBER(AT525)),IF(AT525&lt;&gt;0,AV525/ABS(AT525),""),"")</f>
        <v>3.4203711251919643E-2</v>
      </c>
      <c r="AX525" s="8">
        <v>0</v>
      </c>
      <c r="AY525" s="8">
        <v>1</v>
      </c>
      <c r="AZ525" s="10"/>
      <c r="BA525" s="8">
        <v>0</v>
      </c>
    </row>
    <row r="526" spans="1:53" x14ac:dyDescent="0.2">
      <c r="A526" s="8" t="s">
        <v>552</v>
      </c>
      <c r="B526" s="8" t="s">
        <v>83</v>
      </c>
      <c r="C526" s="8" t="s">
        <v>203</v>
      </c>
      <c r="D526" s="8">
        <v>1</v>
      </c>
      <c r="E526" s="8">
        <v>1</v>
      </c>
      <c r="F526" s="8">
        <f>SUM(G526:M526)</f>
        <v>1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1</v>
      </c>
      <c r="N526" s="8">
        <v>0</v>
      </c>
      <c r="O526" s="8">
        <v>0</v>
      </c>
      <c r="P526" s="8">
        <v>1</v>
      </c>
      <c r="Q526" s="8">
        <v>0</v>
      </c>
      <c r="R526" s="8">
        <v>0</v>
      </c>
      <c r="S526" s="8">
        <v>0</v>
      </c>
      <c r="T526" s="10">
        <v>-12.391</v>
      </c>
      <c r="U526" s="10">
        <v>-72.400000000000006</v>
      </c>
      <c r="V526" s="10">
        <v>-41.832000000000001</v>
      </c>
      <c r="W526" s="10">
        <f>IF(RIGHT(C526,2)="12",IF(ISNUMBER(T526),T526,""),IF(COUNT(T526,U526,V526)=3,T526+U526-V526,""))</f>
        <v>-42.95900000000001</v>
      </c>
      <c r="X526" s="10">
        <v>-42.959000000000003</v>
      </c>
      <c r="Y526" s="10">
        <v>4.1459999999999999</v>
      </c>
      <c r="Z526" s="10">
        <v>-14.302</v>
      </c>
      <c r="AA526" s="10">
        <v>-20.411000000000001</v>
      </c>
      <c r="AB526" s="10">
        <v>-12.391</v>
      </c>
      <c r="AC526" s="8">
        <v>0</v>
      </c>
      <c r="AD526" s="8">
        <v>0</v>
      </c>
      <c r="AE526" s="8">
        <v>0</v>
      </c>
      <c r="AF526" s="10">
        <v>0</v>
      </c>
      <c r="AG526" s="8">
        <f>COUNTIF(Y526:AB526,"&gt;0")</f>
        <v>1</v>
      </c>
      <c r="AH526" s="10">
        <v>0</v>
      </c>
      <c r="AI526" s="10">
        <v>4.1459999999999999</v>
      </c>
      <c r="AJ526" s="8" t="str">
        <f>IF(ISNUMBER(X526),IF(X526&gt;0,"+",IF(X526&lt;0,"−","0")),IF(ISNUMBER(W526),IF(W526&gt;0,"+",IF(W526&lt;0,"−","0")),"yok"))</f>
        <v>−</v>
      </c>
      <c r="AK526" s="10">
        <f>IF(AND(RIGHT(C526,2)&lt;&gt;"12",ISNUMBER(U526),ISNUMBER(V526)),U526-V526,"")</f>
        <v>-30.568000000000005</v>
      </c>
      <c r="AL526" s="11">
        <f>IF(AND(ISNUMBER(AK526),ISNUMBER(V526)),IF(V526&lt;&gt;0,AK526/ABS(V526),""),"")</f>
        <v>-0.73073245362401995</v>
      </c>
      <c r="AM526" s="8">
        <f>IF(ISNUMBER(AK526),IF(AK526&gt;1,1,0),"")</f>
        <v>0</v>
      </c>
      <c r="AN526" s="8">
        <f>IF(ISNUMBER(AK526),IF(AK526&gt;0.05*ABS(V526),1,0),"")</f>
        <v>0</v>
      </c>
      <c r="AO526" s="10">
        <v>-42.959000000000003</v>
      </c>
      <c r="AP526" s="10">
        <v>42.959000000000003</v>
      </c>
      <c r="AQ526" s="8" t="s">
        <v>204</v>
      </c>
      <c r="AR526" s="8">
        <v>0</v>
      </c>
      <c r="AS526" s="10">
        <v>-627.51900000000001</v>
      </c>
      <c r="AT526" s="10">
        <v>-677.96100000000001</v>
      </c>
      <c r="AU526" s="8" t="s">
        <v>204</v>
      </c>
      <c r="AV526" s="10">
        <v>4.1459999999999999</v>
      </c>
      <c r="AW526" s="11">
        <f>IF(AND(ISNUMBER(AV526),ISNUMBER(AT526)),IF(AT526&lt;&gt;0,AV526/ABS(AT526),""),"")</f>
        <v>6.1153960183550375E-3</v>
      </c>
      <c r="AX526" s="8">
        <v>0</v>
      </c>
      <c r="AY526" s="8">
        <v>0</v>
      </c>
      <c r="AZ526" s="10"/>
      <c r="BA526" s="8">
        <v>0</v>
      </c>
    </row>
    <row r="527" spans="1:53" x14ac:dyDescent="0.2">
      <c r="A527" s="8" t="s">
        <v>552</v>
      </c>
      <c r="B527" s="8" t="s">
        <v>83</v>
      </c>
      <c r="C527" s="8" t="s">
        <v>208</v>
      </c>
      <c r="D527" s="8">
        <v>1</v>
      </c>
      <c r="E527" s="8">
        <v>1</v>
      </c>
      <c r="F527" s="8">
        <f>SUM(G527:M527)</f>
        <v>1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1</v>
      </c>
      <c r="N527" s="8">
        <v>0</v>
      </c>
      <c r="O527" s="8">
        <v>0</v>
      </c>
      <c r="P527" s="8">
        <v>1</v>
      </c>
      <c r="Q527" s="8">
        <v>0</v>
      </c>
      <c r="R527" s="8">
        <v>0</v>
      </c>
      <c r="S527" s="8">
        <v>0</v>
      </c>
      <c r="T527" s="10">
        <v>-4.5960000000000001</v>
      </c>
      <c r="U527" s="10">
        <v>-27.494</v>
      </c>
      <c r="V527" s="10">
        <v>-12.391</v>
      </c>
      <c r="W527" s="10">
        <f>IF(RIGHT(C527,2)="12",IF(ISNUMBER(T527),T527,""),IF(COUNT(T527,U527,V527)=3,T527+U527-V527,""))</f>
        <v>-19.699000000000005</v>
      </c>
      <c r="X527" s="10">
        <v>-19.698</v>
      </c>
      <c r="Y527" s="10">
        <v>-15.65</v>
      </c>
      <c r="Z527" s="10">
        <v>-6.2220000000000004</v>
      </c>
      <c r="AA527" s="10">
        <v>6.77</v>
      </c>
      <c r="AB527" s="10">
        <v>-4.5960000000000001</v>
      </c>
      <c r="AC527" s="8">
        <v>0</v>
      </c>
      <c r="AD527" s="8">
        <v>0</v>
      </c>
      <c r="AE527" s="8">
        <v>0</v>
      </c>
      <c r="AF527" s="10">
        <v>0</v>
      </c>
      <c r="AG527" s="8">
        <f>COUNTIF(Y527:AB527,"&gt;0")</f>
        <v>1</v>
      </c>
      <c r="AH527" s="10">
        <v>0</v>
      </c>
      <c r="AI527" s="10">
        <v>6.77</v>
      </c>
      <c r="AJ527" s="8" t="str">
        <f>IF(ISNUMBER(X527),IF(X527&gt;0,"+",IF(X527&lt;0,"−","0")),IF(ISNUMBER(W527),IF(W527&gt;0,"+",IF(W527&lt;0,"−","0")),"yok"))</f>
        <v>−</v>
      </c>
      <c r="AK527" s="10">
        <f>IF(AND(RIGHT(C527,2)&lt;&gt;"12",ISNUMBER(U527),ISNUMBER(V527)),U527-V527,"")</f>
        <v>-15.103</v>
      </c>
      <c r="AL527" s="11">
        <f>IF(AND(ISNUMBER(AK527),ISNUMBER(V527)),IF(V527&lt;&gt;0,AK527/ABS(V527),""),"")</f>
        <v>-1.2188685336131062</v>
      </c>
      <c r="AM527" s="8">
        <f>IF(ISNUMBER(AK527),IF(AK527&gt;1,1,0),"")</f>
        <v>0</v>
      </c>
      <c r="AN527" s="8">
        <f>IF(ISNUMBER(AK527),IF(AK527&gt;0.05*ABS(V527),1,0),"")</f>
        <v>0</v>
      </c>
      <c r="AO527" s="10">
        <v>-19.699000000000002</v>
      </c>
      <c r="AP527" s="10">
        <v>19.699000000000002</v>
      </c>
      <c r="AQ527" s="8" t="s">
        <v>204</v>
      </c>
      <c r="AR527" s="8">
        <v>0</v>
      </c>
      <c r="AS527" s="10">
        <v>-478.42200000000003</v>
      </c>
      <c r="AT527" s="10">
        <v>-508.73500000000001</v>
      </c>
      <c r="AU527" s="8" t="s">
        <v>204</v>
      </c>
      <c r="AV527" s="10">
        <v>6.77</v>
      </c>
      <c r="AW527" s="11">
        <f>IF(AND(ISNUMBER(AV527),ISNUMBER(AT527)),IF(AT527&lt;&gt;0,AV527/ABS(AT527),""),"")</f>
        <v>1.330751766636854E-2</v>
      </c>
      <c r="AX527" s="8">
        <v>0</v>
      </c>
      <c r="AY527" s="8">
        <v>0</v>
      </c>
      <c r="AZ527" s="10"/>
      <c r="BA527" s="8">
        <v>0</v>
      </c>
    </row>
    <row r="528" spans="1:53" x14ac:dyDescent="0.2">
      <c r="A528" s="8" t="s">
        <v>552</v>
      </c>
      <c r="B528" s="8" t="s">
        <v>83</v>
      </c>
      <c r="C528" s="8" t="s">
        <v>210</v>
      </c>
      <c r="D528" s="8">
        <v>1</v>
      </c>
      <c r="E528" s="8">
        <v>1</v>
      </c>
      <c r="F528" s="8">
        <f>SUM(G528:M528)</f>
        <v>1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1</v>
      </c>
      <c r="N528" s="8">
        <v>0</v>
      </c>
      <c r="O528" s="8">
        <v>0</v>
      </c>
      <c r="P528" s="8">
        <v>1</v>
      </c>
      <c r="Q528" s="8">
        <v>0</v>
      </c>
      <c r="R528" s="8">
        <v>0</v>
      </c>
      <c r="S528" s="8">
        <v>0</v>
      </c>
      <c r="T528" s="10">
        <v>-6.3330000000000002</v>
      </c>
      <c r="U528" s="10">
        <v>-27.494</v>
      </c>
      <c r="V528" s="10">
        <v>-28.042000000000002</v>
      </c>
      <c r="W528" s="10">
        <f>IF(RIGHT(C528,2)="12",IF(ISNUMBER(T528),T528,""),IF(COUNT(T528,U528,V528)=3,T528+U528-V528,""))</f>
        <v>-5.7849999999999966</v>
      </c>
      <c r="X528" s="10">
        <v>-5.7839999999999998</v>
      </c>
      <c r="Y528" s="10">
        <v>-6.2220000000000004</v>
      </c>
      <c r="Z528" s="10">
        <v>6.77</v>
      </c>
      <c r="AA528" s="10">
        <v>-4.5960000000000001</v>
      </c>
      <c r="AB528" s="10">
        <v>-1.736</v>
      </c>
      <c r="AC528" s="8">
        <v>0</v>
      </c>
      <c r="AD528" s="8">
        <v>0</v>
      </c>
      <c r="AE528" s="8">
        <v>0</v>
      </c>
      <c r="AF528" s="10">
        <v>0</v>
      </c>
      <c r="AG528" s="8">
        <f>COUNTIF(Y528:AB528,"&gt;0")</f>
        <v>1</v>
      </c>
      <c r="AH528" s="10">
        <v>0</v>
      </c>
      <c r="AI528" s="10">
        <v>6.77</v>
      </c>
      <c r="AJ528" s="8" t="str">
        <f>IF(ISNUMBER(X528),IF(X528&gt;0,"+",IF(X528&lt;0,"−","0")),IF(ISNUMBER(W528),IF(W528&gt;0,"+",IF(W528&lt;0,"−","0")),"yok"))</f>
        <v>−</v>
      </c>
      <c r="AK528" s="10">
        <f>IF(AND(RIGHT(C528,2)&lt;&gt;"12",ISNUMBER(U528),ISNUMBER(V528)),U528-V528,"")</f>
        <v>0.54800000000000182</v>
      </c>
      <c r="AL528" s="11">
        <f>IF(AND(ISNUMBER(AK528),ISNUMBER(V528)),IF(V528&lt;&gt;0,AK528/ABS(V528),""),"")</f>
        <v>1.9542115398331138E-2</v>
      </c>
      <c r="AM528" s="8">
        <f>IF(ISNUMBER(AK528),IF(AK528&gt;1,1,0),"")</f>
        <v>0</v>
      </c>
      <c r="AN528" s="8">
        <f>IF(ISNUMBER(AK528),IF(AK528&gt;0.05*ABS(V528),1,0),"")</f>
        <v>0</v>
      </c>
      <c r="AO528" s="10">
        <v>-5.7850000000000001</v>
      </c>
      <c r="AP528" s="10">
        <v>5.7850000000000001</v>
      </c>
      <c r="AQ528" s="8" t="s">
        <v>204</v>
      </c>
      <c r="AR528" s="8">
        <v>0</v>
      </c>
      <c r="AS528" s="10">
        <v>-523.68600000000004</v>
      </c>
      <c r="AT528" s="10">
        <v>-536.12699999999995</v>
      </c>
      <c r="AU528" s="8" t="s">
        <v>204</v>
      </c>
      <c r="AV528" s="10">
        <v>0.54800000000000204</v>
      </c>
      <c r="AW528" s="11">
        <f>IF(AND(ISNUMBER(AV528),ISNUMBER(AT528)),IF(AT528&lt;&gt;0,AV528/ABS(AT528),""),"")</f>
        <v>1.0221458721534303E-3</v>
      </c>
      <c r="AX528" s="8">
        <v>0</v>
      </c>
      <c r="AY528" s="8">
        <v>0</v>
      </c>
      <c r="AZ528" s="10"/>
      <c r="BA528" s="8">
        <v>0</v>
      </c>
    </row>
    <row r="529" spans="1:53" x14ac:dyDescent="0.2">
      <c r="A529" s="8" t="s">
        <v>554</v>
      </c>
      <c r="B529" s="8" t="s">
        <v>83</v>
      </c>
      <c r="C529" s="8" t="s">
        <v>208</v>
      </c>
      <c r="D529" s="8">
        <v>1</v>
      </c>
      <c r="E529" s="8">
        <v>1</v>
      </c>
      <c r="F529" s="8">
        <f>SUM(G529:M529)</f>
        <v>1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1</v>
      </c>
      <c r="N529" s="8">
        <v>0</v>
      </c>
      <c r="O529" s="8">
        <v>0</v>
      </c>
      <c r="P529" s="8">
        <v>1</v>
      </c>
      <c r="Q529" s="8">
        <v>0</v>
      </c>
      <c r="R529" s="8">
        <v>0</v>
      </c>
      <c r="S529" s="8">
        <v>0</v>
      </c>
      <c r="T529" s="10">
        <v>0</v>
      </c>
      <c r="U529" s="10">
        <v>-0.83399999999999996</v>
      </c>
      <c r="V529" s="10">
        <v>-0.23499999999999999</v>
      </c>
      <c r="W529" s="10">
        <f>IF(RIGHT(C529,2)="12",IF(ISNUMBER(T529),T529,""),IF(COUNT(T529,U529,V529)=3,T529+U529-V529,""))</f>
        <v>-0.59899999999999998</v>
      </c>
      <c r="X529" s="10">
        <v>-0.59899999999999998</v>
      </c>
      <c r="Y529" s="10">
        <v>0</v>
      </c>
      <c r="Z529" s="10">
        <v>-12.782</v>
      </c>
      <c r="AA529" s="10">
        <v>12.182</v>
      </c>
      <c r="AB529" s="10">
        <v>0</v>
      </c>
      <c r="AC529" s="8">
        <v>0</v>
      </c>
      <c r="AD529" s="8">
        <v>0</v>
      </c>
      <c r="AE529" s="8">
        <v>0</v>
      </c>
      <c r="AF529" s="10">
        <v>0</v>
      </c>
      <c r="AG529" s="8">
        <f>COUNTIF(Y529:AB529,"&gt;0")</f>
        <v>1</v>
      </c>
      <c r="AH529" s="10">
        <v>0</v>
      </c>
      <c r="AI529" s="10">
        <v>12.182</v>
      </c>
      <c r="AJ529" s="8" t="str">
        <f>IF(ISNUMBER(X529),IF(X529&gt;0,"+",IF(X529&lt;0,"−","0")),IF(ISNUMBER(W529),IF(W529&gt;0,"+",IF(W529&lt;0,"−","0")),"yok"))</f>
        <v>−</v>
      </c>
      <c r="AK529" s="10">
        <f>IF(AND(RIGHT(C529,2)&lt;&gt;"12",ISNUMBER(U529),ISNUMBER(V529)),U529-V529,"")</f>
        <v>-0.59899999999999998</v>
      </c>
      <c r="AL529" s="11">
        <f>IF(AND(ISNUMBER(AK529),ISNUMBER(V529)),IF(V529&lt;&gt;0,AK529/ABS(V529),""),"")</f>
        <v>-2.548936170212766</v>
      </c>
      <c r="AM529" s="8">
        <f>IF(ISNUMBER(AK529),IF(AK529&gt;1,1,0),"")</f>
        <v>0</v>
      </c>
      <c r="AN529" s="8">
        <f>IF(ISNUMBER(AK529),IF(AK529&gt;0.05*ABS(V529),1,0),"")</f>
        <v>0</v>
      </c>
      <c r="AO529" s="10">
        <v>-0.59899999999999998</v>
      </c>
      <c r="AP529" s="10">
        <v>0.59899999999999998</v>
      </c>
      <c r="AQ529" s="8" t="s">
        <v>204</v>
      </c>
      <c r="AR529" s="8">
        <v>0</v>
      </c>
      <c r="AS529" s="10">
        <v>-6.0620000000000003</v>
      </c>
      <c r="AT529" s="10">
        <v>-6.6609999999999996</v>
      </c>
      <c r="AU529" s="8" t="s">
        <v>212</v>
      </c>
      <c r="AV529" s="10">
        <v>12.182</v>
      </c>
      <c r="AW529" s="11">
        <f>IF(AND(ISNUMBER(AV529),ISNUMBER(AT529)),IF(AT529&lt;&gt;0,AV529/ABS(AT529),""),"")</f>
        <v>1.8288545263473954</v>
      </c>
      <c r="AX529" s="8">
        <v>0</v>
      </c>
      <c r="AY529" s="8">
        <v>0</v>
      </c>
      <c r="AZ529" s="10"/>
      <c r="BA529" s="8">
        <v>0</v>
      </c>
    </row>
    <row r="530" spans="1:53" x14ac:dyDescent="0.2">
      <c r="A530" s="8" t="s">
        <v>554</v>
      </c>
      <c r="B530" s="8" t="s">
        <v>83</v>
      </c>
      <c r="C530" s="8" t="s">
        <v>210</v>
      </c>
      <c r="D530" s="8">
        <v>1</v>
      </c>
      <c r="E530" s="8">
        <v>1</v>
      </c>
      <c r="F530" s="8">
        <f>SUM(G530:M530)</f>
        <v>1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1</v>
      </c>
      <c r="N530" s="8">
        <v>0</v>
      </c>
      <c r="O530" s="8">
        <v>0</v>
      </c>
      <c r="P530" s="8">
        <v>1</v>
      </c>
      <c r="Q530" s="8">
        <v>0</v>
      </c>
      <c r="R530" s="8">
        <v>0</v>
      </c>
      <c r="S530" s="8">
        <v>0</v>
      </c>
      <c r="T530" s="10">
        <v>-0.183</v>
      </c>
      <c r="U530" s="10">
        <v>-0.83399999999999996</v>
      </c>
      <c r="V530" s="10">
        <v>-0.23499999999999999</v>
      </c>
      <c r="W530" s="10">
        <f>IF(RIGHT(C530,2)="12",IF(ISNUMBER(T530),T530,""),IF(COUNT(T530,U530,V530)=3,T530+U530-V530,""))</f>
        <v>-0.78199999999999992</v>
      </c>
      <c r="X530" s="10">
        <v>-0.78300000000000003</v>
      </c>
      <c r="Y530" s="10">
        <v>-12.782</v>
      </c>
      <c r="Z530" s="10">
        <v>12.182</v>
      </c>
      <c r="AA530" s="10">
        <v>0</v>
      </c>
      <c r="AB530" s="10">
        <v>-0.183</v>
      </c>
      <c r="AC530" s="8">
        <v>0</v>
      </c>
      <c r="AD530" s="8">
        <v>0</v>
      </c>
      <c r="AE530" s="8">
        <v>0</v>
      </c>
      <c r="AF530" s="10">
        <v>0</v>
      </c>
      <c r="AG530" s="8">
        <f>COUNTIF(Y530:AB530,"&gt;0")</f>
        <v>1</v>
      </c>
      <c r="AH530" s="10">
        <v>0</v>
      </c>
      <c r="AI530" s="10">
        <v>12.182</v>
      </c>
      <c r="AJ530" s="8" t="str">
        <f>IF(ISNUMBER(X530),IF(X530&gt;0,"+",IF(X530&lt;0,"−","0")),IF(ISNUMBER(W530),IF(W530&gt;0,"+",IF(W530&lt;0,"−","0")),"yok"))</f>
        <v>−</v>
      </c>
      <c r="AK530" s="10">
        <f>IF(AND(RIGHT(C530,2)&lt;&gt;"12",ISNUMBER(U530),ISNUMBER(V530)),U530-V530,"")</f>
        <v>-0.59899999999999998</v>
      </c>
      <c r="AL530" s="11">
        <f>IF(AND(ISNUMBER(AK530),ISNUMBER(V530)),IF(V530&lt;&gt;0,AK530/ABS(V530),""),"")</f>
        <v>-2.548936170212766</v>
      </c>
      <c r="AM530" s="8">
        <f>IF(ISNUMBER(AK530),IF(AK530&gt;1,1,0),"")</f>
        <v>0</v>
      </c>
      <c r="AN530" s="8">
        <f>IF(ISNUMBER(AK530),IF(AK530&gt;0.05*ABS(V530),1,0),"")</f>
        <v>0</v>
      </c>
      <c r="AO530" s="10">
        <v>-0.78300000000000003</v>
      </c>
      <c r="AP530" s="10">
        <v>0.78300000000000003</v>
      </c>
      <c r="AQ530" s="8" t="s">
        <v>204</v>
      </c>
      <c r="AR530" s="8">
        <v>0</v>
      </c>
      <c r="AS530" s="10">
        <v>-8.1210000000000004</v>
      </c>
      <c r="AT530" s="10">
        <v>-8.9039999999999999</v>
      </c>
      <c r="AU530" s="8" t="s">
        <v>212</v>
      </c>
      <c r="AV530" s="10">
        <v>12.182</v>
      </c>
      <c r="AW530" s="11">
        <f>IF(AND(ISNUMBER(AV530),ISNUMBER(AT530)),IF(AT530&lt;&gt;0,AV530/ABS(AT530),""),"")</f>
        <v>1.3681491464510334</v>
      </c>
      <c r="AX530" s="8">
        <v>0</v>
      </c>
      <c r="AY530" s="8">
        <v>0</v>
      </c>
      <c r="AZ530" s="10"/>
      <c r="BA530" s="8">
        <v>0</v>
      </c>
    </row>
    <row r="531" spans="1:53" x14ac:dyDescent="0.2">
      <c r="A531" s="8" t="s">
        <v>555</v>
      </c>
      <c r="B531" s="8" t="s">
        <v>83</v>
      </c>
      <c r="C531" s="8" t="s">
        <v>208</v>
      </c>
      <c r="D531" s="8">
        <v>1</v>
      </c>
      <c r="E531" s="8">
        <v>1</v>
      </c>
      <c r="F531" s="8">
        <f>SUM(G531:M531)</f>
        <v>1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1</v>
      </c>
      <c r="N531" s="8">
        <v>0</v>
      </c>
      <c r="O531" s="8">
        <v>0</v>
      </c>
      <c r="P531" s="8">
        <v>1</v>
      </c>
      <c r="Q531" s="8">
        <v>0</v>
      </c>
      <c r="R531" s="8">
        <v>0</v>
      </c>
      <c r="S531" s="8">
        <v>0</v>
      </c>
      <c r="T531" s="10">
        <v>-80.765000000000001</v>
      </c>
      <c r="U531" s="10">
        <v>-537.255</v>
      </c>
      <c r="V531" s="10">
        <v>-183.82599999999999</v>
      </c>
      <c r="W531" s="10">
        <f>IF(RIGHT(C531,2)="12",IF(ISNUMBER(T531),T531,""),IF(COUNT(T531,U531,V531)=3,T531+U531-V531,""))</f>
        <v>-434.19399999999996</v>
      </c>
      <c r="X531" s="10">
        <v>-434.19400000000002</v>
      </c>
      <c r="Y531" s="10">
        <v>-178.97300000000001</v>
      </c>
      <c r="Z531" s="10">
        <v>142.39699999999999</v>
      </c>
      <c r="AA531" s="10">
        <v>-316.85199999999998</v>
      </c>
      <c r="AB531" s="10">
        <v>-80.765000000000001</v>
      </c>
      <c r="AC531" s="8">
        <v>0</v>
      </c>
      <c r="AD531" s="8">
        <v>0</v>
      </c>
      <c r="AE531" s="8">
        <v>0</v>
      </c>
      <c r="AF531" s="10">
        <v>0</v>
      </c>
      <c r="AG531" s="8">
        <f>COUNTIF(Y531:AB531,"&gt;0")</f>
        <v>1</v>
      </c>
      <c r="AH531" s="10">
        <v>0</v>
      </c>
      <c r="AI531" s="10">
        <v>142.39699999999999</v>
      </c>
      <c r="AJ531" s="8" t="str">
        <f>IF(ISNUMBER(X531),IF(X531&gt;0,"+",IF(X531&lt;0,"−","0")),IF(ISNUMBER(W531),IF(W531&gt;0,"+",IF(W531&lt;0,"−","0")),"yok"))</f>
        <v>−</v>
      </c>
      <c r="AK531" s="10">
        <f>IF(AND(RIGHT(C531,2)&lt;&gt;"12",ISNUMBER(U531),ISNUMBER(V531)),U531-V531,"")</f>
        <v>-353.42899999999997</v>
      </c>
      <c r="AL531" s="11">
        <f>IF(AND(ISNUMBER(AK531),ISNUMBER(V531)),IF(V531&lt;&gt;0,AK531/ABS(V531),""),"")</f>
        <v>-1.9226279198807568</v>
      </c>
      <c r="AM531" s="8">
        <f>IF(ISNUMBER(AK531),IF(AK531&gt;1,1,0),"")</f>
        <v>0</v>
      </c>
      <c r="AN531" s="8">
        <f>IF(ISNUMBER(AK531),IF(AK531&gt;0.05*ABS(V531),1,0),"")</f>
        <v>0</v>
      </c>
      <c r="AO531" s="10">
        <v>-434.19400000000002</v>
      </c>
      <c r="AP531" s="10">
        <v>434.19400000000002</v>
      </c>
      <c r="AQ531" s="8" t="s">
        <v>204</v>
      </c>
      <c r="AR531" s="8">
        <v>0</v>
      </c>
      <c r="AS531" s="10">
        <v>-350.85199999999998</v>
      </c>
      <c r="AT531" s="10">
        <v>-785.04600000000005</v>
      </c>
      <c r="AU531" s="8" t="s">
        <v>204</v>
      </c>
      <c r="AV531" s="10">
        <v>142.39699999999999</v>
      </c>
      <c r="AW531" s="11">
        <f>IF(AND(ISNUMBER(AV531),ISNUMBER(AT531)),IF(AT531&lt;&gt;0,AV531/ABS(AT531),""),"")</f>
        <v>0.18138682319252628</v>
      </c>
      <c r="AX531" s="8">
        <v>0</v>
      </c>
      <c r="AY531" s="8">
        <v>0</v>
      </c>
      <c r="AZ531" s="10"/>
      <c r="BA531" s="8">
        <v>0</v>
      </c>
    </row>
    <row r="532" spans="1:53" x14ac:dyDescent="0.2">
      <c r="A532" s="8" t="s">
        <v>555</v>
      </c>
      <c r="B532" s="8" t="s">
        <v>83</v>
      </c>
      <c r="C532" s="8" t="s">
        <v>210</v>
      </c>
      <c r="D532" s="8">
        <v>1</v>
      </c>
      <c r="E532" s="8">
        <v>1</v>
      </c>
      <c r="F532" s="8">
        <f>SUM(G532:M532)</f>
        <v>1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1</v>
      </c>
      <c r="N532" s="8">
        <v>0</v>
      </c>
      <c r="O532" s="8">
        <v>0</v>
      </c>
      <c r="P532" s="8">
        <v>1</v>
      </c>
      <c r="Q532" s="8">
        <v>0</v>
      </c>
      <c r="R532" s="8">
        <v>0</v>
      </c>
      <c r="S532" s="8">
        <v>0</v>
      </c>
      <c r="T532" s="10">
        <v>-134.328</v>
      </c>
      <c r="U532" s="10">
        <v>-537.255</v>
      </c>
      <c r="V532" s="10">
        <v>-362.79899999999998</v>
      </c>
      <c r="W532" s="10">
        <f>IF(RIGHT(C532,2)="12",IF(ISNUMBER(T532),T532,""),IF(COUNT(T532,U532,V532)=3,T532+U532-V532,""))</f>
        <v>-308.78399999999999</v>
      </c>
      <c r="X532" s="10">
        <v>-308.78300000000002</v>
      </c>
      <c r="Y532" s="10">
        <v>142.39699999999999</v>
      </c>
      <c r="Z532" s="10">
        <v>-316.85199999999998</v>
      </c>
      <c r="AA532" s="10">
        <v>-80.765000000000001</v>
      </c>
      <c r="AB532" s="10">
        <v>-53.561999999999998</v>
      </c>
      <c r="AC532" s="8">
        <v>0</v>
      </c>
      <c r="AD532" s="8">
        <v>0</v>
      </c>
      <c r="AE532" s="8">
        <v>0</v>
      </c>
      <c r="AF532" s="10">
        <v>0</v>
      </c>
      <c r="AG532" s="8">
        <f>COUNTIF(Y532:AB532,"&gt;0")</f>
        <v>1</v>
      </c>
      <c r="AH532" s="10">
        <v>0</v>
      </c>
      <c r="AI532" s="10">
        <v>142.39699999999999</v>
      </c>
      <c r="AJ532" s="8" t="str">
        <f>IF(ISNUMBER(X532),IF(X532&gt;0,"+",IF(X532&lt;0,"−","0")),IF(ISNUMBER(W532),IF(W532&gt;0,"+",IF(W532&lt;0,"−","0")),"yok"))</f>
        <v>−</v>
      </c>
      <c r="AK532" s="10">
        <f>IF(AND(RIGHT(C532,2)&lt;&gt;"12",ISNUMBER(U532),ISNUMBER(V532)),U532-V532,"")</f>
        <v>-174.45600000000002</v>
      </c>
      <c r="AL532" s="11">
        <f>IF(AND(ISNUMBER(AK532),ISNUMBER(V532)),IF(V532&lt;&gt;0,AK532/ABS(V532),""),"")</f>
        <v>-0.48086130336632688</v>
      </c>
      <c r="AM532" s="8">
        <f>IF(ISNUMBER(AK532),IF(AK532&gt;1,1,0),"")</f>
        <v>0</v>
      </c>
      <c r="AN532" s="8">
        <f>IF(ISNUMBER(AK532),IF(AK532&gt;0.05*ABS(V532),1,0),"")</f>
        <v>0</v>
      </c>
      <c r="AO532" s="10">
        <v>-308.78300000000002</v>
      </c>
      <c r="AP532" s="10">
        <v>308.78300000000002</v>
      </c>
      <c r="AQ532" s="8" t="s">
        <v>204</v>
      </c>
      <c r="AR532" s="8">
        <v>0</v>
      </c>
      <c r="AS532" s="10">
        <v>-501.41899999999998</v>
      </c>
      <c r="AT532" s="10">
        <v>-810.202</v>
      </c>
      <c r="AU532" s="8" t="s">
        <v>204</v>
      </c>
      <c r="AV532" s="10">
        <v>142.39699999999999</v>
      </c>
      <c r="AW532" s="11">
        <f>IF(AND(ISNUMBER(AV532),ISNUMBER(AT532)),IF(AT532&lt;&gt;0,AV532/ABS(AT532),""),"")</f>
        <v>0.17575493518900223</v>
      </c>
      <c r="AX532" s="8">
        <v>0</v>
      </c>
      <c r="AY532" s="8">
        <v>0</v>
      </c>
      <c r="AZ532" s="10"/>
      <c r="BA532" s="8">
        <v>0</v>
      </c>
    </row>
    <row r="533" spans="1:53" x14ac:dyDescent="0.2">
      <c r="A533" s="8" t="s">
        <v>556</v>
      </c>
      <c r="B533" s="8" t="s">
        <v>82</v>
      </c>
      <c r="C533" s="8" t="s">
        <v>208</v>
      </c>
      <c r="D533" s="8">
        <v>1</v>
      </c>
      <c r="E533" s="8">
        <v>1</v>
      </c>
      <c r="F533" s="8">
        <f>SUM(G533:M533)</f>
        <v>1</v>
      </c>
      <c r="G533" s="8">
        <v>1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1</v>
      </c>
      <c r="O533" s="8">
        <v>0</v>
      </c>
      <c r="P533" s="8">
        <v>1</v>
      </c>
      <c r="Q533" s="8">
        <v>1</v>
      </c>
      <c r="R533" s="8">
        <v>1</v>
      </c>
      <c r="S533" s="8">
        <v>0</v>
      </c>
      <c r="T533" s="10">
        <v>-3.4569999999999999</v>
      </c>
      <c r="U533" s="10">
        <v>-12.741</v>
      </c>
      <c r="V533" s="10">
        <v>-76.616</v>
      </c>
      <c r="W533" s="10">
        <f>IF(RIGHT(C533,2)="12",IF(ISNUMBER(T533),T533,""),IF(COUNT(T533,U533,V533)=3,T533+U533-V533,""))</f>
        <v>60.417999999999999</v>
      </c>
      <c r="X533" s="10">
        <v>60.417999999999999</v>
      </c>
      <c r="Y533" s="10">
        <v>69.932000000000002</v>
      </c>
      <c r="Z533" s="10">
        <v>-3.0720000000000001</v>
      </c>
      <c r="AA533" s="10">
        <v>-2.984</v>
      </c>
      <c r="AB533" s="10">
        <v>-3.4569999999999999</v>
      </c>
      <c r="AC533" s="8">
        <v>0</v>
      </c>
      <c r="AD533" s="8">
        <v>0</v>
      </c>
      <c r="AE533" s="8">
        <v>0</v>
      </c>
      <c r="AF533" s="10">
        <v>0</v>
      </c>
      <c r="AG533" s="8">
        <f>COUNTIF(Y533:AB533,"&gt;0")</f>
        <v>1</v>
      </c>
      <c r="AH533" s="10">
        <v>0</v>
      </c>
      <c r="AI533" s="10">
        <v>69.932000000000002</v>
      </c>
      <c r="AJ533" s="8" t="str">
        <f>IF(ISNUMBER(X533),IF(X533&gt;0,"+",IF(X533&lt;0,"−","0")),IF(ISNUMBER(W533),IF(W533&gt;0,"+",IF(W533&lt;0,"−","0")),"yok"))</f>
        <v>+</v>
      </c>
      <c r="AK533" s="10">
        <f>IF(AND(RIGHT(C533,2)&lt;&gt;"12",ISNUMBER(U533),ISNUMBER(V533)),U533-V533,"")</f>
        <v>63.875</v>
      </c>
      <c r="AL533" s="11">
        <f>IF(AND(ISNUMBER(AK533),ISNUMBER(V533)),IF(V533&lt;&gt;0,AK533/ABS(V533),""),"")</f>
        <v>0.83370314294664305</v>
      </c>
      <c r="AM533" s="8">
        <f>IF(ISNUMBER(AK533),IF(AK533&gt;1,1,0),"")</f>
        <v>1</v>
      </c>
      <c r="AN533" s="8">
        <f>IF(ISNUMBER(AK533),IF(AK533&gt;0.05*ABS(V533),1,0),"")</f>
        <v>1</v>
      </c>
      <c r="AO533" s="10">
        <v>60.417999999999999</v>
      </c>
      <c r="AP533" s="10">
        <v>0</v>
      </c>
      <c r="AQ533" s="8" t="s">
        <v>204</v>
      </c>
      <c r="AR533" s="8">
        <v>1</v>
      </c>
      <c r="AS533" s="10">
        <v>275.05</v>
      </c>
      <c r="AT533" s="10">
        <v>173.42400000000001</v>
      </c>
      <c r="AU533" s="8" t="s">
        <v>204</v>
      </c>
      <c r="AV533" s="10">
        <v>63.875</v>
      </c>
      <c r="AW533" s="11">
        <f>IF(AND(ISNUMBER(AV533),ISNUMBER(AT533)),IF(AT533&lt;&gt;0,AV533/ABS(AT533),""),"")</f>
        <v>0.36831695728388225</v>
      </c>
      <c r="AX533" s="8">
        <v>0</v>
      </c>
      <c r="AY533" s="8">
        <v>1</v>
      </c>
      <c r="AZ533" s="10"/>
      <c r="BA533" s="8">
        <v>0</v>
      </c>
    </row>
    <row r="534" spans="1:53" x14ac:dyDescent="0.2">
      <c r="A534" s="8" t="s">
        <v>557</v>
      </c>
      <c r="B534" s="8" t="s">
        <v>82</v>
      </c>
      <c r="C534" s="8" t="s">
        <v>205</v>
      </c>
      <c r="D534" s="8">
        <v>1</v>
      </c>
      <c r="E534" s="8">
        <v>1</v>
      </c>
      <c r="F534" s="8">
        <f>SUM(G534:M534)</f>
        <v>1</v>
      </c>
      <c r="G534" s="8">
        <v>0</v>
      </c>
      <c r="H534" s="8">
        <v>1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1</v>
      </c>
      <c r="Q534" s="8">
        <v>1</v>
      </c>
      <c r="R534" s="8">
        <v>1</v>
      </c>
      <c r="S534" s="8">
        <v>0</v>
      </c>
      <c r="T534" s="10">
        <v>-5.9340000000000002</v>
      </c>
      <c r="U534" s="10">
        <v>-3.8</v>
      </c>
      <c r="V534" s="10">
        <v>-7.1980000000000004</v>
      </c>
      <c r="W534" s="10">
        <f>IF(RIGHT(C534,2)="12",IF(ISNUMBER(T534),T534,""),IF(COUNT(T534,U534,V534)=3,T534+U534-V534,""))</f>
        <v>-2.5359999999999996</v>
      </c>
      <c r="X534" s="10">
        <v>-2.5369999999999999</v>
      </c>
      <c r="Y534" s="10">
        <v>7.1980000000000004</v>
      </c>
      <c r="Z534" s="10">
        <v>-3.8</v>
      </c>
      <c r="AA534" s="10">
        <v>-3.113</v>
      </c>
      <c r="AB534" s="10">
        <v>-2.8210000000000002</v>
      </c>
      <c r="AC534" s="8">
        <v>0</v>
      </c>
      <c r="AD534" s="8">
        <v>0</v>
      </c>
      <c r="AE534" s="8">
        <v>0</v>
      </c>
      <c r="AF534" s="10">
        <v>0</v>
      </c>
      <c r="AG534" s="8">
        <f>COUNTIF(Y534:AB534,"&gt;0")</f>
        <v>1</v>
      </c>
      <c r="AH534" s="10">
        <v>0</v>
      </c>
      <c r="AI534" s="10">
        <v>7.1980000000000004</v>
      </c>
      <c r="AJ534" s="8" t="str">
        <f>IF(ISNUMBER(X534),IF(X534&gt;0,"+",IF(X534&lt;0,"−","0")),IF(ISNUMBER(W534),IF(W534&gt;0,"+",IF(W534&lt;0,"−","0")),"yok"))</f>
        <v>−</v>
      </c>
      <c r="AK534" s="10">
        <f>IF(AND(RIGHT(C534,2)&lt;&gt;"12",ISNUMBER(U534),ISNUMBER(V534)),U534-V534,"")</f>
        <v>3.3980000000000006</v>
      </c>
      <c r="AL534" s="11">
        <f>IF(AND(ISNUMBER(AK534),ISNUMBER(V534)),IF(V534&lt;&gt;0,AK534/ABS(V534),""),"")</f>
        <v>0.47207557654904148</v>
      </c>
      <c r="AM534" s="8">
        <f>IF(ISNUMBER(AK534),IF(AK534&gt;1,1,0),"")</f>
        <v>1</v>
      </c>
      <c r="AN534" s="8">
        <f>IF(ISNUMBER(AK534),IF(AK534&gt;0.05*ABS(V534),1,0),"")</f>
        <v>1</v>
      </c>
      <c r="AO534" s="10">
        <v>-2.5369999999999999</v>
      </c>
      <c r="AP534" s="10">
        <v>2.5369999999999999</v>
      </c>
      <c r="AQ534" s="8" t="s">
        <v>204</v>
      </c>
      <c r="AR534" s="8">
        <v>0</v>
      </c>
      <c r="AS534" s="10">
        <v>236.23500000000001</v>
      </c>
      <c r="AT534" s="10">
        <v>68.527999999999906</v>
      </c>
      <c r="AU534" s="8" t="s">
        <v>204</v>
      </c>
      <c r="AV534" s="10">
        <v>3.3980000000000001</v>
      </c>
      <c r="AW534" s="11">
        <f>IF(AND(ISNUMBER(AV534),ISNUMBER(AT534)),IF(AT534&lt;&gt;0,AV534/ABS(AT534),""),"")</f>
        <v>4.9585570861545712E-2</v>
      </c>
      <c r="AX534" s="8">
        <v>0</v>
      </c>
      <c r="AY534" s="8">
        <v>1</v>
      </c>
      <c r="AZ534" s="10"/>
      <c r="BA534" s="8">
        <v>0</v>
      </c>
    </row>
    <row r="535" spans="1:53" x14ac:dyDescent="0.2">
      <c r="A535" s="8" t="s">
        <v>558</v>
      </c>
      <c r="B535" s="8" t="s">
        <v>82</v>
      </c>
      <c r="C535" s="8" t="s">
        <v>215</v>
      </c>
      <c r="D535" s="8">
        <v>1</v>
      </c>
      <c r="E535" s="8">
        <v>1</v>
      </c>
      <c r="F535" s="8">
        <f>SUM(G535:M535)</f>
        <v>1</v>
      </c>
      <c r="G535" s="8">
        <v>1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1</v>
      </c>
      <c r="O535" s="8">
        <v>1</v>
      </c>
      <c r="P535" s="8">
        <v>1</v>
      </c>
      <c r="Q535" s="8">
        <v>0</v>
      </c>
      <c r="R535" s="8">
        <v>0</v>
      </c>
      <c r="S535" s="8">
        <v>1</v>
      </c>
      <c r="T535" s="10">
        <v>69.009</v>
      </c>
      <c r="U535" s="10">
        <v>-166.21799999999999</v>
      </c>
      <c r="V535" s="10">
        <v>-135.946</v>
      </c>
      <c r="W535" s="10">
        <f>IF(RIGHT(C535,2)="12",IF(ISNUMBER(T535),T535,""),IF(COUNT(T535,U535,V535)=3,T535+U535-V535,""))</f>
        <v>38.737000000000009</v>
      </c>
      <c r="X535" s="10">
        <v>38.737000000000002</v>
      </c>
      <c r="Y535" s="10">
        <v>-30.271000000000001</v>
      </c>
      <c r="Z535" s="10">
        <v>-11.898999999999999</v>
      </c>
      <c r="AA535" s="10">
        <v>0.67400000000000004</v>
      </c>
      <c r="AB535" s="10">
        <v>80.233999999999995</v>
      </c>
      <c r="AC535" s="8">
        <v>1</v>
      </c>
      <c r="AD535" s="8">
        <v>0</v>
      </c>
      <c r="AE535" s="8">
        <v>0</v>
      </c>
      <c r="AF535" s="10">
        <v>69.009</v>
      </c>
      <c r="AG535" s="8">
        <f>COUNTIF(Y535:AB535,"&gt;0")</f>
        <v>2</v>
      </c>
      <c r="AH535" s="10">
        <v>80.908000000000001</v>
      </c>
      <c r="AI535" s="10">
        <v>0</v>
      </c>
      <c r="AJ535" s="8" t="str">
        <f>IF(ISNUMBER(X535),IF(X535&gt;0,"+",IF(X535&lt;0,"−","0")),IF(ISNUMBER(W535),IF(W535&gt;0,"+",IF(W535&lt;0,"−","0")),"yok"))</f>
        <v>+</v>
      </c>
      <c r="AK535" s="10">
        <f>IF(AND(RIGHT(C535,2)&lt;&gt;"12",ISNUMBER(U535),ISNUMBER(V535)),U535-V535,"")</f>
        <v>-30.271999999999991</v>
      </c>
      <c r="AL535" s="11">
        <f>IF(AND(ISNUMBER(AK535),ISNUMBER(V535)),IF(V535&lt;&gt;0,AK535/ABS(V535),""),"")</f>
        <v>-0.22267665102320033</v>
      </c>
      <c r="AM535" s="8">
        <f>IF(ISNUMBER(AK535),IF(AK535&gt;1,1,0),"")</f>
        <v>0</v>
      </c>
      <c r="AN535" s="8">
        <f>IF(ISNUMBER(AK535),IF(AK535&gt;0.05*ABS(V535),1,0),"")</f>
        <v>0</v>
      </c>
      <c r="AO535" s="10">
        <v>38.738</v>
      </c>
      <c r="AP535" s="10">
        <v>0</v>
      </c>
      <c r="AQ535" s="8" t="s">
        <v>204</v>
      </c>
      <c r="AR535" s="8">
        <v>1</v>
      </c>
      <c r="AS535" s="10">
        <v>-5142.8890000000001</v>
      </c>
      <c r="AT535" s="10">
        <v>-7154.1490000000003</v>
      </c>
      <c r="AU535" s="8" t="s">
        <v>204</v>
      </c>
      <c r="AV535" s="10">
        <v>69.009</v>
      </c>
      <c r="AW535" s="11">
        <f>IF(AND(ISNUMBER(AV535),ISNUMBER(AT535)),IF(AT535&lt;&gt;0,AV535/ABS(AT535),""),"")</f>
        <v>9.6460110070394119E-3</v>
      </c>
      <c r="AX535" s="8">
        <v>1</v>
      </c>
      <c r="AY535" s="8">
        <v>0</v>
      </c>
      <c r="AZ535" s="8" t="s">
        <v>559</v>
      </c>
      <c r="BA535" s="8">
        <v>0</v>
      </c>
    </row>
    <row r="536" spans="1:53" x14ac:dyDescent="0.2">
      <c r="A536" s="8" t="s">
        <v>558</v>
      </c>
      <c r="B536" s="8" t="s">
        <v>82</v>
      </c>
      <c r="C536" s="8" t="s">
        <v>290</v>
      </c>
      <c r="D536" s="8">
        <v>1</v>
      </c>
      <c r="E536" s="8">
        <v>1</v>
      </c>
      <c r="F536" s="8">
        <f>SUM(G536:M536)</f>
        <v>1</v>
      </c>
      <c r="G536" s="8">
        <v>1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1</v>
      </c>
      <c r="O536" s="8">
        <v>1</v>
      </c>
      <c r="P536" s="8">
        <v>1</v>
      </c>
      <c r="Q536" s="8">
        <v>0</v>
      </c>
      <c r="R536" s="8">
        <v>0</v>
      </c>
      <c r="S536" s="8">
        <v>1</v>
      </c>
      <c r="T536" s="10">
        <v>14.795999999999999</v>
      </c>
      <c r="U536" s="10"/>
      <c r="V536" s="10"/>
      <c r="W536" s="10">
        <f>IF(RIGHT(C536,2)="12",IF(ISNUMBER(T536),T536,""),IF(COUNT(T536,U536,V536)=3,T536+U536-V536,""))</f>
        <v>14.795999999999999</v>
      </c>
      <c r="X536" s="10">
        <v>14.795999999999999</v>
      </c>
      <c r="Y536" s="10">
        <v>-11.898999999999999</v>
      </c>
      <c r="Z536" s="10">
        <v>0.67400000000000004</v>
      </c>
      <c r="AA536" s="10">
        <v>80.233999999999995</v>
      </c>
      <c r="AB536" s="10">
        <v>-54.212000000000003</v>
      </c>
      <c r="AC536" s="8">
        <v>1</v>
      </c>
      <c r="AD536" s="8">
        <v>0</v>
      </c>
      <c r="AE536" s="8">
        <v>0</v>
      </c>
      <c r="AF536" s="10">
        <v>14.795999999999999</v>
      </c>
      <c r="AG536" s="8">
        <f>COUNTIF(Y536:AB536,"&gt;0")</f>
        <v>2</v>
      </c>
      <c r="AH536" s="10">
        <v>80.908000000000001</v>
      </c>
      <c r="AI536" s="10">
        <v>0</v>
      </c>
      <c r="AJ536" s="8" t="str">
        <f>IF(ISNUMBER(X536),IF(X536&gt;0,"+",IF(X536&lt;0,"−","0")),IF(ISNUMBER(W536),IF(W536&gt;0,"+",IF(W536&lt;0,"−","0")),"yok"))</f>
        <v>+</v>
      </c>
      <c r="AK536" s="10" t="str">
        <f>IF(AND(RIGHT(C536,2)&lt;&gt;"12",ISNUMBER(U536),ISNUMBER(V536)),U536-V536,"")</f>
        <v/>
      </c>
      <c r="AL536" s="11" t="str">
        <f>IF(AND(ISNUMBER(AK536),ISNUMBER(V536)),IF(V536&lt;&gt;0,AK536/ABS(V536),""),"")</f>
        <v/>
      </c>
      <c r="AM536" s="8" t="str">
        <f>IF(ISNUMBER(AK536),IF(AK536&gt;1,1,0),"")</f>
        <v/>
      </c>
      <c r="AN536" s="8" t="str">
        <f>IF(ISNUMBER(AK536),IF(AK536&gt;0.05*ABS(V536),1,0),"")</f>
        <v/>
      </c>
      <c r="AO536" s="10">
        <v>14.797000000000001</v>
      </c>
      <c r="AP536" s="10">
        <v>0</v>
      </c>
      <c r="AQ536" s="8" t="s">
        <v>204</v>
      </c>
      <c r="AR536" s="8">
        <v>1</v>
      </c>
      <c r="AS536" s="10">
        <v>979.89800000000002</v>
      </c>
      <c r="AT536" s="10">
        <v>-765.82899999999995</v>
      </c>
      <c r="AU536" s="8" t="s">
        <v>204</v>
      </c>
      <c r="AV536" s="10">
        <v>14.795999999999999</v>
      </c>
      <c r="AW536" s="11">
        <f>IF(AND(ISNUMBER(AV536),ISNUMBER(AT536)),IF(AT536&lt;&gt;0,AV536/ABS(AT536),""),"")</f>
        <v>1.9320239896896043E-2</v>
      </c>
      <c r="AX536" s="8">
        <v>1</v>
      </c>
      <c r="AY536" s="8">
        <v>0</v>
      </c>
      <c r="AZ536" s="8" t="s">
        <v>560</v>
      </c>
      <c r="BA536" s="8">
        <v>0</v>
      </c>
    </row>
    <row r="537" spans="1:53" x14ac:dyDescent="0.2">
      <c r="A537" s="8" t="s">
        <v>558</v>
      </c>
      <c r="B537" s="8" t="s">
        <v>82</v>
      </c>
      <c r="C537" s="8" t="s">
        <v>208</v>
      </c>
      <c r="D537" s="8">
        <v>1</v>
      </c>
      <c r="E537" s="8">
        <v>1</v>
      </c>
      <c r="F537" s="8">
        <f>SUM(G537:M537)</f>
        <v>1</v>
      </c>
      <c r="G537" s="8">
        <v>1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1</v>
      </c>
      <c r="O537" s="8">
        <v>1</v>
      </c>
      <c r="P537" s="8">
        <v>1</v>
      </c>
      <c r="Q537" s="8">
        <v>1</v>
      </c>
      <c r="R537" s="8">
        <v>1</v>
      </c>
      <c r="S537" s="8">
        <v>0</v>
      </c>
      <c r="T537" s="10">
        <v>-23.981000000000002</v>
      </c>
      <c r="U537" s="10">
        <v>14.795999999999999</v>
      </c>
      <c r="V537" s="10">
        <v>-11.898999999999999</v>
      </c>
      <c r="W537" s="10">
        <f>IF(RIGHT(C537,2)="12",IF(ISNUMBER(T537),T537,""),IF(COUNT(T537,U537,V537)=3,T537+U537-V537,""))</f>
        <v>2.7139999999999969</v>
      </c>
      <c r="X537" s="10">
        <v>2.714</v>
      </c>
      <c r="Y537" s="10">
        <v>0.67400000000000004</v>
      </c>
      <c r="Z537" s="10">
        <v>80.233999999999995</v>
      </c>
      <c r="AA537" s="10">
        <v>-54.212000000000003</v>
      </c>
      <c r="AB537" s="10">
        <v>-23.981000000000002</v>
      </c>
      <c r="AC537" s="8">
        <v>0</v>
      </c>
      <c r="AD537" s="8">
        <v>1</v>
      </c>
      <c r="AE537" s="8">
        <v>0</v>
      </c>
      <c r="AF537" s="10">
        <v>14.795999999999999</v>
      </c>
      <c r="AG537" s="8">
        <f>COUNTIF(Y537:AB537,"&gt;0")</f>
        <v>2</v>
      </c>
      <c r="AH537" s="10">
        <v>0</v>
      </c>
      <c r="AI537" s="10">
        <v>80.908000000000001</v>
      </c>
      <c r="AJ537" s="8" t="str">
        <f>IF(ISNUMBER(X537),IF(X537&gt;0,"+",IF(X537&lt;0,"−","0")),IF(ISNUMBER(W537),IF(W537&gt;0,"+",IF(W537&lt;0,"−","0")),"yok"))</f>
        <v>+</v>
      </c>
      <c r="AK537" s="10">
        <f>IF(AND(RIGHT(C537,2)&lt;&gt;"12",ISNUMBER(U537),ISNUMBER(V537)),U537-V537,"")</f>
        <v>26.695</v>
      </c>
      <c r="AL537" s="11">
        <f>IF(AND(ISNUMBER(AK537),ISNUMBER(V537)),IF(V537&lt;&gt;0,AK537/ABS(V537),""),"")</f>
        <v>2.2434658374653336</v>
      </c>
      <c r="AM537" s="8">
        <f>IF(ISNUMBER(AK537),IF(AK537&gt;1,1,0),"")</f>
        <v>1</v>
      </c>
      <c r="AN537" s="8">
        <f>IF(ISNUMBER(AK537),IF(AK537&gt;0.05*ABS(V537),1,0),"")</f>
        <v>1</v>
      </c>
      <c r="AO537" s="10">
        <v>2.7149999999999999</v>
      </c>
      <c r="AP537" s="10">
        <v>0</v>
      </c>
      <c r="AQ537" s="8" t="s">
        <v>204</v>
      </c>
      <c r="AR537" s="8">
        <v>1</v>
      </c>
      <c r="AS537" s="10">
        <v>-595.11</v>
      </c>
      <c r="AT537" s="10">
        <v>-2508.3290000000002</v>
      </c>
      <c r="AU537" s="8" t="s">
        <v>204</v>
      </c>
      <c r="AV537" s="10">
        <v>14.795999999999999</v>
      </c>
      <c r="AW537" s="11">
        <f>IF(AND(ISNUMBER(AV537),ISNUMBER(AT537)),IF(AT537&lt;&gt;0,AV537/ABS(AT537),""),"")</f>
        <v>5.8987477320558823E-3</v>
      </c>
      <c r="AX537" s="8">
        <v>1</v>
      </c>
      <c r="AY537" s="8">
        <v>0</v>
      </c>
      <c r="AZ537" s="8" t="s">
        <v>561</v>
      </c>
      <c r="BA537" s="8">
        <v>0</v>
      </c>
    </row>
    <row r="538" spans="1:53" x14ac:dyDescent="0.2">
      <c r="A538" s="8" t="s">
        <v>558</v>
      </c>
      <c r="B538" s="8" t="s">
        <v>82</v>
      </c>
      <c r="C538" s="8" t="s">
        <v>210</v>
      </c>
      <c r="D538" s="8">
        <v>1</v>
      </c>
      <c r="E538" s="8">
        <v>1</v>
      </c>
      <c r="F538" s="8">
        <f>SUM(G538:M538)</f>
        <v>2</v>
      </c>
      <c r="G538" s="8">
        <v>0</v>
      </c>
      <c r="H538" s="8">
        <v>1</v>
      </c>
      <c r="I538" s="8">
        <v>0</v>
      </c>
      <c r="J538" s="8">
        <v>1</v>
      </c>
      <c r="K538" s="8">
        <v>0</v>
      </c>
      <c r="L538" s="8">
        <v>0</v>
      </c>
      <c r="M538" s="8">
        <v>0</v>
      </c>
      <c r="N538" s="8">
        <v>0</v>
      </c>
      <c r="O538" s="8">
        <v>1</v>
      </c>
      <c r="P538" s="8">
        <v>1</v>
      </c>
      <c r="Q538" s="8">
        <v>1</v>
      </c>
      <c r="R538" s="8">
        <v>1</v>
      </c>
      <c r="S538" s="8">
        <v>0</v>
      </c>
      <c r="T538" s="10">
        <v>-86.028000000000006</v>
      </c>
      <c r="U538" s="10">
        <v>14.795999999999999</v>
      </c>
      <c r="V538" s="10">
        <v>-11.225</v>
      </c>
      <c r="W538" s="10">
        <f>IF(RIGHT(C538,2)="12",IF(ISNUMBER(T538),T538,""),IF(COUNT(T538,U538,V538)=3,T538+U538-V538,""))</f>
        <v>-60.006999999999998</v>
      </c>
      <c r="X538" s="10">
        <v>-60.006</v>
      </c>
      <c r="Y538" s="10">
        <v>80.233999999999995</v>
      </c>
      <c r="Z538" s="10">
        <v>-54.212000000000003</v>
      </c>
      <c r="AA538" s="10">
        <v>-23.981000000000002</v>
      </c>
      <c r="AB538" s="10">
        <v>-62.045999999999999</v>
      </c>
      <c r="AC538" s="8">
        <v>0</v>
      </c>
      <c r="AD538" s="8">
        <v>1</v>
      </c>
      <c r="AE538" s="8">
        <v>0</v>
      </c>
      <c r="AF538" s="10">
        <v>14.795999999999999</v>
      </c>
      <c r="AG538" s="8">
        <f>COUNTIF(Y538:AB538,"&gt;0")</f>
        <v>1</v>
      </c>
      <c r="AH538" s="10">
        <v>0</v>
      </c>
      <c r="AI538" s="10">
        <v>80.233999999999995</v>
      </c>
      <c r="AJ538" s="8" t="str">
        <f>IF(ISNUMBER(X538),IF(X538&gt;0,"+",IF(X538&lt;0,"−","0")),IF(ISNUMBER(W538),IF(W538&gt;0,"+",IF(W538&lt;0,"−","0")),"yok"))</f>
        <v>−</v>
      </c>
      <c r="AK538" s="10">
        <f>IF(AND(RIGHT(C538,2)&lt;&gt;"12",ISNUMBER(U538),ISNUMBER(V538)),U538-V538,"")</f>
        <v>26.021000000000001</v>
      </c>
      <c r="AL538" s="11">
        <f>IF(AND(ISNUMBER(AK538),ISNUMBER(V538)),IF(V538&lt;&gt;0,AK538/ABS(V538),""),"")</f>
        <v>2.3181291759465479</v>
      </c>
      <c r="AM538" s="8">
        <f>IF(ISNUMBER(AK538),IF(AK538&gt;1,1,0),"")</f>
        <v>1</v>
      </c>
      <c r="AN538" s="8">
        <f>IF(ISNUMBER(AK538),IF(AK538&gt;0.05*ABS(V538),1,0),"")</f>
        <v>1</v>
      </c>
      <c r="AO538" s="10">
        <v>-60.006</v>
      </c>
      <c r="AP538" s="10">
        <v>60.006</v>
      </c>
      <c r="AQ538" s="8" t="s">
        <v>204</v>
      </c>
      <c r="AR538" s="8">
        <v>0</v>
      </c>
      <c r="AS538" s="10">
        <v>-2001.5229999999999</v>
      </c>
      <c r="AT538" s="10">
        <v>-3589.2089999999998</v>
      </c>
      <c r="AU538" s="8" t="s">
        <v>204</v>
      </c>
      <c r="AV538" s="10">
        <v>14.795999999999999</v>
      </c>
      <c r="AW538" s="11">
        <f>IF(AND(ISNUMBER(AV538),ISNUMBER(AT538)),IF(AT538&lt;&gt;0,AV538/ABS(AT538),""),"")</f>
        <v>4.1223567644012929E-3</v>
      </c>
      <c r="AX538" s="8">
        <v>1</v>
      </c>
      <c r="AY538" s="8">
        <v>0</v>
      </c>
      <c r="AZ538" s="8" t="s">
        <v>561</v>
      </c>
      <c r="BA538" s="8">
        <v>0</v>
      </c>
    </row>
    <row r="539" spans="1:53" x14ac:dyDescent="0.2">
      <c r="A539" s="8" t="s">
        <v>562</v>
      </c>
      <c r="B539" s="8" t="s">
        <v>82</v>
      </c>
      <c r="C539" s="8" t="s">
        <v>203</v>
      </c>
      <c r="D539" s="8">
        <v>1</v>
      </c>
      <c r="E539" s="8">
        <v>0</v>
      </c>
      <c r="F539" s="8">
        <f>SUM(G539:M539)</f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1</v>
      </c>
      <c r="Q539" s="8">
        <v>0</v>
      </c>
      <c r="R539" s="8">
        <v>1</v>
      </c>
      <c r="S539" s="8">
        <v>0</v>
      </c>
      <c r="T539" s="10">
        <v>-29.597000000000001</v>
      </c>
      <c r="U539" s="10">
        <v>-93.32</v>
      </c>
      <c r="V539" s="10">
        <v>-27.262</v>
      </c>
      <c r="W539" s="10">
        <f>IF(RIGHT(C539,2)="12",IF(ISNUMBER(T539),T539,""),IF(COUNT(T539,U539,V539)=3,T539+U539-V539,""))</f>
        <v>-95.655000000000001</v>
      </c>
      <c r="X539" s="10">
        <v>-95.653999999999996</v>
      </c>
      <c r="Y539" s="10">
        <v>-22.151</v>
      </c>
      <c r="Z539" s="10">
        <v>41.956000000000003</v>
      </c>
      <c r="AA539" s="10">
        <v>-85.861000000000004</v>
      </c>
      <c r="AB539" s="10">
        <v>-29.597000000000001</v>
      </c>
      <c r="AC539" s="8">
        <v>0</v>
      </c>
      <c r="AD539" s="8">
        <v>0</v>
      </c>
      <c r="AE539" s="8">
        <v>0</v>
      </c>
      <c r="AF539" s="10">
        <v>0</v>
      </c>
      <c r="AG539" s="8">
        <f>COUNTIF(Y539:AB539,"&gt;0")</f>
        <v>1</v>
      </c>
      <c r="AH539" s="10">
        <v>0</v>
      </c>
      <c r="AI539" s="10">
        <v>41.956000000000003</v>
      </c>
      <c r="AJ539" s="8" t="str">
        <f>IF(ISNUMBER(X539),IF(X539&gt;0,"+",IF(X539&lt;0,"−","0")),IF(ISNUMBER(W539),IF(W539&gt;0,"+",IF(W539&lt;0,"−","0")),"yok"))</f>
        <v>−</v>
      </c>
      <c r="AK539" s="10">
        <f>IF(AND(RIGHT(C539,2)&lt;&gt;"12",ISNUMBER(U539),ISNUMBER(V539)),U539-V539,"")</f>
        <v>-66.057999999999993</v>
      </c>
      <c r="AL539" s="11">
        <f>IF(AND(ISNUMBER(AK539),ISNUMBER(V539)),IF(V539&lt;&gt;0,AK539/ABS(V539),""),"")</f>
        <v>-2.4230797446995815</v>
      </c>
      <c r="AM539" s="8">
        <f>IF(ISNUMBER(AK539),IF(AK539&gt;1,1,0),"")</f>
        <v>0</v>
      </c>
      <c r="AN539" s="8">
        <f>IF(ISNUMBER(AK539),IF(AK539&gt;0.05*ABS(V539),1,0),"")</f>
        <v>0</v>
      </c>
      <c r="AO539" s="10">
        <v>-95.655000000000001</v>
      </c>
      <c r="AP539" s="10">
        <v>95.655000000000001</v>
      </c>
      <c r="AQ539" s="8" t="s">
        <v>204</v>
      </c>
      <c r="AR539" s="8">
        <v>0</v>
      </c>
      <c r="AS539" s="10">
        <v>94.304000000000002</v>
      </c>
      <c r="AT539" s="10">
        <v>-108.524</v>
      </c>
      <c r="AU539" s="8" t="s">
        <v>204</v>
      </c>
      <c r="AV539" s="10">
        <v>41.956000000000003</v>
      </c>
      <c r="AW539" s="11">
        <f>IF(AND(ISNUMBER(AV539),ISNUMBER(AT539)),IF(AT539&lt;&gt;0,AV539/ABS(AT539),""),"")</f>
        <v>0.38660572776528696</v>
      </c>
      <c r="AX539" s="8">
        <v>0</v>
      </c>
      <c r="AY539" s="8">
        <v>0</v>
      </c>
      <c r="AZ539" s="10"/>
      <c r="BA539" s="8">
        <v>0</v>
      </c>
    </row>
    <row r="540" spans="1:53" x14ac:dyDescent="0.2">
      <c r="A540" s="8" t="s">
        <v>562</v>
      </c>
      <c r="B540" s="8" t="s">
        <v>82</v>
      </c>
      <c r="C540" s="8" t="s">
        <v>205</v>
      </c>
      <c r="D540" s="8">
        <v>1</v>
      </c>
      <c r="E540" s="8">
        <v>0</v>
      </c>
      <c r="F540" s="8">
        <f>SUM(G540:M540)</f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1</v>
      </c>
      <c r="Q540" s="8">
        <v>0</v>
      </c>
      <c r="R540" s="8">
        <v>1</v>
      </c>
      <c r="S540" s="8">
        <v>0</v>
      </c>
      <c r="T540" s="10">
        <v>-55.802999999999997</v>
      </c>
      <c r="U540" s="10">
        <v>-93.32</v>
      </c>
      <c r="V540" s="10">
        <v>-49.414000000000001</v>
      </c>
      <c r="W540" s="10">
        <f>IF(RIGHT(C540,2)="12",IF(ISNUMBER(T540),T540,""),IF(COUNT(T540,U540,V540)=3,T540+U540-V540,""))</f>
        <v>-99.708999999999989</v>
      </c>
      <c r="X540" s="10">
        <v>-99.707999999999998</v>
      </c>
      <c r="Y540" s="10">
        <v>41.956000000000003</v>
      </c>
      <c r="Z540" s="10">
        <v>-85.861000000000004</v>
      </c>
      <c r="AA540" s="10">
        <v>-29.597000000000001</v>
      </c>
      <c r="AB540" s="10">
        <v>-26.204999999999998</v>
      </c>
      <c r="AC540" s="8">
        <v>0</v>
      </c>
      <c r="AD540" s="8">
        <v>0</v>
      </c>
      <c r="AE540" s="8">
        <v>0</v>
      </c>
      <c r="AF540" s="10">
        <v>0</v>
      </c>
      <c r="AG540" s="8">
        <f>COUNTIF(Y540:AB540,"&gt;0")</f>
        <v>1</v>
      </c>
      <c r="AH540" s="10">
        <v>0</v>
      </c>
      <c r="AI540" s="10">
        <v>41.956000000000003</v>
      </c>
      <c r="AJ540" s="8" t="str">
        <f>IF(ISNUMBER(X540),IF(X540&gt;0,"+",IF(X540&lt;0,"−","0")),IF(ISNUMBER(W540),IF(W540&gt;0,"+",IF(W540&lt;0,"−","0")),"yok"))</f>
        <v>−</v>
      </c>
      <c r="AK540" s="10">
        <f>IF(AND(RIGHT(C540,2)&lt;&gt;"12",ISNUMBER(U540),ISNUMBER(V540)),U540-V540,"")</f>
        <v>-43.905999999999992</v>
      </c>
      <c r="AL540" s="11">
        <f>IF(AND(ISNUMBER(AK540),ISNUMBER(V540)),IF(V540&lt;&gt;0,AK540/ABS(V540),""),"")</f>
        <v>-0.88853361395555897</v>
      </c>
      <c r="AM540" s="8">
        <f>IF(ISNUMBER(AK540),IF(AK540&gt;1,1,0),"")</f>
        <v>0</v>
      </c>
      <c r="AN540" s="8">
        <f>IF(ISNUMBER(AK540),IF(AK540&gt;0.05*ABS(V540),1,0),"")</f>
        <v>0</v>
      </c>
      <c r="AO540" s="10">
        <v>-99.707999999999998</v>
      </c>
      <c r="AP540" s="10">
        <v>99.707999999999998</v>
      </c>
      <c r="AQ540" s="8" t="s">
        <v>204</v>
      </c>
      <c r="AR540" s="8">
        <v>0</v>
      </c>
      <c r="AS540" s="10">
        <v>304.988</v>
      </c>
      <c r="AT540" s="10">
        <v>93.134</v>
      </c>
      <c r="AU540" s="8" t="s">
        <v>204</v>
      </c>
      <c r="AV540" s="10">
        <v>41.956000000000003</v>
      </c>
      <c r="AW540" s="11">
        <f>IF(AND(ISNUMBER(AV540),ISNUMBER(AT540)),IF(AT540&lt;&gt;0,AV540/ABS(AT540),""),"")</f>
        <v>0.45049069083256388</v>
      </c>
      <c r="AX540" s="8">
        <v>0</v>
      </c>
      <c r="AY540" s="8">
        <v>0</v>
      </c>
      <c r="AZ540" s="10"/>
      <c r="BA540" s="8">
        <v>0</v>
      </c>
    </row>
    <row r="541" spans="1:53" x14ac:dyDescent="0.2">
      <c r="A541" s="8" t="s">
        <v>562</v>
      </c>
      <c r="B541" s="8" t="s">
        <v>82</v>
      </c>
      <c r="C541" s="8" t="s">
        <v>215</v>
      </c>
      <c r="D541" s="8">
        <v>1</v>
      </c>
      <c r="E541" s="8">
        <v>0</v>
      </c>
      <c r="F541" s="8">
        <f>SUM(G541:M541)</f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1</v>
      </c>
      <c r="Q541" s="8">
        <v>0</v>
      </c>
      <c r="R541" s="8">
        <v>0</v>
      </c>
      <c r="S541" s="8">
        <v>1</v>
      </c>
      <c r="T541" s="10">
        <v>-51.832999999999998</v>
      </c>
      <c r="U541" s="10">
        <v>-93.32</v>
      </c>
      <c r="V541" s="10">
        <v>-7.4580000000000002</v>
      </c>
      <c r="W541" s="10">
        <f>IF(RIGHT(C541,2)="12",IF(ISNUMBER(T541),T541,""),IF(COUNT(T541,U541,V541)=3,T541+U541-V541,""))</f>
        <v>-137.69499999999999</v>
      </c>
      <c r="X541" s="10">
        <v>-137.69499999999999</v>
      </c>
      <c r="Y541" s="10">
        <v>-85.861000000000004</v>
      </c>
      <c r="Z541" s="10">
        <v>-29.597000000000001</v>
      </c>
      <c r="AA541" s="10">
        <v>-26.204999999999998</v>
      </c>
      <c r="AB541" s="10">
        <v>3.9689999999999999</v>
      </c>
      <c r="AC541" s="8">
        <v>0</v>
      </c>
      <c r="AD541" s="8">
        <v>0</v>
      </c>
      <c r="AE541" s="8">
        <v>0</v>
      </c>
      <c r="AF541" s="10">
        <v>0</v>
      </c>
      <c r="AG541" s="8">
        <f>COUNTIF(Y541:AB541,"&gt;0")</f>
        <v>1</v>
      </c>
      <c r="AH541" s="10">
        <v>3.9689999999999999</v>
      </c>
      <c r="AI541" s="10">
        <v>0</v>
      </c>
      <c r="AJ541" s="8" t="str">
        <f>IF(ISNUMBER(X541),IF(X541&gt;0,"+",IF(X541&lt;0,"−","0")),IF(ISNUMBER(W541),IF(W541&gt;0,"+",IF(W541&lt;0,"−","0")),"yok"))</f>
        <v>−</v>
      </c>
      <c r="AK541" s="10">
        <f>IF(AND(RIGHT(C541,2)&lt;&gt;"12",ISNUMBER(U541),ISNUMBER(V541)),U541-V541,"")</f>
        <v>-85.861999999999995</v>
      </c>
      <c r="AL541" s="11">
        <f>IF(AND(ISNUMBER(AK541),ISNUMBER(V541)),IF(V541&lt;&gt;0,AK541/ABS(V541),""),"")</f>
        <v>-11.512737999463662</v>
      </c>
      <c r="AM541" s="8">
        <f>IF(ISNUMBER(AK541),IF(AK541&gt;1,1,0),"")</f>
        <v>0</v>
      </c>
      <c r="AN541" s="8">
        <f>IF(ISNUMBER(AK541),IF(AK541&gt;0.05*ABS(V541),1,0),"")</f>
        <v>0</v>
      </c>
      <c r="AO541" s="10">
        <v>-137.69499999999999</v>
      </c>
      <c r="AP541" s="10">
        <v>137.69499999999999</v>
      </c>
      <c r="AQ541" s="8" t="s">
        <v>204</v>
      </c>
      <c r="AR541" s="8">
        <v>0</v>
      </c>
      <c r="AS541" s="10">
        <v>302.62200000000001</v>
      </c>
      <c r="AT541" s="10">
        <v>36.420999999999999</v>
      </c>
      <c r="AU541" s="8" t="s">
        <v>204</v>
      </c>
      <c r="AV541" s="10">
        <v>3.9689999999999999</v>
      </c>
      <c r="AW541" s="11">
        <f>IF(AND(ISNUMBER(AV541),ISNUMBER(AT541)),IF(AT541&lt;&gt;0,AV541/ABS(AT541),""),"")</f>
        <v>0.10897559100518932</v>
      </c>
      <c r="AX541" s="8">
        <v>0</v>
      </c>
      <c r="AY541" s="8">
        <v>0</v>
      </c>
      <c r="AZ541" s="10"/>
      <c r="BA541" s="8">
        <v>0</v>
      </c>
    </row>
    <row r="542" spans="1:53" x14ac:dyDescent="0.2">
      <c r="A542" s="8" t="s">
        <v>562</v>
      </c>
      <c r="B542" s="8" t="s">
        <v>82</v>
      </c>
      <c r="C542" s="8" t="s">
        <v>290</v>
      </c>
      <c r="D542" s="8">
        <v>1</v>
      </c>
      <c r="E542" s="8">
        <v>0</v>
      </c>
      <c r="F542" s="8">
        <f>SUM(G542:M542)</f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1</v>
      </c>
      <c r="Q542" s="8">
        <v>0</v>
      </c>
      <c r="R542" s="8">
        <v>0</v>
      </c>
      <c r="S542" s="8">
        <v>1</v>
      </c>
      <c r="T542" s="10">
        <v>-92.584000000000003</v>
      </c>
      <c r="U542" s="10"/>
      <c r="V542" s="10"/>
      <c r="W542" s="10">
        <f>IF(RIGHT(C542,2)="12",IF(ISNUMBER(T542),T542,""),IF(COUNT(T542,U542,V542)=3,T542+U542-V542,""))</f>
        <v>-92.584000000000003</v>
      </c>
      <c r="X542" s="10">
        <v>-92.584000000000003</v>
      </c>
      <c r="Y542" s="10">
        <v>-29.597000000000001</v>
      </c>
      <c r="Z542" s="10">
        <v>-26.204999999999998</v>
      </c>
      <c r="AA542" s="10">
        <v>3.9689999999999999</v>
      </c>
      <c r="AB542" s="10">
        <v>-40.75</v>
      </c>
      <c r="AC542" s="8">
        <v>0</v>
      </c>
      <c r="AD542" s="8">
        <v>0</v>
      </c>
      <c r="AE542" s="8">
        <v>0</v>
      </c>
      <c r="AF542" s="10">
        <v>0</v>
      </c>
      <c r="AG542" s="8">
        <f>COUNTIF(Y542:AB542,"&gt;0")</f>
        <v>1</v>
      </c>
      <c r="AH542" s="10">
        <v>3.9689999999999999</v>
      </c>
      <c r="AI542" s="10">
        <v>0</v>
      </c>
      <c r="AJ542" s="8" t="str">
        <f>IF(ISNUMBER(X542),IF(X542&gt;0,"+",IF(X542&lt;0,"−","0")),IF(ISNUMBER(W542),IF(W542&gt;0,"+",IF(W542&lt;0,"−","0")),"yok"))</f>
        <v>−</v>
      </c>
      <c r="AK542" s="10" t="str">
        <f>IF(AND(RIGHT(C542,2)&lt;&gt;"12",ISNUMBER(U542),ISNUMBER(V542)),U542-V542,"")</f>
        <v/>
      </c>
      <c r="AL542" s="11" t="str">
        <f>IF(AND(ISNUMBER(AK542),ISNUMBER(V542)),IF(V542&lt;&gt;0,AK542/ABS(V542),""),"")</f>
        <v/>
      </c>
      <c r="AM542" s="8" t="str">
        <f>IF(ISNUMBER(AK542),IF(AK542&gt;1,1,0),"")</f>
        <v/>
      </c>
      <c r="AN542" s="8" t="str">
        <f>IF(ISNUMBER(AK542),IF(AK542&gt;0.05*ABS(V542),1,0),"")</f>
        <v/>
      </c>
      <c r="AO542" s="10">
        <v>-92.584000000000003</v>
      </c>
      <c r="AP542" s="10">
        <v>92.584000000000003</v>
      </c>
      <c r="AQ542" s="8" t="s">
        <v>204</v>
      </c>
      <c r="AR542" s="8">
        <v>0</v>
      </c>
      <c r="AS542" s="10">
        <v>-310.50099999999998</v>
      </c>
      <c r="AT542" s="10">
        <v>-509.03899999999999</v>
      </c>
      <c r="AU542" s="8" t="s">
        <v>204</v>
      </c>
      <c r="AV542" s="10">
        <v>3.9689999999999999</v>
      </c>
      <c r="AW542" s="11">
        <f>IF(AND(ISNUMBER(AV542),ISNUMBER(AT542)),IF(AT542&lt;&gt;0,AV542/ABS(AT542),""),"")</f>
        <v>7.7970450201261593E-3</v>
      </c>
      <c r="AX542" s="8">
        <v>0</v>
      </c>
      <c r="AY542" s="8">
        <v>0</v>
      </c>
      <c r="AZ542" s="10"/>
      <c r="BA542" s="8">
        <v>0</v>
      </c>
    </row>
    <row r="543" spans="1:53" x14ac:dyDescent="0.2">
      <c r="A543" s="8" t="s">
        <v>562</v>
      </c>
      <c r="B543" s="8" t="s">
        <v>82</v>
      </c>
      <c r="C543" s="8" t="s">
        <v>208</v>
      </c>
      <c r="D543" s="8">
        <v>1</v>
      </c>
      <c r="E543" s="8">
        <v>0</v>
      </c>
      <c r="F543" s="8">
        <f>SUM(G543:M543)</f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1</v>
      </c>
      <c r="Q543" s="8">
        <v>0</v>
      </c>
      <c r="R543" s="8">
        <v>1</v>
      </c>
      <c r="S543" s="8">
        <v>0</v>
      </c>
      <c r="T543" s="10">
        <v>-20.082999999999998</v>
      </c>
      <c r="U543" s="10">
        <v>-92.584000000000003</v>
      </c>
      <c r="V543" s="10">
        <v>-29.597000000000001</v>
      </c>
      <c r="W543" s="10">
        <f>IF(RIGHT(C543,2)="12",IF(ISNUMBER(T543),T543,""),IF(COUNT(T543,U543,V543)=3,T543+U543-V543,""))</f>
        <v>-83.07</v>
      </c>
      <c r="X543" s="10">
        <v>-83.069000000000003</v>
      </c>
      <c r="Y543" s="10">
        <v>-26.204999999999998</v>
      </c>
      <c r="Z543" s="10">
        <v>3.9689999999999999</v>
      </c>
      <c r="AA543" s="10">
        <v>-40.75</v>
      </c>
      <c r="AB543" s="10">
        <v>-20.082999999999998</v>
      </c>
      <c r="AC543" s="8">
        <v>0</v>
      </c>
      <c r="AD543" s="8">
        <v>0</v>
      </c>
      <c r="AE543" s="8">
        <v>0</v>
      </c>
      <c r="AF543" s="10">
        <v>0</v>
      </c>
      <c r="AG543" s="8">
        <f>COUNTIF(Y543:AB543,"&gt;0")</f>
        <v>1</v>
      </c>
      <c r="AH543" s="10">
        <v>0</v>
      </c>
      <c r="AI543" s="10">
        <v>3.9689999999999999</v>
      </c>
      <c r="AJ543" s="8" t="str">
        <f>IF(ISNUMBER(X543),IF(X543&gt;0,"+",IF(X543&lt;0,"−","0")),IF(ISNUMBER(W543),IF(W543&gt;0,"+",IF(W543&lt;0,"−","0")),"yok"))</f>
        <v>−</v>
      </c>
      <c r="AK543" s="10">
        <f>IF(AND(RIGHT(C543,2)&lt;&gt;"12",ISNUMBER(U543),ISNUMBER(V543)),U543-V543,"")</f>
        <v>-62.987000000000002</v>
      </c>
      <c r="AL543" s="11">
        <f>IF(AND(ISNUMBER(AK543),ISNUMBER(V543)),IF(V543&lt;&gt;0,AK543/ABS(V543),""),"")</f>
        <v>-2.128154880562219</v>
      </c>
      <c r="AM543" s="8">
        <f>IF(ISNUMBER(AK543),IF(AK543&gt;1,1,0),"")</f>
        <v>0</v>
      </c>
      <c r="AN543" s="8">
        <f>IF(ISNUMBER(AK543),IF(AK543&gt;0.05*ABS(V543),1,0),"")</f>
        <v>0</v>
      </c>
      <c r="AO543" s="10">
        <v>-83.069000000000003</v>
      </c>
      <c r="AP543" s="10">
        <v>83.069000000000003</v>
      </c>
      <c r="AQ543" s="8" t="s">
        <v>204</v>
      </c>
      <c r="AR543" s="8">
        <v>0</v>
      </c>
      <c r="AS543" s="10">
        <v>-277.74400000000003</v>
      </c>
      <c r="AT543" s="10">
        <v>-453.59300000000002</v>
      </c>
      <c r="AU543" s="8" t="s">
        <v>204</v>
      </c>
      <c r="AV543" s="10">
        <v>3.9689999999999999</v>
      </c>
      <c r="AW543" s="11">
        <f>IF(AND(ISNUMBER(AV543),ISNUMBER(AT543)),IF(AT543&lt;&gt;0,AV543/ABS(AT543),""),"")</f>
        <v>8.7501350329480393E-3</v>
      </c>
      <c r="AX543" s="8">
        <v>0</v>
      </c>
      <c r="AY543" s="8">
        <v>0</v>
      </c>
      <c r="AZ543" s="10"/>
      <c r="BA543" s="8">
        <v>0</v>
      </c>
    </row>
    <row r="544" spans="1:53" x14ac:dyDescent="0.2">
      <c r="A544" s="8" t="s">
        <v>562</v>
      </c>
      <c r="B544" s="8" t="s">
        <v>82</v>
      </c>
      <c r="C544" s="8" t="s">
        <v>210</v>
      </c>
      <c r="D544" s="8">
        <v>1</v>
      </c>
      <c r="E544" s="8">
        <v>0</v>
      </c>
      <c r="F544" s="8">
        <f>SUM(G544:M544)</f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1</v>
      </c>
      <c r="Q544" s="8">
        <v>0</v>
      </c>
      <c r="R544" s="8">
        <v>1</v>
      </c>
      <c r="S544" s="8">
        <v>0</v>
      </c>
      <c r="T544" s="10">
        <v>-38.262</v>
      </c>
      <c r="U544" s="10">
        <v>-92.584000000000003</v>
      </c>
      <c r="V544" s="10">
        <v>-55.802999999999997</v>
      </c>
      <c r="W544" s="10">
        <f>IF(RIGHT(C544,2)="12",IF(ISNUMBER(T544),T544,""),IF(COUNT(T544,U544,V544)=3,T544+U544-V544,""))</f>
        <v>-75.043000000000006</v>
      </c>
      <c r="X544" s="10">
        <v>-75.043000000000006</v>
      </c>
      <c r="Y544" s="10">
        <v>3.9689999999999999</v>
      </c>
      <c r="Z544" s="10">
        <v>-40.75</v>
      </c>
      <c r="AA544" s="10">
        <v>-20.082999999999998</v>
      </c>
      <c r="AB544" s="10">
        <v>-18.178000000000001</v>
      </c>
      <c r="AC544" s="8">
        <v>0</v>
      </c>
      <c r="AD544" s="8">
        <v>0</v>
      </c>
      <c r="AE544" s="8">
        <v>0</v>
      </c>
      <c r="AF544" s="10">
        <v>0</v>
      </c>
      <c r="AG544" s="8">
        <f>COUNTIF(Y544:AB544,"&gt;0")</f>
        <v>1</v>
      </c>
      <c r="AH544" s="10">
        <v>0</v>
      </c>
      <c r="AI544" s="10">
        <v>3.9689999999999999</v>
      </c>
      <c r="AJ544" s="8" t="str">
        <f>IF(ISNUMBER(X544),IF(X544&gt;0,"+",IF(X544&lt;0,"−","0")),IF(ISNUMBER(W544),IF(W544&gt;0,"+",IF(W544&lt;0,"−","0")),"yok"))</f>
        <v>−</v>
      </c>
      <c r="AK544" s="10">
        <f>IF(AND(RIGHT(C544,2)&lt;&gt;"12",ISNUMBER(U544),ISNUMBER(V544)),U544-V544,"")</f>
        <v>-36.781000000000006</v>
      </c>
      <c r="AL544" s="11">
        <f>IF(AND(ISNUMBER(AK544),ISNUMBER(V544)),IF(V544&lt;&gt;0,AK544/ABS(V544),""),"")</f>
        <v>-0.65912226941203889</v>
      </c>
      <c r="AM544" s="8">
        <f>IF(ISNUMBER(AK544),IF(AK544&gt;1,1,0),"")</f>
        <v>0</v>
      </c>
      <c r="AN544" s="8">
        <f>IF(ISNUMBER(AK544),IF(AK544&gt;0.05*ABS(V544),1,0),"")</f>
        <v>0</v>
      </c>
      <c r="AO544" s="10">
        <v>-75.043000000000006</v>
      </c>
      <c r="AP544" s="10">
        <v>75.043000000000006</v>
      </c>
      <c r="AQ544" s="8" t="s">
        <v>204</v>
      </c>
      <c r="AR544" s="8">
        <v>0</v>
      </c>
      <c r="AS544" s="10">
        <v>-244.70599999999999</v>
      </c>
      <c r="AT544" s="10">
        <v>-406.02499999999998</v>
      </c>
      <c r="AU544" s="8" t="s">
        <v>204</v>
      </c>
      <c r="AV544" s="10">
        <v>3.9689999999999999</v>
      </c>
      <c r="AW544" s="11">
        <f>IF(AND(ISNUMBER(AV544),ISNUMBER(AT544)),IF(AT544&lt;&gt;0,AV544/ABS(AT544),""),"")</f>
        <v>9.7752601440797976E-3</v>
      </c>
      <c r="AX544" s="8">
        <v>0</v>
      </c>
      <c r="AY544" s="8">
        <v>0</v>
      </c>
      <c r="AZ544" s="10"/>
      <c r="BA544" s="8">
        <v>0</v>
      </c>
    </row>
    <row r="545" spans="1:53" x14ac:dyDescent="0.2">
      <c r="A545" s="8" t="s">
        <v>206</v>
      </c>
      <c r="B545" s="8" t="s">
        <v>83</v>
      </c>
      <c r="C545" s="8" t="s">
        <v>215</v>
      </c>
      <c r="D545" s="8">
        <v>1</v>
      </c>
      <c r="E545" s="8">
        <v>0</v>
      </c>
      <c r="F545" s="8">
        <f>SUM(G545:M545)</f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1</v>
      </c>
      <c r="Q545" s="8">
        <v>0</v>
      </c>
      <c r="R545" s="8">
        <v>0</v>
      </c>
      <c r="S545" s="8">
        <v>1</v>
      </c>
      <c r="T545" s="10">
        <v>-260.25200000000001</v>
      </c>
      <c r="U545" s="10">
        <v>-472.01</v>
      </c>
      <c r="V545" s="10">
        <v>-195.042</v>
      </c>
      <c r="W545" s="10">
        <f>IF(RIGHT(C545,2)="12",IF(ISNUMBER(T545),T545,""),IF(COUNT(T545,U545,V545)=3,T545+U545-V545,""))</f>
        <v>-537.21999999999991</v>
      </c>
      <c r="X545" s="10">
        <v>-537.22</v>
      </c>
      <c r="Y545" s="10">
        <v>-276.96800000000002</v>
      </c>
      <c r="Z545" s="10">
        <v>-238.28200000000001</v>
      </c>
      <c r="AA545" s="10">
        <v>-120.129</v>
      </c>
      <c r="AB545" s="10">
        <v>98.159000000000006</v>
      </c>
      <c r="AC545" s="8">
        <v>0</v>
      </c>
      <c r="AD545" s="8">
        <v>0</v>
      </c>
      <c r="AE545" s="8">
        <v>0</v>
      </c>
      <c r="AF545" s="10">
        <v>0</v>
      </c>
      <c r="AG545" s="8">
        <f>COUNTIF(Y545:AB545,"&gt;0")</f>
        <v>1</v>
      </c>
      <c r="AH545" s="10">
        <v>98.159000000000006</v>
      </c>
      <c r="AI545" s="10">
        <v>0</v>
      </c>
      <c r="AJ545" s="8" t="str">
        <f>IF(ISNUMBER(X545),IF(X545&gt;0,"+",IF(X545&lt;0,"−","0")),IF(ISNUMBER(W545),IF(W545&gt;0,"+",IF(W545&lt;0,"−","0")),"yok"))</f>
        <v>−</v>
      </c>
      <c r="AK545" s="10">
        <f>IF(AND(RIGHT(C545,2)&lt;&gt;"12",ISNUMBER(U545),ISNUMBER(V545)),U545-V545,"")</f>
        <v>-276.96799999999996</v>
      </c>
      <c r="AL545" s="11">
        <f>IF(AND(ISNUMBER(AK545),ISNUMBER(V545)),IF(V545&lt;&gt;0,AK545/ABS(V545),""),"")</f>
        <v>-1.4200428625629349</v>
      </c>
      <c r="AM545" s="8">
        <f>IF(ISNUMBER(AK545),IF(AK545&gt;1,1,0),"")</f>
        <v>0</v>
      </c>
      <c r="AN545" s="8">
        <f>IF(ISNUMBER(AK545),IF(AK545&gt;0.05*ABS(V545),1,0),"")</f>
        <v>0</v>
      </c>
      <c r="AO545" s="10">
        <v>-537.221</v>
      </c>
      <c r="AP545" s="10">
        <v>537.221</v>
      </c>
      <c r="AQ545" s="8" t="s">
        <v>204</v>
      </c>
      <c r="AR545" s="8">
        <v>0</v>
      </c>
      <c r="AS545" s="10">
        <v>437</v>
      </c>
      <c r="AT545" s="10"/>
      <c r="AU545" s="8" t="s">
        <v>207</v>
      </c>
      <c r="AV545" s="10">
        <v>98.159000000000006</v>
      </c>
      <c r="AW545" s="11" t="str">
        <f>IF(AND(ISNUMBER(AV545),ISNUMBER(AT545)),IF(AT545&lt;&gt;0,AV545/ABS(AT545),""),"")</f>
        <v/>
      </c>
      <c r="AX545" s="8">
        <v>0</v>
      </c>
      <c r="AY545" s="8">
        <v>0</v>
      </c>
      <c r="AZ545" s="10"/>
      <c r="BA545" s="8">
        <v>0</v>
      </c>
    </row>
    <row r="546" spans="1:53" x14ac:dyDescent="0.2">
      <c r="A546" s="8" t="s">
        <v>206</v>
      </c>
      <c r="B546" s="8" t="s">
        <v>83</v>
      </c>
      <c r="C546" s="8" t="s">
        <v>290</v>
      </c>
      <c r="D546" s="8">
        <v>1</v>
      </c>
      <c r="E546" s="8">
        <v>0</v>
      </c>
      <c r="F546" s="8">
        <f>SUM(G546:M546)</f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1</v>
      </c>
      <c r="Q546" s="8">
        <v>0</v>
      </c>
      <c r="R546" s="8">
        <v>0</v>
      </c>
      <c r="S546" s="8">
        <v>1</v>
      </c>
      <c r="T546" s="10">
        <v>-774.71100000000001</v>
      </c>
      <c r="U546" s="10"/>
      <c r="V546" s="10"/>
      <c r="W546" s="10">
        <f>IF(RIGHT(C546,2)="12",IF(ISNUMBER(T546),T546,""),IF(COUNT(T546,U546,V546)=3,T546+U546-V546,""))</f>
        <v>-774.71100000000001</v>
      </c>
      <c r="X546" s="10">
        <v>-774.71100000000001</v>
      </c>
      <c r="Y546" s="10">
        <v>-238.28200000000001</v>
      </c>
      <c r="Z546" s="10">
        <v>-120.129</v>
      </c>
      <c r="AA546" s="10">
        <v>98.159000000000006</v>
      </c>
      <c r="AB546" s="10">
        <v>-514.45899999999995</v>
      </c>
      <c r="AC546" s="8">
        <v>0</v>
      </c>
      <c r="AD546" s="8">
        <v>0</v>
      </c>
      <c r="AE546" s="8">
        <v>0</v>
      </c>
      <c r="AF546" s="10">
        <v>0</v>
      </c>
      <c r="AG546" s="8">
        <f>COUNTIF(Y546:AB546,"&gt;0")</f>
        <v>1</v>
      </c>
      <c r="AH546" s="10">
        <v>98.159000000000006</v>
      </c>
      <c r="AI546" s="10">
        <v>0</v>
      </c>
      <c r="AJ546" s="8" t="str">
        <f>IF(ISNUMBER(X546),IF(X546&gt;0,"+",IF(X546&lt;0,"−","0")),IF(ISNUMBER(W546),IF(W546&gt;0,"+",IF(W546&lt;0,"−","0")),"yok"))</f>
        <v>−</v>
      </c>
      <c r="AK546" s="10" t="str">
        <f>IF(AND(RIGHT(C546,2)&lt;&gt;"12",ISNUMBER(U546),ISNUMBER(V546)),U546-V546,"")</f>
        <v/>
      </c>
      <c r="AL546" s="11" t="str">
        <f>IF(AND(ISNUMBER(AK546),ISNUMBER(V546)),IF(V546&lt;&gt;0,AK546/ABS(V546),""),"")</f>
        <v/>
      </c>
      <c r="AM546" s="8" t="str">
        <f>IF(ISNUMBER(AK546),IF(AK546&gt;1,1,0),"")</f>
        <v/>
      </c>
      <c r="AN546" s="8" t="str">
        <f>IF(ISNUMBER(AK546),IF(AK546&gt;0.05*ABS(V546),1,0),"")</f>
        <v/>
      </c>
      <c r="AO546" s="10">
        <v>-774.71199999999999</v>
      </c>
      <c r="AP546" s="10">
        <v>774.71199999999999</v>
      </c>
      <c r="AQ546" s="8" t="s">
        <v>204</v>
      </c>
      <c r="AR546" s="8">
        <v>0</v>
      </c>
      <c r="AS546" s="10">
        <v>722.62699999999995</v>
      </c>
      <c r="AT546" s="10">
        <v>-72.554000000000002</v>
      </c>
      <c r="AU546" s="8" t="s">
        <v>209</v>
      </c>
      <c r="AV546" s="10">
        <v>98.159000000000006</v>
      </c>
      <c r="AW546" s="11">
        <f>IF(AND(ISNUMBER(AV546),ISNUMBER(AT546)),IF(AT546&lt;&gt;0,AV546/ABS(AT546),""),"")</f>
        <v>1.3529095570195993</v>
      </c>
      <c r="AX546" s="8">
        <v>0</v>
      </c>
      <c r="AY546" s="8">
        <v>0</v>
      </c>
      <c r="AZ546" s="10"/>
      <c r="BA546" s="8">
        <v>0</v>
      </c>
    </row>
    <row r="547" spans="1:53" x14ac:dyDescent="0.2">
      <c r="A547" s="8" t="s">
        <v>211</v>
      </c>
      <c r="B547" s="8" t="s">
        <v>83</v>
      </c>
      <c r="C547" s="8" t="s">
        <v>290</v>
      </c>
      <c r="D547" s="8">
        <v>1</v>
      </c>
      <c r="E547" s="8">
        <v>0</v>
      </c>
      <c r="F547" s="8">
        <f>SUM(G547:M547)</f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1</v>
      </c>
      <c r="Q547" s="8">
        <v>0</v>
      </c>
      <c r="R547" s="8">
        <v>0</v>
      </c>
      <c r="S547" s="8">
        <v>1</v>
      </c>
      <c r="T547" s="10">
        <v>-3.2509999999999999</v>
      </c>
      <c r="U547" s="10"/>
      <c r="V547" s="10"/>
      <c r="W547" s="10">
        <f>IF(RIGHT(C547,2)="12",IF(ISNUMBER(T547),T547,""),IF(COUNT(T547,U547,V547)=3,T547+U547-V547,""))</f>
        <v>-3.2509999999999999</v>
      </c>
      <c r="X547" s="10">
        <v>-3.2509999999999999</v>
      </c>
      <c r="Y547" s="10">
        <v>-10.577</v>
      </c>
      <c r="Z547" s="10"/>
      <c r="AA547" s="10"/>
      <c r="AB547" s="10">
        <v>174.47300000000001</v>
      </c>
      <c r="AC547" s="8">
        <v>0</v>
      </c>
      <c r="AD547" s="8">
        <v>0</v>
      </c>
      <c r="AE547" s="8">
        <v>0</v>
      </c>
      <c r="AF547" s="10">
        <v>0</v>
      </c>
      <c r="AG547" s="8">
        <f>COUNTIF(Y547:AB547,"&gt;0")</f>
        <v>1</v>
      </c>
      <c r="AH547" s="10">
        <v>174.47300000000001</v>
      </c>
      <c r="AI547" s="10">
        <v>0</v>
      </c>
      <c r="AJ547" s="8" t="str">
        <f>IF(ISNUMBER(X547),IF(X547&gt;0,"+",IF(X547&lt;0,"−","0")),IF(ISNUMBER(W547),IF(W547&gt;0,"+",IF(W547&lt;0,"−","0")),"yok"))</f>
        <v>−</v>
      </c>
      <c r="AK547" s="10" t="str">
        <f>IF(AND(RIGHT(C547,2)&lt;&gt;"12",ISNUMBER(U547),ISNUMBER(V547)),U547-V547,"")</f>
        <v/>
      </c>
      <c r="AL547" s="11" t="str">
        <f>IF(AND(ISNUMBER(AK547),ISNUMBER(V547)),IF(V547&lt;&gt;0,AK547/ABS(V547),""),"")</f>
        <v/>
      </c>
      <c r="AM547" s="8" t="str">
        <f>IF(ISNUMBER(AK547),IF(AK547&gt;1,1,0),"")</f>
        <v/>
      </c>
      <c r="AN547" s="8" t="str">
        <f>IF(ISNUMBER(AK547),IF(AK547&gt;0.05*ABS(V547),1,0),"")</f>
        <v/>
      </c>
      <c r="AO547" s="10"/>
      <c r="AP547" s="10"/>
      <c r="AQ547" s="8" t="s">
        <v>207</v>
      </c>
      <c r="AR547" s="8">
        <v>0</v>
      </c>
      <c r="AS547" s="10">
        <v>-194.76300000000001</v>
      </c>
      <c r="AT547" s="10"/>
      <c r="AU547" s="8" t="s">
        <v>207</v>
      </c>
      <c r="AV547" s="10">
        <v>174.47300000000001</v>
      </c>
      <c r="AW547" s="11" t="str">
        <f>IF(AND(ISNUMBER(AV547),ISNUMBER(AT547)),IF(AT547&lt;&gt;0,AV547/ABS(AT547),""),"")</f>
        <v/>
      </c>
      <c r="AX547" s="8">
        <v>0</v>
      </c>
      <c r="AY547" s="8">
        <v>0</v>
      </c>
      <c r="AZ547" s="10"/>
      <c r="BA547" s="8">
        <v>0</v>
      </c>
    </row>
    <row r="548" spans="1:53" x14ac:dyDescent="0.2">
      <c r="A548" s="8" t="s">
        <v>217</v>
      </c>
      <c r="B548" s="8" t="s">
        <v>82</v>
      </c>
      <c r="C548" s="8" t="s">
        <v>210</v>
      </c>
      <c r="D548" s="8">
        <v>1</v>
      </c>
      <c r="E548" s="8">
        <v>0</v>
      </c>
      <c r="F548" s="8">
        <f>SUM(G548:M548)</f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1</v>
      </c>
      <c r="P548" s="8">
        <v>0</v>
      </c>
      <c r="Q548" s="8">
        <v>0</v>
      </c>
      <c r="R548" s="8">
        <v>0</v>
      </c>
      <c r="S548" s="8">
        <v>0</v>
      </c>
      <c r="T548" s="10">
        <v>110.611</v>
      </c>
      <c r="U548" s="10"/>
      <c r="V548" s="10">
        <v>0</v>
      </c>
      <c r="W548" s="10" t="str">
        <f>IF(RIGHT(C548,2)="12",IF(ISNUMBER(T548),T548,""),IF(COUNT(T548,U548,V548)=3,T548+U548-V548,""))</f>
        <v/>
      </c>
      <c r="X548" s="10"/>
      <c r="Y548" s="10"/>
      <c r="Z548" s="10"/>
      <c r="AA548" s="10"/>
      <c r="AB548" s="10"/>
      <c r="AC548" s="8">
        <v>1</v>
      </c>
      <c r="AD548" s="8">
        <v>0</v>
      </c>
      <c r="AE548" s="8">
        <v>0</v>
      </c>
      <c r="AF548" s="10">
        <v>110.611</v>
      </c>
      <c r="AG548" s="8">
        <f>COUNTIF(Y548:AB548,"&gt;0")</f>
        <v>0</v>
      </c>
      <c r="AH548" s="10">
        <v>0</v>
      </c>
      <c r="AI548" s="10">
        <v>0</v>
      </c>
      <c r="AJ548" s="8" t="str">
        <f>IF(ISNUMBER(X548),IF(X548&gt;0,"+",IF(X548&lt;0,"−","0")),IF(ISNUMBER(W548),IF(W548&gt;0,"+",IF(W548&lt;0,"−","0")),"yok"))</f>
        <v>yok</v>
      </c>
      <c r="AK548" s="10" t="str">
        <f>IF(AND(RIGHT(C548,2)&lt;&gt;"12",ISNUMBER(U548),ISNUMBER(V548)),U548-V548,"")</f>
        <v/>
      </c>
      <c r="AL548" s="11" t="str">
        <f>IF(AND(ISNUMBER(AK548),ISNUMBER(V548)),IF(V548&lt;&gt;0,AK548/ABS(V548),""),"")</f>
        <v/>
      </c>
      <c r="AM548" s="8" t="str">
        <f>IF(ISNUMBER(AK548),IF(AK548&gt;1,1,0),"")</f>
        <v/>
      </c>
      <c r="AN548" s="8" t="str">
        <f>IF(ISNUMBER(AK548),IF(AK548&gt;0.05*ABS(V548),1,0),"")</f>
        <v/>
      </c>
      <c r="AO548" s="10"/>
      <c r="AP548" s="10"/>
      <c r="AQ548" s="8" t="s">
        <v>207</v>
      </c>
      <c r="AR548" s="8">
        <v>0</v>
      </c>
      <c r="AS548" s="10">
        <v>-667.66300000000001</v>
      </c>
      <c r="AT548" s="10"/>
      <c r="AU548" s="8" t="s">
        <v>207</v>
      </c>
      <c r="AV548" s="10">
        <v>110.611</v>
      </c>
      <c r="AW548" s="11" t="str">
        <f>IF(AND(ISNUMBER(AV548),ISNUMBER(AT548)),IF(AT548&lt;&gt;0,AV548/ABS(AT548),""),"")</f>
        <v/>
      </c>
      <c r="AX548" s="8">
        <v>1</v>
      </c>
      <c r="AY548" s="8">
        <v>0</v>
      </c>
      <c r="AZ548" s="8" t="s">
        <v>563</v>
      </c>
      <c r="BA548" s="8">
        <v>0</v>
      </c>
    </row>
    <row r="549" spans="1:53" x14ac:dyDescent="0.2">
      <c r="A549" s="8" t="s">
        <v>217</v>
      </c>
      <c r="B549" s="8" t="s">
        <v>83</v>
      </c>
      <c r="C549" s="8" t="s">
        <v>290</v>
      </c>
      <c r="D549" s="8">
        <v>1</v>
      </c>
      <c r="E549" s="8">
        <v>0</v>
      </c>
      <c r="F549" s="8">
        <f>SUM(G549:M549)</f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1</v>
      </c>
      <c r="O549" s="8">
        <v>1</v>
      </c>
      <c r="P549" s="8">
        <v>0</v>
      </c>
      <c r="Q549" s="8">
        <v>0</v>
      </c>
      <c r="R549" s="8">
        <v>0</v>
      </c>
      <c r="S549" s="8">
        <v>0</v>
      </c>
      <c r="T549" s="10">
        <v>2152.23</v>
      </c>
      <c r="U549" s="10"/>
      <c r="V549" s="10"/>
      <c r="W549" s="10">
        <f>IF(RIGHT(C549,2)="12",IF(ISNUMBER(T549),T549,""),IF(COUNT(T549,U549,V549)=3,T549+U549-V549,""))</f>
        <v>2152.23</v>
      </c>
      <c r="X549" s="10">
        <v>2152.23</v>
      </c>
      <c r="Y549" s="10">
        <v>-383.33</v>
      </c>
      <c r="Z549" s="10">
        <v>-115.51</v>
      </c>
      <c r="AA549" s="10"/>
      <c r="AB549" s="10"/>
      <c r="AC549" s="8">
        <v>1</v>
      </c>
      <c r="AD549" s="8">
        <v>0</v>
      </c>
      <c r="AE549" s="8">
        <v>0</v>
      </c>
      <c r="AF549" s="10">
        <v>2152.23</v>
      </c>
      <c r="AG549" s="8">
        <f>COUNTIF(Y549:AB549,"&gt;0")</f>
        <v>0</v>
      </c>
      <c r="AH549" s="10">
        <v>0</v>
      </c>
      <c r="AI549" s="10">
        <v>0</v>
      </c>
      <c r="AJ549" s="8" t="str">
        <f>IF(ISNUMBER(X549),IF(X549&gt;0,"+",IF(X549&lt;0,"−","0")),IF(ISNUMBER(W549),IF(W549&gt;0,"+",IF(W549&lt;0,"−","0")),"yok"))</f>
        <v>+</v>
      </c>
      <c r="AK549" s="10" t="str">
        <f>IF(AND(RIGHT(C549,2)&lt;&gt;"12",ISNUMBER(U549),ISNUMBER(V549)),U549-V549,"")</f>
        <v/>
      </c>
      <c r="AL549" s="11" t="str">
        <f>IF(AND(ISNUMBER(AK549),ISNUMBER(V549)),IF(V549&lt;&gt;0,AK549/ABS(V549),""),"")</f>
        <v/>
      </c>
      <c r="AM549" s="8" t="str">
        <f>IF(ISNUMBER(AK549),IF(AK549&gt;1,1,0),"")</f>
        <v/>
      </c>
      <c r="AN549" s="8" t="str">
        <f>IF(ISNUMBER(AK549),IF(AK549&gt;0.05*ABS(V549),1,0),"")</f>
        <v/>
      </c>
      <c r="AO549" s="10"/>
      <c r="AP549" s="10"/>
      <c r="AQ549" s="8" t="s">
        <v>207</v>
      </c>
      <c r="AR549" s="8">
        <v>0</v>
      </c>
      <c r="AS549" s="10">
        <v>-575.04</v>
      </c>
      <c r="AT549" s="10"/>
      <c r="AU549" s="8" t="s">
        <v>207</v>
      </c>
      <c r="AV549" s="10">
        <v>2152.23</v>
      </c>
      <c r="AW549" s="11" t="str">
        <f>IF(AND(ISNUMBER(AV549),ISNUMBER(AT549)),IF(AT549&lt;&gt;0,AV549/ABS(AT549),""),"")</f>
        <v/>
      </c>
      <c r="AX549" s="8">
        <v>1</v>
      </c>
      <c r="AY549" s="8">
        <v>0</v>
      </c>
      <c r="AZ549" s="8" t="s">
        <v>564</v>
      </c>
      <c r="BA549" s="8">
        <v>0</v>
      </c>
    </row>
    <row r="550" spans="1:53" x14ac:dyDescent="0.2">
      <c r="A550" s="8" t="s">
        <v>220</v>
      </c>
      <c r="B550" s="8" t="s">
        <v>82</v>
      </c>
      <c r="C550" s="8" t="s">
        <v>290</v>
      </c>
      <c r="D550" s="8">
        <v>1</v>
      </c>
      <c r="E550" s="8">
        <v>0</v>
      </c>
      <c r="F550" s="8">
        <f>SUM(G550:M550)</f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1</v>
      </c>
      <c r="Q550" s="8">
        <v>0</v>
      </c>
      <c r="R550" s="8">
        <v>0</v>
      </c>
      <c r="S550" s="8">
        <v>1</v>
      </c>
      <c r="T550" s="10">
        <v>-16.978000000000002</v>
      </c>
      <c r="U550" s="10"/>
      <c r="V550" s="10"/>
      <c r="W550" s="10">
        <f>IF(RIGHT(C550,2)="12",IF(ISNUMBER(T550),T550,""),IF(COUNT(T550,U550,V550)=3,T550+U550-V550,""))</f>
        <v>-16.978000000000002</v>
      </c>
      <c r="X550" s="10">
        <v>-16.978000000000002</v>
      </c>
      <c r="Y550" s="10">
        <v>-12.895</v>
      </c>
      <c r="Z550" s="10">
        <v>-5.8819999999999997</v>
      </c>
      <c r="AA550" s="10">
        <v>-1.7070000000000001</v>
      </c>
      <c r="AB550" s="10">
        <v>3.5059999999999998</v>
      </c>
      <c r="AC550" s="8">
        <v>0</v>
      </c>
      <c r="AD550" s="8">
        <v>0</v>
      </c>
      <c r="AE550" s="8">
        <v>0</v>
      </c>
      <c r="AF550" s="10">
        <v>0</v>
      </c>
      <c r="AG550" s="8">
        <f>COUNTIF(Y550:AB550,"&gt;0")</f>
        <v>1</v>
      </c>
      <c r="AH550" s="10">
        <v>3.5059999999999998</v>
      </c>
      <c r="AI550" s="10">
        <v>0</v>
      </c>
      <c r="AJ550" s="8" t="str">
        <f>IF(ISNUMBER(X550),IF(X550&gt;0,"+",IF(X550&lt;0,"−","0")),IF(ISNUMBER(W550),IF(W550&gt;0,"+",IF(W550&lt;0,"−","0")),"yok"))</f>
        <v>−</v>
      </c>
      <c r="AK550" s="10" t="str">
        <f>IF(AND(RIGHT(C550,2)&lt;&gt;"12",ISNUMBER(U550),ISNUMBER(V550)),U550-V550,"")</f>
        <v/>
      </c>
      <c r="AL550" s="11" t="str">
        <f>IF(AND(ISNUMBER(AK550),ISNUMBER(V550)),IF(V550&lt;&gt;0,AK550/ABS(V550),""),"")</f>
        <v/>
      </c>
      <c r="AM550" s="8" t="str">
        <f>IF(ISNUMBER(AK550),IF(AK550&gt;1,1,0),"")</f>
        <v/>
      </c>
      <c r="AN550" s="8" t="str">
        <f>IF(ISNUMBER(AK550),IF(AK550&gt;0.05*ABS(V550),1,0),"")</f>
        <v/>
      </c>
      <c r="AO550" s="10">
        <v>-16.978999999999999</v>
      </c>
      <c r="AP550" s="10">
        <v>16.978999999999999</v>
      </c>
      <c r="AQ550" s="8" t="s">
        <v>204</v>
      </c>
      <c r="AR550" s="8">
        <v>0</v>
      </c>
      <c r="AS550" s="10">
        <v>5964.1949999999997</v>
      </c>
      <c r="AT550" s="10">
        <v>2279.991</v>
      </c>
      <c r="AU550" s="8" t="s">
        <v>204</v>
      </c>
      <c r="AV550" s="10">
        <v>3.5059999999999998</v>
      </c>
      <c r="AW550" s="11">
        <f>IF(AND(ISNUMBER(AV550),ISNUMBER(AT550)),IF(AT550&lt;&gt;0,AV550/ABS(AT550),""),"")</f>
        <v>1.5377253682141727E-3</v>
      </c>
      <c r="AX550" s="8">
        <v>0</v>
      </c>
      <c r="AY550" s="8">
        <v>0</v>
      </c>
      <c r="AZ550" s="10"/>
      <c r="BA550" s="8">
        <v>0</v>
      </c>
    </row>
    <row r="551" spans="1:53" x14ac:dyDescent="0.2">
      <c r="A551" s="8" t="s">
        <v>220</v>
      </c>
      <c r="B551" s="8" t="s">
        <v>82</v>
      </c>
      <c r="C551" s="8" t="s">
        <v>208</v>
      </c>
      <c r="D551" s="8">
        <v>1</v>
      </c>
      <c r="E551" s="8">
        <v>0</v>
      </c>
      <c r="F551" s="8">
        <f>SUM(G551:M551)</f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1</v>
      </c>
      <c r="Q551" s="8">
        <v>0</v>
      </c>
      <c r="R551" s="8">
        <v>1</v>
      </c>
      <c r="S551" s="8">
        <v>0</v>
      </c>
      <c r="T551" s="10">
        <v>-19.727</v>
      </c>
      <c r="U551" s="10">
        <v>-16.978000000000002</v>
      </c>
      <c r="V551" s="10">
        <v>-12.895</v>
      </c>
      <c r="W551" s="10">
        <f>IF(RIGHT(C551,2)="12",IF(ISNUMBER(T551),T551,""),IF(COUNT(T551,U551,V551)=3,T551+U551-V551,""))</f>
        <v>-23.81</v>
      </c>
      <c r="X551" s="10">
        <v>-23.811</v>
      </c>
      <c r="Y551" s="10">
        <v>-5.8819999999999997</v>
      </c>
      <c r="Z551" s="10">
        <v>-1.7070000000000001</v>
      </c>
      <c r="AA551" s="10">
        <v>3.5059999999999998</v>
      </c>
      <c r="AB551" s="10">
        <v>-19.727</v>
      </c>
      <c r="AC551" s="8">
        <v>0</v>
      </c>
      <c r="AD551" s="8">
        <v>0</v>
      </c>
      <c r="AE551" s="8">
        <v>0</v>
      </c>
      <c r="AF551" s="10">
        <v>0</v>
      </c>
      <c r="AG551" s="8">
        <f>COUNTIF(Y551:AB551,"&gt;0")</f>
        <v>1</v>
      </c>
      <c r="AH551" s="10">
        <v>0</v>
      </c>
      <c r="AI551" s="10">
        <v>3.5059999999999998</v>
      </c>
      <c r="AJ551" s="8" t="str">
        <f>IF(ISNUMBER(X551),IF(X551&gt;0,"+",IF(X551&lt;0,"−","0")),IF(ISNUMBER(W551),IF(W551&gt;0,"+",IF(W551&lt;0,"−","0")),"yok"))</f>
        <v>−</v>
      </c>
      <c r="AK551" s="10">
        <f>IF(AND(RIGHT(C551,2)&lt;&gt;"12",ISNUMBER(U551),ISNUMBER(V551)),U551-V551,"")</f>
        <v>-4.083000000000002</v>
      </c>
      <c r="AL551" s="11">
        <f>IF(AND(ISNUMBER(AK551),ISNUMBER(V551)),IF(V551&lt;&gt;0,AK551/ABS(V551),""),"")</f>
        <v>-0.31663435440093074</v>
      </c>
      <c r="AM551" s="8">
        <f>IF(ISNUMBER(AK551),IF(AK551&gt;1,1,0),"")</f>
        <v>0</v>
      </c>
      <c r="AN551" s="8">
        <f>IF(ISNUMBER(AK551),IF(AK551&gt;0.05*ABS(V551),1,0),"")</f>
        <v>0</v>
      </c>
      <c r="AO551" s="10">
        <v>-23.812000000000001</v>
      </c>
      <c r="AP551" s="10">
        <v>23.812000000000001</v>
      </c>
      <c r="AQ551" s="8" t="s">
        <v>204</v>
      </c>
      <c r="AR551" s="8">
        <v>0</v>
      </c>
      <c r="AS551" s="10">
        <v>7816.402</v>
      </c>
      <c r="AT551" s="10">
        <v>4683.5739999999996</v>
      </c>
      <c r="AU551" s="8" t="s">
        <v>204</v>
      </c>
      <c r="AV551" s="10">
        <v>3.5059999999999998</v>
      </c>
      <c r="AW551" s="11">
        <f>IF(AND(ISNUMBER(AV551),ISNUMBER(AT551)),IF(AT551&lt;&gt;0,AV551/ABS(AT551),""),"")</f>
        <v>7.4857363201691698E-4</v>
      </c>
      <c r="AX551" s="8">
        <v>0</v>
      </c>
      <c r="AY551" s="8">
        <v>0</v>
      </c>
      <c r="AZ551" s="10"/>
      <c r="BA551" s="8">
        <v>0</v>
      </c>
    </row>
    <row r="552" spans="1:53" x14ac:dyDescent="0.2">
      <c r="A552" s="8" t="s">
        <v>221</v>
      </c>
      <c r="B552" s="8" t="s">
        <v>82</v>
      </c>
      <c r="C552" s="8" t="s">
        <v>203</v>
      </c>
      <c r="D552" s="8">
        <v>1</v>
      </c>
      <c r="E552" s="8">
        <v>0</v>
      </c>
      <c r="F552" s="8">
        <f>SUM(G552:M552)</f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1</v>
      </c>
      <c r="Q552" s="8">
        <v>0</v>
      </c>
      <c r="R552" s="8">
        <v>1</v>
      </c>
      <c r="S552" s="8">
        <v>0</v>
      </c>
      <c r="T552" s="10">
        <v>-66.278999999999996</v>
      </c>
      <c r="U552" s="10">
        <v>-387.96600000000001</v>
      </c>
      <c r="V552" s="10">
        <v>-88.277000000000001</v>
      </c>
      <c r="W552" s="10">
        <f>IF(RIGHT(C552,2)="12",IF(ISNUMBER(T552),T552,""),IF(COUNT(T552,U552,V552)=3,T552+U552-V552,""))</f>
        <v>-365.96800000000002</v>
      </c>
      <c r="X552" s="10">
        <v>-365.96800000000002</v>
      </c>
      <c r="Y552" s="10">
        <v>-174.66</v>
      </c>
      <c r="Z552" s="10">
        <v>-170.92500000000001</v>
      </c>
      <c r="AA552" s="10">
        <v>45.896999999999998</v>
      </c>
      <c r="AB552" s="10">
        <v>-66.278999999999996</v>
      </c>
      <c r="AC552" s="8">
        <v>0</v>
      </c>
      <c r="AD552" s="8">
        <v>0</v>
      </c>
      <c r="AE552" s="8">
        <v>0</v>
      </c>
      <c r="AF552" s="10">
        <v>0</v>
      </c>
      <c r="AG552" s="8">
        <f>COUNTIF(Y552:AB552,"&gt;0")</f>
        <v>1</v>
      </c>
      <c r="AH552" s="10">
        <v>0</v>
      </c>
      <c r="AI552" s="10">
        <v>45.896999999999998</v>
      </c>
      <c r="AJ552" s="8" t="str">
        <f>IF(ISNUMBER(X552),IF(X552&gt;0,"+",IF(X552&lt;0,"−","0")),IF(ISNUMBER(W552),IF(W552&gt;0,"+",IF(W552&lt;0,"−","0")),"yok"))</f>
        <v>−</v>
      </c>
      <c r="AK552" s="10">
        <f>IF(AND(RIGHT(C552,2)&lt;&gt;"12",ISNUMBER(U552),ISNUMBER(V552)),U552-V552,"")</f>
        <v>-299.68900000000002</v>
      </c>
      <c r="AL552" s="11">
        <f>IF(AND(ISNUMBER(AK552),ISNUMBER(V552)),IF(V552&lt;&gt;0,AK552/ABS(V552),""),"")</f>
        <v>-3.3948706911199973</v>
      </c>
      <c r="AM552" s="8">
        <f>IF(ISNUMBER(AK552),IF(AK552&gt;1,1,0),"")</f>
        <v>0</v>
      </c>
      <c r="AN552" s="8">
        <f>IF(ISNUMBER(AK552),IF(AK552&gt;0.05*ABS(V552),1,0),"")</f>
        <v>0</v>
      </c>
      <c r="AO552" s="10">
        <v>-365.96699999999998</v>
      </c>
      <c r="AP552" s="10">
        <v>365.96699999999998</v>
      </c>
      <c r="AQ552" s="8" t="s">
        <v>204</v>
      </c>
      <c r="AR552" s="8">
        <v>0</v>
      </c>
      <c r="AS552" s="10">
        <v>20302.805</v>
      </c>
      <c r="AT552" s="10">
        <v>-8613.8510000000097</v>
      </c>
      <c r="AU552" s="8" t="s">
        <v>204</v>
      </c>
      <c r="AV552" s="10">
        <v>45.896999999999998</v>
      </c>
      <c r="AW552" s="11">
        <f>IF(AND(ISNUMBER(AV552),ISNUMBER(AT552)),IF(AT552&lt;&gt;0,AV552/ABS(AT552),""),"")</f>
        <v>5.3282788383499959E-3</v>
      </c>
      <c r="AX552" s="8">
        <v>0</v>
      </c>
      <c r="AY552" s="8">
        <v>0</v>
      </c>
      <c r="AZ552" s="10"/>
      <c r="BA552" s="8">
        <v>0</v>
      </c>
    </row>
    <row r="553" spans="1:53" x14ac:dyDescent="0.2">
      <c r="A553" s="8" t="s">
        <v>221</v>
      </c>
      <c r="B553" s="8" t="s">
        <v>82</v>
      </c>
      <c r="C553" s="8" t="s">
        <v>205</v>
      </c>
      <c r="D553" s="8">
        <v>1</v>
      </c>
      <c r="E553" s="8">
        <v>0</v>
      </c>
      <c r="F553" s="8">
        <f>SUM(G553:M553)</f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1</v>
      </c>
      <c r="Q553" s="8">
        <v>0</v>
      </c>
      <c r="R553" s="8">
        <v>1</v>
      </c>
      <c r="S553" s="8">
        <v>0</v>
      </c>
      <c r="T553" s="10">
        <v>-178.678</v>
      </c>
      <c r="U553" s="10">
        <v>-387.96600000000001</v>
      </c>
      <c r="V553" s="10">
        <v>-262.93700000000001</v>
      </c>
      <c r="W553" s="10">
        <f>IF(RIGHT(C553,2)="12",IF(ISNUMBER(T553),T553,""),IF(COUNT(T553,U553,V553)=3,T553+U553-V553,""))</f>
        <v>-303.70699999999999</v>
      </c>
      <c r="X553" s="10">
        <v>-303.70699999999999</v>
      </c>
      <c r="Y553" s="10">
        <v>-170.92500000000001</v>
      </c>
      <c r="Z553" s="10">
        <v>45.896999999999998</v>
      </c>
      <c r="AA553" s="10">
        <v>-66.278999999999996</v>
      </c>
      <c r="AB553" s="10">
        <v>-112.398</v>
      </c>
      <c r="AC553" s="8">
        <v>0</v>
      </c>
      <c r="AD553" s="8">
        <v>0</v>
      </c>
      <c r="AE553" s="8">
        <v>0</v>
      </c>
      <c r="AF553" s="10">
        <v>0</v>
      </c>
      <c r="AG553" s="8">
        <f>COUNTIF(Y553:AB553,"&gt;0")</f>
        <v>1</v>
      </c>
      <c r="AH553" s="10">
        <v>0</v>
      </c>
      <c r="AI553" s="10">
        <v>45.896999999999998</v>
      </c>
      <c r="AJ553" s="8" t="str">
        <f>IF(ISNUMBER(X553),IF(X553&gt;0,"+",IF(X553&lt;0,"−","0")),IF(ISNUMBER(W553),IF(W553&gt;0,"+",IF(W553&lt;0,"−","0")),"yok"))</f>
        <v>−</v>
      </c>
      <c r="AK553" s="10">
        <f>IF(AND(RIGHT(C553,2)&lt;&gt;"12",ISNUMBER(U553),ISNUMBER(V553)),U553-V553,"")</f>
        <v>-125.029</v>
      </c>
      <c r="AL553" s="11">
        <f>IF(AND(ISNUMBER(AK553),ISNUMBER(V553)),IF(V553&lt;&gt;0,AK553/ABS(V553),""),"")</f>
        <v>-0.47550934254212984</v>
      </c>
      <c r="AM553" s="8">
        <f>IF(ISNUMBER(AK553),IF(AK553&gt;1,1,0),"")</f>
        <v>0</v>
      </c>
      <c r="AN553" s="8">
        <f>IF(ISNUMBER(AK553),IF(AK553&gt;0.05*ABS(V553),1,0),"")</f>
        <v>0</v>
      </c>
      <c r="AO553" s="10">
        <v>-303.70600000000002</v>
      </c>
      <c r="AP553" s="10">
        <v>303.70600000000002</v>
      </c>
      <c r="AQ553" s="8" t="s">
        <v>204</v>
      </c>
      <c r="AR553" s="8">
        <v>0</v>
      </c>
      <c r="AS553" s="10">
        <v>16265.523999999999</v>
      </c>
      <c r="AT553" s="10">
        <v>-13236.450999999999</v>
      </c>
      <c r="AU553" s="8" t="s">
        <v>204</v>
      </c>
      <c r="AV553" s="10">
        <v>45.896999999999998</v>
      </c>
      <c r="AW553" s="11">
        <f>IF(AND(ISNUMBER(AV553),ISNUMBER(AT553)),IF(AT553&lt;&gt;0,AV553/ABS(AT553),""),"")</f>
        <v>3.4674702456119091E-3</v>
      </c>
      <c r="AX553" s="8">
        <v>0</v>
      </c>
      <c r="AY553" s="8">
        <v>0</v>
      </c>
      <c r="AZ553" s="10"/>
      <c r="BA553" s="8">
        <v>0</v>
      </c>
    </row>
    <row r="554" spans="1:53" x14ac:dyDescent="0.2">
      <c r="A554" s="8" t="s">
        <v>222</v>
      </c>
      <c r="B554" s="8" t="s">
        <v>82</v>
      </c>
      <c r="C554" s="8" t="s">
        <v>203</v>
      </c>
      <c r="D554" s="8">
        <v>1</v>
      </c>
      <c r="E554" s="8">
        <v>0</v>
      </c>
      <c r="F554" s="8">
        <f>SUM(G554:M554)</f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1</v>
      </c>
      <c r="Q554" s="8">
        <v>0</v>
      </c>
      <c r="R554" s="8">
        <v>1</v>
      </c>
      <c r="S554" s="8">
        <v>0</v>
      </c>
      <c r="T554" s="10">
        <v>-14.83</v>
      </c>
      <c r="U554" s="10">
        <v>-68.27</v>
      </c>
      <c r="V554" s="10">
        <v>-14.055</v>
      </c>
      <c r="W554" s="10">
        <f>IF(RIGHT(C554,2)="12",IF(ISNUMBER(T554),T554,""),IF(COUNT(T554,U554,V554)=3,T554+U554-V554,""))</f>
        <v>-69.044999999999987</v>
      </c>
      <c r="X554" s="10">
        <v>-69.045000000000002</v>
      </c>
      <c r="Y554" s="10">
        <v>-18.8</v>
      </c>
      <c r="Z554" s="10">
        <v>2.69</v>
      </c>
      <c r="AA554" s="10">
        <v>-38.103999999999999</v>
      </c>
      <c r="AB554" s="10">
        <v>-14.83</v>
      </c>
      <c r="AC554" s="8">
        <v>0</v>
      </c>
      <c r="AD554" s="8">
        <v>0</v>
      </c>
      <c r="AE554" s="8">
        <v>0</v>
      </c>
      <c r="AF554" s="10">
        <v>0</v>
      </c>
      <c r="AG554" s="8">
        <f>COUNTIF(Y554:AB554,"&gt;0")</f>
        <v>1</v>
      </c>
      <c r="AH554" s="10">
        <v>0</v>
      </c>
      <c r="AI554" s="10">
        <v>2.69</v>
      </c>
      <c r="AJ554" s="8" t="str">
        <f>IF(ISNUMBER(X554),IF(X554&gt;0,"+",IF(X554&lt;0,"−","0")),IF(ISNUMBER(W554),IF(W554&gt;0,"+",IF(W554&lt;0,"−","0")),"yok"))</f>
        <v>−</v>
      </c>
      <c r="AK554" s="10">
        <f>IF(AND(RIGHT(C554,2)&lt;&gt;"12",ISNUMBER(U554),ISNUMBER(V554)),U554-V554,"")</f>
        <v>-54.214999999999996</v>
      </c>
      <c r="AL554" s="11">
        <f>IF(AND(ISNUMBER(AK554),ISNUMBER(V554)),IF(V554&lt;&gt;0,AK554/ABS(V554),""),"")</f>
        <v>-3.8573461401636426</v>
      </c>
      <c r="AM554" s="8">
        <f>IF(ISNUMBER(AK554),IF(AK554&gt;1,1,0),"")</f>
        <v>0</v>
      </c>
      <c r="AN554" s="8">
        <f>IF(ISNUMBER(AK554),IF(AK554&gt;0.05*ABS(V554),1,0),"")</f>
        <v>0</v>
      </c>
      <c r="AO554" s="10">
        <v>-69.046000000000006</v>
      </c>
      <c r="AP554" s="10">
        <v>69.046000000000006</v>
      </c>
      <c r="AQ554" s="8" t="s">
        <v>204</v>
      </c>
      <c r="AR554" s="8">
        <v>0</v>
      </c>
      <c r="AS554" s="10">
        <v>10.467000000000001</v>
      </c>
      <c r="AT554" s="10">
        <v>-67.742999999999995</v>
      </c>
      <c r="AU554" s="8" t="s">
        <v>209</v>
      </c>
      <c r="AV554" s="10">
        <v>2.69</v>
      </c>
      <c r="AW554" s="11">
        <f>IF(AND(ISNUMBER(AV554),ISNUMBER(AT554)),IF(AT554&lt;&gt;0,AV554/ABS(AT554),""),"")</f>
        <v>3.970889981252676E-2</v>
      </c>
      <c r="AX554" s="8">
        <v>0</v>
      </c>
      <c r="AY554" s="8">
        <v>0</v>
      </c>
      <c r="AZ554" s="10"/>
      <c r="BA554" s="8">
        <v>0</v>
      </c>
    </row>
    <row r="555" spans="1:53" x14ac:dyDescent="0.2">
      <c r="A555" s="8" t="s">
        <v>222</v>
      </c>
      <c r="B555" s="8" t="s">
        <v>82</v>
      </c>
      <c r="C555" s="8" t="s">
        <v>205</v>
      </c>
      <c r="D555" s="8">
        <v>1</v>
      </c>
      <c r="E555" s="8">
        <v>0</v>
      </c>
      <c r="F555" s="8">
        <f>SUM(G555:M555)</f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1</v>
      </c>
      <c r="Q555" s="8">
        <v>0</v>
      </c>
      <c r="R555" s="8">
        <v>1</v>
      </c>
      <c r="S555" s="8">
        <v>0</v>
      </c>
      <c r="T555" s="10">
        <v>-27.231000000000002</v>
      </c>
      <c r="U555" s="10">
        <v>-68.27</v>
      </c>
      <c r="V555" s="10">
        <v>-32.856000000000002</v>
      </c>
      <c r="W555" s="10">
        <f>IF(RIGHT(C555,2)="12",IF(ISNUMBER(T555),T555,""),IF(COUNT(T555,U555,V555)=3,T555+U555-V555,""))</f>
        <v>-62.645000000000003</v>
      </c>
      <c r="X555" s="10">
        <v>-62.645000000000003</v>
      </c>
      <c r="Y555" s="10">
        <v>2.69</v>
      </c>
      <c r="Z555" s="10">
        <v>-38.103999999999999</v>
      </c>
      <c r="AA555" s="10">
        <v>-14.83</v>
      </c>
      <c r="AB555" s="10">
        <v>-12.4</v>
      </c>
      <c r="AC555" s="8">
        <v>0</v>
      </c>
      <c r="AD555" s="8">
        <v>0</v>
      </c>
      <c r="AE555" s="8">
        <v>0</v>
      </c>
      <c r="AF555" s="10">
        <v>0</v>
      </c>
      <c r="AG555" s="8">
        <f>COUNTIF(Y555:AB555,"&gt;0")</f>
        <v>1</v>
      </c>
      <c r="AH555" s="10">
        <v>0</v>
      </c>
      <c r="AI555" s="10">
        <v>2.69</v>
      </c>
      <c r="AJ555" s="8" t="str">
        <f>IF(ISNUMBER(X555),IF(X555&gt;0,"+",IF(X555&lt;0,"−","0")),IF(ISNUMBER(W555),IF(W555&gt;0,"+",IF(W555&lt;0,"−","0")),"yok"))</f>
        <v>−</v>
      </c>
      <c r="AK555" s="10">
        <f>IF(AND(RIGHT(C555,2)&lt;&gt;"12",ISNUMBER(U555),ISNUMBER(V555)),U555-V555,"")</f>
        <v>-35.413999999999994</v>
      </c>
      <c r="AL555" s="11">
        <f>IF(AND(ISNUMBER(AK555),ISNUMBER(V555)),IF(V555&lt;&gt;0,AK555/ABS(V555),""),"")</f>
        <v>-1.0778548819089357</v>
      </c>
      <c r="AM555" s="8">
        <f>IF(ISNUMBER(AK555),IF(AK555&gt;1,1,0),"")</f>
        <v>0</v>
      </c>
      <c r="AN555" s="8">
        <f>IF(ISNUMBER(AK555),IF(AK555&gt;0.05*ABS(V555),1,0),"")</f>
        <v>0</v>
      </c>
      <c r="AO555" s="10">
        <v>-62.645000000000003</v>
      </c>
      <c r="AP555" s="10">
        <v>62.645000000000003</v>
      </c>
      <c r="AQ555" s="8" t="s">
        <v>204</v>
      </c>
      <c r="AR555" s="8">
        <v>0</v>
      </c>
      <c r="AS555" s="10">
        <v>39.061999999999998</v>
      </c>
      <c r="AT555" s="10"/>
      <c r="AU555" s="8" t="s">
        <v>207</v>
      </c>
      <c r="AV555" s="10">
        <v>2.69</v>
      </c>
      <c r="AW555" s="11" t="str">
        <f>IF(AND(ISNUMBER(AV555),ISNUMBER(AT555)),IF(AT555&lt;&gt;0,AV555/ABS(AT555),""),"")</f>
        <v/>
      </c>
      <c r="AX555" s="8">
        <v>0</v>
      </c>
      <c r="AY555" s="8">
        <v>0</v>
      </c>
      <c r="AZ555" s="10"/>
      <c r="BA555" s="8">
        <v>0</v>
      </c>
    </row>
    <row r="556" spans="1:53" x14ac:dyDescent="0.2">
      <c r="A556" s="8" t="s">
        <v>223</v>
      </c>
      <c r="B556" s="8" t="s">
        <v>82</v>
      </c>
      <c r="C556" s="8" t="s">
        <v>203</v>
      </c>
      <c r="D556" s="8">
        <v>1</v>
      </c>
      <c r="E556" s="8">
        <v>0</v>
      </c>
      <c r="F556" s="8">
        <f>SUM(G556:M556)</f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1</v>
      </c>
      <c r="Q556" s="8">
        <v>0</v>
      </c>
      <c r="R556" s="8">
        <v>1</v>
      </c>
      <c r="S556" s="8">
        <v>0</v>
      </c>
      <c r="T556" s="10">
        <v>-18.251999999999999</v>
      </c>
      <c r="U556" s="10">
        <v>-61.436999999999998</v>
      </c>
      <c r="V556" s="10">
        <v>0</v>
      </c>
      <c r="W556" s="10">
        <f>IF(RIGHT(C556,2)="12",IF(ISNUMBER(T556),T556,""),IF(COUNT(T556,U556,V556)=3,T556+U556-V556,""))</f>
        <v>-79.688999999999993</v>
      </c>
      <c r="X556" s="10">
        <v>-79.688999999999993</v>
      </c>
      <c r="Y556" s="10">
        <v>-65.364000000000004</v>
      </c>
      <c r="Z556" s="10">
        <v>56.018999999999998</v>
      </c>
      <c r="AA556" s="10">
        <v>-52.093000000000004</v>
      </c>
      <c r="AB556" s="10">
        <v>-18.251999999999999</v>
      </c>
      <c r="AC556" s="8">
        <v>0</v>
      </c>
      <c r="AD556" s="8">
        <v>0</v>
      </c>
      <c r="AE556" s="8">
        <v>0</v>
      </c>
      <c r="AF556" s="10">
        <v>0</v>
      </c>
      <c r="AG556" s="8">
        <f>COUNTIF(Y556:AB556,"&gt;0")</f>
        <v>1</v>
      </c>
      <c r="AH556" s="10">
        <v>0</v>
      </c>
      <c r="AI556" s="10">
        <v>56.018999999999998</v>
      </c>
      <c r="AJ556" s="8" t="str">
        <f>IF(ISNUMBER(X556),IF(X556&gt;0,"+",IF(X556&lt;0,"−","0")),IF(ISNUMBER(W556),IF(W556&gt;0,"+",IF(W556&lt;0,"−","0")),"yok"))</f>
        <v>−</v>
      </c>
      <c r="AK556" s="10">
        <f>IF(AND(RIGHT(C556,2)&lt;&gt;"12",ISNUMBER(U556),ISNUMBER(V556)),U556-V556,"")</f>
        <v>-61.436999999999998</v>
      </c>
      <c r="AL556" s="11" t="str">
        <f>IF(AND(ISNUMBER(AK556),ISNUMBER(V556)),IF(V556&lt;&gt;0,AK556/ABS(V556),""),"")</f>
        <v/>
      </c>
      <c r="AM556" s="8">
        <f>IF(ISNUMBER(AK556),IF(AK556&gt;1,1,0),"")</f>
        <v>0</v>
      </c>
      <c r="AN556" s="8">
        <f>IF(ISNUMBER(AK556),IF(AK556&gt;0.05*ABS(V556),1,0),"")</f>
        <v>0</v>
      </c>
      <c r="AO556" s="10">
        <v>-79.69</v>
      </c>
      <c r="AP556" s="10">
        <v>79.69</v>
      </c>
      <c r="AQ556" s="8" t="s">
        <v>204</v>
      </c>
      <c r="AR556" s="8">
        <v>0</v>
      </c>
      <c r="AS556" s="10">
        <v>2523.3470000000002</v>
      </c>
      <c r="AT556" s="10">
        <v>2259.6640000000002</v>
      </c>
      <c r="AU556" s="8" t="s">
        <v>204</v>
      </c>
      <c r="AV556" s="10">
        <v>56.018999999999998</v>
      </c>
      <c r="AW556" s="11">
        <f>IF(AND(ISNUMBER(AV556),ISNUMBER(AT556)),IF(AT556&lt;&gt;0,AV556/ABS(AT556),""),"")</f>
        <v>2.4790853861459045E-2</v>
      </c>
      <c r="AX556" s="8">
        <v>0</v>
      </c>
      <c r="AY556" s="8">
        <v>0</v>
      </c>
      <c r="AZ556" s="10"/>
      <c r="BA556" s="8">
        <v>0</v>
      </c>
    </row>
    <row r="557" spans="1:53" x14ac:dyDescent="0.2">
      <c r="A557" s="8" t="s">
        <v>223</v>
      </c>
      <c r="B557" s="8" t="s">
        <v>82</v>
      </c>
      <c r="C557" s="8" t="s">
        <v>290</v>
      </c>
      <c r="D557" s="8">
        <v>1</v>
      </c>
      <c r="E557" s="8">
        <v>0</v>
      </c>
      <c r="F557" s="8">
        <f>SUM(G557:M557)</f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1</v>
      </c>
      <c r="Q557" s="8">
        <v>0</v>
      </c>
      <c r="R557" s="8">
        <v>0</v>
      </c>
      <c r="S557" s="8">
        <v>1</v>
      </c>
      <c r="T557" s="10">
        <v>-85.004999999999995</v>
      </c>
      <c r="U557" s="10"/>
      <c r="V557" s="10"/>
      <c r="W557" s="10">
        <f>IF(RIGHT(C557,2)="12",IF(ISNUMBER(T557),T557,""),IF(COUNT(T557,U557,V557)=3,T557+U557-V557,""))</f>
        <v>-85.004999999999995</v>
      </c>
      <c r="X557" s="10">
        <v>-85.004999999999995</v>
      </c>
      <c r="Y557" s="10">
        <v>-18.251999999999999</v>
      </c>
      <c r="Z557" s="10">
        <v>-16.494</v>
      </c>
      <c r="AA557" s="10">
        <v>-82.43</v>
      </c>
      <c r="AB557" s="10">
        <v>32.170999999999999</v>
      </c>
      <c r="AC557" s="8">
        <v>0</v>
      </c>
      <c r="AD557" s="8">
        <v>0</v>
      </c>
      <c r="AE557" s="8">
        <v>0</v>
      </c>
      <c r="AF557" s="10">
        <v>0</v>
      </c>
      <c r="AG557" s="8">
        <f>COUNTIF(Y557:AB557,"&gt;0")</f>
        <v>1</v>
      </c>
      <c r="AH557" s="10">
        <v>32.170999999999999</v>
      </c>
      <c r="AI557" s="10">
        <v>0</v>
      </c>
      <c r="AJ557" s="8" t="str">
        <f>IF(ISNUMBER(X557),IF(X557&gt;0,"+",IF(X557&lt;0,"−","0")),IF(ISNUMBER(W557),IF(W557&gt;0,"+",IF(W557&lt;0,"−","0")),"yok"))</f>
        <v>−</v>
      </c>
      <c r="AK557" s="10" t="str">
        <f>IF(AND(RIGHT(C557,2)&lt;&gt;"12",ISNUMBER(U557),ISNUMBER(V557)),U557-V557,"")</f>
        <v/>
      </c>
      <c r="AL557" s="11" t="str">
        <f>IF(AND(ISNUMBER(AK557),ISNUMBER(V557)),IF(V557&lt;&gt;0,AK557/ABS(V557),""),"")</f>
        <v/>
      </c>
      <c r="AM557" s="8" t="str">
        <f>IF(ISNUMBER(AK557),IF(AK557&gt;1,1,0),"")</f>
        <v/>
      </c>
      <c r="AN557" s="8" t="str">
        <f>IF(ISNUMBER(AK557),IF(AK557&gt;0.05*ABS(V557),1,0),"")</f>
        <v/>
      </c>
      <c r="AO557" s="10">
        <v>-85.004999999999995</v>
      </c>
      <c r="AP557" s="10">
        <v>85.004999999999995</v>
      </c>
      <c r="AQ557" s="8" t="s">
        <v>204</v>
      </c>
      <c r="AR557" s="8">
        <v>0</v>
      </c>
      <c r="AS557" s="10">
        <v>385.39100000000002</v>
      </c>
      <c r="AT557" s="10">
        <v>244.68100000000001</v>
      </c>
      <c r="AU557" s="8" t="s">
        <v>204</v>
      </c>
      <c r="AV557" s="10">
        <v>32.170999999999999</v>
      </c>
      <c r="AW557" s="11">
        <f>IF(AND(ISNUMBER(AV557),ISNUMBER(AT557)),IF(AT557&lt;&gt;0,AV557/ABS(AT557),""),"")</f>
        <v>0.1314813982287141</v>
      </c>
      <c r="AX557" s="8">
        <v>0</v>
      </c>
      <c r="AY557" s="8">
        <v>0</v>
      </c>
      <c r="AZ557" s="10"/>
      <c r="BA557" s="8">
        <v>0</v>
      </c>
    </row>
    <row r="558" spans="1:53" x14ac:dyDescent="0.2">
      <c r="A558" s="8" t="s">
        <v>223</v>
      </c>
      <c r="B558" s="8" t="s">
        <v>82</v>
      </c>
      <c r="C558" s="8" t="s">
        <v>208</v>
      </c>
      <c r="D558" s="8">
        <v>1</v>
      </c>
      <c r="E558" s="8">
        <v>0</v>
      </c>
      <c r="F558" s="8">
        <f>SUM(G558:M558)</f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1</v>
      </c>
      <c r="Q558" s="8">
        <v>0</v>
      </c>
      <c r="R558" s="8">
        <v>1</v>
      </c>
      <c r="S558" s="8">
        <v>0</v>
      </c>
      <c r="T558" s="10">
        <v>-27.553000000000001</v>
      </c>
      <c r="U558" s="10">
        <v>-85.004999999999995</v>
      </c>
      <c r="V558" s="10">
        <v>-18.251999999999999</v>
      </c>
      <c r="W558" s="10">
        <f>IF(RIGHT(C558,2)="12",IF(ISNUMBER(T558),T558,""),IF(COUNT(T558,U558,V558)=3,T558+U558-V558,""))</f>
        <v>-94.305999999999997</v>
      </c>
      <c r="X558" s="10">
        <v>-94.305999999999997</v>
      </c>
      <c r="Y558" s="10">
        <v>-16.494</v>
      </c>
      <c r="Z558" s="10">
        <v>-82.43</v>
      </c>
      <c r="AA558" s="10">
        <v>32.170999999999999</v>
      </c>
      <c r="AB558" s="10">
        <v>-27.553000000000001</v>
      </c>
      <c r="AC558" s="8">
        <v>0</v>
      </c>
      <c r="AD558" s="8">
        <v>0</v>
      </c>
      <c r="AE558" s="8">
        <v>0</v>
      </c>
      <c r="AF558" s="10">
        <v>0</v>
      </c>
      <c r="AG558" s="8">
        <f>COUNTIF(Y558:AB558,"&gt;0")</f>
        <v>1</v>
      </c>
      <c r="AH558" s="10">
        <v>0</v>
      </c>
      <c r="AI558" s="10">
        <v>32.170999999999999</v>
      </c>
      <c r="AJ558" s="8" t="str">
        <f>IF(ISNUMBER(X558),IF(X558&gt;0,"+",IF(X558&lt;0,"−","0")),IF(ISNUMBER(W558),IF(W558&gt;0,"+",IF(W558&lt;0,"−","0")),"yok"))</f>
        <v>−</v>
      </c>
      <c r="AK558" s="10">
        <f>IF(AND(RIGHT(C558,2)&lt;&gt;"12",ISNUMBER(U558),ISNUMBER(V558)),U558-V558,"")</f>
        <v>-66.753</v>
      </c>
      <c r="AL558" s="11">
        <f>IF(AND(ISNUMBER(AK558),ISNUMBER(V558)),IF(V558&lt;&gt;0,AK558/ABS(V558),""),"")</f>
        <v>-3.6572978303747536</v>
      </c>
      <c r="AM558" s="8">
        <f>IF(ISNUMBER(AK558),IF(AK558&gt;1,1,0),"")</f>
        <v>0</v>
      </c>
      <c r="AN558" s="8">
        <f>IF(ISNUMBER(AK558),IF(AK558&gt;0.05*ABS(V558),1,0),"")</f>
        <v>0</v>
      </c>
      <c r="AO558" s="10">
        <v>-94.305999999999997</v>
      </c>
      <c r="AP558" s="10">
        <v>94.305999999999997</v>
      </c>
      <c r="AQ558" s="8" t="s">
        <v>204</v>
      </c>
      <c r="AR558" s="8">
        <v>0</v>
      </c>
      <c r="AS558" s="10">
        <v>-1098.5540000000001</v>
      </c>
      <c r="AT558" s="10">
        <v>-1249.8789999999999</v>
      </c>
      <c r="AU558" s="8" t="s">
        <v>204</v>
      </c>
      <c r="AV558" s="10">
        <v>32.170999999999999</v>
      </c>
      <c r="AW558" s="11">
        <f>IF(AND(ISNUMBER(AV558),ISNUMBER(AT558)),IF(AT558&lt;&gt;0,AV558/ABS(AT558),""),"")</f>
        <v>2.573929156342334E-2</v>
      </c>
      <c r="AX558" s="8">
        <v>0</v>
      </c>
      <c r="AY558" s="8">
        <v>0</v>
      </c>
      <c r="AZ558" s="10"/>
      <c r="BA558" s="8">
        <v>0</v>
      </c>
    </row>
    <row r="559" spans="1:53" x14ac:dyDescent="0.2">
      <c r="A559" s="8" t="s">
        <v>223</v>
      </c>
      <c r="B559" s="8" t="s">
        <v>82</v>
      </c>
      <c r="C559" s="8" t="s">
        <v>210</v>
      </c>
      <c r="D559" s="8">
        <v>1</v>
      </c>
      <c r="E559" s="8">
        <v>0</v>
      </c>
      <c r="F559" s="8">
        <f>SUM(G559:M559)</f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1</v>
      </c>
      <c r="Q559" s="8">
        <v>0</v>
      </c>
      <c r="R559" s="8">
        <v>1</v>
      </c>
      <c r="S559" s="8">
        <v>0</v>
      </c>
      <c r="T559" s="10">
        <v>-54.253</v>
      </c>
      <c r="U559" s="10">
        <v>-85.004999999999995</v>
      </c>
      <c r="V559" s="10">
        <v>-34.746000000000002</v>
      </c>
      <c r="W559" s="10">
        <f>IF(RIGHT(C559,2)="12",IF(ISNUMBER(T559),T559,""),IF(COUNT(T559,U559,V559)=3,T559+U559-V559,""))</f>
        <v>-104.51199999999997</v>
      </c>
      <c r="X559" s="10">
        <v>-104.511</v>
      </c>
      <c r="Y559" s="10">
        <v>-82.43</v>
      </c>
      <c r="Z559" s="10">
        <v>32.170999999999999</v>
      </c>
      <c r="AA559" s="10">
        <v>-27.553000000000001</v>
      </c>
      <c r="AB559" s="10">
        <v>-26.699000000000002</v>
      </c>
      <c r="AC559" s="8">
        <v>0</v>
      </c>
      <c r="AD559" s="8">
        <v>0</v>
      </c>
      <c r="AE559" s="8">
        <v>0</v>
      </c>
      <c r="AF559" s="10">
        <v>0</v>
      </c>
      <c r="AG559" s="8">
        <f>COUNTIF(Y559:AB559,"&gt;0")</f>
        <v>1</v>
      </c>
      <c r="AH559" s="10">
        <v>0</v>
      </c>
      <c r="AI559" s="10">
        <v>32.170999999999999</v>
      </c>
      <c r="AJ559" s="8" t="str">
        <f>IF(ISNUMBER(X559),IF(X559&gt;0,"+",IF(X559&lt;0,"−","0")),IF(ISNUMBER(W559),IF(W559&gt;0,"+",IF(W559&lt;0,"−","0")),"yok"))</f>
        <v>−</v>
      </c>
      <c r="AK559" s="10">
        <f>IF(AND(RIGHT(C559,2)&lt;&gt;"12",ISNUMBER(U559),ISNUMBER(V559)),U559-V559,"")</f>
        <v>-50.258999999999993</v>
      </c>
      <c r="AL559" s="11">
        <f>IF(AND(ISNUMBER(AK559),ISNUMBER(V559)),IF(V559&lt;&gt;0,AK559/ABS(V559),""),"")</f>
        <v>-1.4464686582628212</v>
      </c>
      <c r="AM559" s="8">
        <f>IF(ISNUMBER(AK559),IF(AK559&gt;1,1,0),"")</f>
        <v>0</v>
      </c>
      <c r="AN559" s="8">
        <f>IF(ISNUMBER(AK559),IF(AK559&gt;0.05*ABS(V559),1,0),"")</f>
        <v>0</v>
      </c>
      <c r="AO559" s="10">
        <v>-104.511</v>
      </c>
      <c r="AP559" s="10">
        <v>104.511</v>
      </c>
      <c r="AQ559" s="8" t="s">
        <v>204</v>
      </c>
      <c r="AR559" s="8">
        <v>0</v>
      </c>
      <c r="AS559" s="10">
        <v>860.54100000000005</v>
      </c>
      <c r="AT559" s="10">
        <v>-683.01199999999994</v>
      </c>
      <c r="AU559" s="8" t="s">
        <v>204</v>
      </c>
      <c r="AV559" s="10">
        <v>32.170999999999999</v>
      </c>
      <c r="AW559" s="11">
        <f>IF(AND(ISNUMBER(AV559),ISNUMBER(AT559)),IF(AT559&lt;&gt;0,AV559/ABS(AT559),""),"")</f>
        <v>4.7101661464220249E-2</v>
      </c>
      <c r="AX559" s="8">
        <v>0</v>
      </c>
      <c r="AY559" s="8">
        <v>0</v>
      </c>
      <c r="AZ559" s="10"/>
      <c r="BA559" s="8">
        <v>0</v>
      </c>
    </row>
    <row r="560" spans="1:53" x14ac:dyDescent="0.2">
      <c r="A560" s="8" t="s">
        <v>223</v>
      </c>
      <c r="B560" s="8" t="s">
        <v>83</v>
      </c>
      <c r="C560" s="8" t="s">
        <v>215</v>
      </c>
      <c r="D560" s="8">
        <v>1</v>
      </c>
      <c r="E560" s="8">
        <v>0</v>
      </c>
      <c r="F560" s="8">
        <f>SUM(G560:M560)</f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1</v>
      </c>
      <c r="Q560" s="8">
        <v>0</v>
      </c>
      <c r="R560" s="8">
        <v>0</v>
      </c>
      <c r="S560" s="8">
        <v>1</v>
      </c>
      <c r="T560" s="10">
        <v>-33.378</v>
      </c>
      <c r="U560" s="10">
        <v>-228.62</v>
      </c>
      <c r="V560" s="10">
        <v>-221.00299999999999</v>
      </c>
      <c r="W560" s="10">
        <f>IF(RIGHT(C560,2)="12",IF(ISNUMBER(T560),T560,""),IF(COUNT(T560,U560,V560)=3,T560+U560-V560,""))</f>
        <v>-40.995000000000005</v>
      </c>
      <c r="X560" s="10">
        <v>-40.996000000000002</v>
      </c>
      <c r="Y560" s="10">
        <v>-7.617</v>
      </c>
      <c r="Z560" s="10">
        <v>-15.316000000000001</v>
      </c>
      <c r="AA560" s="10">
        <v>1372.4670000000001</v>
      </c>
      <c r="AB560" s="10">
        <v>-1390.529</v>
      </c>
      <c r="AC560" s="8">
        <v>0</v>
      </c>
      <c r="AD560" s="8">
        <v>0</v>
      </c>
      <c r="AE560" s="8">
        <v>0</v>
      </c>
      <c r="AF560" s="10">
        <v>0</v>
      </c>
      <c r="AG560" s="8">
        <f>COUNTIF(Y560:AB560,"&gt;0")</f>
        <v>1</v>
      </c>
      <c r="AH560" s="10">
        <v>1372.4670000000001</v>
      </c>
      <c r="AI560" s="10">
        <v>0</v>
      </c>
      <c r="AJ560" s="8" t="str">
        <f>IF(ISNUMBER(X560),IF(X560&gt;0,"+",IF(X560&lt;0,"−","0")),IF(ISNUMBER(W560),IF(W560&gt;0,"+",IF(W560&lt;0,"−","0")),"yok"))</f>
        <v>−</v>
      </c>
      <c r="AK560" s="10">
        <f>IF(AND(RIGHT(C560,2)&lt;&gt;"12",ISNUMBER(U560),ISNUMBER(V560)),U560-V560,"")</f>
        <v>-7.6170000000000186</v>
      </c>
      <c r="AL560" s="11">
        <f>IF(AND(ISNUMBER(AK560),ISNUMBER(V560)),IF(V560&lt;&gt;0,AK560/ABS(V560),""),"")</f>
        <v>-3.4465595489654076E-2</v>
      </c>
      <c r="AM560" s="8">
        <f>IF(ISNUMBER(AK560),IF(AK560&gt;1,1,0),"")</f>
        <v>0</v>
      </c>
      <c r="AN560" s="8">
        <f>IF(ISNUMBER(AK560),IF(AK560&gt;0.05*ABS(V560),1,0),"")</f>
        <v>0</v>
      </c>
      <c r="AO560" s="10">
        <v>-40.996000000000002</v>
      </c>
      <c r="AP560" s="10">
        <v>40.996000000000002</v>
      </c>
      <c r="AQ560" s="8" t="s">
        <v>204</v>
      </c>
      <c r="AR560" s="8">
        <v>0</v>
      </c>
      <c r="AS560" s="10">
        <v>832.25300000000004</v>
      </c>
      <c r="AT560" s="10">
        <v>621.98699999999997</v>
      </c>
      <c r="AU560" s="8" t="s">
        <v>212</v>
      </c>
      <c r="AV560" s="10">
        <v>1372.4670000000001</v>
      </c>
      <c r="AW560" s="11">
        <f>IF(AND(ISNUMBER(AV560),ISNUMBER(AT560)),IF(AT560&lt;&gt;0,AV560/ABS(AT560),""),"")</f>
        <v>2.2065847035388204</v>
      </c>
      <c r="AX560" s="8">
        <v>0</v>
      </c>
      <c r="AY560" s="8">
        <v>0</v>
      </c>
      <c r="AZ560" s="10"/>
      <c r="BA560" s="8">
        <v>0</v>
      </c>
    </row>
    <row r="561" spans="1:53" x14ac:dyDescent="0.2">
      <c r="A561" s="8" t="s">
        <v>223</v>
      </c>
      <c r="B561" s="8" t="s">
        <v>83</v>
      </c>
      <c r="C561" s="8" t="s">
        <v>290</v>
      </c>
      <c r="D561" s="8">
        <v>1</v>
      </c>
      <c r="E561" s="8">
        <v>0</v>
      </c>
      <c r="F561" s="8">
        <f>SUM(G561:M561)</f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1</v>
      </c>
      <c r="Q561" s="8">
        <v>0</v>
      </c>
      <c r="R561" s="8">
        <v>0</v>
      </c>
      <c r="S561" s="8">
        <v>1</v>
      </c>
      <c r="T561" s="10">
        <v>-55.704999999999998</v>
      </c>
      <c r="U561" s="10"/>
      <c r="V561" s="10"/>
      <c r="W561" s="10">
        <f>IF(RIGHT(C561,2)="12",IF(ISNUMBER(T561),T561,""),IF(COUNT(T561,U561,V561)=3,T561+U561-V561,""))</f>
        <v>-55.704999999999998</v>
      </c>
      <c r="X561" s="10">
        <v>-55.704999999999998</v>
      </c>
      <c r="Y561" s="10">
        <v>-15.316000000000001</v>
      </c>
      <c r="Z561" s="10">
        <v>1372.4670000000001</v>
      </c>
      <c r="AA561" s="10">
        <v>-1390.529</v>
      </c>
      <c r="AB561" s="10">
        <v>-22.327000000000002</v>
      </c>
      <c r="AC561" s="8">
        <v>0</v>
      </c>
      <c r="AD561" s="8">
        <v>0</v>
      </c>
      <c r="AE561" s="8">
        <v>0</v>
      </c>
      <c r="AF561" s="10">
        <v>0</v>
      </c>
      <c r="AG561" s="8">
        <f>COUNTIF(Y561:AB561,"&gt;0")</f>
        <v>1</v>
      </c>
      <c r="AH561" s="10">
        <v>1372.4670000000001</v>
      </c>
      <c r="AI561" s="10">
        <v>0</v>
      </c>
      <c r="AJ561" s="8" t="str">
        <f>IF(ISNUMBER(X561),IF(X561&gt;0,"+",IF(X561&lt;0,"−","0")),IF(ISNUMBER(W561),IF(W561&gt;0,"+",IF(W561&lt;0,"−","0")),"yok"))</f>
        <v>−</v>
      </c>
      <c r="AK561" s="10" t="str">
        <f>IF(AND(RIGHT(C561,2)&lt;&gt;"12",ISNUMBER(U561),ISNUMBER(V561)),U561-V561,"")</f>
        <v/>
      </c>
      <c r="AL561" s="11" t="str">
        <f>IF(AND(ISNUMBER(AK561),ISNUMBER(V561)),IF(V561&lt;&gt;0,AK561/ABS(V561),""),"")</f>
        <v/>
      </c>
      <c r="AM561" s="8" t="str">
        <f>IF(ISNUMBER(AK561),IF(AK561&gt;1,1,0),"")</f>
        <v/>
      </c>
      <c r="AN561" s="8" t="str">
        <f>IF(ISNUMBER(AK561),IF(AK561&gt;0.05*ABS(V561),1,0),"")</f>
        <v/>
      </c>
      <c r="AO561" s="10">
        <v>-55.704999999999998</v>
      </c>
      <c r="AP561" s="10">
        <v>55.704999999999998</v>
      </c>
      <c r="AQ561" s="8" t="s">
        <v>204</v>
      </c>
      <c r="AR561" s="8">
        <v>0</v>
      </c>
      <c r="AS561" s="10">
        <v>385.39100000000002</v>
      </c>
      <c r="AT561" s="10">
        <v>244.68100000000001</v>
      </c>
      <c r="AU561" s="8" t="s">
        <v>204</v>
      </c>
      <c r="AV561" s="10">
        <v>1372.4670000000001</v>
      </c>
      <c r="AW561" s="11">
        <f>IF(AND(ISNUMBER(AV561),ISNUMBER(AT561)),IF(AT561&lt;&gt;0,AV561/ABS(AT561),""),"")</f>
        <v>5.6092095422202783</v>
      </c>
      <c r="AX561" s="8">
        <v>0</v>
      </c>
      <c r="AY561" s="8">
        <v>0</v>
      </c>
      <c r="AZ561" s="10"/>
      <c r="BA561" s="8">
        <v>0</v>
      </c>
    </row>
    <row r="562" spans="1:53" x14ac:dyDescent="0.2">
      <c r="A562" s="8" t="s">
        <v>565</v>
      </c>
      <c r="B562" s="8" t="s">
        <v>82</v>
      </c>
      <c r="C562" s="8" t="s">
        <v>203</v>
      </c>
      <c r="D562" s="8">
        <v>1</v>
      </c>
      <c r="E562" s="8">
        <v>0</v>
      </c>
      <c r="F562" s="8">
        <f>SUM(G562:M562)</f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1</v>
      </c>
      <c r="Q562" s="8">
        <v>0</v>
      </c>
      <c r="R562" s="8">
        <v>1</v>
      </c>
      <c r="S562" s="8">
        <v>0</v>
      </c>
      <c r="T562" s="10">
        <v>-23.312999999999999</v>
      </c>
      <c r="U562" s="10">
        <v>-52.469000000000001</v>
      </c>
      <c r="V562" s="10">
        <v>-4.7880000000000003</v>
      </c>
      <c r="W562" s="10">
        <f>IF(RIGHT(C562,2)="12",IF(ISNUMBER(T562),T562,""),IF(COUNT(T562,U562,V562)=3,T562+U562-V562,""))</f>
        <v>-70.994</v>
      </c>
      <c r="X562" s="10">
        <v>-70.994</v>
      </c>
      <c r="Y562" s="10">
        <v>-34.735999999999997</v>
      </c>
      <c r="Z562" s="10">
        <v>35.869</v>
      </c>
      <c r="AA562" s="10">
        <v>-48.813000000000002</v>
      </c>
      <c r="AB562" s="10">
        <v>-23.312999999999999</v>
      </c>
      <c r="AC562" s="8">
        <v>0</v>
      </c>
      <c r="AD562" s="8">
        <v>0</v>
      </c>
      <c r="AE562" s="8">
        <v>0</v>
      </c>
      <c r="AF562" s="10">
        <v>0</v>
      </c>
      <c r="AG562" s="8">
        <f>COUNTIF(Y562:AB562,"&gt;0")</f>
        <v>1</v>
      </c>
      <c r="AH562" s="10">
        <v>0</v>
      </c>
      <c r="AI562" s="10">
        <v>35.869</v>
      </c>
      <c r="AJ562" s="8" t="str">
        <f>IF(ISNUMBER(X562),IF(X562&gt;0,"+",IF(X562&lt;0,"−","0")),IF(ISNUMBER(W562),IF(W562&gt;0,"+",IF(W562&lt;0,"−","0")),"yok"))</f>
        <v>−</v>
      </c>
      <c r="AK562" s="10">
        <f>IF(AND(RIGHT(C562,2)&lt;&gt;"12",ISNUMBER(U562),ISNUMBER(V562)),U562-V562,"")</f>
        <v>-47.680999999999997</v>
      </c>
      <c r="AL562" s="11">
        <f>IF(AND(ISNUMBER(AK562),ISNUMBER(V562)),IF(V562&lt;&gt;0,AK562/ABS(V562),""),"")</f>
        <v>-9.9584377610693391</v>
      </c>
      <c r="AM562" s="8">
        <f>IF(ISNUMBER(AK562),IF(AK562&gt;1,1,0),"")</f>
        <v>0</v>
      </c>
      <c r="AN562" s="8">
        <f>IF(ISNUMBER(AK562),IF(AK562&gt;0.05*ABS(V562),1,0),"")</f>
        <v>0</v>
      </c>
      <c r="AO562" s="10">
        <v>-70.995000000000005</v>
      </c>
      <c r="AP562" s="10">
        <v>70.995000000000005</v>
      </c>
      <c r="AQ562" s="8" t="s">
        <v>204</v>
      </c>
      <c r="AR562" s="8">
        <v>0</v>
      </c>
      <c r="AS562" s="10">
        <v>194.53399999999999</v>
      </c>
      <c r="AT562" s="10"/>
      <c r="AU562" s="8" t="s">
        <v>207</v>
      </c>
      <c r="AV562" s="10">
        <v>35.869</v>
      </c>
      <c r="AW562" s="11" t="str">
        <f>IF(AND(ISNUMBER(AV562),ISNUMBER(AT562)),IF(AT562&lt;&gt;0,AV562/ABS(AT562),""),"")</f>
        <v/>
      </c>
      <c r="AX562" s="8">
        <v>0</v>
      </c>
      <c r="AY562" s="8">
        <v>0</v>
      </c>
      <c r="AZ562" s="10"/>
      <c r="BA562" s="8">
        <v>0</v>
      </c>
    </row>
    <row r="563" spans="1:53" x14ac:dyDescent="0.2">
      <c r="A563" s="8" t="s">
        <v>565</v>
      </c>
      <c r="B563" s="8" t="s">
        <v>82</v>
      </c>
      <c r="C563" s="8" t="s">
        <v>205</v>
      </c>
      <c r="D563" s="8">
        <v>1</v>
      </c>
      <c r="E563" s="8">
        <v>0</v>
      </c>
      <c r="F563" s="8">
        <f>SUM(G563:M563)</f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1</v>
      </c>
      <c r="Q563" s="8">
        <v>0</v>
      </c>
      <c r="R563" s="8">
        <v>1</v>
      </c>
      <c r="S563" s="8">
        <v>1</v>
      </c>
      <c r="T563" s="10">
        <v>-16.007000000000001</v>
      </c>
      <c r="U563" s="10">
        <v>-52.469000000000001</v>
      </c>
      <c r="V563" s="10">
        <v>-39.524999999999999</v>
      </c>
      <c r="W563" s="10">
        <f>IF(RIGHT(C563,2)="12",IF(ISNUMBER(T563),T563,""),IF(COUNT(T563,U563,V563)=3,T563+U563-V563,""))</f>
        <v>-28.951000000000001</v>
      </c>
      <c r="X563" s="10">
        <v>-28.952000000000002</v>
      </c>
      <c r="Y563" s="10">
        <v>35.869</v>
      </c>
      <c r="Z563" s="10">
        <v>-48.813000000000002</v>
      </c>
      <c r="AA563" s="10">
        <v>-23.312999999999999</v>
      </c>
      <c r="AB563" s="10">
        <v>7.3049999999999997</v>
      </c>
      <c r="AC563" s="8">
        <v>0</v>
      </c>
      <c r="AD563" s="8">
        <v>0</v>
      </c>
      <c r="AE563" s="8">
        <v>0</v>
      </c>
      <c r="AF563" s="10">
        <v>0</v>
      </c>
      <c r="AG563" s="8">
        <f>COUNTIF(Y563:AB563,"&gt;0")</f>
        <v>2</v>
      </c>
      <c r="AH563" s="10">
        <v>7.3049999999999997</v>
      </c>
      <c r="AI563" s="10">
        <v>35.869</v>
      </c>
      <c r="AJ563" s="8" t="str">
        <f>IF(ISNUMBER(X563),IF(X563&gt;0,"+",IF(X563&lt;0,"−","0")),IF(ISNUMBER(W563),IF(W563&gt;0,"+",IF(W563&lt;0,"−","0")),"yok"))</f>
        <v>−</v>
      </c>
      <c r="AK563" s="10">
        <f>IF(AND(RIGHT(C563,2)&lt;&gt;"12",ISNUMBER(U563),ISNUMBER(V563)),U563-V563,"")</f>
        <v>-12.944000000000003</v>
      </c>
      <c r="AL563" s="11">
        <f>IF(AND(ISNUMBER(AK563),ISNUMBER(V563)),IF(V563&lt;&gt;0,AK563/ABS(V563),""),"")</f>
        <v>-0.32748893105629356</v>
      </c>
      <c r="AM563" s="8">
        <f>IF(ISNUMBER(AK563),IF(AK563&gt;1,1,0),"")</f>
        <v>0</v>
      </c>
      <c r="AN563" s="8">
        <f>IF(ISNUMBER(AK563),IF(AK563&gt;0.05*ABS(V563),1,0),"")</f>
        <v>0</v>
      </c>
      <c r="AO563" s="10">
        <v>-28.952999999999999</v>
      </c>
      <c r="AP563" s="10">
        <v>28.952999999999999</v>
      </c>
      <c r="AQ563" s="8" t="s">
        <v>204</v>
      </c>
      <c r="AR563" s="8">
        <v>0</v>
      </c>
      <c r="AS563" s="10">
        <v>-395.32799999999997</v>
      </c>
      <c r="AT563" s="10"/>
      <c r="AU563" s="8" t="s">
        <v>207</v>
      </c>
      <c r="AV563" s="10">
        <v>35.869</v>
      </c>
      <c r="AW563" s="11" t="str">
        <f>IF(AND(ISNUMBER(AV563),ISNUMBER(AT563)),IF(AT563&lt;&gt;0,AV563/ABS(AT563),""),"")</f>
        <v/>
      </c>
      <c r="AX563" s="8">
        <v>0</v>
      </c>
      <c r="AY563" s="8">
        <v>0</v>
      </c>
      <c r="AZ563" s="10"/>
      <c r="BA563" s="8">
        <v>0</v>
      </c>
    </row>
    <row r="564" spans="1:53" x14ac:dyDescent="0.2">
      <c r="A564" s="8" t="s">
        <v>565</v>
      </c>
      <c r="B564" s="8" t="s">
        <v>82</v>
      </c>
      <c r="C564" s="8" t="s">
        <v>215</v>
      </c>
      <c r="D564" s="8">
        <v>1</v>
      </c>
      <c r="E564" s="8">
        <v>0</v>
      </c>
      <c r="F564" s="8">
        <f>SUM(G564:M564)</f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1</v>
      </c>
      <c r="Q564" s="8">
        <v>0</v>
      </c>
      <c r="R564" s="8">
        <v>0</v>
      </c>
      <c r="S564" s="8">
        <v>1</v>
      </c>
      <c r="T564" s="10">
        <v>-88.108999999999995</v>
      </c>
      <c r="U564" s="10">
        <v>-52.469000000000001</v>
      </c>
      <c r="V564" s="10">
        <v>-3.6549999999999998</v>
      </c>
      <c r="W564" s="10">
        <f>IF(RIGHT(C564,2)="12",IF(ISNUMBER(T564),T564,""),IF(COUNT(T564,U564,V564)=3,T564+U564-V564,""))</f>
        <v>-136.923</v>
      </c>
      <c r="X564" s="10">
        <v>-136.923</v>
      </c>
      <c r="Y564" s="10">
        <v>-48.813000000000002</v>
      </c>
      <c r="Z564" s="10">
        <v>-23.312999999999999</v>
      </c>
      <c r="AA564" s="10">
        <v>7.3049999999999997</v>
      </c>
      <c r="AB564" s="10">
        <v>-72.100999999999999</v>
      </c>
      <c r="AC564" s="8">
        <v>0</v>
      </c>
      <c r="AD564" s="8">
        <v>0</v>
      </c>
      <c r="AE564" s="8">
        <v>0</v>
      </c>
      <c r="AF564" s="10">
        <v>0</v>
      </c>
      <c r="AG564" s="8">
        <f>COUNTIF(Y564:AB564,"&gt;0")</f>
        <v>1</v>
      </c>
      <c r="AH564" s="10">
        <v>7.3049999999999997</v>
      </c>
      <c r="AI564" s="10">
        <v>0</v>
      </c>
      <c r="AJ564" s="8" t="str">
        <f>IF(ISNUMBER(X564),IF(X564&gt;0,"+",IF(X564&lt;0,"−","0")),IF(ISNUMBER(W564),IF(W564&gt;0,"+",IF(W564&lt;0,"−","0")),"yok"))</f>
        <v>−</v>
      </c>
      <c r="AK564" s="10">
        <f>IF(AND(RIGHT(C564,2)&lt;&gt;"12",ISNUMBER(U564),ISNUMBER(V564)),U564-V564,"")</f>
        <v>-48.814</v>
      </c>
      <c r="AL564" s="11">
        <f>IF(AND(ISNUMBER(AK564),ISNUMBER(V564)),IF(V564&lt;&gt;0,AK564/ABS(V564),""),"")</f>
        <v>-13.355403556771547</v>
      </c>
      <c r="AM564" s="8">
        <f>IF(ISNUMBER(AK564),IF(AK564&gt;1,1,0),"")</f>
        <v>0</v>
      </c>
      <c r="AN564" s="8">
        <f>IF(ISNUMBER(AK564),IF(AK564&gt;0.05*ABS(V564),1,0),"")</f>
        <v>0</v>
      </c>
      <c r="AO564" s="10">
        <v>-136.923</v>
      </c>
      <c r="AP564" s="10">
        <v>136.923</v>
      </c>
      <c r="AQ564" s="8" t="s">
        <v>204</v>
      </c>
      <c r="AR564" s="8">
        <v>0</v>
      </c>
      <c r="AS564" s="10">
        <v>816.41600000000005</v>
      </c>
      <c r="AT564" s="10"/>
      <c r="AU564" s="8" t="s">
        <v>207</v>
      </c>
      <c r="AV564" s="10">
        <v>7.3049999999999997</v>
      </c>
      <c r="AW564" s="11" t="str">
        <f>IF(AND(ISNUMBER(AV564),ISNUMBER(AT564)),IF(AT564&lt;&gt;0,AV564/ABS(AT564),""),"")</f>
        <v/>
      </c>
      <c r="AX564" s="8">
        <v>0</v>
      </c>
      <c r="AY564" s="8">
        <v>0</v>
      </c>
      <c r="AZ564" s="10"/>
      <c r="BA564" s="8">
        <v>0</v>
      </c>
    </row>
    <row r="565" spans="1:53" x14ac:dyDescent="0.2">
      <c r="A565" s="8" t="s">
        <v>565</v>
      </c>
      <c r="B565" s="8" t="s">
        <v>82</v>
      </c>
      <c r="C565" s="8" t="s">
        <v>290</v>
      </c>
      <c r="D565" s="8">
        <v>1</v>
      </c>
      <c r="E565" s="8">
        <v>0</v>
      </c>
      <c r="F565" s="8">
        <f>SUM(G565:M565)</f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1</v>
      </c>
      <c r="Q565" s="8">
        <v>0</v>
      </c>
      <c r="R565" s="8">
        <v>0</v>
      </c>
      <c r="S565" s="8">
        <v>1</v>
      </c>
      <c r="T565" s="10">
        <v>-162.45500000000001</v>
      </c>
      <c r="U565" s="10"/>
      <c r="V565" s="10"/>
      <c r="W565" s="10">
        <f>IF(RIGHT(C565,2)="12",IF(ISNUMBER(T565),T565,""),IF(COUNT(T565,U565,V565)=3,T565+U565-V565,""))</f>
        <v>-162.45500000000001</v>
      </c>
      <c r="X565" s="10">
        <v>-162.45500000000001</v>
      </c>
      <c r="Y565" s="10">
        <v>-23.312999999999999</v>
      </c>
      <c r="Z565" s="10">
        <v>7.3049999999999997</v>
      </c>
      <c r="AA565" s="10">
        <v>-72.100999999999999</v>
      </c>
      <c r="AB565" s="10">
        <v>-74.344999999999999</v>
      </c>
      <c r="AC565" s="8">
        <v>0</v>
      </c>
      <c r="AD565" s="8">
        <v>0</v>
      </c>
      <c r="AE565" s="8">
        <v>0</v>
      </c>
      <c r="AF565" s="10">
        <v>0</v>
      </c>
      <c r="AG565" s="8">
        <f>COUNTIF(Y565:AB565,"&gt;0")</f>
        <v>1</v>
      </c>
      <c r="AH565" s="10">
        <v>7.3049999999999997</v>
      </c>
      <c r="AI565" s="10">
        <v>0</v>
      </c>
      <c r="AJ565" s="8" t="str">
        <f>IF(ISNUMBER(X565),IF(X565&gt;0,"+",IF(X565&lt;0,"−","0")),IF(ISNUMBER(W565),IF(W565&gt;0,"+",IF(W565&lt;0,"−","0")),"yok"))</f>
        <v>−</v>
      </c>
      <c r="AK565" s="10" t="str">
        <f>IF(AND(RIGHT(C565,2)&lt;&gt;"12",ISNUMBER(U565),ISNUMBER(V565)),U565-V565,"")</f>
        <v/>
      </c>
      <c r="AL565" s="11" t="str">
        <f>IF(AND(ISNUMBER(AK565),ISNUMBER(V565)),IF(V565&lt;&gt;0,AK565/ABS(V565),""),"")</f>
        <v/>
      </c>
      <c r="AM565" s="8" t="str">
        <f>IF(ISNUMBER(AK565),IF(AK565&gt;1,1,0),"")</f>
        <v/>
      </c>
      <c r="AN565" s="8" t="str">
        <f>IF(ISNUMBER(AK565),IF(AK565&gt;0.05*ABS(V565),1,0),"")</f>
        <v/>
      </c>
      <c r="AO565" s="10">
        <v>-162.45500000000001</v>
      </c>
      <c r="AP565" s="10">
        <v>162.45500000000001</v>
      </c>
      <c r="AQ565" s="8" t="s">
        <v>209</v>
      </c>
      <c r="AR565" s="8">
        <v>0</v>
      </c>
      <c r="AS565" s="10">
        <v>790.70100000000002</v>
      </c>
      <c r="AT565" s="10">
        <v>623.80100000000004</v>
      </c>
      <c r="AU565" s="8" t="s">
        <v>209</v>
      </c>
      <c r="AV565" s="10">
        <v>7.3049999999999997</v>
      </c>
      <c r="AW565" s="11">
        <f>IF(AND(ISNUMBER(AV565),ISNUMBER(AT565)),IF(AT565&lt;&gt;0,AV565/ABS(AT565),""),"")</f>
        <v>1.171046535674037E-2</v>
      </c>
      <c r="AX565" s="8">
        <v>0</v>
      </c>
      <c r="AY565" s="8">
        <v>0</v>
      </c>
      <c r="AZ565" s="10"/>
      <c r="BA565" s="8">
        <v>0</v>
      </c>
    </row>
    <row r="566" spans="1:53" x14ac:dyDescent="0.2">
      <c r="A566" s="8" t="s">
        <v>565</v>
      </c>
      <c r="B566" s="8" t="s">
        <v>82</v>
      </c>
      <c r="C566" s="8" t="s">
        <v>208</v>
      </c>
      <c r="D566" s="8">
        <v>1</v>
      </c>
      <c r="E566" s="8">
        <v>0</v>
      </c>
      <c r="F566" s="8">
        <f>SUM(G566:M566)</f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1</v>
      </c>
      <c r="Q566" s="8">
        <v>0</v>
      </c>
      <c r="R566" s="8">
        <v>1</v>
      </c>
      <c r="S566" s="8">
        <v>0</v>
      </c>
      <c r="T566" s="10">
        <v>-21.215</v>
      </c>
      <c r="U566" s="10">
        <v>-162.45500000000001</v>
      </c>
      <c r="V566" s="10">
        <v>-23.312999999999999</v>
      </c>
      <c r="W566" s="10">
        <f>IF(RIGHT(C566,2)="12",IF(ISNUMBER(T566),T566,""),IF(COUNT(T566,U566,V566)=3,T566+U566-V566,""))</f>
        <v>-160.35700000000003</v>
      </c>
      <c r="X566" s="10">
        <v>-160.35599999999999</v>
      </c>
      <c r="Y566" s="10">
        <v>7.3049999999999997</v>
      </c>
      <c r="Z566" s="10">
        <v>-72.100999999999999</v>
      </c>
      <c r="AA566" s="10">
        <v>-74.344999999999999</v>
      </c>
      <c r="AB566" s="10">
        <v>-21.215</v>
      </c>
      <c r="AC566" s="8">
        <v>0</v>
      </c>
      <c r="AD566" s="8">
        <v>0</v>
      </c>
      <c r="AE566" s="8">
        <v>0</v>
      </c>
      <c r="AF566" s="10">
        <v>0</v>
      </c>
      <c r="AG566" s="8">
        <f>COUNTIF(Y566:AB566,"&gt;0")</f>
        <v>1</v>
      </c>
      <c r="AH566" s="10">
        <v>0</v>
      </c>
      <c r="AI566" s="10">
        <v>7.3049999999999997</v>
      </c>
      <c r="AJ566" s="8" t="str">
        <f>IF(ISNUMBER(X566),IF(X566&gt;0,"+",IF(X566&lt;0,"−","0")),IF(ISNUMBER(W566),IF(W566&gt;0,"+",IF(W566&lt;0,"−","0")),"yok"))</f>
        <v>−</v>
      </c>
      <c r="AK566" s="10">
        <f>IF(AND(RIGHT(C566,2)&lt;&gt;"12",ISNUMBER(U566),ISNUMBER(V566)),U566-V566,"")</f>
        <v>-139.14200000000002</v>
      </c>
      <c r="AL566" s="11">
        <f>IF(AND(ISNUMBER(AK566),ISNUMBER(V566)),IF(V566&lt;&gt;0,AK566/ABS(V566),""),"")</f>
        <v>-5.9684296315360541</v>
      </c>
      <c r="AM566" s="8">
        <f>IF(ISNUMBER(AK566),IF(AK566&gt;1,1,0),"")</f>
        <v>0</v>
      </c>
      <c r="AN566" s="8">
        <f>IF(ISNUMBER(AK566),IF(AK566&gt;0.05*ABS(V566),1,0),"")</f>
        <v>0</v>
      </c>
      <c r="AO566" s="10">
        <v>-160.35599999999999</v>
      </c>
      <c r="AP566" s="10">
        <v>160.35599999999999</v>
      </c>
      <c r="AQ566" s="8" t="s">
        <v>204</v>
      </c>
      <c r="AR566" s="8">
        <v>0</v>
      </c>
      <c r="AS566" s="10">
        <v>395.00900000000001</v>
      </c>
      <c r="AT566" s="10"/>
      <c r="AU566" s="8" t="s">
        <v>207</v>
      </c>
      <c r="AV566" s="10">
        <v>7.3049999999999997</v>
      </c>
      <c r="AW566" s="11" t="str">
        <f>IF(AND(ISNUMBER(AV566),ISNUMBER(AT566)),IF(AT566&lt;&gt;0,AV566/ABS(AT566),""),"")</f>
        <v/>
      </c>
      <c r="AX566" s="8">
        <v>0</v>
      </c>
      <c r="AY566" s="8">
        <v>0</v>
      </c>
      <c r="AZ566" s="10"/>
      <c r="BA566" s="8">
        <v>0</v>
      </c>
    </row>
    <row r="567" spans="1:53" x14ac:dyDescent="0.2">
      <c r="A567" s="8" t="s">
        <v>229</v>
      </c>
      <c r="B567" s="8" t="s">
        <v>82</v>
      </c>
      <c r="C567" s="8" t="s">
        <v>203</v>
      </c>
      <c r="D567" s="8">
        <v>1</v>
      </c>
      <c r="E567" s="8">
        <v>0</v>
      </c>
      <c r="F567" s="8">
        <f>SUM(G567:M567)</f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1</v>
      </c>
      <c r="Q567" s="8">
        <v>0</v>
      </c>
      <c r="R567" s="8">
        <v>1</v>
      </c>
      <c r="S567" s="8">
        <v>0</v>
      </c>
      <c r="T567" s="10">
        <v>-33.027999999999999</v>
      </c>
      <c r="U567" s="10">
        <v>-95.34</v>
      </c>
      <c r="V567" s="10">
        <v>-63.991999999999997</v>
      </c>
      <c r="W567" s="10">
        <f>IF(RIGHT(C567,2)="12",IF(ISNUMBER(T567),T567,""),IF(COUNT(T567,U567,V567)=3,T567+U567-V567,""))</f>
        <v>-64.376000000000005</v>
      </c>
      <c r="X567" s="10">
        <v>-64.376000000000005</v>
      </c>
      <c r="Y567" s="10">
        <v>4.9610000000000003</v>
      </c>
      <c r="Z567" s="10">
        <v>-221.87799999999999</v>
      </c>
      <c r="AA567" s="10">
        <v>185.56800000000001</v>
      </c>
      <c r="AB567" s="10">
        <v>-33.027999999999999</v>
      </c>
      <c r="AC567" s="8">
        <v>0</v>
      </c>
      <c r="AD567" s="8">
        <v>0</v>
      </c>
      <c r="AE567" s="8">
        <v>0</v>
      </c>
      <c r="AF567" s="10">
        <v>0</v>
      </c>
      <c r="AG567" s="8">
        <f>COUNTIF(Y567:AB567,"&gt;0")</f>
        <v>2</v>
      </c>
      <c r="AH567" s="10">
        <v>0</v>
      </c>
      <c r="AI567" s="10">
        <v>190.529</v>
      </c>
      <c r="AJ567" s="8" t="str">
        <f>IF(ISNUMBER(X567),IF(X567&gt;0,"+",IF(X567&lt;0,"−","0")),IF(ISNUMBER(W567),IF(W567&gt;0,"+",IF(W567&lt;0,"−","0")),"yok"))</f>
        <v>−</v>
      </c>
      <c r="AK567" s="10">
        <f>IF(AND(RIGHT(C567,2)&lt;&gt;"12",ISNUMBER(U567),ISNUMBER(V567)),U567-V567,"")</f>
        <v>-31.348000000000006</v>
      </c>
      <c r="AL567" s="11">
        <f>IF(AND(ISNUMBER(AK567),ISNUMBER(V567)),IF(V567&lt;&gt;0,AK567/ABS(V567),""),"")</f>
        <v>-0.48987373421677721</v>
      </c>
      <c r="AM567" s="8">
        <f>IF(ISNUMBER(AK567),IF(AK567&gt;1,1,0),"")</f>
        <v>0</v>
      </c>
      <c r="AN567" s="8">
        <f>IF(ISNUMBER(AK567),IF(AK567&gt;0.05*ABS(V567),1,0),"")</f>
        <v>0</v>
      </c>
      <c r="AO567" s="10">
        <v>-64.378</v>
      </c>
      <c r="AP567" s="10">
        <v>64.378</v>
      </c>
      <c r="AQ567" s="8" t="s">
        <v>204</v>
      </c>
      <c r="AR567" s="8">
        <v>0</v>
      </c>
      <c r="AS567" s="10">
        <v>7864.2070000000003</v>
      </c>
      <c r="AT567" s="10">
        <v>7788.9533860000001</v>
      </c>
      <c r="AU567" s="8" t="s">
        <v>212</v>
      </c>
      <c r="AV567" s="10">
        <v>185.56800000000001</v>
      </c>
      <c r="AW567" s="11">
        <f>IF(AND(ISNUMBER(AV567),ISNUMBER(AT567)),IF(AT567&lt;&gt;0,AV567/ABS(AT567),""),"")</f>
        <v>2.3824510278048799E-2</v>
      </c>
      <c r="AX567" s="8">
        <v>0</v>
      </c>
      <c r="AY567" s="8">
        <v>0</v>
      </c>
      <c r="AZ567" s="10"/>
      <c r="BA567" s="8">
        <v>0</v>
      </c>
    </row>
    <row r="568" spans="1:53" x14ac:dyDescent="0.2">
      <c r="A568" s="8" t="s">
        <v>229</v>
      </c>
      <c r="B568" s="8" t="s">
        <v>82</v>
      </c>
      <c r="C568" s="8" t="s">
        <v>205</v>
      </c>
      <c r="D568" s="8">
        <v>1</v>
      </c>
      <c r="E568" s="8">
        <v>0</v>
      </c>
      <c r="F568" s="8">
        <f>SUM(G568:M568)</f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1</v>
      </c>
      <c r="Q568" s="8">
        <v>0</v>
      </c>
      <c r="R568" s="8">
        <v>1</v>
      </c>
      <c r="S568" s="8">
        <v>0</v>
      </c>
      <c r="T568" s="10">
        <v>-69.944999999999993</v>
      </c>
      <c r="U568" s="10">
        <v>-95.34</v>
      </c>
      <c r="V568" s="10">
        <v>-59.03</v>
      </c>
      <c r="W568" s="10">
        <f>IF(RIGHT(C568,2)="12",IF(ISNUMBER(T568),T568,""),IF(COUNT(T568,U568,V568)=3,T568+U568-V568,""))</f>
        <v>-106.255</v>
      </c>
      <c r="X568" s="10">
        <v>-106.254</v>
      </c>
      <c r="Y568" s="10">
        <v>-221.87799999999999</v>
      </c>
      <c r="Z568" s="10">
        <v>185.56800000000001</v>
      </c>
      <c r="AA568" s="10">
        <v>-33.027999999999999</v>
      </c>
      <c r="AB568" s="10">
        <v>-36.915999999999997</v>
      </c>
      <c r="AC568" s="8">
        <v>0</v>
      </c>
      <c r="AD568" s="8">
        <v>0</v>
      </c>
      <c r="AE568" s="8">
        <v>0</v>
      </c>
      <c r="AF568" s="10">
        <v>0</v>
      </c>
      <c r="AG568" s="8">
        <f>COUNTIF(Y568:AB568,"&gt;0")</f>
        <v>1</v>
      </c>
      <c r="AH568" s="10">
        <v>0</v>
      </c>
      <c r="AI568" s="10">
        <v>185.56800000000001</v>
      </c>
      <c r="AJ568" s="8" t="str">
        <f>IF(ISNUMBER(X568),IF(X568&gt;0,"+",IF(X568&lt;0,"−","0")),IF(ISNUMBER(W568),IF(W568&gt;0,"+",IF(W568&lt;0,"−","0")),"yok"))</f>
        <v>−</v>
      </c>
      <c r="AK568" s="10">
        <f>IF(AND(RIGHT(C568,2)&lt;&gt;"12",ISNUMBER(U568),ISNUMBER(V568)),U568-V568,"")</f>
        <v>-36.31</v>
      </c>
      <c r="AL568" s="11">
        <f>IF(AND(ISNUMBER(AK568),ISNUMBER(V568)),IF(V568&lt;&gt;0,AK568/ABS(V568),""),"")</f>
        <v>-0.61511096052854486</v>
      </c>
      <c r="AM568" s="8">
        <f>IF(ISNUMBER(AK568),IF(AK568&gt;1,1,0),"")</f>
        <v>0</v>
      </c>
      <c r="AN568" s="8">
        <f>IF(ISNUMBER(AK568),IF(AK568&gt;0.05*ABS(V568),1,0),"")</f>
        <v>0</v>
      </c>
      <c r="AO568" s="10">
        <v>-106.255</v>
      </c>
      <c r="AP568" s="10">
        <v>106.255</v>
      </c>
      <c r="AQ568" s="8" t="s">
        <v>204</v>
      </c>
      <c r="AR568" s="8">
        <v>0</v>
      </c>
      <c r="AS568" s="10">
        <v>9992.9159999999993</v>
      </c>
      <c r="AT568" s="10">
        <v>9865.1129999999994</v>
      </c>
      <c r="AU568" s="8" t="s">
        <v>212</v>
      </c>
      <c r="AV568" s="10">
        <v>185.56800000000001</v>
      </c>
      <c r="AW568" s="11">
        <f>IF(AND(ISNUMBER(AV568),ISNUMBER(AT568)),IF(AT568&lt;&gt;0,AV568/ABS(AT568),""),"")</f>
        <v>1.8810529590487207E-2</v>
      </c>
      <c r="AX568" s="8">
        <v>0</v>
      </c>
      <c r="AY568" s="8">
        <v>0</v>
      </c>
      <c r="AZ568" s="10"/>
      <c r="BA568" s="8">
        <v>0</v>
      </c>
    </row>
    <row r="569" spans="1:53" x14ac:dyDescent="0.2">
      <c r="A569" s="8" t="s">
        <v>229</v>
      </c>
      <c r="B569" s="8" t="s">
        <v>82</v>
      </c>
      <c r="C569" s="8" t="s">
        <v>210</v>
      </c>
      <c r="D569" s="8">
        <v>1</v>
      </c>
      <c r="E569" s="8">
        <v>0</v>
      </c>
      <c r="F569" s="8">
        <f>SUM(G569:M569)</f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1</v>
      </c>
      <c r="Q569" s="8">
        <v>0</v>
      </c>
      <c r="R569" s="8">
        <v>0</v>
      </c>
      <c r="S569" s="8">
        <v>1</v>
      </c>
      <c r="T569" s="10">
        <v>-25.181000000000001</v>
      </c>
      <c r="U569" s="10">
        <v>-132.446</v>
      </c>
      <c r="V569" s="10">
        <v>-69.944999999999993</v>
      </c>
      <c r="W569" s="10">
        <f>IF(RIGHT(C569,2)="12",IF(ISNUMBER(T569),T569,""),IF(COUNT(T569,U569,V569)=3,T569+U569-V569,""))</f>
        <v>-87.682000000000016</v>
      </c>
      <c r="X569" s="10">
        <v>-87.683000000000007</v>
      </c>
      <c r="Y569" s="10">
        <v>-41.360999999999997</v>
      </c>
      <c r="Z569" s="10">
        <v>-21.138999999999999</v>
      </c>
      <c r="AA569" s="10">
        <v>-30.247</v>
      </c>
      <c r="AB569" s="10">
        <v>5.0650000000000004</v>
      </c>
      <c r="AC569" s="8">
        <v>0</v>
      </c>
      <c r="AD569" s="8">
        <v>0</v>
      </c>
      <c r="AE569" s="8">
        <v>0</v>
      </c>
      <c r="AF569" s="10">
        <v>0</v>
      </c>
      <c r="AG569" s="8">
        <f>COUNTIF(Y569:AB569,"&gt;0")</f>
        <v>1</v>
      </c>
      <c r="AH569" s="10">
        <v>5.0650000000000004</v>
      </c>
      <c r="AI569" s="10">
        <v>0</v>
      </c>
      <c r="AJ569" s="8" t="str">
        <f>IF(ISNUMBER(X569),IF(X569&gt;0,"+",IF(X569&lt;0,"−","0")),IF(ISNUMBER(W569),IF(W569&gt;0,"+",IF(W569&lt;0,"−","0")),"yok"))</f>
        <v>−</v>
      </c>
      <c r="AK569" s="10">
        <f>IF(AND(RIGHT(C569,2)&lt;&gt;"12",ISNUMBER(U569),ISNUMBER(V569)),U569-V569,"")</f>
        <v>-62.501000000000005</v>
      </c>
      <c r="AL569" s="11">
        <f>IF(AND(ISNUMBER(AK569),ISNUMBER(V569)),IF(V569&lt;&gt;0,AK569/ABS(V569),""),"")</f>
        <v>-0.89357352205304186</v>
      </c>
      <c r="AM569" s="8">
        <f>IF(ISNUMBER(AK569),IF(AK569&gt;1,1,0),"")</f>
        <v>0</v>
      </c>
      <c r="AN569" s="8">
        <f>IF(ISNUMBER(AK569),IF(AK569&gt;0.05*ABS(V569),1,0),"")</f>
        <v>0</v>
      </c>
      <c r="AO569" s="10">
        <v>-87.683999999999997</v>
      </c>
      <c r="AP569" s="10">
        <v>87.683999999999997</v>
      </c>
      <c r="AQ569" s="8" t="s">
        <v>204</v>
      </c>
      <c r="AR569" s="8">
        <v>0</v>
      </c>
      <c r="AS569" s="10">
        <v>7083.143</v>
      </c>
      <c r="AT569" s="10">
        <v>6966.1270000000004</v>
      </c>
      <c r="AU569" s="8" t="s">
        <v>212</v>
      </c>
      <c r="AV569" s="10">
        <v>5.0650000000000004</v>
      </c>
      <c r="AW569" s="11">
        <f>IF(AND(ISNUMBER(AV569),ISNUMBER(AT569)),IF(AT569&lt;&gt;0,AV569/ABS(AT569),""),"")</f>
        <v>7.2708981619198161E-4</v>
      </c>
      <c r="AX569" s="8">
        <v>0</v>
      </c>
      <c r="AY569" s="8">
        <v>0</v>
      </c>
      <c r="AZ569" s="10"/>
      <c r="BA569" s="8">
        <v>0</v>
      </c>
    </row>
    <row r="570" spans="1:53" x14ac:dyDescent="0.2">
      <c r="A570" s="8" t="s">
        <v>236</v>
      </c>
      <c r="B570" s="8" t="s">
        <v>83</v>
      </c>
      <c r="C570" s="8" t="s">
        <v>210</v>
      </c>
      <c r="D570" s="8">
        <v>1</v>
      </c>
      <c r="E570" s="8">
        <v>0</v>
      </c>
      <c r="F570" s="8">
        <f>SUM(G570:M570)</f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1</v>
      </c>
      <c r="Q570" s="8">
        <v>0</v>
      </c>
      <c r="R570" s="8">
        <v>0</v>
      </c>
      <c r="S570" s="8">
        <v>1</v>
      </c>
      <c r="T570" s="10">
        <v>-116.006</v>
      </c>
      <c r="U570" s="10">
        <v>-746.69</v>
      </c>
      <c r="V570" s="10">
        <v>-85.366</v>
      </c>
      <c r="W570" s="10">
        <f>IF(RIGHT(C570,2)="12",IF(ISNUMBER(T570),T570,""),IF(COUNT(T570,U570,V570)=3,T570+U570-V570,""))</f>
        <v>-777.33</v>
      </c>
      <c r="X570" s="10">
        <v>-777.33</v>
      </c>
      <c r="Y570" s="10">
        <v>-259.09500000000003</v>
      </c>
      <c r="Z570" s="10">
        <v>-402.22800000000001</v>
      </c>
      <c r="AA570" s="10">
        <v>-175.95599999999999</v>
      </c>
      <c r="AB570" s="10">
        <v>59.948999999999998</v>
      </c>
      <c r="AC570" s="8">
        <v>0</v>
      </c>
      <c r="AD570" s="8">
        <v>0</v>
      </c>
      <c r="AE570" s="8">
        <v>0</v>
      </c>
      <c r="AF570" s="10">
        <v>0</v>
      </c>
      <c r="AG570" s="8">
        <f>COUNTIF(Y570:AB570,"&gt;0")</f>
        <v>1</v>
      </c>
      <c r="AH570" s="10">
        <v>59.948999999999998</v>
      </c>
      <c r="AI570" s="10">
        <v>0</v>
      </c>
      <c r="AJ570" s="8" t="str">
        <f>IF(ISNUMBER(X570),IF(X570&gt;0,"+",IF(X570&lt;0,"−","0")),IF(ISNUMBER(W570),IF(W570&gt;0,"+",IF(W570&lt;0,"−","0")),"yok"))</f>
        <v>−</v>
      </c>
      <c r="AK570" s="10">
        <f>IF(AND(RIGHT(C570,2)&lt;&gt;"12",ISNUMBER(U570),ISNUMBER(V570)),U570-V570,"")</f>
        <v>-661.32400000000007</v>
      </c>
      <c r="AL570" s="11">
        <f>IF(AND(ISNUMBER(AK570),ISNUMBER(V570)),IF(V570&lt;&gt;0,AK570/ABS(V570),""),"")</f>
        <v>-7.7469250052714207</v>
      </c>
      <c r="AM570" s="8">
        <f>IF(ISNUMBER(AK570),IF(AK570&gt;1,1,0),"")</f>
        <v>0</v>
      </c>
      <c r="AN570" s="8">
        <f>IF(ISNUMBER(AK570),IF(AK570&gt;0.05*ABS(V570),1,0),"")</f>
        <v>0</v>
      </c>
      <c r="AO570" s="10">
        <v>-777.33100000000002</v>
      </c>
      <c r="AP570" s="10">
        <v>777.33100000000002</v>
      </c>
      <c r="AQ570" s="8" t="s">
        <v>204</v>
      </c>
      <c r="AR570" s="8">
        <v>0</v>
      </c>
      <c r="AS570" s="10">
        <v>866.76800000000003</v>
      </c>
      <c r="AT570" s="10"/>
      <c r="AU570" s="8" t="s">
        <v>207</v>
      </c>
      <c r="AV570" s="10">
        <v>59.948999999999998</v>
      </c>
      <c r="AW570" s="11" t="str">
        <f>IF(AND(ISNUMBER(AV570),ISNUMBER(AT570)),IF(AT570&lt;&gt;0,AV570/ABS(AT570),""),"")</f>
        <v/>
      </c>
      <c r="AX570" s="8">
        <v>0</v>
      </c>
      <c r="AY570" s="8">
        <v>0</v>
      </c>
      <c r="AZ570" s="10"/>
      <c r="BA570" s="8">
        <v>0</v>
      </c>
    </row>
    <row r="571" spans="1:53" x14ac:dyDescent="0.2">
      <c r="A571" s="8" t="s">
        <v>237</v>
      </c>
      <c r="B571" s="8" t="s">
        <v>83</v>
      </c>
      <c r="C571" s="8" t="s">
        <v>205</v>
      </c>
      <c r="D571" s="8">
        <v>1</v>
      </c>
      <c r="E571" s="8">
        <v>0</v>
      </c>
      <c r="F571" s="8">
        <f>SUM(G571:M571)</f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1</v>
      </c>
      <c r="Q571" s="8">
        <v>0</v>
      </c>
      <c r="R571" s="8">
        <v>0</v>
      </c>
      <c r="S571" s="8">
        <v>1</v>
      </c>
      <c r="T571" s="10">
        <v>-46.136000000000003</v>
      </c>
      <c r="U571" s="10">
        <v>-107.496</v>
      </c>
      <c r="V571" s="10">
        <v>-6.5919999999999996</v>
      </c>
      <c r="W571" s="10">
        <f>IF(RIGHT(C571,2)="12",IF(ISNUMBER(T571),T571,""),IF(COUNT(T571,U571,V571)=3,T571+U571-V571,""))</f>
        <v>-147.04</v>
      </c>
      <c r="X571" s="10">
        <v>-147.041</v>
      </c>
      <c r="Y571" s="10">
        <v>-27.088999999999999</v>
      </c>
      <c r="Z571" s="10">
        <v>-73.814999999999998</v>
      </c>
      <c r="AA571" s="10">
        <v>-164.92099999999999</v>
      </c>
      <c r="AB571" s="10">
        <v>118.78400000000001</v>
      </c>
      <c r="AC571" s="8">
        <v>0</v>
      </c>
      <c r="AD571" s="8">
        <v>0</v>
      </c>
      <c r="AE571" s="8">
        <v>0</v>
      </c>
      <c r="AF571" s="10">
        <v>0</v>
      </c>
      <c r="AG571" s="8">
        <f>COUNTIF(Y571:AB571,"&gt;0")</f>
        <v>1</v>
      </c>
      <c r="AH571" s="10">
        <v>118.78400000000001</v>
      </c>
      <c r="AI571" s="10">
        <v>0</v>
      </c>
      <c r="AJ571" s="8" t="str">
        <f>IF(ISNUMBER(X571),IF(X571&gt;0,"+",IF(X571&lt;0,"−","0")),IF(ISNUMBER(W571),IF(W571&gt;0,"+",IF(W571&lt;0,"−","0")),"yok"))</f>
        <v>−</v>
      </c>
      <c r="AK571" s="10">
        <f>IF(AND(RIGHT(C571,2)&lt;&gt;"12",ISNUMBER(U571),ISNUMBER(V571)),U571-V571,"")</f>
        <v>-100.904</v>
      </c>
      <c r="AL571" s="11">
        <f>IF(AND(ISNUMBER(AK571),ISNUMBER(V571)),IF(V571&lt;&gt;0,AK571/ABS(V571),""),"")</f>
        <v>-15.307038834951456</v>
      </c>
      <c r="AM571" s="8">
        <f>IF(ISNUMBER(AK571),IF(AK571&gt;1,1,0),"")</f>
        <v>0</v>
      </c>
      <c r="AN571" s="8">
        <f>IF(ISNUMBER(AK571),IF(AK571&gt;0.05*ABS(V571),1,0),"")</f>
        <v>0</v>
      </c>
      <c r="AO571" s="10">
        <v>-147.041</v>
      </c>
      <c r="AP571" s="10">
        <v>147.041</v>
      </c>
      <c r="AQ571" s="8" t="s">
        <v>204</v>
      </c>
      <c r="AR571" s="8">
        <v>0</v>
      </c>
      <c r="AS571" s="10">
        <v>82.784000000000006</v>
      </c>
      <c r="AT571" s="10">
        <v>-64.257000000000005</v>
      </c>
      <c r="AU571" s="8" t="s">
        <v>209</v>
      </c>
      <c r="AV571" s="10">
        <v>118.78400000000001</v>
      </c>
      <c r="AW571" s="11">
        <f>IF(AND(ISNUMBER(AV571),ISNUMBER(AT571)),IF(AT571&lt;&gt;0,AV571/ABS(AT571),""),"")</f>
        <v>1.8485768087523538</v>
      </c>
      <c r="AX571" s="8">
        <v>0</v>
      </c>
      <c r="AY571" s="8">
        <v>0</v>
      </c>
      <c r="AZ571" s="10"/>
      <c r="BA571" s="8">
        <v>0</v>
      </c>
    </row>
    <row r="572" spans="1:53" x14ac:dyDescent="0.2">
      <c r="A572" s="8" t="s">
        <v>237</v>
      </c>
      <c r="B572" s="8" t="s">
        <v>83</v>
      </c>
      <c r="C572" s="8" t="s">
        <v>215</v>
      </c>
      <c r="D572" s="8">
        <v>1</v>
      </c>
      <c r="E572" s="8">
        <v>0</v>
      </c>
      <c r="F572" s="8">
        <f>SUM(G572:M572)</f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1</v>
      </c>
      <c r="Q572" s="8">
        <v>0</v>
      </c>
      <c r="R572" s="8">
        <v>0</v>
      </c>
      <c r="S572" s="8">
        <v>1</v>
      </c>
      <c r="T572" s="10">
        <v>-157.38300000000001</v>
      </c>
      <c r="U572" s="10">
        <v>-107.496</v>
      </c>
      <c r="V572" s="10">
        <v>-33.680999999999997</v>
      </c>
      <c r="W572" s="10">
        <f>IF(RIGHT(C572,2)="12",IF(ISNUMBER(T572),T572,""),IF(COUNT(T572,U572,V572)=3,T572+U572-V572,""))</f>
        <v>-231.19800000000004</v>
      </c>
      <c r="X572" s="10">
        <v>-231.19800000000001</v>
      </c>
      <c r="Y572" s="10">
        <v>-73.814999999999998</v>
      </c>
      <c r="Z572" s="10">
        <v>-164.92099999999999</v>
      </c>
      <c r="AA572" s="10">
        <v>118.78400000000001</v>
      </c>
      <c r="AB572" s="10">
        <v>-111.246</v>
      </c>
      <c r="AC572" s="8">
        <v>0</v>
      </c>
      <c r="AD572" s="8">
        <v>0</v>
      </c>
      <c r="AE572" s="8">
        <v>0</v>
      </c>
      <c r="AF572" s="10">
        <v>0</v>
      </c>
      <c r="AG572" s="8">
        <f>COUNTIF(Y572:AB572,"&gt;0")</f>
        <v>1</v>
      </c>
      <c r="AH572" s="10">
        <v>118.78400000000001</v>
      </c>
      <c r="AI572" s="10">
        <v>0</v>
      </c>
      <c r="AJ572" s="8" t="str">
        <f>IF(ISNUMBER(X572),IF(X572&gt;0,"+",IF(X572&lt;0,"−","0")),IF(ISNUMBER(W572),IF(W572&gt;0,"+",IF(W572&lt;0,"−","0")),"yok"))</f>
        <v>−</v>
      </c>
      <c r="AK572" s="10">
        <f>IF(AND(RIGHT(C572,2)&lt;&gt;"12",ISNUMBER(U572),ISNUMBER(V572)),U572-V572,"")</f>
        <v>-73.814999999999998</v>
      </c>
      <c r="AL572" s="11">
        <f>IF(AND(ISNUMBER(AK572),ISNUMBER(V572)),IF(V572&lt;&gt;0,AK572/ABS(V572),""),"")</f>
        <v>-2.1915916985837716</v>
      </c>
      <c r="AM572" s="8">
        <f>IF(ISNUMBER(AK572),IF(AK572&gt;1,1,0),"")</f>
        <v>0</v>
      </c>
      <c r="AN572" s="8">
        <f>IF(ISNUMBER(AK572),IF(AK572&gt;0.05*ABS(V572),1,0),"")</f>
        <v>0</v>
      </c>
      <c r="AO572" s="10">
        <v>-231.19800000000001</v>
      </c>
      <c r="AP572" s="10">
        <v>231.19800000000001</v>
      </c>
      <c r="AQ572" s="8" t="s">
        <v>204</v>
      </c>
      <c r="AR572" s="8">
        <v>0</v>
      </c>
      <c r="AS572" s="10">
        <v>32.497999999999998</v>
      </c>
      <c r="AT572" s="10">
        <v>-203.101258</v>
      </c>
      <c r="AU572" s="8" t="s">
        <v>209</v>
      </c>
      <c r="AV572" s="10">
        <v>118.78400000000001</v>
      </c>
      <c r="AW572" s="11">
        <f>IF(AND(ISNUMBER(AV572),ISNUMBER(AT572)),IF(AT572&lt;&gt;0,AV572/ABS(AT572),""),"")</f>
        <v>0.58485112879015255</v>
      </c>
      <c r="AX572" s="8">
        <v>0</v>
      </c>
      <c r="AY572" s="8">
        <v>0</v>
      </c>
      <c r="AZ572" s="10"/>
      <c r="BA572" s="8">
        <v>0</v>
      </c>
    </row>
    <row r="573" spans="1:53" x14ac:dyDescent="0.2">
      <c r="A573" s="8" t="s">
        <v>237</v>
      </c>
      <c r="B573" s="8" t="s">
        <v>83</v>
      </c>
      <c r="C573" s="8" t="s">
        <v>290</v>
      </c>
      <c r="D573" s="8">
        <v>1</v>
      </c>
      <c r="E573" s="8">
        <v>0</v>
      </c>
      <c r="F573" s="8">
        <f>SUM(G573:M573)</f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1</v>
      </c>
      <c r="Q573" s="8">
        <v>0</v>
      </c>
      <c r="R573" s="8">
        <v>0</v>
      </c>
      <c r="S573" s="8">
        <v>1</v>
      </c>
      <c r="T573" s="10">
        <v>-806.16600000000005</v>
      </c>
      <c r="U573" s="10"/>
      <c r="V573" s="10"/>
      <c r="W573" s="10">
        <f>IF(RIGHT(C573,2)="12",IF(ISNUMBER(T573),T573,""),IF(COUNT(T573,U573,V573)=3,T573+U573-V573,""))</f>
        <v>-806.16600000000005</v>
      </c>
      <c r="X573" s="10">
        <v>-806.16600000000005</v>
      </c>
      <c r="Y573" s="10">
        <v>-164.92099999999999</v>
      </c>
      <c r="Z573" s="10">
        <v>118.78400000000001</v>
      </c>
      <c r="AA573" s="10">
        <v>-111.246</v>
      </c>
      <c r="AB573" s="10">
        <v>-648.78200000000004</v>
      </c>
      <c r="AC573" s="8">
        <v>0</v>
      </c>
      <c r="AD573" s="8">
        <v>0</v>
      </c>
      <c r="AE573" s="8">
        <v>0</v>
      </c>
      <c r="AF573" s="10">
        <v>0</v>
      </c>
      <c r="AG573" s="8">
        <f>COUNTIF(Y573:AB573,"&gt;0")</f>
        <v>1</v>
      </c>
      <c r="AH573" s="10">
        <v>118.78400000000001</v>
      </c>
      <c r="AI573" s="10">
        <v>0</v>
      </c>
      <c r="AJ573" s="8" t="str">
        <f>IF(ISNUMBER(X573),IF(X573&gt;0,"+",IF(X573&lt;0,"−","0")),IF(ISNUMBER(W573),IF(W573&gt;0,"+",IF(W573&lt;0,"−","0")),"yok"))</f>
        <v>−</v>
      </c>
      <c r="AK573" s="10" t="str">
        <f>IF(AND(RIGHT(C573,2)&lt;&gt;"12",ISNUMBER(U573),ISNUMBER(V573)),U573-V573,"")</f>
        <v/>
      </c>
      <c r="AL573" s="11" t="str">
        <f>IF(AND(ISNUMBER(AK573),ISNUMBER(V573)),IF(V573&lt;&gt;0,AK573/ABS(V573),""),"")</f>
        <v/>
      </c>
      <c r="AM573" s="8" t="str">
        <f>IF(ISNUMBER(AK573),IF(AK573&gt;1,1,0),"")</f>
        <v/>
      </c>
      <c r="AN573" s="8" t="str">
        <f>IF(ISNUMBER(AK573),IF(AK573&gt;0.05*ABS(V573),1,0),"")</f>
        <v/>
      </c>
      <c r="AO573" s="10">
        <v>-684.584791</v>
      </c>
      <c r="AP573" s="10">
        <v>684.584791</v>
      </c>
      <c r="AQ573" s="8" t="s">
        <v>209</v>
      </c>
      <c r="AR573" s="8">
        <v>0</v>
      </c>
      <c r="AS573" s="10">
        <v>628.47232799999995</v>
      </c>
      <c r="AT573" s="10">
        <v>-262.90757500000001</v>
      </c>
      <c r="AU573" s="8" t="s">
        <v>209</v>
      </c>
      <c r="AV573" s="10">
        <v>118.78400000000001</v>
      </c>
      <c r="AW573" s="11">
        <f>IF(AND(ISNUMBER(AV573),ISNUMBER(AT573)),IF(AT573&lt;&gt;0,AV573/ABS(AT573),""),"")</f>
        <v>0.45180896746698912</v>
      </c>
      <c r="AX573" s="8">
        <v>0</v>
      </c>
      <c r="AY573" s="8">
        <v>0</v>
      </c>
      <c r="AZ573" s="10"/>
      <c r="BA573" s="8">
        <v>0</v>
      </c>
    </row>
    <row r="574" spans="1:53" x14ac:dyDescent="0.2">
      <c r="A574" s="8" t="s">
        <v>566</v>
      </c>
      <c r="B574" s="8" t="s">
        <v>83</v>
      </c>
      <c r="C574" s="8" t="s">
        <v>205</v>
      </c>
      <c r="D574" s="8">
        <v>1</v>
      </c>
      <c r="E574" s="8">
        <v>0</v>
      </c>
      <c r="F574" s="8">
        <f>SUM(G574:M574)</f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1</v>
      </c>
      <c r="Q574" s="8">
        <v>0</v>
      </c>
      <c r="R574" s="8">
        <v>0</v>
      </c>
      <c r="S574" s="8">
        <v>1</v>
      </c>
      <c r="T574" s="10">
        <v>0</v>
      </c>
      <c r="U574" s="10">
        <v>-180.13399999999999</v>
      </c>
      <c r="V574" s="10">
        <v>-57.273000000000003</v>
      </c>
      <c r="W574" s="10">
        <f>IF(RIGHT(C574,2)="12",IF(ISNUMBER(T574),T574,""),IF(COUNT(T574,U574,V574)=3,T574+U574-V574,""))</f>
        <v>-122.86099999999999</v>
      </c>
      <c r="X574" s="10">
        <v>-122.861</v>
      </c>
      <c r="Y574" s="10">
        <v>-36.340000000000003</v>
      </c>
      <c r="Z574" s="10">
        <v>-86.52</v>
      </c>
      <c r="AA574" s="10">
        <v>-101.836</v>
      </c>
      <c r="AB574" s="10">
        <v>101.836</v>
      </c>
      <c r="AC574" s="8">
        <v>0</v>
      </c>
      <c r="AD574" s="8">
        <v>0</v>
      </c>
      <c r="AE574" s="8">
        <v>0</v>
      </c>
      <c r="AF574" s="10">
        <v>0</v>
      </c>
      <c r="AG574" s="8">
        <f>COUNTIF(Y574:AB574,"&gt;0")</f>
        <v>1</v>
      </c>
      <c r="AH574" s="10">
        <v>101.836</v>
      </c>
      <c r="AI574" s="10">
        <v>0</v>
      </c>
      <c r="AJ574" s="8" t="str">
        <f>IF(ISNUMBER(X574),IF(X574&gt;0,"+",IF(X574&lt;0,"−","0")),IF(ISNUMBER(W574),IF(W574&gt;0,"+",IF(W574&lt;0,"−","0")),"yok"))</f>
        <v>−</v>
      </c>
      <c r="AK574" s="10">
        <f>IF(AND(RIGHT(C574,2)&lt;&gt;"12",ISNUMBER(U574),ISNUMBER(V574)),U574-V574,"")</f>
        <v>-122.86099999999999</v>
      </c>
      <c r="AL574" s="11">
        <f>IF(AND(ISNUMBER(AK574),ISNUMBER(V574)),IF(V574&lt;&gt;0,AK574/ABS(V574),""),"")</f>
        <v>-2.1451818483404046</v>
      </c>
      <c r="AM574" s="8">
        <f>IF(ISNUMBER(AK574),IF(AK574&gt;1,1,0),"")</f>
        <v>0</v>
      </c>
      <c r="AN574" s="8">
        <f>IF(ISNUMBER(AK574),IF(AK574&gt;0.05*ABS(V574),1,0),"")</f>
        <v>0</v>
      </c>
      <c r="AO574" s="10">
        <v>-122.861</v>
      </c>
      <c r="AP574" s="10">
        <v>122.861</v>
      </c>
      <c r="AQ574" s="8" t="s">
        <v>204</v>
      </c>
      <c r="AR574" s="8">
        <v>0</v>
      </c>
      <c r="AS574" s="10">
        <v>452.19400000000002</v>
      </c>
      <c r="AT574" s="10">
        <v>205.15299999999999</v>
      </c>
      <c r="AU574" s="8" t="s">
        <v>204</v>
      </c>
      <c r="AV574" s="10">
        <v>101.836</v>
      </c>
      <c r="AW574" s="11">
        <f>IF(AND(ISNUMBER(AV574),ISNUMBER(AT574)),IF(AT574&lt;&gt;0,AV574/ABS(AT574),""),"")</f>
        <v>0.49639049879845776</v>
      </c>
      <c r="AX574" s="8">
        <v>0</v>
      </c>
      <c r="AY574" s="8">
        <v>0</v>
      </c>
      <c r="AZ574" s="10"/>
      <c r="BA574" s="8">
        <v>0</v>
      </c>
    </row>
    <row r="575" spans="1:53" x14ac:dyDescent="0.2">
      <c r="A575" s="8" t="s">
        <v>566</v>
      </c>
      <c r="B575" s="8" t="s">
        <v>83</v>
      </c>
      <c r="C575" s="8" t="s">
        <v>215</v>
      </c>
      <c r="D575" s="8">
        <v>1</v>
      </c>
      <c r="E575" s="8">
        <v>0</v>
      </c>
      <c r="F575" s="8">
        <f>SUM(G575:M575)</f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1</v>
      </c>
      <c r="Q575" s="8">
        <v>0</v>
      </c>
      <c r="R575" s="8">
        <v>0</v>
      </c>
      <c r="S575" s="8">
        <v>1</v>
      </c>
      <c r="T575" s="10">
        <v>-149.672</v>
      </c>
      <c r="U575" s="10">
        <v>-180.13399999999999</v>
      </c>
      <c r="V575" s="10">
        <v>-93.614000000000004</v>
      </c>
      <c r="W575" s="10">
        <f>IF(RIGHT(C575,2)="12",IF(ISNUMBER(T575),T575,""),IF(COUNT(T575,U575,V575)=3,T575+U575-V575,""))</f>
        <v>-236.19199999999998</v>
      </c>
      <c r="X575" s="10">
        <v>-236.19300000000001</v>
      </c>
      <c r="Y575" s="10">
        <v>-86.52</v>
      </c>
      <c r="Z575" s="10">
        <v>-101.836</v>
      </c>
      <c r="AA575" s="10">
        <v>101.836</v>
      </c>
      <c r="AB575" s="10">
        <v>-149.672</v>
      </c>
      <c r="AC575" s="8">
        <v>0</v>
      </c>
      <c r="AD575" s="8">
        <v>0</v>
      </c>
      <c r="AE575" s="8">
        <v>0</v>
      </c>
      <c r="AF575" s="10">
        <v>0</v>
      </c>
      <c r="AG575" s="8">
        <f>COUNTIF(Y575:AB575,"&gt;0")</f>
        <v>1</v>
      </c>
      <c r="AH575" s="10">
        <v>101.836</v>
      </c>
      <c r="AI575" s="10">
        <v>0</v>
      </c>
      <c r="AJ575" s="8" t="str">
        <f>IF(ISNUMBER(X575),IF(X575&gt;0,"+",IF(X575&lt;0,"−","0")),IF(ISNUMBER(W575),IF(W575&gt;0,"+",IF(W575&lt;0,"−","0")),"yok"))</f>
        <v>−</v>
      </c>
      <c r="AK575" s="10">
        <f>IF(AND(RIGHT(C575,2)&lt;&gt;"12",ISNUMBER(U575),ISNUMBER(V575)),U575-V575,"")</f>
        <v>-86.519999999999982</v>
      </c>
      <c r="AL575" s="11">
        <f>IF(AND(ISNUMBER(AK575),ISNUMBER(V575)),IF(V575&lt;&gt;0,AK575/ABS(V575),""),"")</f>
        <v>-0.92422073621466849</v>
      </c>
      <c r="AM575" s="8">
        <f>IF(ISNUMBER(AK575),IF(AK575&gt;1,1,0),"")</f>
        <v>0</v>
      </c>
      <c r="AN575" s="8">
        <f>IF(ISNUMBER(AK575),IF(AK575&gt;0.05*ABS(V575),1,0),"")</f>
        <v>0</v>
      </c>
      <c r="AO575" s="10">
        <v>-236.19399999999999</v>
      </c>
      <c r="AP575" s="10">
        <v>236.19399999999999</v>
      </c>
      <c r="AQ575" s="8" t="s">
        <v>204</v>
      </c>
      <c r="AR575" s="8">
        <v>0</v>
      </c>
      <c r="AS575" s="10">
        <v>2644.1930000000002</v>
      </c>
      <c r="AT575" s="10">
        <v>2273.9169999999999</v>
      </c>
      <c r="AU575" s="8" t="s">
        <v>204</v>
      </c>
      <c r="AV575" s="10">
        <v>101.836</v>
      </c>
      <c r="AW575" s="11">
        <f>IF(AND(ISNUMBER(AV575),ISNUMBER(AT575)),IF(AT575&lt;&gt;0,AV575/ABS(AT575),""),"")</f>
        <v>4.4784396264243596E-2</v>
      </c>
      <c r="AX575" s="8">
        <v>0</v>
      </c>
      <c r="AY575" s="8">
        <v>0</v>
      </c>
      <c r="AZ575" s="10"/>
      <c r="BA575" s="8">
        <v>0</v>
      </c>
    </row>
    <row r="576" spans="1:53" x14ac:dyDescent="0.2">
      <c r="A576" s="8" t="s">
        <v>566</v>
      </c>
      <c r="B576" s="8" t="s">
        <v>83</v>
      </c>
      <c r="C576" s="8" t="s">
        <v>290</v>
      </c>
      <c r="D576" s="8">
        <v>1</v>
      </c>
      <c r="E576" s="8">
        <v>0</v>
      </c>
      <c r="F576" s="8">
        <f>SUM(G576:M576)</f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1</v>
      </c>
      <c r="Q576" s="8">
        <v>0</v>
      </c>
      <c r="R576" s="8">
        <v>0</v>
      </c>
      <c r="S576" s="8">
        <v>1</v>
      </c>
      <c r="T576" s="10">
        <v>-188.357</v>
      </c>
      <c r="U576" s="10"/>
      <c r="V576" s="10"/>
      <c r="W576" s="10">
        <f>IF(RIGHT(C576,2)="12",IF(ISNUMBER(T576),T576,""),IF(COUNT(T576,U576,V576)=3,T576+U576-V576,""))</f>
        <v>-188.357</v>
      </c>
      <c r="X576" s="10">
        <v>-188.357</v>
      </c>
      <c r="Y576" s="10">
        <v>-101.836</v>
      </c>
      <c r="Z576" s="10">
        <v>101.836</v>
      </c>
      <c r="AA576" s="10">
        <v>-149.672</v>
      </c>
      <c r="AB576" s="10">
        <v>-38.683999999999997</v>
      </c>
      <c r="AC576" s="8">
        <v>0</v>
      </c>
      <c r="AD576" s="8">
        <v>0</v>
      </c>
      <c r="AE576" s="8">
        <v>0</v>
      </c>
      <c r="AF576" s="10">
        <v>0</v>
      </c>
      <c r="AG576" s="8">
        <f>COUNTIF(Y576:AB576,"&gt;0")</f>
        <v>1</v>
      </c>
      <c r="AH576" s="10">
        <v>101.836</v>
      </c>
      <c r="AI576" s="10">
        <v>0</v>
      </c>
      <c r="AJ576" s="8" t="str">
        <f>IF(ISNUMBER(X576),IF(X576&gt;0,"+",IF(X576&lt;0,"−","0")),IF(ISNUMBER(W576),IF(W576&gt;0,"+",IF(W576&lt;0,"−","0")),"yok"))</f>
        <v>−</v>
      </c>
      <c r="AK576" s="10" t="str">
        <f>IF(AND(RIGHT(C576,2)&lt;&gt;"12",ISNUMBER(U576),ISNUMBER(V576)),U576-V576,"")</f>
        <v/>
      </c>
      <c r="AL576" s="11" t="str">
        <f>IF(AND(ISNUMBER(AK576),ISNUMBER(V576)),IF(V576&lt;&gt;0,AK576/ABS(V576),""),"")</f>
        <v/>
      </c>
      <c r="AM576" s="8" t="str">
        <f>IF(ISNUMBER(AK576),IF(AK576&gt;1,1,0),"")</f>
        <v/>
      </c>
      <c r="AN576" s="8" t="str">
        <f>IF(ISNUMBER(AK576),IF(AK576&gt;0.05*ABS(V576),1,0),"")</f>
        <v/>
      </c>
      <c r="AO576" s="10">
        <v>-188.357</v>
      </c>
      <c r="AP576" s="10">
        <v>188.357</v>
      </c>
      <c r="AQ576" s="8" t="s">
        <v>204</v>
      </c>
      <c r="AR576" s="8">
        <v>0</v>
      </c>
      <c r="AS576" s="10">
        <v>1748.86</v>
      </c>
      <c r="AT576" s="10">
        <v>1454.652</v>
      </c>
      <c r="AU576" s="8" t="s">
        <v>204</v>
      </c>
      <c r="AV576" s="10">
        <v>101.836</v>
      </c>
      <c r="AW576" s="11">
        <f>IF(AND(ISNUMBER(AV576),ISNUMBER(AT576)),IF(AT576&lt;&gt;0,AV576/ABS(AT576),""),"")</f>
        <v>7.0007121978315087E-2</v>
      </c>
      <c r="AX576" s="8">
        <v>0</v>
      </c>
      <c r="AY576" s="8">
        <v>0</v>
      </c>
      <c r="AZ576" s="10"/>
      <c r="BA576" s="8">
        <v>0</v>
      </c>
    </row>
    <row r="577" spans="1:53" x14ac:dyDescent="0.2">
      <c r="A577" s="8" t="s">
        <v>238</v>
      </c>
      <c r="B577" s="8" t="s">
        <v>82</v>
      </c>
      <c r="C577" s="8" t="s">
        <v>203</v>
      </c>
      <c r="D577" s="8">
        <v>1</v>
      </c>
      <c r="E577" s="8">
        <v>0</v>
      </c>
      <c r="F577" s="8">
        <f>SUM(G577:M577)</f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1</v>
      </c>
      <c r="Q577" s="8">
        <v>0</v>
      </c>
      <c r="R577" s="8">
        <v>1</v>
      </c>
      <c r="S577" s="8">
        <v>0</v>
      </c>
      <c r="T577" s="10">
        <v>-193.42400000000001</v>
      </c>
      <c r="U577" s="10">
        <v>-102.262</v>
      </c>
      <c r="V577" s="10">
        <v>-53.198999999999998</v>
      </c>
      <c r="W577" s="10">
        <f>IF(RIGHT(C577,2)="12",IF(ISNUMBER(T577),T577,""),IF(COUNT(T577,U577,V577)=3,T577+U577-V577,""))</f>
        <v>-242.48700000000002</v>
      </c>
      <c r="X577" s="10">
        <v>-242.48699999999999</v>
      </c>
      <c r="Y577" s="10">
        <v>51.15</v>
      </c>
      <c r="Z577" s="10">
        <v>18.672000000000001</v>
      </c>
      <c r="AA577" s="10">
        <v>-118.886</v>
      </c>
      <c r="AB577" s="10">
        <v>-193.42400000000001</v>
      </c>
      <c r="AC577" s="8">
        <v>0</v>
      </c>
      <c r="AD577" s="8">
        <v>0</v>
      </c>
      <c r="AE577" s="8">
        <v>0</v>
      </c>
      <c r="AF577" s="10">
        <v>0</v>
      </c>
      <c r="AG577" s="8">
        <f>COUNTIF(Y577:AB577,"&gt;0")</f>
        <v>2</v>
      </c>
      <c r="AH577" s="10">
        <v>0</v>
      </c>
      <c r="AI577" s="10">
        <v>69.822000000000003</v>
      </c>
      <c r="AJ577" s="8" t="str">
        <f>IF(ISNUMBER(X577),IF(X577&gt;0,"+",IF(X577&lt;0,"−","0")),IF(ISNUMBER(W577),IF(W577&gt;0,"+",IF(W577&lt;0,"−","0")),"yok"))</f>
        <v>−</v>
      </c>
      <c r="AK577" s="10">
        <f>IF(AND(RIGHT(C577,2)&lt;&gt;"12",ISNUMBER(U577),ISNUMBER(V577)),U577-V577,"")</f>
        <v>-49.063000000000002</v>
      </c>
      <c r="AL577" s="11">
        <f>IF(AND(ISNUMBER(AK577),ISNUMBER(V577)),IF(V577&lt;&gt;0,AK577/ABS(V577),""),"")</f>
        <v>-0.92225417771010743</v>
      </c>
      <c r="AM577" s="8">
        <f>IF(ISNUMBER(AK577),IF(AK577&gt;1,1,0),"")</f>
        <v>0</v>
      </c>
      <c r="AN577" s="8">
        <f>IF(ISNUMBER(AK577),IF(AK577&gt;0.05*ABS(V577),1,0),"")</f>
        <v>0</v>
      </c>
      <c r="AO577" s="10">
        <v>-242.488</v>
      </c>
      <c r="AP577" s="10">
        <v>242.488</v>
      </c>
      <c r="AQ577" s="8" t="s">
        <v>204</v>
      </c>
      <c r="AR577" s="8">
        <v>0</v>
      </c>
      <c r="AS577" s="10">
        <v>2074.3620000000001</v>
      </c>
      <c r="AT577" s="10">
        <v>-4.9440000000005897</v>
      </c>
      <c r="AU577" s="8" t="s">
        <v>204</v>
      </c>
      <c r="AV577" s="10">
        <v>51.15</v>
      </c>
      <c r="AW577" s="11">
        <f>IF(AND(ISNUMBER(AV577),ISNUMBER(AT577)),IF(AT577&lt;&gt;0,AV577/ABS(AT577),""),"")</f>
        <v>10.345873786406532</v>
      </c>
      <c r="AX577" s="8">
        <v>0</v>
      </c>
      <c r="AY577" s="8">
        <v>0</v>
      </c>
      <c r="AZ577" s="10"/>
      <c r="BA577" s="8">
        <v>0</v>
      </c>
    </row>
    <row r="578" spans="1:53" x14ac:dyDescent="0.2">
      <c r="A578" s="8" t="s">
        <v>238</v>
      </c>
      <c r="B578" s="8" t="s">
        <v>82</v>
      </c>
      <c r="C578" s="8" t="s">
        <v>205</v>
      </c>
      <c r="D578" s="8">
        <v>1</v>
      </c>
      <c r="E578" s="8">
        <v>0</v>
      </c>
      <c r="F578" s="8">
        <f>SUM(G578:M578)</f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1</v>
      </c>
      <c r="Q578" s="8">
        <v>0</v>
      </c>
      <c r="R578" s="8">
        <v>1</v>
      </c>
      <c r="S578" s="8">
        <v>1</v>
      </c>
      <c r="T578" s="10">
        <v>-96.352999999999994</v>
      </c>
      <c r="U578" s="10">
        <v>-102.262</v>
      </c>
      <c r="V578" s="10">
        <v>-2.048</v>
      </c>
      <c r="W578" s="10">
        <f>IF(RIGHT(C578,2)="12",IF(ISNUMBER(T578),T578,""),IF(COUNT(T578,U578,V578)=3,T578+U578-V578,""))</f>
        <v>-196.56700000000001</v>
      </c>
      <c r="X578" s="10">
        <v>-196.56700000000001</v>
      </c>
      <c r="Y578" s="10">
        <v>18.672000000000001</v>
      </c>
      <c r="Z578" s="10">
        <v>-118.886</v>
      </c>
      <c r="AA578" s="10">
        <v>-193.42400000000001</v>
      </c>
      <c r="AB578" s="10">
        <v>97.07</v>
      </c>
      <c r="AC578" s="8">
        <v>0</v>
      </c>
      <c r="AD578" s="8">
        <v>0</v>
      </c>
      <c r="AE578" s="8">
        <v>0</v>
      </c>
      <c r="AF578" s="10">
        <v>0</v>
      </c>
      <c r="AG578" s="8">
        <f>COUNTIF(Y578:AB578,"&gt;0")</f>
        <v>2</v>
      </c>
      <c r="AH578" s="10">
        <v>97.07</v>
      </c>
      <c r="AI578" s="10">
        <v>18.672000000000001</v>
      </c>
      <c r="AJ578" s="8" t="str">
        <f>IF(ISNUMBER(X578),IF(X578&gt;0,"+",IF(X578&lt;0,"−","0")),IF(ISNUMBER(W578),IF(W578&gt;0,"+",IF(W578&lt;0,"−","0")),"yok"))</f>
        <v>−</v>
      </c>
      <c r="AK578" s="10">
        <f>IF(AND(RIGHT(C578,2)&lt;&gt;"12",ISNUMBER(U578),ISNUMBER(V578)),U578-V578,"")</f>
        <v>-100.214</v>
      </c>
      <c r="AL578" s="11">
        <f>IF(AND(ISNUMBER(AK578),ISNUMBER(V578)),IF(V578&lt;&gt;0,AK578/ABS(V578),""),"")</f>
        <v>-48.9326171875</v>
      </c>
      <c r="AM578" s="8">
        <f>IF(ISNUMBER(AK578),IF(AK578&gt;1,1,0),"")</f>
        <v>0</v>
      </c>
      <c r="AN578" s="8">
        <f>IF(ISNUMBER(AK578),IF(AK578&gt;0.05*ABS(V578),1,0),"")</f>
        <v>0</v>
      </c>
      <c r="AO578" s="10">
        <v>-196.56700000000001</v>
      </c>
      <c r="AP578" s="10">
        <v>196.56700000000001</v>
      </c>
      <c r="AQ578" s="8" t="s">
        <v>204</v>
      </c>
      <c r="AR578" s="8">
        <v>0</v>
      </c>
      <c r="AS578" s="10">
        <v>1169.1610000000001</v>
      </c>
      <c r="AT578" s="10">
        <v>-800.23900000000106</v>
      </c>
      <c r="AU578" s="8" t="s">
        <v>204</v>
      </c>
      <c r="AV578" s="10">
        <v>97.07</v>
      </c>
      <c r="AW578" s="11">
        <f>IF(AND(ISNUMBER(AV578),ISNUMBER(AT578)),IF(AT578&lt;&gt;0,AV578/ABS(AT578),""),"")</f>
        <v>0.12130126124820192</v>
      </c>
      <c r="AX578" s="8">
        <v>0</v>
      </c>
      <c r="AY578" s="8">
        <v>0</v>
      </c>
      <c r="AZ578" s="10"/>
      <c r="BA578" s="8">
        <v>0</v>
      </c>
    </row>
    <row r="579" spans="1:53" x14ac:dyDescent="0.2">
      <c r="A579" s="8" t="s">
        <v>238</v>
      </c>
      <c r="B579" s="8" t="s">
        <v>82</v>
      </c>
      <c r="C579" s="8" t="s">
        <v>290</v>
      </c>
      <c r="D579" s="8">
        <v>1</v>
      </c>
      <c r="E579" s="8">
        <v>0</v>
      </c>
      <c r="F579" s="8">
        <f>SUM(G579:M579)</f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1</v>
      </c>
      <c r="Q579" s="8">
        <v>0</v>
      </c>
      <c r="R579" s="8">
        <v>0</v>
      </c>
      <c r="S579" s="8">
        <v>1</v>
      </c>
      <c r="T579" s="10">
        <v>-175.53700000000001</v>
      </c>
      <c r="U579" s="10"/>
      <c r="V579" s="10"/>
      <c r="W579" s="10">
        <f>IF(RIGHT(C579,2)="12",IF(ISNUMBER(T579),T579,""),IF(COUNT(T579,U579,V579)=3,T579+U579-V579,""))</f>
        <v>-175.53700000000001</v>
      </c>
      <c r="X579" s="10">
        <v>-175.53700000000001</v>
      </c>
      <c r="Y579" s="10">
        <v>-193.42400000000001</v>
      </c>
      <c r="Z579" s="10">
        <v>97.07</v>
      </c>
      <c r="AA579" s="10">
        <v>6.7249999999999996</v>
      </c>
      <c r="AB579" s="10">
        <v>-85.908000000000001</v>
      </c>
      <c r="AC579" s="8">
        <v>0</v>
      </c>
      <c r="AD579" s="8">
        <v>0</v>
      </c>
      <c r="AE579" s="8">
        <v>0</v>
      </c>
      <c r="AF579" s="10">
        <v>0</v>
      </c>
      <c r="AG579" s="8">
        <f>COUNTIF(Y579:AB579,"&gt;0")</f>
        <v>2</v>
      </c>
      <c r="AH579" s="10">
        <v>103.795</v>
      </c>
      <c r="AI579" s="10">
        <v>0</v>
      </c>
      <c r="AJ579" s="8" t="str">
        <f>IF(ISNUMBER(X579),IF(X579&gt;0,"+",IF(X579&lt;0,"−","0")),IF(ISNUMBER(W579),IF(W579&gt;0,"+",IF(W579&lt;0,"−","0")),"yok"))</f>
        <v>−</v>
      </c>
      <c r="AK579" s="10" t="str">
        <f>IF(AND(RIGHT(C579,2)&lt;&gt;"12",ISNUMBER(U579),ISNUMBER(V579)),U579-V579,"")</f>
        <v/>
      </c>
      <c r="AL579" s="11" t="str">
        <f>IF(AND(ISNUMBER(AK579),ISNUMBER(V579)),IF(V579&lt;&gt;0,AK579/ABS(V579),""),"")</f>
        <v/>
      </c>
      <c r="AM579" s="8" t="str">
        <f>IF(ISNUMBER(AK579),IF(AK579&gt;1,1,0),"")</f>
        <v/>
      </c>
      <c r="AN579" s="8" t="str">
        <f>IF(ISNUMBER(AK579),IF(AK579&gt;0.05*ABS(V579),1,0),"")</f>
        <v/>
      </c>
      <c r="AO579" s="10">
        <v>-175.53700000000001</v>
      </c>
      <c r="AP579" s="10">
        <v>175.53700000000001</v>
      </c>
      <c r="AQ579" s="8" t="s">
        <v>204</v>
      </c>
      <c r="AR579" s="8">
        <v>0</v>
      </c>
      <c r="AS579" s="10">
        <v>2378.451</v>
      </c>
      <c r="AT579" s="10">
        <v>579.16</v>
      </c>
      <c r="AU579" s="8" t="s">
        <v>204</v>
      </c>
      <c r="AV579" s="10">
        <v>97.07</v>
      </c>
      <c r="AW579" s="11">
        <f>IF(AND(ISNUMBER(AV579),ISNUMBER(AT579)),IF(AT579&lt;&gt;0,AV579/ABS(AT579),""),"")</f>
        <v>0.16760480696180674</v>
      </c>
      <c r="AX579" s="8">
        <v>0</v>
      </c>
      <c r="AY579" s="8">
        <v>0</v>
      </c>
      <c r="AZ579" s="10"/>
      <c r="BA579" s="8">
        <v>0</v>
      </c>
    </row>
    <row r="580" spans="1:53" x14ac:dyDescent="0.2">
      <c r="A580" s="8" t="s">
        <v>238</v>
      </c>
      <c r="B580" s="8" t="s">
        <v>82</v>
      </c>
      <c r="C580" s="8" t="s">
        <v>210</v>
      </c>
      <c r="D580" s="8">
        <v>1</v>
      </c>
      <c r="E580" s="8">
        <v>0</v>
      </c>
      <c r="F580" s="8">
        <f>SUM(G580:M580)</f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1</v>
      </c>
      <c r="Q580" s="8">
        <v>0</v>
      </c>
      <c r="R580" s="8">
        <v>1</v>
      </c>
      <c r="S580" s="8">
        <v>0</v>
      </c>
      <c r="T580" s="10">
        <v>-91.941000000000003</v>
      </c>
      <c r="U580" s="10">
        <v>-175.53700000000001</v>
      </c>
      <c r="V580" s="10">
        <v>-96.352999999999994</v>
      </c>
      <c r="W580" s="10">
        <f>IF(RIGHT(C580,2)="12",IF(ISNUMBER(T580),T580,""),IF(COUNT(T580,U580,V580)=3,T580+U580-V580,""))</f>
        <v>-171.125</v>
      </c>
      <c r="X580" s="10">
        <v>-171.124</v>
      </c>
      <c r="Y580" s="10">
        <v>6.7249999999999996</v>
      </c>
      <c r="Z580" s="10">
        <v>-85.908000000000001</v>
      </c>
      <c r="AA580" s="10">
        <v>-41.838999999999999</v>
      </c>
      <c r="AB580" s="10">
        <v>-50.101999999999997</v>
      </c>
      <c r="AC580" s="8">
        <v>0</v>
      </c>
      <c r="AD580" s="8">
        <v>0</v>
      </c>
      <c r="AE580" s="8">
        <v>0</v>
      </c>
      <c r="AF580" s="10">
        <v>0</v>
      </c>
      <c r="AG580" s="8">
        <f>COUNTIF(Y580:AB580,"&gt;0")</f>
        <v>1</v>
      </c>
      <c r="AH580" s="10">
        <v>0</v>
      </c>
      <c r="AI580" s="10">
        <v>6.7249999999999996</v>
      </c>
      <c r="AJ580" s="8" t="str">
        <f>IF(ISNUMBER(X580),IF(X580&gt;0,"+",IF(X580&lt;0,"−","0")),IF(ISNUMBER(W580),IF(W580&gt;0,"+",IF(W580&lt;0,"−","0")),"yok"))</f>
        <v>−</v>
      </c>
      <c r="AK580" s="10">
        <f>IF(AND(RIGHT(C580,2)&lt;&gt;"12",ISNUMBER(U580),ISNUMBER(V580)),U580-V580,"")</f>
        <v>-79.184000000000012</v>
      </c>
      <c r="AL580" s="11">
        <f>IF(AND(ISNUMBER(AK580),ISNUMBER(V580)),IF(V580&lt;&gt;0,AK580/ABS(V580),""),"")</f>
        <v>-0.82181146409556538</v>
      </c>
      <c r="AM580" s="8">
        <f>IF(ISNUMBER(AK580),IF(AK580&gt;1,1,0),"")</f>
        <v>0</v>
      </c>
      <c r="AN580" s="8">
        <f>IF(ISNUMBER(AK580),IF(AK580&gt;0.05*ABS(V580),1,0),"")</f>
        <v>0</v>
      </c>
      <c r="AO580" s="10">
        <v>-171.125</v>
      </c>
      <c r="AP580" s="10">
        <v>171.125</v>
      </c>
      <c r="AQ580" s="8" t="s">
        <v>204</v>
      </c>
      <c r="AR580" s="8">
        <v>0</v>
      </c>
      <c r="AS580" s="10">
        <v>253.62200000000001</v>
      </c>
      <c r="AT580" s="10">
        <v>-1493.182</v>
      </c>
      <c r="AU580" s="8" t="s">
        <v>204</v>
      </c>
      <c r="AV580" s="10">
        <v>6.7249999999999996</v>
      </c>
      <c r="AW580" s="11">
        <f>IF(AND(ISNUMBER(AV580),ISNUMBER(AT580)),IF(AT580&lt;&gt;0,AV580/ABS(AT580),""),"")</f>
        <v>4.503804626629573E-3</v>
      </c>
      <c r="AX580" s="8">
        <v>0</v>
      </c>
      <c r="AY580" s="8">
        <v>0</v>
      </c>
      <c r="AZ580" s="10"/>
      <c r="BA580" s="8">
        <v>0</v>
      </c>
    </row>
    <row r="581" spans="1:53" x14ac:dyDescent="0.2">
      <c r="A581" s="8" t="s">
        <v>243</v>
      </c>
      <c r="B581" s="8" t="s">
        <v>82</v>
      </c>
      <c r="C581" s="8" t="s">
        <v>205</v>
      </c>
      <c r="D581" s="8">
        <v>1</v>
      </c>
      <c r="E581" s="8">
        <v>0</v>
      </c>
      <c r="F581" s="8">
        <f>SUM(G581:M581)</f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1</v>
      </c>
      <c r="Q581" s="8">
        <v>0</v>
      </c>
      <c r="R581" s="8">
        <v>1</v>
      </c>
      <c r="S581" s="8">
        <v>0</v>
      </c>
      <c r="T581" s="10"/>
      <c r="U581" s="10"/>
      <c r="V581" s="10">
        <v>-22.303000000000001</v>
      </c>
      <c r="W581" s="10" t="str">
        <f>IF(RIGHT(C581,2)="12",IF(ISNUMBER(T581),T581,""),IF(COUNT(T581,U581,V581)=3,T581+U581-V581,""))</f>
        <v/>
      </c>
      <c r="X581" s="10"/>
      <c r="Y581" s="10">
        <v>52.701000000000001</v>
      </c>
      <c r="Z581" s="10"/>
      <c r="AA581" s="10"/>
      <c r="AB581" s="10"/>
      <c r="AC581" s="8">
        <v>0</v>
      </c>
      <c r="AD581" s="8">
        <v>0</v>
      </c>
      <c r="AE581" s="8">
        <v>0</v>
      </c>
      <c r="AF581" s="10">
        <v>0</v>
      </c>
      <c r="AG581" s="8">
        <f>COUNTIF(Y581:AB581,"&gt;0")</f>
        <v>1</v>
      </c>
      <c r="AH581" s="10">
        <v>0</v>
      </c>
      <c r="AI581" s="10">
        <v>52.701000000000001</v>
      </c>
      <c r="AJ581" s="8" t="str">
        <f>IF(ISNUMBER(X581),IF(X581&gt;0,"+",IF(X581&lt;0,"−","0")),IF(ISNUMBER(W581),IF(W581&gt;0,"+",IF(W581&lt;0,"−","0")),"yok"))</f>
        <v>yok</v>
      </c>
      <c r="AK581" s="10" t="str">
        <f>IF(AND(RIGHT(C581,2)&lt;&gt;"12",ISNUMBER(U581),ISNUMBER(V581)),U581-V581,"")</f>
        <v/>
      </c>
      <c r="AL581" s="11" t="str">
        <f>IF(AND(ISNUMBER(AK581),ISNUMBER(V581)),IF(V581&lt;&gt;0,AK581/ABS(V581),""),"")</f>
        <v/>
      </c>
      <c r="AM581" s="8" t="str">
        <f>IF(ISNUMBER(AK581),IF(AK581&gt;1,1,0),"")</f>
        <v/>
      </c>
      <c r="AN581" s="8" t="str">
        <f>IF(ISNUMBER(AK581),IF(AK581&gt;0.05*ABS(V581),1,0),"")</f>
        <v/>
      </c>
      <c r="AO581" s="10"/>
      <c r="AP581" s="10"/>
      <c r="AQ581" s="8" t="s">
        <v>207</v>
      </c>
      <c r="AR581" s="8">
        <v>0</v>
      </c>
      <c r="AS581" s="10">
        <v>-5.7679999999999998</v>
      </c>
      <c r="AT581" s="10"/>
      <c r="AU581" s="8" t="s">
        <v>207</v>
      </c>
      <c r="AV581" s="10">
        <v>52.701000000000001</v>
      </c>
      <c r="AW581" s="11" t="str">
        <f>IF(AND(ISNUMBER(AV581),ISNUMBER(AT581)),IF(AT581&lt;&gt;0,AV581/ABS(AT581),""),"")</f>
        <v/>
      </c>
      <c r="AX581" s="8">
        <v>0</v>
      </c>
      <c r="AY581" s="8">
        <v>0</v>
      </c>
      <c r="AZ581" s="10"/>
      <c r="BA581" s="8">
        <v>0</v>
      </c>
    </row>
    <row r="582" spans="1:53" x14ac:dyDescent="0.2">
      <c r="A582" s="8" t="s">
        <v>243</v>
      </c>
      <c r="B582" s="8" t="s">
        <v>82</v>
      </c>
      <c r="C582" s="8" t="s">
        <v>215</v>
      </c>
      <c r="D582" s="8">
        <v>1</v>
      </c>
      <c r="E582" s="8">
        <v>0</v>
      </c>
      <c r="F582" s="8">
        <f>SUM(G582:M582)</f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1</v>
      </c>
      <c r="P582" s="8">
        <v>0</v>
      </c>
      <c r="Q582" s="8">
        <v>0</v>
      </c>
      <c r="R582" s="8">
        <v>0</v>
      </c>
      <c r="S582" s="8">
        <v>0</v>
      </c>
      <c r="T582" s="10"/>
      <c r="U582" s="10"/>
      <c r="V582" s="10">
        <v>30.396999999999998</v>
      </c>
      <c r="W582" s="10" t="str">
        <f>IF(RIGHT(C582,2)="12",IF(ISNUMBER(T582),T582,""),IF(COUNT(T582,U582,V582)=3,T582+U582-V582,""))</f>
        <v/>
      </c>
      <c r="X582" s="10"/>
      <c r="Y582" s="10"/>
      <c r="Z582" s="10"/>
      <c r="AA582" s="10"/>
      <c r="AB582" s="10"/>
      <c r="AC582" s="8">
        <v>0</v>
      </c>
      <c r="AD582" s="8">
        <v>0</v>
      </c>
      <c r="AE582" s="8">
        <v>1</v>
      </c>
      <c r="AF582" s="10">
        <v>30.396999999999998</v>
      </c>
      <c r="AG582" s="8">
        <f>COUNTIF(Y582:AB582,"&gt;0")</f>
        <v>0</v>
      </c>
      <c r="AH582" s="10">
        <v>0</v>
      </c>
      <c r="AI582" s="10">
        <v>0</v>
      </c>
      <c r="AJ582" s="8" t="str">
        <f>IF(ISNUMBER(X582),IF(X582&gt;0,"+",IF(X582&lt;0,"−","0")),IF(ISNUMBER(W582),IF(W582&gt;0,"+",IF(W582&lt;0,"−","0")),"yok"))</f>
        <v>yok</v>
      </c>
      <c r="AK582" s="10" t="str">
        <f>IF(AND(RIGHT(C582,2)&lt;&gt;"12",ISNUMBER(U582),ISNUMBER(V582)),U582-V582,"")</f>
        <v/>
      </c>
      <c r="AL582" s="11" t="str">
        <f>IF(AND(ISNUMBER(AK582),ISNUMBER(V582)),IF(V582&lt;&gt;0,AK582/ABS(V582),""),"")</f>
        <v/>
      </c>
      <c r="AM582" s="8" t="str">
        <f>IF(ISNUMBER(AK582),IF(AK582&gt;1,1,0),"")</f>
        <v/>
      </c>
      <c r="AN582" s="8" t="str">
        <f>IF(ISNUMBER(AK582),IF(AK582&gt;0.05*ABS(V582),1,0),"")</f>
        <v/>
      </c>
      <c r="AO582" s="10"/>
      <c r="AP582" s="10"/>
      <c r="AQ582" s="8" t="s">
        <v>207</v>
      </c>
      <c r="AR582" s="8">
        <v>0</v>
      </c>
      <c r="AS582" s="10">
        <v>53.248000000000097</v>
      </c>
      <c r="AT582" s="10"/>
      <c r="AU582" s="8" t="s">
        <v>207</v>
      </c>
      <c r="AV582" s="10">
        <v>30.396999999999998</v>
      </c>
      <c r="AW582" s="11" t="str">
        <f>IF(AND(ISNUMBER(AV582),ISNUMBER(AT582)),IF(AT582&lt;&gt;0,AV582/ABS(AT582),""),"")</f>
        <v/>
      </c>
      <c r="AX582" s="8">
        <v>1</v>
      </c>
      <c r="AY582" s="8">
        <v>0</v>
      </c>
      <c r="AZ582" s="8" t="s">
        <v>567</v>
      </c>
      <c r="BA582" s="8">
        <v>0</v>
      </c>
    </row>
    <row r="583" spans="1:53" x14ac:dyDescent="0.2">
      <c r="A583" s="8" t="s">
        <v>249</v>
      </c>
      <c r="B583" s="8" t="s">
        <v>82</v>
      </c>
      <c r="C583" s="8" t="s">
        <v>205</v>
      </c>
      <c r="D583" s="8">
        <v>1</v>
      </c>
      <c r="E583" s="8">
        <v>0</v>
      </c>
      <c r="F583" s="8">
        <f>SUM(G583:M583)</f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1</v>
      </c>
      <c r="Q583" s="8">
        <v>0</v>
      </c>
      <c r="R583" s="8">
        <v>1</v>
      </c>
      <c r="S583" s="8">
        <v>0</v>
      </c>
      <c r="T583" s="10">
        <v>-13.478999999999999</v>
      </c>
      <c r="U583" s="10">
        <v>-12.935</v>
      </c>
      <c r="V583" s="10">
        <v>-4.617</v>
      </c>
      <c r="W583" s="10">
        <f>IF(RIGHT(C583,2)="12",IF(ISNUMBER(T583),T583,""),IF(COUNT(T583,U583,V583)=3,T583+U583-V583,""))</f>
        <v>-21.797000000000001</v>
      </c>
      <c r="X583" s="10">
        <v>-21.797000000000001</v>
      </c>
      <c r="Y583" s="10">
        <v>3.286</v>
      </c>
      <c r="Z583" s="10">
        <v>-11.603999999999999</v>
      </c>
      <c r="AA583" s="10">
        <v>5.2229999999999999</v>
      </c>
      <c r="AB583" s="10">
        <v>-18.702000000000002</v>
      </c>
      <c r="AC583" s="8">
        <v>0</v>
      </c>
      <c r="AD583" s="8">
        <v>0</v>
      </c>
      <c r="AE583" s="8">
        <v>0</v>
      </c>
      <c r="AF583" s="10">
        <v>0</v>
      </c>
      <c r="AG583" s="8">
        <f>COUNTIF(Y583:AB583,"&gt;0")</f>
        <v>2</v>
      </c>
      <c r="AH583" s="10">
        <v>0</v>
      </c>
      <c r="AI583" s="10">
        <v>3.286</v>
      </c>
      <c r="AJ583" s="8" t="str">
        <f>IF(ISNUMBER(X583),IF(X583&gt;0,"+",IF(X583&lt;0,"−","0")),IF(ISNUMBER(W583),IF(W583&gt;0,"+",IF(W583&lt;0,"−","0")),"yok"))</f>
        <v>−</v>
      </c>
      <c r="AK583" s="10">
        <f>IF(AND(RIGHT(C583,2)&lt;&gt;"12",ISNUMBER(U583),ISNUMBER(V583)),U583-V583,"")</f>
        <v>-8.3180000000000014</v>
      </c>
      <c r="AL583" s="11">
        <f>IF(AND(ISNUMBER(AK583),ISNUMBER(V583)),IF(V583&lt;&gt;0,AK583/ABS(V583),""),"")</f>
        <v>-1.8016027723630066</v>
      </c>
      <c r="AM583" s="8">
        <f>IF(ISNUMBER(AK583),IF(AK583&gt;1,1,0),"")</f>
        <v>0</v>
      </c>
      <c r="AN583" s="8">
        <f>IF(ISNUMBER(AK583),IF(AK583&gt;0.05*ABS(V583),1,0),"")</f>
        <v>0</v>
      </c>
      <c r="AO583" s="10">
        <v>-21.797999999999998</v>
      </c>
      <c r="AP583" s="10">
        <v>21.797999999999998</v>
      </c>
      <c r="AQ583" s="8" t="s">
        <v>204</v>
      </c>
      <c r="AR583" s="8">
        <v>0</v>
      </c>
      <c r="AS583" s="10">
        <v>52.31</v>
      </c>
      <c r="AT583" s="10">
        <v>-12.295999999999999</v>
      </c>
      <c r="AU583" s="8" t="s">
        <v>204</v>
      </c>
      <c r="AV583" s="10">
        <v>5.2229999999999999</v>
      </c>
      <c r="AW583" s="11">
        <f>IF(AND(ISNUMBER(AV583),ISNUMBER(AT583)),IF(AT583&lt;&gt;0,AV583/ABS(AT583),""),"")</f>
        <v>0.42477228366948599</v>
      </c>
      <c r="AX583" s="8">
        <v>0</v>
      </c>
      <c r="AY583" s="8">
        <v>0</v>
      </c>
      <c r="AZ583" s="10"/>
      <c r="BA583" s="8">
        <v>0</v>
      </c>
    </row>
    <row r="584" spans="1:53" x14ac:dyDescent="0.2">
      <c r="A584" s="8" t="s">
        <v>249</v>
      </c>
      <c r="B584" s="8" t="s">
        <v>82</v>
      </c>
      <c r="C584" s="8" t="s">
        <v>215</v>
      </c>
      <c r="D584" s="8">
        <v>1</v>
      </c>
      <c r="E584" s="8">
        <v>0</v>
      </c>
      <c r="F584" s="8">
        <f>SUM(G584:M584)</f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1</v>
      </c>
      <c r="Q584" s="8">
        <v>0</v>
      </c>
      <c r="R584" s="8">
        <v>0</v>
      </c>
      <c r="S584" s="8">
        <v>1</v>
      </c>
      <c r="T584" s="10">
        <v>-5.7880000000000003</v>
      </c>
      <c r="U584" s="10">
        <v>-12.935</v>
      </c>
      <c r="V584" s="10">
        <v>-1.33</v>
      </c>
      <c r="W584" s="10">
        <f>IF(RIGHT(C584,2)="12",IF(ISNUMBER(T584),T584,""),IF(COUNT(T584,U584,V584)=3,T584+U584-V584,""))</f>
        <v>-17.393000000000001</v>
      </c>
      <c r="X584" s="10">
        <v>-17.393000000000001</v>
      </c>
      <c r="Y584" s="10">
        <v>-11.603999999999999</v>
      </c>
      <c r="Z584" s="10">
        <v>5.2229999999999999</v>
      </c>
      <c r="AA584" s="10">
        <v>-18.702000000000002</v>
      </c>
      <c r="AB584" s="10">
        <v>7.69</v>
      </c>
      <c r="AC584" s="8">
        <v>0</v>
      </c>
      <c r="AD584" s="8">
        <v>0</v>
      </c>
      <c r="AE584" s="8">
        <v>0</v>
      </c>
      <c r="AF584" s="10">
        <v>0</v>
      </c>
      <c r="AG584" s="8">
        <f>COUNTIF(Y584:AB584,"&gt;0")</f>
        <v>2</v>
      </c>
      <c r="AH584" s="10">
        <v>7.69</v>
      </c>
      <c r="AI584" s="10">
        <v>0</v>
      </c>
      <c r="AJ584" s="8" t="str">
        <f>IF(ISNUMBER(X584),IF(X584&gt;0,"+",IF(X584&lt;0,"−","0")),IF(ISNUMBER(W584),IF(W584&gt;0,"+",IF(W584&lt;0,"−","0")),"yok"))</f>
        <v>−</v>
      </c>
      <c r="AK584" s="10">
        <f>IF(AND(RIGHT(C584,2)&lt;&gt;"12",ISNUMBER(U584),ISNUMBER(V584)),U584-V584,"")</f>
        <v>-11.605</v>
      </c>
      <c r="AL584" s="11">
        <f>IF(AND(ISNUMBER(AK584),ISNUMBER(V584)),IF(V584&lt;&gt;0,AK584/ABS(V584),""),"")</f>
        <v>-8.7255639097744364</v>
      </c>
      <c r="AM584" s="8">
        <f>IF(ISNUMBER(AK584),IF(AK584&gt;1,1,0),"")</f>
        <v>0</v>
      </c>
      <c r="AN584" s="8">
        <f>IF(ISNUMBER(AK584),IF(AK584&gt;0.05*ABS(V584),1,0),"")</f>
        <v>0</v>
      </c>
      <c r="AO584" s="10">
        <v>-17.393000000000001</v>
      </c>
      <c r="AP584" s="10">
        <v>17.393000000000001</v>
      </c>
      <c r="AQ584" s="8" t="s">
        <v>204</v>
      </c>
      <c r="AR584" s="8">
        <v>0</v>
      </c>
      <c r="AS584" s="10">
        <v>46.366999999999997</v>
      </c>
      <c r="AT584" s="10">
        <v>-21.1</v>
      </c>
      <c r="AU584" s="8" t="s">
        <v>204</v>
      </c>
      <c r="AV584" s="10">
        <v>7.69</v>
      </c>
      <c r="AW584" s="11">
        <f>IF(AND(ISNUMBER(AV584),ISNUMBER(AT584)),IF(AT584&lt;&gt;0,AV584/ABS(AT584),""),"")</f>
        <v>0.36445497630331752</v>
      </c>
      <c r="AX584" s="8">
        <v>0</v>
      </c>
      <c r="AY584" s="8">
        <v>0</v>
      </c>
      <c r="AZ584" s="10"/>
      <c r="BA584" s="8">
        <v>0</v>
      </c>
    </row>
    <row r="585" spans="1:53" x14ac:dyDescent="0.2">
      <c r="A585" s="8" t="s">
        <v>249</v>
      </c>
      <c r="B585" s="8" t="s">
        <v>82</v>
      </c>
      <c r="C585" s="8" t="s">
        <v>290</v>
      </c>
      <c r="D585" s="8">
        <v>1</v>
      </c>
      <c r="E585" s="8">
        <v>0</v>
      </c>
      <c r="F585" s="8">
        <f>SUM(G585:M585)</f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1</v>
      </c>
      <c r="Q585" s="8">
        <v>0</v>
      </c>
      <c r="R585" s="8">
        <v>0</v>
      </c>
      <c r="S585" s="8">
        <v>1</v>
      </c>
      <c r="T585" s="10">
        <v>-16.498000000000001</v>
      </c>
      <c r="U585" s="10"/>
      <c r="V585" s="10"/>
      <c r="W585" s="10">
        <f>IF(RIGHT(C585,2)="12",IF(ISNUMBER(T585),T585,""),IF(COUNT(T585,U585,V585)=3,T585+U585-V585,""))</f>
        <v>-16.498000000000001</v>
      </c>
      <c r="X585" s="10">
        <v>-16.498000000000001</v>
      </c>
      <c r="Y585" s="10">
        <v>5.2229999999999999</v>
      </c>
      <c r="Z585" s="10">
        <v>-18.702000000000002</v>
      </c>
      <c r="AA585" s="10">
        <v>7.69</v>
      </c>
      <c r="AB585" s="10">
        <v>-10.71</v>
      </c>
      <c r="AC585" s="8">
        <v>0</v>
      </c>
      <c r="AD585" s="8">
        <v>0</v>
      </c>
      <c r="AE585" s="8">
        <v>0</v>
      </c>
      <c r="AF585" s="10">
        <v>0</v>
      </c>
      <c r="AG585" s="8">
        <f>COUNTIF(Y585:AB585,"&gt;0")</f>
        <v>2</v>
      </c>
      <c r="AH585" s="10">
        <v>7.69</v>
      </c>
      <c r="AI585" s="10">
        <v>0</v>
      </c>
      <c r="AJ585" s="8" t="str">
        <f>IF(ISNUMBER(X585),IF(X585&gt;0,"+",IF(X585&lt;0,"−","0")),IF(ISNUMBER(W585),IF(W585&gt;0,"+",IF(W585&lt;0,"−","0")),"yok"))</f>
        <v>−</v>
      </c>
      <c r="AK585" s="10" t="str">
        <f>IF(AND(RIGHT(C585,2)&lt;&gt;"12",ISNUMBER(U585),ISNUMBER(V585)),U585-V585,"")</f>
        <v/>
      </c>
      <c r="AL585" s="11" t="str">
        <f>IF(AND(ISNUMBER(AK585),ISNUMBER(V585)),IF(V585&lt;&gt;0,AK585/ABS(V585),""),"")</f>
        <v/>
      </c>
      <c r="AM585" s="8" t="str">
        <f>IF(ISNUMBER(AK585),IF(AK585&gt;1,1,0),"")</f>
        <v/>
      </c>
      <c r="AN585" s="8" t="str">
        <f>IF(ISNUMBER(AK585),IF(AK585&gt;0.05*ABS(V585),1,0),"")</f>
        <v/>
      </c>
      <c r="AO585" s="10">
        <v>-16.498000000000001</v>
      </c>
      <c r="AP585" s="10">
        <v>16.498000000000001</v>
      </c>
      <c r="AQ585" s="8" t="s">
        <v>204</v>
      </c>
      <c r="AR585" s="8">
        <v>0</v>
      </c>
      <c r="AS585" s="10">
        <v>54.003999999999998</v>
      </c>
      <c r="AT585" s="10">
        <v>-9.7090000000000103</v>
      </c>
      <c r="AU585" s="8" t="s">
        <v>204</v>
      </c>
      <c r="AV585" s="10">
        <v>7.69</v>
      </c>
      <c r="AW585" s="11">
        <f>IF(AND(ISNUMBER(AV585),ISNUMBER(AT585)),IF(AT585&lt;&gt;0,AV585/ABS(AT585),""),"")</f>
        <v>0.79204861468740262</v>
      </c>
      <c r="AX585" s="8">
        <v>0</v>
      </c>
      <c r="AY585" s="8">
        <v>0</v>
      </c>
      <c r="AZ585" s="10"/>
      <c r="BA585" s="8">
        <v>0</v>
      </c>
    </row>
    <row r="586" spans="1:53" x14ac:dyDescent="0.2">
      <c r="A586" s="8" t="s">
        <v>249</v>
      </c>
      <c r="B586" s="8" t="s">
        <v>82</v>
      </c>
      <c r="C586" s="8" t="s">
        <v>210</v>
      </c>
      <c r="D586" s="8">
        <v>1</v>
      </c>
      <c r="E586" s="8">
        <v>0</v>
      </c>
      <c r="F586" s="8">
        <f>SUM(G586:M586)</f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1</v>
      </c>
      <c r="Q586" s="8">
        <v>0</v>
      </c>
      <c r="R586" s="8">
        <v>1</v>
      </c>
      <c r="S586" s="8">
        <v>0</v>
      </c>
      <c r="T586" s="10">
        <v>-13.694000000000001</v>
      </c>
      <c r="U586" s="10">
        <v>-16.498000000000001</v>
      </c>
      <c r="V586" s="10">
        <v>-13.478999999999999</v>
      </c>
      <c r="W586" s="10">
        <f>IF(RIGHT(C586,2)="12",IF(ISNUMBER(T586),T586,""),IF(COUNT(T586,U586,V586)=3,T586+U586-V586,""))</f>
        <v>-16.713000000000001</v>
      </c>
      <c r="X586" s="10">
        <v>-16.713999999999999</v>
      </c>
      <c r="Y586" s="10">
        <v>7.69</v>
      </c>
      <c r="Z586" s="10">
        <v>-10.71</v>
      </c>
      <c r="AA586" s="10">
        <v>0.53</v>
      </c>
      <c r="AB586" s="10">
        <v>-14.225</v>
      </c>
      <c r="AC586" s="8">
        <v>0</v>
      </c>
      <c r="AD586" s="8">
        <v>0</v>
      </c>
      <c r="AE586" s="8">
        <v>0</v>
      </c>
      <c r="AF586" s="10">
        <v>0</v>
      </c>
      <c r="AG586" s="8">
        <f>COUNTIF(Y586:AB586,"&gt;0")</f>
        <v>2</v>
      </c>
      <c r="AH586" s="10">
        <v>0</v>
      </c>
      <c r="AI586" s="10">
        <v>7.69</v>
      </c>
      <c r="AJ586" s="8" t="str">
        <f>IF(ISNUMBER(X586),IF(X586&gt;0,"+",IF(X586&lt;0,"−","0")),IF(ISNUMBER(W586),IF(W586&gt;0,"+",IF(W586&lt;0,"−","0")),"yok"))</f>
        <v>−</v>
      </c>
      <c r="AK586" s="10">
        <f>IF(AND(RIGHT(C586,2)&lt;&gt;"12",ISNUMBER(U586),ISNUMBER(V586)),U586-V586,"")</f>
        <v>-3.0190000000000019</v>
      </c>
      <c r="AL586" s="11">
        <f>IF(AND(ISNUMBER(AK586),ISNUMBER(V586)),IF(V586&lt;&gt;0,AK586/ABS(V586),""),"")</f>
        <v>-0.22397803991394036</v>
      </c>
      <c r="AM586" s="8">
        <f>IF(ISNUMBER(AK586),IF(AK586&gt;1,1,0),"")</f>
        <v>0</v>
      </c>
      <c r="AN586" s="8">
        <f>IF(ISNUMBER(AK586),IF(AK586&gt;0.05*ABS(V586),1,0),"")</f>
        <v>0</v>
      </c>
      <c r="AO586" s="10">
        <v>-16.713999999999999</v>
      </c>
      <c r="AP586" s="10">
        <v>16.713999999999999</v>
      </c>
      <c r="AQ586" s="8" t="s">
        <v>204</v>
      </c>
      <c r="AR586" s="8">
        <v>0</v>
      </c>
      <c r="AS586" s="10">
        <v>48.786000000000001</v>
      </c>
      <c r="AT586" s="10">
        <v>-9.0000000000007005E-2</v>
      </c>
      <c r="AU586" s="8" t="s">
        <v>204</v>
      </c>
      <c r="AV586" s="10">
        <v>7.69</v>
      </c>
      <c r="AW586" s="11">
        <f>IF(AND(ISNUMBER(AV586),ISNUMBER(AT586)),IF(AT586&lt;&gt;0,AV586/ABS(AT586),""),"")</f>
        <v>85.444444444437792</v>
      </c>
      <c r="AX586" s="8">
        <v>0</v>
      </c>
      <c r="AY586" s="8">
        <v>0</v>
      </c>
      <c r="AZ586" s="10"/>
      <c r="BA586" s="8">
        <v>0</v>
      </c>
    </row>
    <row r="587" spans="1:53" x14ac:dyDescent="0.2">
      <c r="A587" s="8" t="s">
        <v>252</v>
      </c>
      <c r="B587" s="8" t="s">
        <v>82</v>
      </c>
      <c r="C587" s="8" t="s">
        <v>203</v>
      </c>
      <c r="D587" s="8">
        <v>1</v>
      </c>
      <c r="E587" s="8">
        <v>0</v>
      </c>
      <c r="F587" s="8">
        <f>SUM(G587:M587)</f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1</v>
      </c>
      <c r="Q587" s="8">
        <v>0</v>
      </c>
      <c r="R587" s="8">
        <v>1</v>
      </c>
      <c r="S587" s="8">
        <v>0</v>
      </c>
      <c r="T587" s="10">
        <v>-15.422000000000001</v>
      </c>
      <c r="U587" s="10">
        <v>-31.89</v>
      </c>
      <c r="V587" s="10">
        <v>-26.952000000000002</v>
      </c>
      <c r="W587" s="10">
        <f>IF(RIGHT(C587,2)="12",IF(ISNUMBER(T587),T587,""),IF(COUNT(T587,U587,V587)=3,T587+U587-V587,""))</f>
        <v>-20.359999999999996</v>
      </c>
      <c r="X587" s="10">
        <v>-20.36</v>
      </c>
      <c r="Y587" s="10">
        <v>4.7709999999999999</v>
      </c>
      <c r="Z587" s="10">
        <v>-6.9029999999999996</v>
      </c>
      <c r="AA587" s="10">
        <v>-2.806</v>
      </c>
      <c r="AB587" s="10">
        <v>-15.422000000000001</v>
      </c>
      <c r="AC587" s="8">
        <v>0</v>
      </c>
      <c r="AD587" s="8">
        <v>0</v>
      </c>
      <c r="AE587" s="8">
        <v>0</v>
      </c>
      <c r="AF587" s="10">
        <v>0</v>
      </c>
      <c r="AG587" s="8">
        <f>COUNTIF(Y587:AB587,"&gt;0")</f>
        <v>1</v>
      </c>
      <c r="AH587" s="10">
        <v>0</v>
      </c>
      <c r="AI587" s="10">
        <v>4.7709999999999999</v>
      </c>
      <c r="AJ587" s="8" t="str">
        <f>IF(ISNUMBER(X587),IF(X587&gt;0,"+",IF(X587&lt;0,"−","0")),IF(ISNUMBER(W587),IF(W587&gt;0,"+",IF(W587&lt;0,"−","0")),"yok"))</f>
        <v>−</v>
      </c>
      <c r="AK587" s="10">
        <f>IF(AND(RIGHT(C587,2)&lt;&gt;"12",ISNUMBER(U587),ISNUMBER(V587)),U587-V587,"")</f>
        <v>-4.9379999999999988</v>
      </c>
      <c r="AL587" s="11">
        <f>IF(AND(ISNUMBER(AK587),ISNUMBER(V587)),IF(V587&lt;&gt;0,AK587/ABS(V587),""),"")</f>
        <v>-0.18321460373998213</v>
      </c>
      <c r="AM587" s="8">
        <f>IF(ISNUMBER(AK587),IF(AK587&gt;1,1,0),"")</f>
        <v>0</v>
      </c>
      <c r="AN587" s="8">
        <f>IF(ISNUMBER(AK587),IF(AK587&gt;0.05*ABS(V587),1,0),"")</f>
        <v>0</v>
      </c>
      <c r="AO587" s="10">
        <v>-20.361000000000001</v>
      </c>
      <c r="AP587" s="10">
        <v>20.361000000000001</v>
      </c>
      <c r="AQ587" s="8" t="s">
        <v>204</v>
      </c>
      <c r="AR587" s="8">
        <v>0</v>
      </c>
      <c r="AS587" s="10">
        <v>2944.3519999999999</v>
      </c>
      <c r="AT587" s="10">
        <v>2920.0549999999998</v>
      </c>
      <c r="AU587" s="8" t="s">
        <v>204</v>
      </c>
      <c r="AV587" s="10">
        <v>4.7709999999999999</v>
      </c>
      <c r="AW587" s="11">
        <f>IF(AND(ISNUMBER(AV587),ISNUMBER(AT587)),IF(AT587&lt;&gt;0,AV587/ABS(AT587),""),"")</f>
        <v>1.6338733345776023E-3</v>
      </c>
      <c r="AX587" s="8">
        <v>0</v>
      </c>
      <c r="AY587" s="8">
        <v>0</v>
      </c>
      <c r="AZ587" s="10"/>
      <c r="BA587" s="8">
        <v>0</v>
      </c>
    </row>
    <row r="588" spans="1:53" x14ac:dyDescent="0.2">
      <c r="A588" s="8" t="s">
        <v>568</v>
      </c>
      <c r="B588" s="8" t="s">
        <v>83</v>
      </c>
      <c r="C588" s="8" t="s">
        <v>210</v>
      </c>
      <c r="D588" s="8">
        <v>1</v>
      </c>
      <c r="E588" s="8">
        <v>0</v>
      </c>
      <c r="F588" s="8">
        <f>SUM(G588:M588)</f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1</v>
      </c>
      <c r="Q588" s="8">
        <v>0</v>
      </c>
      <c r="R588" s="8">
        <v>0</v>
      </c>
      <c r="S588" s="8">
        <v>1</v>
      </c>
      <c r="T588" s="10">
        <v>-700.80200000000002</v>
      </c>
      <c r="U588" s="10">
        <v>-1910.0160000000001</v>
      </c>
      <c r="V588" s="10">
        <v>-1065.56</v>
      </c>
      <c r="W588" s="10">
        <f>IF(RIGHT(C588,2)="12",IF(ISNUMBER(T588),T588,""),IF(COUNT(T588,U588,V588)=3,T588+U588-V588,""))</f>
        <v>-1545.2580000000003</v>
      </c>
      <c r="X588" s="10">
        <v>-1545.258</v>
      </c>
      <c r="Y588" s="10">
        <v>-284.24299999999999</v>
      </c>
      <c r="Z588" s="10">
        <v>-560.21199999999999</v>
      </c>
      <c r="AA588" s="10">
        <v>-952.84900000000005</v>
      </c>
      <c r="AB588" s="10">
        <v>252.047</v>
      </c>
      <c r="AC588" s="8">
        <v>0</v>
      </c>
      <c r="AD588" s="8">
        <v>0</v>
      </c>
      <c r="AE588" s="8">
        <v>0</v>
      </c>
      <c r="AF588" s="10">
        <v>0</v>
      </c>
      <c r="AG588" s="8">
        <f>COUNTIF(Y588:AB588,"&gt;0")</f>
        <v>1</v>
      </c>
      <c r="AH588" s="10">
        <v>252.047</v>
      </c>
      <c r="AI588" s="10">
        <v>0</v>
      </c>
      <c r="AJ588" s="8" t="str">
        <f>IF(ISNUMBER(X588),IF(X588&gt;0,"+",IF(X588&lt;0,"−","0")),IF(ISNUMBER(W588),IF(W588&gt;0,"+",IF(W588&lt;0,"−","0")),"yok"))</f>
        <v>−</v>
      </c>
      <c r="AK588" s="10">
        <f>IF(AND(RIGHT(C588,2)&lt;&gt;"12",ISNUMBER(U588),ISNUMBER(V588)),U588-V588,"")</f>
        <v>-844.45600000000013</v>
      </c>
      <c r="AL588" s="11">
        <f>IF(AND(ISNUMBER(AK588),ISNUMBER(V588)),IF(V588&lt;&gt;0,AK588/ABS(V588),""),"")</f>
        <v>-0.79249971845790024</v>
      </c>
      <c r="AM588" s="8">
        <f>IF(ISNUMBER(AK588),IF(AK588&gt;1,1,0),"")</f>
        <v>0</v>
      </c>
      <c r="AN588" s="8">
        <f>IF(ISNUMBER(AK588),IF(AK588&gt;0.05*ABS(V588),1,0),"")</f>
        <v>0</v>
      </c>
      <c r="AO588" s="10">
        <v>-1545.258</v>
      </c>
      <c r="AP588" s="10">
        <v>1545.258</v>
      </c>
      <c r="AQ588" s="8" t="s">
        <v>204</v>
      </c>
      <c r="AR588" s="8">
        <v>0</v>
      </c>
      <c r="AS588" s="10">
        <v>-514.02700000000004</v>
      </c>
      <c r="AT588" s="10">
        <v>-2158.75</v>
      </c>
      <c r="AU588" s="8" t="s">
        <v>204</v>
      </c>
      <c r="AV588" s="10">
        <v>252.047</v>
      </c>
      <c r="AW588" s="11">
        <f>IF(AND(ISNUMBER(AV588),ISNUMBER(AT588)),IF(AT588&lt;&gt;0,AV588/ABS(AT588),""),"")</f>
        <v>0.11675599305153445</v>
      </c>
      <c r="AX588" s="8">
        <v>0</v>
      </c>
      <c r="AY588" s="8">
        <v>0</v>
      </c>
      <c r="AZ588" s="10"/>
      <c r="BA588" s="8">
        <v>0</v>
      </c>
    </row>
    <row r="589" spans="1:53" x14ac:dyDescent="0.2">
      <c r="A589" s="8" t="s">
        <v>253</v>
      </c>
      <c r="B589" s="8" t="s">
        <v>83</v>
      </c>
      <c r="C589" s="8" t="s">
        <v>290</v>
      </c>
      <c r="D589" s="8">
        <v>1</v>
      </c>
      <c r="E589" s="8">
        <v>0</v>
      </c>
      <c r="F589" s="8">
        <f>SUM(G589:M589)</f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1</v>
      </c>
      <c r="Q589" s="8">
        <v>0</v>
      </c>
      <c r="R589" s="8">
        <v>0</v>
      </c>
      <c r="S589" s="8">
        <v>1</v>
      </c>
      <c r="T589" s="10">
        <v>-53.529000000000003</v>
      </c>
      <c r="U589" s="10"/>
      <c r="V589" s="10"/>
      <c r="W589" s="10">
        <f>IF(RIGHT(C589,2)="12",IF(ISNUMBER(T589),T589,""),IF(COUNT(T589,U589,V589)=3,T589+U589-V589,""))</f>
        <v>-53.529000000000003</v>
      </c>
      <c r="X589" s="10">
        <v>-53.529000000000003</v>
      </c>
      <c r="Y589" s="10">
        <v>-6.524</v>
      </c>
      <c r="Z589" s="10">
        <v>-29.337</v>
      </c>
      <c r="AA589" s="10">
        <v>-19.998000000000001</v>
      </c>
      <c r="AB589" s="10">
        <v>2.331</v>
      </c>
      <c r="AC589" s="8">
        <v>0</v>
      </c>
      <c r="AD589" s="8">
        <v>0</v>
      </c>
      <c r="AE589" s="8">
        <v>0</v>
      </c>
      <c r="AF589" s="10">
        <v>0</v>
      </c>
      <c r="AG589" s="8">
        <f>COUNTIF(Y589:AB589,"&gt;0")</f>
        <v>1</v>
      </c>
      <c r="AH589" s="10">
        <v>2.331</v>
      </c>
      <c r="AI589" s="10">
        <v>0</v>
      </c>
      <c r="AJ589" s="8" t="str">
        <f>IF(ISNUMBER(X589),IF(X589&gt;0,"+",IF(X589&lt;0,"−","0")),IF(ISNUMBER(W589),IF(W589&gt;0,"+",IF(W589&lt;0,"−","0")),"yok"))</f>
        <v>−</v>
      </c>
      <c r="AK589" s="10" t="str">
        <f>IF(AND(RIGHT(C589,2)&lt;&gt;"12",ISNUMBER(U589),ISNUMBER(V589)),U589-V589,"")</f>
        <v/>
      </c>
      <c r="AL589" s="11" t="str">
        <f>IF(AND(ISNUMBER(AK589),ISNUMBER(V589)),IF(V589&lt;&gt;0,AK589/ABS(V589),""),"")</f>
        <v/>
      </c>
      <c r="AM589" s="8" t="str">
        <f>IF(ISNUMBER(AK589),IF(AK589&gt;1,1,0),"")</f>
        <v/>
      </c>
      <c r="AN589" s="8" t="str">
        <f>IF(ISNUMBER(AK589),IF(AK589&gt;0.05*ABS(V589),1,0),"")</f>
        <v/>
      </c>
      <c r="AO589" s="10">
        <v>-53.53</v>
      </c>
      <c r="AP589" s="10">
        <v>53.53</v>
      </c>
      <c r="AQ589" s="8" t="s">
        <v>204</v>
      </c>
      <c r="AR589" s="8">
        <v>0</v>
      </c>
      <c r="AS589" s="10">
        <v>-106.265</v>
      </c>
      <c r="AT589" s="10">
        <v>-159.79499999999999</v>
      </c>
      <c r="AU589" s="8" t="s">
        <v>204</v>
      </c>
      <c r="AV589" s="10">
        <v>2.331</v>
      </c>
      <c r="AW589" s="11">
        <f>IF(AND(ISNUMBER(AV589),ISNUMBER(AT589)),IF(AT589&lt;&gt;0,AV589/ABS(AT589),""),"")</f>
        <v>1.4587440157702056E-2</v>
      </c>
      <c r="AX589" s="8">
        <v>0</v>
      </c>
      <c r="AY589" s="8">
        <v>0</v>
      </c>
      <c r="AZ589" s="10"/>
      <c r="BA589" s="8">
        <v>0</v>
      </c>
    </row>
    <row r="590" spans="1:53" x14ac:dyDescent="0.2">
      <c r="A590" s="8" t="s">
        <v>254</v>
      </c>
      <c r="B590" s="8" t="s">
        <v>82</v>
      </c>
      <c r="C590" s="8" t="s">
        <v>205</v>
      </c>
      <c r="D590" s="8">
        <v>1</v>
      </c>
      <c r="E590" s="8">
        <v>0</v>
      </c>
      <c r="F590" s="8">
        <f>SUM(G590:M590)</f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1</v>
      </c>
      <c r="Q590" s="8">
        <v>0</v>
      </c>
      <c r="R590" s="8">
        <v>1</v>
      </c>
      <c r="S590" s="8">
        <v>0</v>
      </c>
      <c r="T590" s="10">
        <v>-8.452</v>
      </c>
      <c r="U590" s="10">
        <v>-9.5579999999999998</v>
      </c>
      <c r="V590" s="10">
        <v>-9.6020000000000003</v>
      </c>
      <c r="W590" s="10">
        <f>IF(RIGHT(C590,2)="12",IF(ISNUMBER(T590),T590,""),IF(COUNT(T590,U590,V590)=3,T590+U590-V590,""))</f>
        <v>-8.4079999999999977</v>
      </c>
      <c r="X590" s="10">
        <v>-8.4079999999999995</v>
      </c>
      <c r="Y590" s="10">
        <v>22.536999999999999</v>
      </c>
      <c r="Z590" s="10">
        <v>-22.494</v>
      </c>
      <c r="AA590" s="10">
        <v>4.8090000000000002</v>
      </c>
      <c r="AB590" s="10">
        <v>-13.260999999999999</v>
      </c>
      <c r="AC590" s="8">
        <v>0</v>
      </c>
      <c r="AD590" s="8">
        <v>0</v>
      </c>
      <c r="AE590" s="8">
        <v>0</v>
      </c>
      <c r="AF590" s="10">
        <v>0</v>
      </c>
      <c r="AG590" s="8">
        <f>COUNTIF(Y590:AB590,"&gt;0")</f>
        <v>2</v>
      </c>
      <c r="AH590" s="10">
        <v>0</v>
      </c>
      <c r="AI590" s="10">
        <v>22.536999999999999</v>
      </c>
      <c r="AJ590" s="8" t="str">
        <f>IF(ISNUMBER(X590),IF(X590&gt;0,"+",IF(X590&lt;0,"−","0")),IF(ISNUMBER(W590),IF(W590&gt;0,"+",IF(W590&lt;0,"−","0")),"yok"))</f>
        <v>−</v>
      </c>
      <c r="AK590" s="10">
        <f>IF(AND(RIGHT(C590,2)&lt;&gt;"12",ISNUMBER(U590),ISNUMBER(V590)),U590-V590,"")</f>
        <v>4.4000000000000483E-2</v>
      </c>
      <c r="AL590" s="11">
        <f>IF(AND(ISNUMBER(AK590),ISNUMBER(V590)),IF(V590&lt;&gt;0,AK590/ABS(V590),""),"")</f>
        <v>4.5823786711102358E-3</v>
      </c>
      <c r="AM590" s="8">
        <f>IF(ISNUMBER(AK590),IF(AK590&gt;1,1,0),"")</f>
        <v>0</v>
      </c>
      <c r="AN590" s="8">
        <f>IF(ISNUMBER(AK590),IF(AK590&gt;0.05*ABS(V590),1,0),"")</f>
        <v>0</v>
      </c>
      <c r="AO590" s="10">
        <v>-8.4090000000000007</v>
      </c>
      <c r="AP590" s="10">
        <v>8.4090000000000007</v>
      </c>
      <c r="AQ590" s="8" t="s">
        <v>204</v>
      </c>
      <c r="AR590" s="8">
        <v>0</v>
      </c>
      <c r="AS590" s="10">
        <v>187.55199999999999</v>
      </c>
      <c r="AT590" s="10">
        <v>10.923</v>
      </c>
      <c r="AU590" s="8" t="s">
        <v>204</v>
      </c>
      <c r="AV590" s="10">
        <v>4.4000000000000497E-2</v>
      </c>
      <c r="AW590" s="11">
        <f>IF(AND(ISNUMBER(AV590),ISNUMBER(AT590)),IF(AT590&lt;&gt;0,AV590/ABS(AT590),""),"")</f>
        <v>4.028197381671747E-3</v>
      </c>
      <c r="AX590" s="8">
        <v>0</v>
      </c>
      <c r="AY590" s="8">
        <v>0</v>
      </c>
      <c r="AZ590" s="10"/>
      <c r="BA590" s="8">
        <v>0</v>
      </c>
    </row>
    <row r="591" spans="1:53" x14ac:dyDescent="0.2">
      <c r="A591" s="8" t="s">
        <v>254</v>
      </c>
      <c r="B591" s="8" t="s">
        <v>82</v>
      </c>
      <c r="C591" s="8" t="s">
        <v>290</v>
      </c>
      <c r="D591" s="8">
        <v>1</v>
      </c>
      <c r="E591" s="8">
        <v>0</v>
      </c>
      <c r="F591" s="8">
        <f>SUM(G591:M591)</f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1</v>
      </c>
      <c r="Q591" s="8">
        <v>0</v>
      </c>
      <c r="R591" s="8">
        <v>0</v>
      </c>
      <c r="S591" s="8">
        <v>1</v>
      </c>
      <c r="T591" s="10">
        <v>-4.3769999999999998</v>
      </c>
      <c r="U591" s="10"/>
      <c r="V591" s="10"/>
      <c r="W591" s="10">
        <f>IF(RIGHT(C591,2)="12",IF(ISNUMBER(T591),T591,""),IF(COUNT(T591,U591,V591)=3,T591+U591-V591,""))</f>
        <v>-4.3769999999999998</v>
      </c>
      <c r="X591" s="10">
        <v>-4.3769999999999998</v>
      </c>
      <c r="Y591" s="10">
        <v>4.8090000000000002</v>
      </c>
      <c r="Z591" s="10">
        <v>-13.260999999999999</v>
      </c>
      <c r="AA591" s="10">
        <v>14.095000000000001</v>
      </c>
      <c r="AB591" s="10">
        <v>-10.021000000000001</v>
      </c>
      <c r="AC591" s="8">
        <v>0</v>
      </c>
      <c r="AD591" s="8">
        <v>0</v>
      </c>
      <c r="AE591" s="8">
        <v>0</v>
      </c>
      <c r="AF591" s="10">
        <v>0</v>
      </c>
      <c r="AG591" s="8">
        <f>COUNTIF(Y591:AB591,"&gt;0")</f>
        <v>2</v>
      </c>
      <c r="AH591" s="10">
        <v>14.095000000000001</v>
      </c>
      <c r="AI591" s="10">
        <v>0</v>
      </c>
      <c r="AJ591" s="8" t="str">
        <f>IF(ISNUMBER(X591),IF(X591&gt;0,"+",IF(X591&lt;0,"−","0")),IF(ISNUMBER(W591),IF(W591&gt;0,"+",IF(W591&lt;0,"−","0")),"yok"))</f>
        <v>−</v>
      </c>
      <c r="AK591" s="10" t="str">
        <f>IF(AND(RIGHT(C591,2)&lt;&gt;"12",ISNUMBER(U591),ISNUMBER(V591)),U591-V591,"")</f>
        <v/>
      </c>
      <c r="AL591" s="11" t="str">
        <f>IF(AND(ISNUMBER(AK591),ISNUMBER(V591)),IF(V591&lt;&gt;0,AK591/ABS(V591),""),"")</f>
        <v/>
      </c>
      <c r="AM591" s="8" t="str">
        <f>IF(ISNUMBER(AK591),IF(AK591&gt;1,1,0),"")</f>
        <v/>
      </c>
      <c r="AN591" s="8" t="str">
        <f>IF(ISNUMBER(AK591),IF(AK591&gt;0.05*ABS(V591),1,0),"")</f>
        <v/>
      </c>
      <c r="AO591" s="10">
        <v>-4.3780000000000001</v>
      </c>
      <c r="AP591" s="10">
        <v>4.3780000000000001</v>
      </c>
      <c r="AQ591" s="8" t="s">
        <v>204</v>
      </c>
      <c r="AR591" s="8">
        <v>0</v>
      </c>
      <c r="AS591" s="10">
        <v>8.0690000000000008</v>
      </c>
      <c r="AT591" s="10">
        <v>-141.577</v>
      </c>
      <c r="AU591" s="8" t="s">
        <v>204</v>
      </c>
      <c r="AV591" s="10">
        <v>14.095000000000001</v>
      </c>
      <c r="AW591" s="11">
        <f>IF(AND(ISNUMBER(AV591),ISNUMBER(AT591)),IF(AT591&lt;&gt;0,AV591/ABS(AT591),""),"")</f>
        <v>9.9557131454967973E-2</v>
      </c>
      <c r="AX591" s="8">
        <v>0</v>
      </c>
      <c r="AY591" s="8">
        <v>0</v>
      </c>
      <c r="AZ591" s="10"/>
      <c r="BA591" s="8">
        <v>0</v>
      </c>
    </row>
    <row r="592" spans="1:53" x14ac:dyDescent="0.2">
      <c r="A592" s="8" t="s">
        <v>258</v>
      </c>
      <c r="B592" s="8" t="s">
        <v>83</v>
      </c>
      <c r="C592" s="8" t="s">
        <v>208</v>
      </c>
      <c r="D592" s="8">
        <v>1</v>
      </c>
      <c r="E592" s="8">
        <v>0</v>
      </c>
      <c r="F592" s="8">
        <f>SUM(G592:M592)</f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1</v>
      </c>
      <c r="P592" s="8">
        <v>0</v>
      </c>
      <c r="Q592" s="8">
        <v>0</v>
      </c>
      <c r="R592" s="8">
        <v>0</v>
      </c>
      <c r="S592" s="8">
        <v>0</v>
      </c>
      <c r="T592" s="10"/>
      <c r="U592" s="10">
        <v>-1522.5329999999999</v>
      </c>
      <c r="V592" s="10">
        <v>782.48800000000006</v>
      </c>
      <c r="W592" s="10" t="str">
        <f>IF(RIGHT(C592,2)="12",IF(ISNUMBER(T592),T592,""),IF(COUNT(T592,U592,V592)=3,T592+U592-V592,""))</f>
        <v/>
      </c>
      <c r="X592" s="10"/>
      <c r="Y592" s="10">
        <v>-1926.242</v>
      </c>
      <c r="Z592" s="10">
        <v>-160.012</v>
      </c>
      <c r="AA592" s="10">
        <v>-218.76599999999999</v>
      </c>
      <c r="AB592" s="10"/>
      <c r="AC592" s="8">
        <v>0</v>
      </c>
      <c r="AD592" s="8">
        <v>0</v>
      </c>
      <c r="AE592" s="8">
        <v>1</v>
      </c>
      <c r="AF592" s="10">
        <v>782.48800000000006</v>
      </c>
      <c r="AG592" s="8">
        <f>COUNTIF(Y592:AB592,"&gt;0")</f>
        <v>0</v>
      </c>
      <c r="AH592" s="10">
        <v>0</v>
      </c>
      <c r="AI592" s="10">
        <v>0</v>
      </c>
      <c r="AJ592" s="8" t="str">
        <f>IF(ISNUMBER(X592),IF(X592&gt;0,"+",IF(X592&lt;0,"−","0")),IF(ISNUMBER(W592),IF(W592&gt;0,"+",IF(W592&lt;0,"−","0")),"yok"))</f>
        <v>yok</v>
      </c>
      <c r="AK592" s="10">
        <f>IF(AND(RIGHT(C592,2)&lt;&gt;"12",ISNUMBER(U592),ISNUMBER(V592)),U592-V592,"")</f>
        <v>-2305.0209999999997</v>
      </c>
      <c r="AL592" s="11">
        <f>IF(AND(ISNUMBER(AK592),ISNUMBER(V592)),IF(V592&lt;&gt;0,AK592/ABS(V592),""),"")</f>
        <v>-2.9457589125967423</v>
      </c>
      <c r="AM592" s="8">
        <f>IF(ISNUMBER(AK592),IF(AK592&gt;1,1,0),"")</f>
        <v>0</v>
      </c>
      <c r="AN592" s="8">
        <f>IF(ISNUMBER(AK592),IF(AK592&gt;0.05*ABS(V592),1,0),"")</f>
        <v>0</v>
      </c>
      <c r="AO592" s="10">
        <v>-2046.9780000000001</v>
      </c>
      <c r="AP592" s="10">
        <v>2046.9780000000001</v>
      </c>
      <c r="AQ592" s="8" t="s">
        <v>209</v>
      </c>
      <c r="AR592" s="8">
        <v>0</v>
      </c>
      <c r="AS592" s="10">
        <v>-4855.6540000000005</v>
      </c>
      <c r="AT592" s="10">
        <v>-6902.6319999999996</v>
      </c>
      <c r="AU592" s="8" t="s">
        <v>209</v>
      </c>
      <c r="AV592" s="10">
        <v>782.48800000000006</v>
      </c>
      <c r="AW592" s="11">
        <f>IF(AND(ISNUMBER(AV592),ISNUMBER(AT592)),IF(AT592&lt;&gt;0,AV592/ABS(AT592),""),"")</f>
        <v>0.11336081656967953</v>
      </c>
      <c r="AX592" s="8">
        <v>1</v>
      </c>
      <c r="AY592" s="8">
        <v>0</v>
      </c>
      <c r="AZ592" s="8" t="s">
        <v>569</v>
      </c>
      <c r="BA592" s="8">
        <v>0</v>
      </c>
    </row>
    <row r="593" spans="1:53" x14ac:dyDescent="0.2">
      <c r="A593" s="8" t="s">
        <v>570</v>
      </c>
      <c r="B593" s="8" t="s">
        <v>82</v>
      </c>
      <c r="C593" s="8" t="s">
        <v>290</v>
      </c>
      <c r="D593" s="8">
        <v>1</v>
      </c>
      <c r="E593" s="8">
        <v>0</v>
      </c>
      <c r="F593" s="8">
        <f>SUM(G593:M593)</f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1</v>
      </c>
      <c r="Q593" s="8">
        <v>0</v>
      </c>
      <c r="R593" s="8">
        <v>0</v>
      </c>
      <c r="S593" s="8">
        <v>1</v>
      </c>
      <c r="T593" s="10">
        <v>-7.5069999999999997</v>
      </c>
      <c r="U593" s="10"/>
      <c r="V593" s="10"/>
      <c r="W593" s="10">
        <f>IF(RIGHT(C593,2)="12",IF(ISNUMBER(T593),T593,""),IF(COUNT(T593,U593,V593)=3,T593+U593-V593,""))</f>
        <v>-7.5069999999999997</v>
      </c>
      <c r="X593" s="10">
        <v>-7.5069999999999997</v>
      </c>
      <c r="Y593" s="10">
        <v>-2.6669999999999998</v>
      </c>
      <c r="Z593" s="10">
        <v>-2.14</v>
      </c>
      <c r="AA593" s="10">
        <v>-11.974</v>
      </c>
      <c r="AB593" s="10">
        <v>9.2759999999999998</v>
      </c>
      <c r="AC593" s="8">
        <v>0</v>
      </c>
      <c r="AD593" s="8">
        <v>0</v>
      </c>
      <c r="AE593" s="8">
        <v>0</v>
      </c>
      <c r="AF593" s="10">
        <v>0</v>
      </c>
      <c r="AG593" s="8">
        <f>COUNTIF(Y593:AB593,"&gt;0")</f>
        <v>1</v>
      </c>
      <c r="AH593" s="10">
        <v>9.2759999999999998</v>
      </c>
      <c r="AI593" s="10">
        <v>0</v>
      </c>
      <c r="AJ593" s="8" t="str">
        <f>IF(ISNUMBER(X593),IF(X593&gt;0,"+",IF(X593&lt;0,"−","0")),IF(ISNUMBER(W593),IF(W593&gt;0,"+",IF(W593&lt;0,"−","0")),"yok"))</f>
        <v>−</v>
      </c>
      <c r="AK593" s="10" t="str">
        <f>IF(AND(RIGHT(C593,2)&lt;&gt;"12",ISNUMBER(U593),ISNUMBER(V593)),U593-V593,"")</f>
        <v/>
      </c>
      <c r="AL593" s="11" t="str">
        <f>IF(AND(ISNUMBER(AK593),ISNUMBER(V593)),IF(V593&lt;&gt;0,AK593/ABS(V593),""),"")</f>
        <v/>
      </c>
      <c r="AM593" s="8" t="str">
        <f>IF(ISNUMBER(AK593),IF(AK593&gt;1,1,0),"")</f>
        <v/>
      </c>
      <c r="AN593" s="8" t="str">
        <f>IF(ISNUMBER(AK593),IF(AK593&gt;0.05*ABS(V593),1,0),"")</f>
        <v/>
      </c>
      <c r="AO593" s="10">
        <v>-7.5069999999999997</v>
      </c>
      <c r="AP593" s="10">
        <v>7.5069999999999997</v>
      </c>
      <c r="AQ593" s="8" t="s">
        <v>204</v>
      </c>
      <c r="AR593" s="8">
        <v>0</v>
      </c>
      <c r="AS593" s="10">
        <v>-127.831</v>
      </c>
      <c r="AT593" s="10">
        <v>-182.898</v>
      </c>
      <c r="AU593" s="8" t="s">
        <v>204</v>
      </c>
      <c r="AV593" s="10">
        <v>9.2759999999999998</v>
      </c>
      <c r="AW593" s="11">
        <f>IF(AND(ISNUMBER(AV593),ISNUMBER(AT593)),IF(AT593&lt;&gt;0,AV593/ABS(AT593),""),"")</f>
        <v>5.0716792966571535E-2</v>
      </c>
      <c r="AX593" s="8">
        <v>0</v>
      </c>
      <c r="AY593" s="8">
        <v>0</v>
      </c>
      <c r="AZ593" s="10"/>
      <c r="BA593" s="8">
        <v>0</v>
      </c>
    </row>
    <row r="594" spans="1:53" x14ac:dyDescent="0.2">
      <c r="A594" s="8" t="s">
        <v>570</v>
      </c>
      <c r="B594" s="8" t="s">
        <v>82</v>
      </c>
      <c r="C594" s="8" t="s">
        <v>208</v>
      </c>
      <c r="D594" s="8">
        <v>1</v>
      </c>
      <c r="E594" s="8">
        <v>0</v>
      </c>
      <c r="F594" s="8">
        <f>SUM(G594:M594)</f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1</v>
      </c>
      <c r="Q594" s="8">
        <v>0</v>
      </c>
      <c r="R594" s="8">
        <v>1</v>
      </c>
      <c r="S594" s="8">
        <v>0</v>
      </c>
      <c r="T594" s="10">
        <v>-1.881</v>
      </c>
      <c r="U594" s="10">
        <v>-7.5069999999999997</v>
      </c>
      <c r="V594" s="10">
        <v>-2.6669999999999998</v>
      </c>
      <c r="W594" s="10">
        <f>IF(RIGHT(C594,2)="12",IF(ISNUMBER(T594),T594,""),IF(COUNT(T594,U594,V594)=3,T594+U594-V594,""))</f>
        <v>-6.7210000000000001</v>
      </c>
      <c r="X594" s="10">
        <v>-6.72</v>
      </c>
      <c r="Y594" s="10">
        <v>-2.14</v>
      </c>
      <c r="Z594" s="10">
        <v>-11.974</v>
      </c>
      <c r="AA594" s="10">
        <v>9.2759999999999998</v>
      </c>
      <c r="AB594" s="10">
        <v>-1.881</v>
      </c>
      <c r="AC594" s="8">
        <v>0</v>
      </c>
      <c r="AD594" s="8">
        <v>0</v>
      </c>
      <c r="AE594" s="8">
        <v>0</v>
      </c>
      <c r="AF594" s="10">
        <v>0</v>
      </c>
      <c r="AG594" s="8">
        <f>COUNTIF(Y594:AB594,"&gt;0")</f>
        <v>1</v>
      </c>
      <c r="AH594" s="10">
        <v>0</v>
      </c>
      <c r="AI594" s="10">
        <v>9.2759999999999998</v>
      </c>
      <c r="AJ594" s="8" t="str">
        <f>IF(ISNUMBER(X594),IF(X594&gt;0,"+",IF(X594&lt;0,"−","0")),IF(ISNUMBER(W594),IF(W594&gt;0,"+",IF(W594&lt;0,"−","0")),"yok"))</f>
        <v>−</v>
      </c>
      <c r="AK594" s="10">
        <f>IF(AND(RIGHT(C594,2)&lt;&gt;"12",ISNUMBER(U594),ISNUMBER(V594)),U594-V594,"")</f>
        <v>-4.84</v>
      </c>
      <c r="AL594" s="11">
        <f>IF(AND(ISNUMBER(AK594),ISNUMBER(V594)),IF(V594&lt;&gt;0,AK594/ABS(V594),""),"")</f>
        <v>-1.8147731533558307</v>
      </c>
      <c r="AM594" s="8">
        <f>IF(ISNUMBER(AK594),IF(AK594&gt;1,1,0),"")</f>
        <v>0</v>
      </c>
      <c r="AN594" s="8">
        <f>IF(ISNUMBER(AK594),IF(AK594&gt;0.05*ABS(V594),1,0),"")</f>
        <v>0</v>
      </c>
      <c r="AO594" s="10">
        <v>-6.72</v>
      </c>
      <c r="AP594" s="10">
        <v>6.72</v>
      </c>
      <c r="AQ594" s="8" t="s">
        <v>204</v>
      </c>
      <c r="AR594" s="8">
        <v>0</v>
      </c>
      <c r="AS594" s="10">
        <v>-59.573</v>
      </c>
      <c r="AT594" s="10">
        <v>-106.86199999999999</v>
      </c>
      <c r="AU594" s="8" t="s">
        <v>204</v>
      </c>
      <c r="AV594" s="10">
        <v>9.2759999999999998</v>
      </c>
      <c r="AW594" s="11">
        <f>IF(AND(ISNUMBER(AV594),ISNUMBER(AT594)),IF(AT594&lt;&gt;0,AV594/ABS(AT594),""),"")</f>
        <v>8.6803541015515337E-2</v>
      </c>
      <c r="AX594" s="8">
        <v>0</v>
      </c>
      <c r="AY594" s="8">
        <v>0</v>
      </c>
      <c r="AZ594" s="10"/>
      <c r="BA594" s="8">
        <v>0</v>
      </c>
    </row>
    <row r="595" spans="1:53" x14ac:dyDescent="0.2">
      <c r="A595" s="8" t="s">
        <v>570</v>
      </c>
      <c r="B595" s="8" t="s">
        <v>82</v>
      </c>
      <c r="C595" s="8" t="s">
        <v>210</v>
      </c>
      <c r="D595" s="8">
        <v>1</v>
      </c>
      <c r="E595" s="8">
        <v>0</v>
      </c>
      <c r="F595" s="8">
        <f>SUM(G595:M595)</f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1</v>
      </c>
      <c r="Q595" s="8">
        <v>0</v>
      </c>
      <c r="R595" s="8">
        <v>1</v>
      </c>
      <c r="S595" s="8">
        <v>0</v>
      </c>
      <c r="T595" s="10">
        <v>-3.6619999999999999</v>
      </c>
      <c r="U595" s="10">
        <v>-7.5069999999999997</v>
      </c>
      <c r="V595" s="10">
        <v>-4.8079999999999998</v>
      </c>
      <c r="W595" s="10">
        <f>IF(RIGHT(C595,2)="12",IF(ISNUMBER(T595),T595,""),IF(COUNT(T595,U595,V595)=3,T595+U595-V595,""))</f>
        <v>-6.3610000000000007</v>
      </c>
      <c r="X595" s="10">
        <v>-6.36</v>
      </c>
      <c r="Y595" s="10">
        <v>-11.974</v>
      </c>
      <c r="Z595" s="10">
        <v>9.2759999999999998</v>
      </c>
      <c r="AA595" s="10">
        <v>-1.881</v>
      </c>
      <c r="AB595" s="10">
        <v>-1.7809999999999999</v>
      </c>
      <c r="AC595" s="8">
        <v>0</v>
      </c>
      <c r="AD595" s="8">
        <v>0</v>
      </c>
      <c r="AE595" s="8">
        <v>0</v>
      </c>
      <c r="AF595" s="10">
        <v>0</v>
      </c>
      <c r="AG595" s="8">
        <f>COUNTIF(Y595:AB595,"&gt;0")</f>
        <v>1</v>
      </c>
      <c r="AH595" s="10">
        <v>0</v>
      </c>
      <c r="AI595" s="10">
        <v>9.2759999999999998</v>
      </c>
      <c r="AJ595" s="8" t="str">
        <f>IF(ISNUMBER(X595),IF(X595&gt;0,"+",IF(X595&lt;0,"−","0")),IF(ISNUMBER(W595),IF(W595&gt;0,"+",IF(W595&lt;0,"−","0")),"yok"))</f>
        <v>−</v>
      </c>
      <c r="AK595" s="10">
        <f>IF(AND(RIGHT(C595,2)&lt;&gt;"12",ISNUMBER(U595),ISNUMBER(V595)),U595-V595,"")</f>
        <v>-2.6989999999999998</v>
      </c>
      <c r="AL595" s="11">
        <f>IF(AND(ISNUMBER(AK595),ISNUMBER(V595)),IF(V595&lt;&gt;0,AK595/ABS(V595),""),"")</f>
        <v>-0.56135607321131442</v>
      </c>
      <c r="AM595" s="8">
        <f>IF(ISNUMBER(AK595),IF(AK595&gt;1,1,0),"")</f>
        <v>0</v>
      </c>
      <c r="AN595" s="8">
        <f>IF(ISNUMBER(AK595),IF(AK595&gt;0.05*ABS(V595),1,0),"")</f>
        <v>0</v>
      </c>
      <c r="AO595" s="10">
        <v>-6.36</v>
      </c>
      <c r="AP595" s="10">
        <v>6.36</v>
      </c>
      <c r="AQ595" s="8" t="s">
        <v>204</v>
      </c>
      <c r="AR595" s="8">
        <v>0</v>
      </c>
      <c r="AS595" s="10">
        <v>-65.597999999999999</v>
      </c>
      <c r="AT595" s="10">
        <v>-81.019000000000005</v>
      </c>
      <c r="AU595" s="8" t="s">
        <v>204</v>
      </c>
      <c r="AV595" s="10">
        <v>9.2759999999999998</v>
      </c>
      <c r="AW595" s="11">
        <f>IF(AND(ISNUMBER(AV595),ISNUMBER(AT595)),IF(AT595&lt;&gt;0,AV595/ABS(AT595),""),"")</f>
        <v>0.11449166244954886</v>
      </c>
      <c r="AX595" s="8">
        <v>0</v>
      </c>
      <c r="AY595" s="8">
        <v>0</v>
      </c>
      <c r="AZ595" s="10"/>
      <c r="BA595" s="8">
        <v>0</v>
      </c>
    </row>
    <row r="596" spans="1:53" x14ac:dyDescent="0.2">
      <c r="A596" s="8" t="s">
        <v>570</v>
      </c>
      <c r="B596" s="8" t="s">
        <v>83</v>
      </c>
      <c r="C596" s="8" t="s">
        <v>215</v>
      </c>
      <c r="D596" s="8">
        <v>1</v>
      </c>
      <c r="E596" s="8">
        <v>0</v>
      </c>
      <c r="F596" s="8">
        <f>SUM(G596:M596)</f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1</v>
      </c>
      <c r="Q596" s="8">
        <v>0</v>
      </c>
      <c r="R596" s="8">
        <v>0</v>
      </c>
      <c r="S596" s="8">
        <v>1</v>
      </c>
      <c r="T596" s="10">
        <v>-44.076999999999998</v>
      </c>
      <c r="U596" s="10">
        <v>-94.171999999999997</v>
      </c>
      <c r="V596" s="10">
        <v>-80.347999999999999</v>
      </c>
      <c r="W596" s="10">
        <f>IF(RIGHT(C596,2)="12",IF(ISNUMBER(T596),T596,""),IF(COUNT(T596,U596,V596)=3,T596+U596-V596,""))</f>
        <v>-57.900999999999996</v>
      </c>
      <c r="X596" s="10">
        <v>-57.901000000000003</v>
      </c>
      <c r="Y596" s="10">
        <v>-13.824</v>
      </c>
      <c r="Z596" s="10">
        <v>-9.3040000000000003</v>
      </c>
      <c r="AA596" s="10">
        <v>-37.014000000000003</v>
      </c>
      <c r="AB596" s="10">
        <v>2.2410000000000001</v>
      </c>
      <c r="AC596" s="8">
        <v>0</v>
      </c>
      <c r="AD596" s="8">
        <v>0</v>
      </c>
      <c r="AE596" s="8">
        <v>0</v>
      </c>
      <c r="AF596" s="10">
        <v>0</v>
      </c>
      <c r="AG596" s="8">
        <f>COUNTIF(Y596:AB596,"&gt;0")</f>
        <v>1</v>
      </c>
      <c r="AH596" s="10">
        <v>2.2410000000000001</v>
      </c>
      <c r="AI596" s="10">
        <v>0</v>
      </c>
      <c r="AJ596" s="8" t="str">
        <f>IF(ISNUMBER(X596),IF(X596&gt;0,"+",IF(X596&lt;0,"−","0")),IF(ISNUMBER(W596),IF(W596&gt;0,"+",IF(W596&lt;0,"−","0")),"yok"))</f>
        <v>−</v>
      </c>
      <c r="AK596" s="10">
        <f>IF(AND(RIGHT(C596,2)&lt;&gt;"12",ISNUMBER(U596),ISNUMBER(V596)),U596-V596,"")</f>
        <v>-13.823999999999998</v>
      </c>
      <c r="AL596" s="11">
        <f>IF(AND(ISNUMBER(AK596),ISNUMBER(V596)),IF(V596&lt;&gt;0,AK596/ABS(V596),""),"")</f>
        <v>-0.17205157564594015</v>
      </c>
      <c r="AM596" s="8">
        <f>IF(ISNUMBER(AK596),IF(AK596&gt;1,1,0),"")</f>
        <v>0</v>
      </c>
      <c r="AN596" s="8">
        <f>IF(ISNUMBER(AK596),IF(AK596&gt;0.05*ABS(V596),1,0),"")</f>
        <v>0</v>
      </c>
      <c r="AO596" s="10">
        <v>-57.901000000000003</v>
      </c>
      <c r="AP596" s="10">
        <v>57.901000000000003</v>
      </c>
      <c r="AQ596" s="8" t="s">
        <v>204</v>
      </c>
      <c r="AR596" s="8">
        <v>0</v>
      </c>
      <c r="AS596" s="10">
        <v>-346.55700000000002</v>
      </c>
      <c r="AT596" s="10">
        <v>-429.36500000000001</v>
      </c>
      <c r="AU596" s="8" t="s">
        <v>204</v>
      </c>
      <c r="AV596" s="10">
        <v>2.2410000000000001</v>
      </c>
      <c r="AW596" s="11">
        <f>IF(AND(ISNUMBER(AV596),ISNUMBER(AT596)),IF(AT596&lt;&gt;0,AV596/ABS(AT596),""),"")</f>
        <v>5.2193355303762536E-3</v>
      </c>
      <c r="AX596" s="8">
        <v>0</v>
      </c>
      <c r="AY596" s="8">
        <v>0</v>
      </c>
      <c r="AZ596" s="10"/>
      <c r="BA596" s="8">
        <v>0</v>
      </c>
    </row>
    <row r="597" spans="1:53" x14ac:dyDescent="0.2">
      <c r="A597" s="8" t="s">
        <v>570</v>
      </c>
      <c r="B597" s="8" t="s">
        <v>83</v>
      </c>
      <c r="C597" s="8" t="s">
        <v>290</v>
      </c>
      <c r="D597" s="8">
        <v>1</v>
      </c>
      <c r="E597" s="8">
        <v>0</v>
      </c>
      <c r="F597" s="8">
        <f>SUM(G597:M597)</f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1</v>
      </c>
      <c r="Q597" s="8">
        <v>0</v>
      </c>
      <c r="R597" s="8">
        <v>0</v>
      </c>
      <c r="S597" s="8">
        <v>1</v>
      </c>
      <c r="T597" s="10">
        <v>-47.558999999999997</v>
      </c>
      <c r="U597" s="10"/>
      <c r="V597" s="10"/>
      <c r="W597" s="10">
        <f>IF(RIGHT(C597,2)="12",IF(ISNUMBER(T597),T597,""),IF(COUNT(T597,U597,V597)=3,T597+U597-V597,""))</f>
        <v>-47.558999999999997</v>
      </c>
      <c r="X597" s="10">
        <v>-47.558999999999997</v>
      </c>
      <c r="Y597" s="10">
        <v>-9.3040000000000003</v>
      </c>
      <c r="Z597" s="10">
        <v>-37.014000000000003</v>
      </c>
      <c r="AA597" s="10">
        <v>2.2410000000000001</v>
      </c>
      <c r="AB597" s="10">
        <v>-3.4820000000000002</v>
      </c>
      <c r="AC597" s="8">
        <v>0</v>
      </c>
      <c r="AD597" s="8">
        <v>0</v>
      </c>
      <c r="AE597" s="8">
        <v>0</v>
      </c>
      <c r="AF597" s="10">
        <v>0</v>
      </c>
      <c r="AG597" s="8">
        <f>COUNTIF(Y597:AB597,"&gt;0")</f>
        <v>1</v>
      </c>
      <c r="AH597" s="10">
        <v>2.2410000000000001</v>
      </c>
      <c r="AI597" s="10">
        <v>0</v>
      </c>
      <c r="AJ597" s="8" t="str">
        <f>IF(ISNUMBER(X597),IF(X597&gt;0,"+",IF(X597&lt;0,"−","0")),IF(ISNUMBER(W597),IF(W597&gt;0,"+",IF(W597&lt;0,"−","0")),"yok"))</f>
        <v>−</v>
      </c>
      <c r="AK597" s="10" t="str">
        <f>IF(AND(RIGHT(C597,2)&lt;&gt;"12",ISNUMBER(U597),ISNUMBER(V597)),U597-V597,"")</f>
        <v/>
      </c>
      <c r="AL597" s="11" t="str">
        <f>IF(AND(ISNUMBER(AK597),ISNUMBER(V597)),IF(V597&lt;&gt;0,AK597/ABS(V597),""),"")</f>
        <v/>
      </c>
      <c r="AM597" s="8" t="str">
        <f>IF(ISNUMBER(AK597),IF(AK597&gt;1,1,0),"")</f>
        <v/>
      </c>
      <c r="AN597" s="8" t="str">
        <f>IF(ISNUMBER(AK597),IF(AK597&gt;0.05*ABS(V597),1,0),"")</f>
        <v/>
      </c>
      <c r="AO597" s="10">
        <v>-47.56</v>
      </c>
      <c r="AP597" s="10">
        <v>47.56</v>
      </c>
      <c r="AQ597" s="8" t="s">
        <v>204</v>
      </c>
      <c r="AR597" s="8">
        <v>0</v>
      </c>
      <c r="AS597" s="10">
        <v>-127.831</v>
      </c>
      <c r="AT597" s="10">
        <v>-182.898</v>
      </c>
      <c r="AU597" s="8" t="s">
        <v>204</v>
      </c>
      <c r="AV597" s="10">
        <v>2.2410000000000001</v>
      </c>
      <c r="AW597" s="11">
        <f>IF(AND(ISNUMBER(AV597),ISNUMBER(AT597)),IF(AT597&lt;&gt;0,AV597/ABS(AT597),""),"")</f>
        <v>1.2252731030410394E-2</v>
      </c>
      <c r="AX597" s="8">
        <v>0</v>
      </c>
      <c r="AY597" s="8">
        <v>0</v>
      </c>
      <c r="AZ597" s="10"/>
      <c r="BA597" s="8">
        <v>0</v>
      </c>
    </row>
    <row r="598" spans="1:53" x14ac:dyDescent="0.2">
      <c r="A598" s="8" t="s">
        <v>571</v>
      </c>
      <c r="B598" s="8" t="s">
        <v>83</v>
      </c>
      <c r="C598" s="8" t="s">
        <v>210</v>
      </c>
      <c r="D598" s="8">
        <v>1</v>
      </c>
      <c r="E598" s="8">
        <v>0</v>
      </c>
      <c r="F598" s="8">
        <f>SUM(G598:M598)</f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1</v>
      </c>
      <c r="Q598" s="8">
        <v>0</v>
      </c>
      <c r="R598" s="8">
        <v>0</v>
      </c>
      <c r="S598" s="8">
        <v>1</v>
      </c>
      <c r="T598" s="10">
        <v>0</v>
      </c>
      <c r="U598" s="10">
        <v>-545.73800000000006</v>
      </c>
      <c r="V598" s="10">
        <v>-283.33699999999999</v>
      </c>
      <c r="W598" s="10">
        <f>IF(RIGHT(C598,2)="12",IF(ISNUMBER(T598),T598,""),IF(COUNT(T598,U598,V598)=3,T598+U598-V598,""))</f>
        <v>-262.40100000000007</v>
      </c>
      <c r="X598" s="10">
        <v>-262.39999999999998</v>
      </c>
      <c r="Y598" s="10">
        <v>-51.265000000000001</v>
      </c>
      <c r="Z598" s="10">
        <v>-211.13499999999999</v>
      </c>
      <c r="AA598" s="10">
        <v>-40.795000000000002</v>
      </c>
      <c r="AB598" s="10">
        <v>40.795000000000002</v>
      </c>
      <c r="AC598" s="8">
        <v>0</v>
      </c>
      <c r="AD598" s="8">
        <v>0</v>
      </c>
      <c r="AE598" s="8">
        <v>0</v>
      </c>
      <c r="AF598" s="10">
        <v>0</v>
      </c>
      <c r="AG598" s="8">
        <f>COUNTIF(Y598:AB598,"&gt;0")</f>
        <v>1</v>
      </c>
      <c r="AH598" s="10">
        <v>40.795000000000002</v>
      </c>
      <c r="AI598" s="10">
        <v>0</v>
      </c>
      <c r="AJ598" s="8" t="str">
        <f>IF(ISNUMBER(X598),IF(X598&gt;0,"+",IF(X598&lt;0,"−","0")),IF(ISNUMBER(W598),IF(W598&gt;0,"+",IF(W598&lt;0,"−","0")),"yok"))</f>
        <v>−</v>
      </c>
      <c r="AK598" s="10">
        <f>IF(AND(RIGHT(C598,2)&lt;&gt;"12",ISNUMBER(U598),ISNUMBER(V598)),U598-V598,"")</f>
        <v>-262.40100000000007</v>
      </c>
      <c r="AL598" s="11">
        <f>IF(AND(ISNUMBER(AK598),ISNUMBER(V598)),IF(V598&lt;&gt;0,AK598/ABS(V598),""),"")</f>
        <v>-0.92610919152810989</v>
      </c>
      <c r="AM598" s="8">
        <f>IF(ISNUMBER(AK598),IF(AK598&gt;1,1,0),"")</f>
        <v>0</v>
      </c>
      <c r="AN598" s="8">
        <f>IF(ISNUMBER(AK598),IF(AK598&gt;0.05*ABS(V598),1,0),"")</f>
        <v>0</v>
      </c>
      <c r="AO598" s="10">
        <v>-262.39999999999998</v>
      </c>
      <c r="AP598" s="10">
        <v>262.39999999999998</v>
      </c>
      <c r="AQ598" s="8" t="s">
        <v>204</v>
      </c>
      <c r="AR598" s="8">
        <v>0</v>
      </c>
      <c r="AS598" s="10">
        <v>-133.791</v>
      </c>
      <c r="AT598" s="10">
        <v>-396.19099999999997</v>
      </c>
      <c r="AU598" s="8" t="s">
        <v>204</v>
      </c>
      <c r="AV598" s="10">
        <v>40.795000000000002</v>
      </c>
      <c r="AW598" s="11">
        <f>IF(AND(ISNUMBER(AV598),ISNUMBER(AT598)),IF(AT598&lt;&gt;0,AV598/ABS(AT598),""),"")</f>
        <v>0.10296801290286757</v>
      </c>
      <c r="AX598" s="8">
        <v>0</v>
      </c>
      <c r="AY598" s="8">
        <v>0</v>
      </c>
      <c r="AZ598" s="10"/>
      <c r="BA598" s="8">
        <v>0</v>
      </c>
    </row>
    <row r="599" spans="1:53" x14ac:dyDescent="0.2">
      <c r="A599" s="8" t="s">
        <v>263</v>
      </c>
      <c r="B599" s="8" t="s">
        <v>82</v>
      </c>
      <c r="C599" s="8" t="s">
        <v>203</v>
      </c>
      <c r="D599" s="8">
        <v>1</v>
      </c>
      <c r="E599" s="8">
        <v>0</v>
      </c>
      <c r="F599" s="8">
        <f>SUM(G599:M599)</f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1</v>
      </c>
      <c r="Q599" s="8">
        <v>0</v>
      </c>
      <c r="R599" s="8">
        <v>1</v>
      </c>
      <c r="S599" s="8">
        <v>0</v>
      </c>
      <c r="T599" s="10">
        <v>-33.887999999999998</v>
      </c>
      <c r="U599" s="10">
        <v>-70.013999999999996</v>
      </c>
      <c r="V599" s="10">
        <v>-60.155999999999999</v>
      </c>
      <c r="W599" s="10">
        <f>IF(RIGHT(C599,2)="12",IF(ISNUMBER(T599),T599,""),IF(COUNT(T599,U599,V599)=3,T599+U599-V599,""))</f>
        <v>-43.745999999999988</v>
      </c>
      <c r="X599" s="10">
        <v>-43.747</v>
      </c>
      <c r="Y599" s="10">
        <v>-73.361000000000004</v>
      </c>
      <c r="Z599" s="10">
        <v>19.190000000000001</v>
      </c>
      <c r="AA599" s="10">
        <v>44.311999999999998</v>
      </c>
      <c r="AB599" s="10">
        <v>-33.887999999999998</v>
      </c>
      <c r="AC599" s="8">
        <v>0</v>
      </c>
      <c r="AD599" s="8">
        <v>0</v>
      </c>
      <c r="AE599" s="8">
        <v>0</v>
      </c>
      <c r="AF599" s="10">
        <v>0</v>
      </c>
      <c r="AG599" s="8">
        <f>COUNTIF(Y599:AB599,"&gt;0")</f>
        <v>2</v>
      </c>
      <c r="AH599" s="10">
        <v>0</v>
      </c>
      <c r="AI599" s="10">
        <v>63.502000000000002</v>
      </c>
      <c r="AJ599" s="8" t="str">
        <f>IF(ISNUMBER(X599),IF(X599&gt;0,"+",IF(X599&lt;0,"−","0")),IF(ISNUMBER(W599),IF(W599&gt;0,"+",IF(W599&lt;0,"−","0")),"yok"))</f>
        <v>−</v>
      </c>
      <c r="AK599" s="10">
        <f>IF(AND(RIGHT(C599,2)&lt;&gt;"12",ISNUMBER(U599),ISNUMBER(V599)),U599-V599,"")</f>
        <v>-9.857999999999997</v>
      </c>
      <c r="AL599" s="11">
        <f>IF(AND(ISNUMBER(AK599),ISNUMBER(V599)),IF(V599&lt;&gt;0,AK599/ABS(V599),""),"")</f>
        <v>-0.16387392778775181</v>
      </c>
      <c r="AM599" s="8">
        <f>IF(ISNUMBER(AK599),IF(AK599&gt;1,1,0),"")</f>
        <v>0</v>
      </c>
      <c r="AN599" s="8">
        <f>IF(ISNUMBER(AK599),IF(AK599&gt;0.05*ABS(V599),1,0),"")</f>
        <v>0</v>
      </c>
      <c r="AO599" s="10">
        <v>-43.747</v>
      </c>
      <c r="AP599" s="10">
        <v>43.747</v>
      </c>
      <c r="AQ599" s="8" t="s">
        <v>204</v>
      </c>
      <c r="AR599" s="8">
        <v>0</v>
      </c>
      <c r="AS599" s="10">
        <v>2193.3029999999999</v>
      </c>
      <c r="AT599" s="10">
        <v>1691.625</v>
      </c>
      <c r="AU599" s="8" t="s">
        <v>204</v>
      </c>
      <c r="AV599" s="10">
        <v>44.311999999999998</v>
      </c>
      <c r="AW599" s="11">
        <f>IF(AND(ISNUMBER(AV599),ISNUMBER(AT599)),IF(AT599&lt;&gt;0,AV599/ABS(AT599),""),"")</f>
        <v>2.6194930909628315E-2</v>
      </c>
      <c r="AX599" s="8">
        <v>0</v>
      </c>
      <c r="AY599" s="8">
        <v>0</v>
      </c>
      <c r="AZ599" s="10"/>
      <c r="BA599" s="8">
        <v>0</v>
      </c>
    </row>
    <row r="600" spans="1:53" x14ac:dyDescent="0.2">
      <c r="A600" s="8" t="s">
        <v>263</v>
      </c>
      <c r="B600" s="8" t="s">
        <v>82</v>
      </c>
      <c r="C600" s="8" t="s">
        <v>290</v>
      </c>
      <c r="D600" s="8">
        <v>1</v>
      </c>
      <c r="E600" s="8">
        <v>0</v>
      </c>
      <c r="F600" s="8">
        <f>SUM(G600:M600)</f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1</v>
      </c>
      <c r="Q600" s="8">
        <v>0</v>
      </c>
      <c r="R600" s="8">
        <v>0</v>
      </c>
      <c r="S600" s="8">
        <v>1</v>
      </c>
      <c r="T600" s="10">
        <v>-25.318000000000001</v>
      </c>
      <c r="U600" s="10"/>
      <c r="V600" s="10"/>
      <c r="W600" s="10">
        <f>IF(RIGHT(C600,2)="12",IF(ISNUMBER(T600),T600,""),IF(COUNT(T600,U600,V600)=3,T600+U600-V600,""))</f>
        <v>-25.318000000000001</v>
      </c>
      <c r="X600" s="10">
        <v>-25.318000000000001</v>
      </c>
      <c r="Y600" s="10">
        <v>-33.887999999999998</v>
      </c>
      <c r="Z600" s="10">
        <v>-20.79</v>
      </c>
      <c r="AA600" s="10">
        <v>-61.771000000000001</v>
      </c>
      <c r="AB600" s="10">
        <v>91.132000000000005</v>
      </c>
      <c r="AC600" s="8">
        <v>0</v>
      </c>
      <c r="AD600" s="8">
        <v>0</v>
      </c>
      <c r="AE600" s="8">
        <v>0</v>
      </c>
      <c r="AF600" s="10">
        <v>0</v>
      </c>
      <c r="AG600" s="8">
        <f>COUNTIF(Y600:AB600,"&gt;0")</f>
        <v>1</v>
      </c>
      <c r="AH600" s="10">
        <v>91.132000000000005</v>
      </c>
      <c r="AI600" s="10">
        <v>0</v>
      </c>
      <c r="AJ600" s="8" t="str">
        <f>IF(ISNUMBER(X600),IF(X600&gt;0,"+",IF(X600&lt;0,"−","0")),IF(ISNUMBER(W600),IF(W600&gt;0,"+",IF(W600&lt;0,"−","0")),"yok"))</f>
        <v>−</v>
      </c>
      <c r="AK600" s="10" t="str">
        <f>IF(AND(RIGHT(C600,2)&lt;&gt;"12",ISNUMBER(U600),ISNUMBER(V600)),U600-V600,"")</f>
        <v/>
      </c>
      <c r="AL600" s="11" t="str">
        <f>IF(AND(ISNUMBER(AK600),ISNUMBER(V600)),IF(V600&lt;&gt;0,AK600/ABS(V600),""),"")</f>
        <v/>
      </c>
      <c r="AM600" s="8" t="str">
        <f>IF(ISNUMBER(AK600),IF(AK600&gt;1,1,0),"")</f>
        <v/>
      </c>
      <c r="AN600" s="8" t="str">
        <f>IF(ISNUMBER(AK600),IF(AK600&gt;0.05*ABS(V600),1,0),"")</f>
        <v/>
      </c>
      <c r="AO600" s="10">
        <v>-25.318000000000001</v>
      </c>
      <c r="AP600" s="10">
        <v>25.318000000000001</v>
      </c>
      <c r="AQ600" s="8" t="s">
        <v>204</v>
      </c>
      <c r="AR600" s="8">
        <v>0</v>
      </c>
      <c r="AS600" s="10">
        <v>-1210.2570000000001</v>
      </c>
      <c r="AT600" s="10">
        <v>-2102.5360000000001</v>
      </c>
      <c r="AU600" s="8" t="s">
        <v>212</v>
      </c>
      <c r="AV600" s="10">
        <v>91.132000000000005</v>
      </c>
      <c r="AW600" s="11">
        <f>IF(AND(ISNUMBER(AV600),ISNUMBER(AT600)),IF(AT600&lt;&gt;0,AV600/ABS(AT600),""),"")</f>
        <v>4.3343847620207217E-2</v>
      </c>
      <c r="AX600" s="8">
        <v>0</v>
      </c>
      <c r="AY600" s="8">
        <v>0</v>
      </c>
      <c r="AZ600" s="10"/>
      <c r="BA600" s="8">
        <v>0</v>
      </c>
    </row>
    <row r="601" spans="1:53" x14ac:dyDescent="0.2">
      <c r="A601" s="8" t="s">
        <v>264</v>
      </c>
      <c r="B601" s="8" t="s">
        <v>82</v>
      </c>
      <c r="C601" s="8" t="s">
        <v>203</v>
      </c>
      <c r="D601" s="8">
        <v>1</v>
      </c>
      <c r="E601" s="8">
        <v>0</v>
      </c>
      <c r="F601" s="8">
        <f>SUM(G601:M601)</f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1</v>
      </c>
      <c r="P601" s="8">
        <v>1</v>
      </c>
      <c r="Q601" s="8">
        <v>0</v>
      </c>
      <c r="R601" s="8">
        <v>0</v>
      </c>
      <c r="S601" s="8">
        <v>0</v>
      </c>
      <c r="T601" s="10">
        <v>3.6480000000000001</v>
      </c>
      <c r="U601" s="10"/>
      <c r="V601" s="10"/>
      <c r="W601" s="10" t="str">
        <f>IF(RIGHT(C601,2)="12",IF(ISNUMBER(T601),T601,""),IF(COUNT(T601,U601,V601)=3,T601+U601-V601,""))</f>
        <v/>
      </c>
      <c r="X601" s="10"/>
      <c r="Y601" s="10"/>
      <c r="Z601" s="10"/>
      <c r="AA601" s="10"/>
      <c r="AB601" s="10">
        <v>3.6480000000000001</v>
      </c>
      <c r="AC601" s="8">
        <v>1</v>
      </c>
      <c r="AD601" s="8">
        <v>0</v>
      </c>
      <c r="AE601" s="8">
        <v>0</v>
      </c>
      <c r="AF601" s="10">
        <v>3.6480000000000001</v>
      </c>
      <c r="AG601" s="8">
        <f>COUNTIF(Y601:AB601,"&gt;0")</f>
        <v>1</v>
      </c>
      <c r="AH601" s="10">
        <v>0</v>
      </c>
      <c r="AI601" s="10">
        <v>0</v>
      </c>
      <c r="AJ601" s="8" t="str">
        <f>IF(ISNUMBER(X601),IF(X601&gt;0,"+",IF(X601&lt;0,"−","0")),IF(ISNUMBER(W601),IF(W601&gt;0,"+",IF(W601&lt;0,"−","0")),"yok"))</f>
        <v>yok</v>
      </c>
      <c r="AK601" s="10" t="str">
        <f>IF(AND(RIGHT(C601,2)&lt;&gt;"12",ISNUMBER(U601),ISNUMBER(V601)),U601-V601,"")</f>
        <v/>
      </c>
      <c r="AL601" s="11" t="str">
        <f>IF(AND(ISNUMBER(AK601),ISNUMBER(V601)),IF(V601&lt;&gt;0,AK601/ABS(V601),""),"")</f>
        <v/>
      </c>
      <c r="AM601" s="8" t="str">
        <f>IF(ISNUMBER(AK601),IF(AK601&gt;1,1,0),"")</f>
        <v/>
      </c>
      <c r="AN601" s="8" t="str">
        <f>IF(ISNUMBER(AK601),IF(AK601&gt;0.05*ABS(V601),1,0),"")</f>
        <v/>
      </c>
      <c r="AO601" s="10"/>
      <c r="AP601" s="10"/>
      <c r="AQ601" s="8" t="s">
        <v>207</v>
      </c>
      <c r="AR601" s="8">
        <v>0</v>
      </c>
      <c r="AS601" s="10"/>
      <c r="AT601" s="10"/>
      <c r="AU601" s="8" t="s">
        <v>207</v>
      </c>
      <c r="AV601" s="10">
        <v>3.6480000000000001</v>
      </c>
      <c r="AW601" s="11" t="str">
        <f>IF(AND(ISNUMBER(AV601),ISNUMBER(AT601)),IF(AT601&lt;&gt;0,AV601/ABS(AT601),""),"")</f>
        <v/>
      </c>
      <c r="AX601" s="8">
        <v>1</v>
      </c>
      <c r="AY601" s="8">
        <v>0</v>
      </c>
      <c r="AZ601" s="8" t="s">
        <v>572</v>
      </c>
      <c r="BA601" s="8">
        <v>0</v>
      </c>
    </row>
    <row r="602" spans="1:53" x14ac:dyDescent="0.2">
      <c r="A602" s="8" t="s">
        <v>264</v>
      </c>
      <c r="B602" s="8" t="s">
        <v>82</v>
      </c>
      <c r="C602" s="8" t="s">
        <v>205</v>
      </c>
      <c r="D602" s="8">
        <v>1</v>
      </c>
      <c r="E602" s="8">
        <v>0</v>
      </c>
      <c r="F602" s="8">
        <f>SUM(G602:M602)</f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1</v>
      </c>
      <c r="P602" s="8">
        <v>1</v>
      </c>
      <c r="Q602" s="8">
        <v>0</v>
      </c>
      <c r="R602" s="8">
        <v>0</v>
      </c>
      <c r="S602" s="8">
        <v>1</v>
      </c>
      <c r="T602" s="10">
        <v>18.949000000000002</v>
      </c>
      <c r="U602" s="10"/>
      <c r="V602" s="10"/>
      <c r="W602" s="10" t="str">
        <f>IF(RIGHT(C602,2)="12",IF(ISNUMBER(T602),T602,""),IF(COUNT(T602,U602,V602)=3,T602+U602-V602,""))</f>
        <v/>
      </c>
      <c r="X602" s="10"/>
      <c r="Y602" s="10"/>
      <c r="Z602" s="10"/>
      <c r="AA602" s="10">
        <v>3.6480000000000001</v>
      </c>
      <c r="AB602" s="10">
        <v>15.3</v>
      </c>
      <c r="AC602" s="8">
        <v>1</v>
      </c>
      <c r="AD602" s="8">
        <v>0</v>
      </c>
      <c r="AE602" s="8">
        <v>0</v>
      </c>
      <c r="AF602" s="10">
        <v>18.949000000000002</v>
      </c>
      <c r="AG602" s="8">
        <f>COUNTIF(Y602:AB602,"&gt;0")</f>
        <v>2</v>
      </c>
      <c r="AH602" s="10">
        <v>15.3</v>
      </c>
      <c r="AI602" s="10">
        <v>0</v>
      </c>
      <c r="AJ602" s="8" t="str">
        <f>IF(ISNUMBER(X602),IF(X602&gt;0,"+",IF(X602&lt;0,"−","0")),IF(ISNUMBER(W602),IF(W602&gt;0,"+",IF(W602&lt;0,"−","0")),"yok"))</f>
        <v>yok</v>
      </c>
      <c r="AK602" s="10" t="str">
        <f>IF(AND(RIGHT(C602,2)&lt;&gt;"12",ISNUMBER(U602),ISNUMBER(V602)),U602-V602,"")</f>
        <v/>
      </c>
      <c r="AL602" s="11" t="str">
        <f>IF(AND(ISNUMBER(AK602),ISNUMBER(V602)),IF(V602&lt;&gt;0,AK602/ABS(V602),""),"")</f>
        <v/>
      </c>
      <c r="AM602" s="8" t="str">
        <f>IF(ISNUMBER(AK602),IF(AK602&gt;1,1,0),"")</f>
        <v/>
      </c>
      <c r="AN602" s="8" t="str">
        <f>IF(ISNUMBER(AK602),IF(AK602&gt;0.05*ABS(V602),1,0),"")</f>
        <v/>
      </c>
      <c r="AO602" s="10"/>
      <c r="AP602" s="10"/>
      <c r="AQ602" s="8" t="s">
        <v>207</v>
      </c>
      <c r="AR602" s="8">
        <v>0</v>
      </c>
      <c r="AS602" s="10"/>
      <c r="AT602" s="10"/>
      <c r="AU602" s="8" t="s">
        <v>207</v>
      </c>
      <c r="AV602" s="10">
        <v>18.949000000000002</v>
      </c>
      <c r="AW602" s="11" t="str">
        <f>IF(AND(ISNUMBER(AV602),ISNUMBER(AT602)),IF(AT602&lt;&gt;0,AV602/ABS(AT602),""),"")</f>
        <v/>
      </c>
      <c r="AX602" s="8">
        <v>1</v>
      </c>
      <c r="AY602" s="8">
        <v>0</v>
      </c>
      <c r="AZ602" s="8" t="s">
        <v>573</v>
      </c>
      <c r="BA602" s="8">
        <v>0</v>
      </c>
    </row>
    <row r="603" spans="1:53" x14ac:dyDescent="0.2">
      <c r="A603" s="8" t="s">
        <v>264</v>
      </c>
      <c r="B603" s="8" t="s">
        <v>82</v>
      </c>
      <c r="C603" s="8" t="s">
        <v>290</v>
      </c>
      <c r="D603" s="8">
        <v>1</v>
      </c>
      <c r="E603" s="8">
        <v>0</v>
      </c>
      <c r="F603" s="8">
        <f>SUM(G603:M603)</f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1</v>
      </c>
      <c r="Q603" s="8">
        <v>0</v>
      </c>
      <c r="R603" s="8">
        <v>0</v>
      </c>
      <c r="S603" s="8">
        <v>1</v>
      </c>
      <c r="T603" s="10">
        <v>-3.2469999999999999</v>
      </c>
      <c r="U603" s="10"/>
      <c r="V603" s="10"/>
      <c r="W603" s="10">
        <f>IF(RIGHT(C603,2)="12",IF(ISNUMBER(T603),T603,""),IF(COUNT(T603,U603,V603)=3,T603+U603-V603,""))</f>
        <v>-3.2469999999999999</v>
      </c>
      <c r="X603" s="10">
        <v>-3.2469999999999999</v>
      </c>
      <c r="Y603" s="10">
        <v>3.6480000000000001</v>
      </c>
      <c r="Z603" s="10">
        <v>15.3</v>
      </c>
      <c r="AA603" s="10"/>
      <c r="AB603" s="10"/>
      <c r="AC603" s="8">
        <v>0</v>
      </c>
      <c r="AD603" s="8">
        <v>0</v>
      </c>
      <c r="AE603" s="8">
        <v>0</v>
      </c>
      <c r="AF603" s="10">
        <v>0</v>
      </c>
      <c r="AG603" s="8">
        <f>COUNTIF(Y603:AB603,"&gt;0")</f>
        <v>2</v>
      </c>
      <c r="AH603" s="10">
        <v>15.3</v>
      </c>
      <c r="AI603" s="10">
        <v>0</v>
      </c>
      <c r="AJ603" s="8" t="str">
        <f>IF(ISNUMBER(X603),IF(X603&gt;0,"+",IF(X603&lt;0,"−","0")),IF(ISNUMBER(W603),IF(W603&gt;0,"+",IF(W603&lt;0,"−","0")),"yok"))</f>
        <v>−</v>
      </c>
      <c r="AK603" s="10" t="str">
        <f>IF(AND(RIGHT(C603,2)&lt;&gt;"12",ISNUMBER(U603),ISNUMBER(V603)),U603-V603,"")</f>
        <v/>
      </c>
      <c r="AL603" s="11" t="str">
        <f>IF(AND(ISNUMBER(AK603),ISNUMBER(V603)),IF(V603&lt;&gt;0,AK603/ABS(V603),""),"")</f>
        <v/>
      </c>
      <c r="AM603" s="8" t="str">
        <f>IF(ISNUMBER(AK603),IF(AK603&gt;1,1,0),"")</f>
        <v/>
      </c>
      <c r="AN603" s="8" t="str">
        <f>IF(ISNUMBER(AK603),IF(AK603&gt;0.05*ABS(V603),1,0),"")</f>
        <v/>
      </c>
      <c r="AO603" s="10">
        <v>-3.2469999999999999</v>
      </c>
      <c r="AP603" s="10">
        <v>3.2469999999999999</v>
      </c>
      <c r="AQ603" s="8" t="s">
        <v>209</v>
      </c>
      <c r="AR603" s="8">
        <v>0</v>
      </c>
      <c r="AS603" s="10">
        <v>286.12</v>
      </c>
      <c r="AT603" s="10">
        <v>233.66900000000001</v>
      </c>
      <c r="AU603" s="8" t="s">
        <v>209</v>
      </c>
      <c r="AV603" s="10">
        <v>15.3</v>
      </c>
      <c r="AW603" s="11">
        <f>IF(AND(ISNUMBER(AV603),ISNUMBER(AT603)),IF(AT603&lt;&gt;0,AV603/ABS(AT603),""),"")</f>
        <v>6.5477234892090952E-2</v>
      </c>
      <c r="AX603" s="8">
        <v>0</v>
      </c>
      <c r="AY603" s="8">
        <v>0</v>
      </c>
      <c r="AZ603" s="10"/>
      <c r="BA603" s="8">
        <v>0</v>
      </c>
    </row>
    <row r="604" spans="1:53" x14ac:dyDescent="0.2">
      <c r="A604" s="8" t="s">
        <v>574</v>
      </c>
      <c r="B604" s="8" t="s">
        <v>82</v>
      </c>
      <c r="C604" s="8" t="s">
        <v>203</v>
      </c>
      <c r="D604" s="8">
        <v>1</v>
      </c>
      <c r="E604" s="8">
        <v>0</v>
      </c>
      <c r="F604" s="8">
        <f>SUM(G604:M604)</f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1</v>
      </c>
      <c r="Q604" s="8">
        <v>0</v>
      </c>
      <c r="R604" s="8">
        <v>1</v>
      </c>
      <c r="S604" s="8">
        <v>0</v>
      </c>
      <c r="T604" s="10">
        <v>-10.420999999999999</v>
      </c>
      <c r="U604" s="10">
        <v>-47.381</v>
      </c>
      <c r="V604" s="10">
        <v>-12.929</v>
      </c>
      <c r="W604" s="10">
        <f>IF(RIGHT(C604,2)="12",IF(ISNUMBER(T604),T604,""),IF(COUNT(T604,U604,V604)=3,T604+U604-V604,""))</f>
        <v>-44.872999999999998</v>
      </c>
      <c r="X604" s="10">
        <v>-44.872999999999998</v>
      </c>
      <c r="Y604" s="10">
        <v>-35.11</v>
      </c>
      <c r="Z604" s="10">
        <v>18.858000000000001</v>
      </c>
      <c r="AA604" s="10">
        <v>-18.199000000000002</v>
      </c>
      <c r="AB604" s="10">
        <v>-10.420999999999999</v>
      </c>
      <c r="AC604" s="8">
        <v>0</v>
      </c>
      <c r="AD604" s="8">
        <v>0</v>
      </c>
      <c r="AE604" s="8">
        <v>0</v>
      </c>
      <c r="AF604" s="10">
        <v>0</v>
      </c>
      <c r="AG604" s="8">
        <f>COUNTIF(Y604:AB604,"&gt;0")</f>
        <v>1</v>
      </c>
      <c r="AH604" s="10">
        <v>0</v>
      </c>
      <c r="AI604" s="10">
        <v>18.858000000000001</v>
      </c>
      <c r="AJ604" s="8" t="str">
        <f>IF(ISNUMBER(X604),IF(X604&gt;0,"+",IF(X604&lt;0,"−","0")),IF(ISNUMBER(W604),IF(W604&gt;0,"+",IF(W604&lt;0,"−","0")),"yok"))</f>
        <v>−</v>
      </c>
      <c r="AK604" s="10">
        <f>IF(AND(RIGHT(C604,2)&lt;&gt;"12",ISNUMBER(U604),ISNUMBER(V604)),U604-V604,"")</f>
        <v>-34.451999999999998</v>
      </c>
      <c r="AL604" s="11">
        <f>IF(AND(ISNUMBER(AK604),ISNUMBER(V604)),IF(V604&lt;&gt;0,AK604/ABS(V604),""),"")</f>
        <v>-2.6647072472735709</v>
      </c>
      <c r="AM604" s="8">
        <f>IF(ISNUMBER(AK604),IF(AK604&gt;1,1,0),"")</f>
        <v>0</v>
      </c>
      <c r="AN604" s="8">
        <f>IF(ISNUMBER(AK604),IF(AK604&gt;0.05*ABS(V604),1,0),"")</f>
        <v>0</v>
      </c>
      <c r="AO604" s="10">
        <v>-44.874000000000002</v>
      </c>
      <c r="AP604" s="10">
        <v>44.874000000000002</v>
      </c>
      <c r="AQ604" s="8" t="s">
        <v>204</v>
      </c>
      <c r="AR604" s="8">
        <v>0</v>
      </c>
      <c r="AS604" s="10">
        <v>65.697000000000003</v>
      </c>
      <c r="AT604" s="10"/>
      <c r="AU604" s="8" t="s">
        <v>207</v>
      </c>
      <c r="AV604" s="10">
        <v>18.858000000000001</v>
      </c>
      <c r="AW604" s="11" t="str">
        <f>IF(AND(ISNUMBER(AV604),ISNUMBER(AT604)),IF(AT604&lt;&gt;0,AV604/ABS(AT604),""),"")</f>
        <v/>
      </c>
      <c r="AX604" s="8">
        <v>0</v>
      </c>
      <c r="AY604" s="8">
        <v>0</v>
      </c>
      <c r="AZ604" s="10"/>
      <c r="BA604" s="8">
        <v>0</v>
      </c>
    </row>
    <row r="605" spans="1:53" x14ac:dyDescent="0.2">
      <c r="A605" s="8" t="s">
        <v>574</v>
      </c>
      <c r="B605" s="8" t="s">
        <v>82</v>
      </c>
      <c r="C605" s="8" t="s">
        <v>205</v>
      </c>
      <c r="D605" s="8">
        <v>1</v>
      </c>
      <c r="E605" s="8">
        <v>0</v>
      </c>
      <c r="F605" s="8">
        <f>SUM(G605:M605)</f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1</v>
      </c>
      <c r="Q605" s="8">
        <v>0</v>
      </c>
      <c r="R605" s="8">
        <v>1</v>
      </c>
      <c r="S605" s="8">
        <v>0</v>
      </c>
      <c r="T605" s="10">
        <v>-20.305</v>
      </c>
      <c r="U605" s="10">
        <v>-47.381</v>
      </c>
      <c r="V605" s="10">
        <v>-48.04</v>
      </c>
      <c r="W605" s="10">
        <f>IF(RIGHT(C605,2)="12",IF(ISNUMBER(T605),T605,""),IF(COUNT(T605,U605,V605)=3,T605+U605-V605,""))</f>
        <v>-19.646000000000008</v>
      </c>
      <c r="X605" s="10">
        <v>-19.646000000000001</v>
      </c>
      <c r="Y605" s="10">
        <v>18.858000000000001</v>
      </c>
      <c r="Z605" s="10">
        <v>-18.199000000000002</v>
      </c>
      <c r="AA605" s="10">
        <v>-10.420999999999999</v>
      </c>
      <c r="AB605" s="10">
        <v>-9.8829999999999991</v>
      </c>
      <c r="AC605" s="8">
        <v>0</v>
      </c>
      <c r="AD605" s="8">
        <v>0</v>
      </c>
      <c r="AE605" s="8">
        <v>0</v>
      </c>
      <c r="AF605" s="10">
        <v>0</v>
      </c>
      <c r="AG605" s="8">
        <f>COUNTIF(Y605:AB605,"&gt;0")</f>
        <v>1</v>
      </c>
      <c r="AH605" s="10">
        <v>0</v>
      </c>
      <c r="AI605" s="10">
        <v>18.858000000000001</v>
      </c>
      <c r="AJ605" s="8" t="str">
        <f>IF(ISNUMBER(X605),IF(X605&gt;0,"+",IF(X605&lt;0,"−","0")),IF(ISNUMBER(W605),IF(W605&gt;0,"+",IF(W605&lt;0,"−","0")),"yok"))</f>
        <v>−</v>
      </c>
      <c r="AK605" s="10">
        <f>IF(AND(RIGHT(C605,2)&lt;&gt;"12",ISNUMBER(U605),ISNUMBER(V605)),U605-V605,"")</f>
        <v>0.65899999999999892</v>
      </c>
      <c r="AL605" s="11">
        <f>IF(AND(ISNUMBER(AK605),ISNUMBER(V605)),IF(V605&lt;&gt;0,AK605/ABS(V605),""),"")</f>
        <v>1.3717735220649436E-2</v>
      </c>
      <c r="AM605" s="8">
        <f>IF(ISNUMBER(AK605),IF(AK605&gt;1,1,0),"")</f>
        <v>0</v>
      </c>
      <c r="AN605" s="8">
        <f>IF(ISNUMBER(AK605),IF(AK605&gt;0.05*ABS(V605),1,0),"")</f>
        <v>0</v>
      </c>
      <c r="AO605" s="10">
        <v>-19.646999999999998</v>
      </c>
      <c r="AP605" s="10">
        <v>19.646999999999998</v>
      </c>
      <c r="AQ605" s="8" t="s">
        <v>204</v>
      </c>
      <c r="AR605" s="8">
        <v>0</v>
      </c>
      <c r="AS605" s="10">
        <v>71.459999999999994</v>
      </c>
      <c r="AT605" s="10"/>
      <c r="AU605" s="8" t="s">
        <v>207</v>
      </c>
      <c r="AV605" s="10">
        <v>0.65899999999999903</v>
      </c>
      <c r="AW605" s="11" t="str">
        <f>IF(AND(ISNUMBER(AV605),ISNUMBER(AT605)),IF(AT605&lt;&gt;0,AV605/ABS(AT605),""),"")</f>
        <v/>
      </c>
      <c r="AX605" s="8">
        <v>0</v>
      </c>
      <c r="AY605" s="8">
        <v>0</v>
      </c>
      <c r="AZ605" s="10"/>
      <c r="BA605" s="8">
        <v>0</v>
      </c>
    </row>
    <row r="606" spans="1:53" x14ac:dyDescent="0.2">
      <c r="A606" s="8" t="s">
        <v>267</v>
      </c>
      <c r="B606" s="8" t="s">
        <v>82</v>
      </c>
      <c r="C606" s="8" t="s">
        <v>203</v>
      </c>
      <c r="D606" s="8">
        <v>1</v>
      </c>
      <c r="E606" s="8">
        <v>0</v>
      </c>
      <c r="F606" s="8">
        <f>SUM(G606:M606)</f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1</v>
      </c>
      <c r="Q606" s="8">
        <v>0</v>
      </c>
      <c r="R606" s="8">
        <v>1</v>
      </c>
      <c r="S606" s="8">
        <v>0</v>
      </c>
      <c r="T606" s="10">
        <v>-86.918999999999997</v>
      </c>
      <c r="U606" s="10">
        <v>-52.180999999999997</v>
      </c>
      <c r="V606" s="10">
        <v>-8.8249999999999993</v>
      </c>
      <c r="W606" s="10">
        <f>IF(RIGHT(C606,2)="12",IF(ISNUMBER(T606),T606,""),IF(COUNT(T606,U606,V606)=3,T606+U606-V606,""))</f>
        <v>-130.27500000000001</v>
      </c>
      <c r="X606" s="10">
        <v>-130.27500000000001</v>
      </c>
      <c r="Y606" s="10">
        <v>-4.9560000000000004</v>
      </c>
      <c r="Z606" s="10">
        <v>1.1279999999999999</v>
      </c>
      <c r="AA606" s="10">
        <v>-39.527000000000001</v>
      </c>
      <c r="AB606" s="10">
        <v>-86.918999999999997</v>
      </c>
      <c r="AC606" s="8">
        <v>0</v>
      </c>
      <c r="AD606" s="8">
        <v>0</v>
      </c>
      <c r="AE606" s="8">
        <v>0</v>
      </c>
      <c r="AF606" s="10">
        <v>0</v>
      </c>
      <c r="AG606" s="8">
        <f>COUNTIF(Y606:AB606,"&gt;0")</f>
        <v>1</v>
      </c>
      <c r="AH606" s="10">
        <v>0</v>
      </c>
      <c r="AI606" s="10">
        <v>1.1279999999999999</v>
      </c>
      <c r="AJ606" s="8" t="str">
        <f>IF(ISNUMBER(X606),IF(X606&gt;0,"+",IF(X606&lt;0,"−","0")),IF(ISNUMBER(W606),IF(W606&gt;0,"+",IF(W606&lt;0,"−","0")),"yok"))</f>
        <v>−</v>
      </c>
      <c r="AK606" s="10">
        <f>IF(AND(RIGHT(C606,2)&lt;&gt;"12",ISNUMBER(U606),ISNUMBER(V606)),U606-V606,"")</f>
        <v>-43.355999999999995</v>
      </c>
      <c r="AL606" s="11">
        <f>IF(AND(ISNUMBER(AK606),ISNUMBER(V606)),IF(V606&lt;&gt;0,AK606/ABS(V606),""),"")</f>
        <v>-4.9128611898016992</v>
      </c>
      <c r="AM606" s="8">
        <f>IF(ISNUMBER(AK606),IF(AK606&gt;1,1,0),"")</f>
        <v>0</v>
      </c>
      <c r="AN606" s="8">
        <f>IF(ISNUMBER(AK606),IF(AK606&gt;0.05*ABS(V606),1,0),"")</f>
        <v>0</v>
      </c>
      <c r="AO606" s="10">
        <v>-130.27500000000001</v>
      </c>
      <c r="AP606" s="10">
        <v>130.27500000000001</v>
      </c>
      <c r="AQ606" s="8" t="s">
        <v>204</v>
      </c>
      <c r="AR606" s="8">
        <v>0</v>
      </c>
      <c r="AS606" s="10">
        <v>-2202.29</v>
      </c>
      <c r="AT606" s="10">
        <v>-5638.8230000000003</v>
      </c>
      <c r="AU606" s="8" t="s">
        <v>212</v>
      </c>
      <c r="AV606" s="10">
        <v>1.1279999999999999</v>
      </c>
      <c r="AW606" s="11">
        <f>IF(AND(ISNUMBER(AV606),ISNUMBER(AT606)),IF(AT606&lt;&gt;0,AV606/ABS(AT606),""),"")</f>
        <v>2.0004174630060205E-4</v>
      </c>
      <c r="AX606" s="8">
        <v>0</v>
      </c>
      <c r="AY606" s="8">
        <v>0</v>
      </c>
      <c r="AZ606" s="10"/>
      <c r="BA606" s="8">
        <v>0</v>
      </c>
    </row>
    <row r="607" spans="1:53" x14ac:dyDescent="0.2">
      <c r="A607" s="8" t="s">
        <v>267</v>
      </c>
      <c r="B607" s="8" t="s">
        <v>82</v>
      </c>
      <c r="C607" s="8" t="s">
        <v>205</v>
      </c>
      <c r="D607" s="8">
        <v>1</v>
      </c>
      <c r="E607" s="8">
        <v>0</v>
      </c>
      <c r="F607" s="8">
        <f>SUM(G607:M607)</f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1</v>
      </c>
      <c r="Q607" s="8">
        <v>0</v>
      </c>
      <c r="R607" s="8">
        <v>1</v>
      </c>
      <c r="S607" s="8">
        <v>1</v>
      </c>
      <c r="T607" s="10">
        <v>-15.307</v>
      </c>
      <c r="U607" s="10">
        <v>-52.180999999999997</v>
      </c>
      <c r="V607" s="10">
        <v>-13.781000000000001</v>
      </c>
      <c r="W607" s="10">
        <f>IF(RIGHT(C607,2)="12",IF(ISNUMBER(T607),T607,""),IF(COUNT(T607,U607,V607)=3,T607+U607-V607,""))</f>
        <v>-53.707000000000001</v>
      </c>
      <c r="X607" s="10">
        <v>-53.706000000000003</v>
      </c>
      <c r="Y607" s="10">
        <v>1.1279999999999999</v>
      </c>
      <c r="Z607" s="10">
        <v>-39.527000000000001</v>
      </c>
      <c r="AA607" s="10">
        <v>-86.918999999999997</v>
      </c>
      <c r="AB607" s="10">
        <v>71.611000000000004</v>
      </c>
      <c r="AC607" s="8">
        <v>0</v>
      </c>
      <c r="AD607" s="8">
        <v>0</v>
      </c>
      <c r="AE607" s="8">
        <v>0</v>
      </c>
      <c r="AF607" s="10">
        <v>0</v>
      </c>
      <c r="AG607" s="8">
        <f>COUNTIF(Y607:AB607,"&gt;0")</f>
        <v>2</v>
      </c>
      <c r="AH607" s="10">
        <v>71.611000000000004</v>
      </c>
      <c r="AI607" s="10">
        <v>1.1279999999999999</v>
      </c>
      <c r="AJ607" s="8" t="str">
        <f>IF(ISNUMBER(X607),IF(X607&gt;0,"+",IF(X607&lt;0,"−","0")),IF(ISNUMBER(W607),IF(W607&gt;0,"+",IF(W607&lt;0,"−","0")),"yok"))</f>
        <v>−</v>
      </c>
      <c r="AK607" s="10">
        <f>IF(AND(RIGHT(C607,2)&lt;&gt;"12",ISNUMBER(U607),ISNUMBER(V607)),U607-V607,"")</f>
        <v>-38.4</v>
      </c>
      <c r="AL607" s="11">
        <f>IF(AND(ISNUMBER(AK607),ISNUMBER(V607)),IF(V607&lt;&gt;0,AK607/ABS(V607),""),"")</f>
        <v>-2.7864451055801465</v>
      </c>
      <c r="AM607" s="8">
        <f>IF(ISNUMBER(AK607),IF(AK607&gt;1,1,0),"")</f>
        <v>0</v>
      </c>
      <c r="AN607" s="8">
        <f>IF(ISNUMBER(AK607),IF(AK607&gt;0.05*ABS(V607),1,0),"")</f>
        <v>0</v>
      </c>
      <c r="AO607" s="10">
        <v>-53.706000000000003</v>
      </c>
      <c r="AP607" s="10">
        <v>53.706000000000003</v>
      </c>
      <c r="AQ607" s="8" t="s">
        <v>204</v>
      </c>
      <c r="AR607" s="8">
        <v>0</v>
      </c>
      <c r="AS607" s="10">
        <v>179.458</v>
      </c>
      <c r="AT607" s="10">
        <v>-3984.0650000000001</v>
      </c>
      <c r="AU607" s="8" t="s">
        <v>212</v>
      </c>
      <c r="AV607" s="10">
        <v>71.611000000000004</v>
      </c>
      <c r="AW607" s="11">
        <f>IF(AND(ISNUMBER(AV607),ISNUMBER(AT607)),IF(AT607&lt;&gt;0,AV607/ABS(AT607),""),"")</f>
        <v>1.797435533807807E-2</v>
      </c>
      <c r="AX607" s="8">
        <v>0</v>
      </c>
      <c r="AY607" s="8">
        <v>0</v>
      </c>
      <c r="AZ607" s="10"/>
      <c r="BA607" s="8">
        <v>0</v>
      </c>
    </row>
    <row r="608" spans="1:53" x14ac:dyDescent="0.2">
      <c r="A608" s="8" t="s">
        <v>267</v>
      </c>
      <c r="B608" s="8" t="s">
        <v>82</v>
      </c>
      <c r="C608" s="8" t="s">
        <v>215</v>
      </c>
      <c r="D608" s="8">
        <v>1</v>
      </c>
      <c r="E608" s="8">
        <v>0</v>
      </c>
      <c r="F608" s="8">
        <f>SUM(G608:M608)</f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1</v>
      </c>
      <c r="Q608" s="8">
        <v>0</v>
      </c>
      <c r="R608" s="8">
        <v>0</v>
      </c>
      <c r="S608" s="8">
        <v>1</v>
      </c>
      <c r="T608" s="10">
        <v>-27.527000000000001</v>
      </c>
      <c r="U608" s="10">
        <v>-52.180999999999997</v>
      </c>
      <c r="V608" s="10">
        <v>-12.653</v>
      </c>
      <c r="W608" s="10">
        <f>IF(RIGHT(C608,2)="12",IF(ISNUMBER(T608),T608,""),IF(COUNT(T608,U608,V608)=3,T608+U608-V608,""))</f>
        <v>-67.054999999999993</v>
      </c>
      <c r="X608" s="10">
        <v>-67.055000000000007</v>
      </c>
      <c r="Y608" s="10">
        <v>-39.527000000000001</v>
      </c>
      <c r="Z608" s="10">
        <v>-86.918999999999997</v>
      </c>
      <c r="AA608" s="10">
        <v>71.611000000000004</v>
      </c>
      <c r="AB608" s="10">
        <v>-12.22</v>
      </c>
      <c r="AC608" s="8">
        <v>0</v>
      </c>
      <c r="AD608" s="8">
        <v>0</v>
      </c>
      <c r="AE608" s="8">
        <v>0</v>
      </c>
      <c r="AF608" s="10">
        <v>0</v>
      </c>
      <c r="AG608" s="8">
        <f>COUNTIF(Y608:AB608,"&gt;0")</f>
        <v>1</v>
      </c>
      <c r="AH608" s="10">
        <v>71.611000000000004</v>
      </c>
      <c r="AI608" s="10">
        <v>0</v>
      </c>
      <c r="AJ608" s="8" t="str">
        <f>IF(ISNUMBER(X608),IF(X608&gt;0,"+",IF(X608&lt;0,"−","0")),IF(ISNUMBER(W608),IF(W608&gt;0,"+",IF(W608&lt;0,"−","0")),"yok"))</f>
        <v>−</v>
      </c>
      <c r="AK608" s="10">
        <f>IF(AND(RIGHT(C608,2)&lt;&gt;"12",ISNUMBER(U608),ISNUMBER(V608)),U608-V608,"")</f>
        <v>-39.527999999999999</v>
      </c>
      <c r="AL608" s="11">
        <f>IF(AND(ISNUMBER(AK608),ISNUMBER(V608)),IF(V608&lt;&gt;0,AK608/ABS(V608),""),"")</f>
        <v>-3.1240022129139331</v>
      </c>
      <c r="AM608" s="8">
        <f>IF(ISNUMBER(AK608),IF(AK608&gt;1,1,0),"")</f>
        <v>0</v>
      </c>
      <c r="AN608" s="8">
        <f>IF(ISNUMBER(AK608),IF(AK608&gt;0.05*ABS(V608),1,0),"")</f>
        <v>0</v>
      </c>
      <c r="AO608" s="10">
        <v>-67.055999999999997</v>
      </c>
      <c r="AP608" s="10">
        <v>67.055999999999997</v>
      </c>
      <c r="AQ608" s="8" t="s">
        <v>204</v>
      </c>
      <c r="AR608" s="8">
        <v>0</v>
      </c>
      <c r="AS608" s="10">
        <v>-996.35500000000002</v>
      </c>
      <c r="AT608" s="10">
        <v>-5291.9340000000002</v>
      </c>
      <c r="AU608" s="8" t="s">
        <v>212</v>
      </c>
      <c r="AV608" s="10">
        <v>71.611000000000004</v>
      </c>
      <c r="AW608" s="11">
        <f>IF(AND(ISNUMBER(AV608),ISNUMBER(AT608)),IF(AT608&lt;&gt;0,AV608/ABS(AT608),""),"")</f>
        <v>1.3532103763954728E-2</v>
      </c>
      <c r="AX608" s="8">
        <v>0</v>
      </c>
      <c r="AY608" s="8">
        <v>0</v>
      </c>
      <c r="AZ608" s="10"/>
      <c r="BA608" s="8">
        <v>0</v>
      </c>
    </row>
    <row r="609" spans="1:53" x14ac:dyDescent="0.2">
      <c r="A609" s="8" t="s">
        <v>267</v>
      </c>
      <c r="B609" s="8" t="s">
        <v>82</v>
      </c>
      <c r="C609" s="8" t="s">
        <v>290</v>
      </c>
      <c r="D609" s="8">
        <v>1</v>
      </c>
      <c r="E609" s="8">
        <v>0</v>
      </c>
      <c r="F609" s="8">
        <f>SUM(G609:M609)</f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1</v>
      </c>
      <c r="Q609" s="8">
        <v>0</v>
      </c>
      <c r="R609" s="8">
        <v>0</v>
      </c>
      <c r="S609" s="8">
        <v>1</v>
      </c>
      <c r="T609" s="10">
        <v>-25.904</v>
      </c>
      <c r="U609" s="10"/>
      <c r="V609" s="10"/>
      <c r="W609" s="10">
        <f>IF(RIGHT(C609,2)="12",IF(ISNUMBER(T609),T609,""),IF(COUNT(T609,U609,V609)=3,T609+U609-V609,""))</f>
        <v>-25.904</v>
      </c>
      <c r="X609" s="10">
        <v>-25.904</v>
      </c>
      <c r="Y609" s="10">
        <v>-86.918999999999997</v>
      </c>
      <c r="Z609" s="10">
        <v>71.611000000000004</v>
      </c>
      <c r="AA609" s="10">
        <v>-12.22</v>
      </c>
      <c r="AB609" s="10">
        <v>1.623</v>
      </c>
      <c r="AC609" s="8">
        <v>0</v>
      </c>
      <c r="AD609" s="8">
        <v>0</v>
      </c>
      <c r="AE609" s="8">
        <v>0</v>
      </c>
      <c r="AF609" s="10">
        <v>0</v>
      </c>
      <c r="AG609" s="8">
        <f>COUNTIF(Y609:AB609,"&gt;0")</f>
        <v>2</v>
      </c>
      <c r="AH609" s="10">
        <v>73.233999999999995</v>
      </c>
      <c r="AI609" s="10">
        <v>0</v>
      </c>
      <c r="AJ609" s="8" t="str">
        <f>IF(ISNUMBER(X609),IF(X609&gt;0,"+",IF(X609&lt;0,"−","0")),IF(ISNUMBER(W609),IF(W609&gt;0,"+",IF(W609&lt;0,"−","0")),"yok"))</f>
        <v>−</v>
      </c>
      <c r="AK609" s="10" t="str">
        <f>IF(AND(RIGHT(C609,2)&lt;&gt;"12",ISNUMBER(U609),ISNUMBER(V609)),U609-V609,"")</f>
        <v/>
      </c>
      <c r="AL609" s="11" t="str">
        <f>IF(AND(ISNUMBER(AK609),ISNUMBER(V609)),IF(V609&lt;&gt;0,AK609/ABS(V609),""),"")</f>
        <v/>
      </c>
      <c r="AM609" s="8" t="str">
        <f>IF(ISNUMBER(AK609),IF(AK609&gt;1,1,0),"")</f>
        <v/>
      </c>
      <c r="AN609" s="8" t="str">
        <f>IF(ISNUMBER(AK609),IF(AK609&gt;0.05*ABS(V609),1,0),"")</f>
        <v/>
      </c>
      <c r="AO609" s="10">
        <v>-25.904</v>
      </c>
      <c r="AP609" s="10">
        <v>25.904</v>
      </c>
      <c r="AQ609" s="8" t="s">
        <v>204</v>
      </c>
      <c r="AR609" s="8">
        <v>0</v>
      </c>
      <c r="AS609" s="10">
        <v>2566.9839999999999</v>
      </c>
      <c r="AT609" s="10">
        <v>-1412.9359999999999</v>
      </c>
      <c r="AU609" s="8" t="s">
        <v>204</v>
      </c>
      <c r="AV609" s="10">
        <v>71.611000000000004</v>
      </c>
      <c r="AW609" s="11">
        <f>IF(AND(ISNUMBER(AV609),ISNUMBER(AT609)),IF(AT609&lt;&gt;0,AV609/ABS(AT609),""),"")</f>
        <v>5.0682408828142254E-2</v>
      </c>
      <c r="AX609" s="8">
        <v>0</v>
      </c>
      <c r="AY609" s="8">
        <v>0</v>
      </c>
      <c r="AZ609" s="10"/>
      <c r="BA609" s="8">
        <v>0</v>
      </c>
    </row>
    <row r="610" spans="1:53" x14ac:dyDescent="0.2">
      <c r="A610" s="8" t="s">
        <v>267</v>
      </c>
      <c r="B610" s="8" t="s">
        <v>82</v>
      </c>
      <c r="C610" s="8" t="s">
        <v>210</v>
      </c>
      <c r="D610" s="8">
        <v>1</v>
      </c>
      <c r="E610" s="8">
        <v>0</v>
      </c>
      <c r="F610" s="8">
        <f>SUM(G610:M610)</f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1</v>
      </c>
      <c r="Q610" s="8">
        <v>0</v>
      </c>
      <c r="R610" s="8">
        <v>1</v>
      </c>
      <c r="S610" s="8">
        <v>0</v>
      </c>
      <c r="T610" s="10">
        <v>-13.1</v>
      </c>
      <c r="U610" s="10">
        <v>-25.904</v>
      </c>
      <c r="V610" s="10">
        <v>-15.307</v>
      </c>
      <c r="W610" s="10">
        <f>IF(RIGHT(C610,2)="12",IF(ISNUMBER(T610),T610,""),IF(COUNT(T610,U610,V610)=3,T610+U610-V610,""))</f>
        <v>-23.696999999999996</v>
      </c>
      <c r="X610" s="10">
        <v>-23.696999999999999</v>
      </c>
      <c r="Y610" s="10">
        <v>-12.22</v>
      </c>
      <c r="Z610" s="10">
        <v>1.623</v>
      </c>
      <c r="AA610" s="10">
        <v>-11.022</v>
      </c>
      <c r="AB610" s="10">
        <v>-2.077</v>
      </c>
      <c r="AC610" s="8">
        <v>0</v>
      </c>
      <c r="AD610" s="8">
        <v>0</v>
      </c>
      <c r="AE610" s="8">
        <v>0</v>
      </c>
      <c r="AF610" s="10">
        <v>0</v>
      </c>
      <c r="AG610" s="8">
        <f>COUNTIF(Y610:AB610,"&gt;0")</f>
        <v>1</v>
      </c>
      <c r="AH610" s="10">
        <v>0</v>
      </c>
      <c r="AI610" s="10">
        <v>1.623</v>
      </c>
      <c r="AJ610" s="8" t="str">
        <f>IF(ISNUMBER(X610),IF(X610&gt;0,"+",IF(X610&lt;0,"−","0")),IF(ISNUMBER(W610),IF(W610&gt;0,"+",IF(W610&lt;0,"−","0")),"yok"))</f>
        <v>−</v>
      </c>
      <c r="AK610" s="10">
        <f>IF(AND(RIGHT(C610,2)&lt;&gt;"12",ISNUMBER(U610),ISNUMBER(V610)),U610-V610,"")</f>
        <v>-10.597</v>
      </c>
      <c r="AL610" s="11">
        <f>IF(AND(ISNUMBER(AK610),ISNUMBER(V610)),IF(V610&lt;&gt;0,AK610/ABS(V610),""),"")</f>
        <v>-0.69229764160188145</v>
      </c>
      <c r="AM610" s="8">
        <f>IF(ISNUMBER(AK610),IF(AK610&gt;1,1,0),"")</f>
        <v>0</v>
      </c>
      <c r="AN610" s="8">
        <f>IF(ISNUMBER(AK610),IF(AK610&gt;0.05*ABS(V610),1,0),"")</f>
        <v>0</v>
      </c>
      <c r="AO610" s="10">
        <v>-23.696999999999999</v>
      </c>
      <c r="AP610" s="10">
        <v>23.696999999999999</v>
      </c>
      <c r="AQ610" s="8" t="s">
        <v>204</v>
      </c>
      <c r="AR610" s="8">
        <v>0</v>
      </c>
      <c r="AS610" s="10">
        <v>549.60900000000004</v>
      </c>
      <c r="AT610" s="10">
        <v>-1155.3579999999999</v>
      </c>
      <c r="AU610" s="8" t="s">
        <v>204</v>
      </c>
      <c r="AV610" s="10">
        <v>1.623</v>
      </c>
      <c r="AW610" s="11">
        <f>IF(AND(ISNUMBER(AV610),ISNUMBER(AT610)),IF(AT610&lt;&gt;0,AV610/ABS(AT610),""),"")</f>
        <v>1.4047593905958155E-3</v>
      </c>
      <c r="AX610" s="8">
        <v>0</v>
      </c>
      <c r="AY610" s="8">
        <v>0</v>
      </c>
      <c r="AZ610" s="10"/>
      <c r="BA610" s="8">
        <v>0</v>
      </c>
    </row>
    <row r="611" spans="1:53" x14ac:dyDescent="0.2">
      <c r="A611" s="8" t="s">
        <v>268</v>
      </c>
      <c r="B611" s="8" t="s">
        <v>83</v>
      </c>
      <c r="C611" s="8" t="s">
        <v>205</v>
      </c>
      <c r="D611" s="8">
        <v>1</v>
      </c>
      <c r="E611" s="8">
        <v>0</v>
      </c>
      <c r="F611" s="8">
        <f>SUM(G611:M611)</f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1</v>
      </c>
      <c r="Q611" s="8">
        <v>0</v>
      </c>
      <c r="R611" s="8">
        <v>0</v>
      </c>
      <c r="S611" s="8">
        <v>1</v>
      </c>
      <c r="T611" s="10">
        <v>-75.86</v>
      </c>
      <c r="U611" s="10">
        <v>-818.00800000000004</v>
      </c>
      <c r="V611" s="10">
        <v>-125.94499999999999</v>
      </c>
      <c r="W611" s="10">
        <f>IF(RIGHT(C611,2)="12",IF(ISNUMBER(T611),T611,""),IF(COUNT(T611,U611,V611)=3,T611+U611-V611,""))</f>
        <v>-767.923</v>
      </c>
      <c r="X611" s="10">
        <v>-767.923</v>
      </c>
      <c r="Y611" s="10">
        <v>-117.905</v>
      </c>
      <c r="Z611" s="10">
        <v>-574.15700000000004</v>
      </c>
      <c r="AA611" s="10">
        <v>-82.405000000000001</v>
      </c>
      <c r="AB611" s="10">
        <v>6.5449999999999999</v>
      </c>
      <c r="AC611" s="8">
        <v>0</v>
      </c>
      <c r="AD611" s="8">
        <v>0</v>
      </c>
      <c r="AE611" s="8">
        <v>0</v>
      </c>
      <c r="AF611" s="10">
        <v>0</v>
      </c>
      <c r="AG611" s="8">
        <f>COUNTIF(Y611:AB611,"&gt;0")</f>
        <v>1</v>
      </c>
      <c r="AH611" s="10">
        <v>6.5449999999999999</v>
      </c>
      <c r="AI611" s="10">
        <v>0</v>
      </c>
      <c r="AJ611" s="8" t="str">
        <f>IF(ISNUMBER(X611),IF(X611&gt;0,"+",IF(X611&lt;0,"−","0")),IF(ISNUMBER(W611),IF(W611&gt;0,"+",IF(W611&lt;0,"−","0")),"yok"))</f>
        <v>−</v>
      </c>
      <c r="AK611" s="10">
        <f>IF(AND(RIGHT(C611,2)&lt;&gt;"12",ISNUMBER(U611),ISNUMBER(V611)),U611-V611,"")</f>
        <v>-692.0630000000001</v>
      </c>
      <c r="AL611" s="11">
        <f>IF(AND(ISNUMBER(AK611),ISNUMBER(V611)),IF(V611&lt;&gt;0,AK611/ABS(V611),""),"")</f>
        <v>-5.4949620866251152</v>
      </c>
      <c r="AM611" s="8">
        <f>IF(ISNUMBER(AK611),IF(AK611&gt;1,1,0),"")</f>
        <v>0</v>
      </c>
      <c r="AN611" s="8">
        <f>IF(ISNUMBER(AK611),IF(AK611&gt;0.05*ABS(V611),1,0),"")</f>
        <v>0</v>
      </c>
      <c r="AO611" s="10">
        <v>-767.923</v>
      </c>
      <c r="AP611" s="10">
        <v>767.923</v>
      </c>
      <c r="AQ611" s="8" t="s">
        <v>204</v>
      </c>
      <c r="AR611" s="8">
        <v>0</v>
      </c>
      <c r="AS611" s="10">
        <v>393.41199999999998</v>
      </c>
      <c r="AT611" s="10">
        <v>-374.51100000000002</v>
      </c>
      <c r="AU611" s="8" t="s">
        <v>204</v>
      </c>
      <c r="AV611" s="10">
        <v>6.5449999999999999</v>
      </c>
      <c r="AW611" s="11">
        <f>IF(AND(ISNUMBER(AV611),ISNUMBER(AT611)),IF(AT611&lt;&gt;0,AV611/ABS(AT611),""),"")</f>
        <v>1.7476122196677799E-2</v>
      </c>
      <c r="AX611" s="8">
        <v>0</v>
      </c>
      <c r="AY611" s="8">
        <v>0</v>
      </c>
      <c r="AZ611" s="10"/>
      <c r="BA611" s="8">
        <v>0</v>
      </c>
    </row>
    <row r="612" spans="1:53" x14ac:dyDescent="0.2">
      <c r="A612" s="8" t="s">
        <v>268</v>
      </c>
      <c r="B612" s="8" t="s">
        <v>83</v>
      </c>
      <c r="C612" s="8" t="s">
        <v>215</v>
      </c>
      <c r="D612" s="8">
        <v>1</v>
      </c>
      <c r="E612" s="8">
        <v>0</v>
      </c>
      <c r="F612" s="8">
        <f>SUM(G612:M612)</f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1</v>
      </c>
      <c r="Q612" s="8">
        <v>0</v>
      </c>
      <c r="R612" s="8">
        <v>0</v>
      </c>
      <c r="S612" s="8">
        <v>1</v>
      </c>
      <c r="T612" s="10">
        <v>-112.04900000000001</v>
      </c>
      <c r="U612" s="10">
        <v>-818.00800000000004</v>
      </c>
      <c r="V612" s="10">
        <v>-243.85</v>
      </c>
      <c r="W612" s="10">
        <f>IF(RIGHT(C612,2)="12",IF(ISNUMBER(T612),T612,""),IF(COUNT(T612,U612,V612)=3,T612+U612-V612,""))</f>
        <v>-686.20699999999999</v>
      </c>
      <c r="X612" s="10">
        <v>-686.20600000000002</v>
      </c>
      <c r="Y612" s="10">
        <v>-574.15700000000004</v>
      </c>
      <c r="Z612" s="10">
        <v>-82.405000000000001</v>
      </c>
      <c r="AA612" s="10">
        <v>6.5449999999999999</v>
      </c>
      <c r="AB612" s="10">
        <v>-36.188000000000002</v>
      </c>
      <c r="AC612" s="8">
        <v>0</v>
      </c>
      <c r="AD612" s="8">
        <v>0</v>
      </c>
      <c r="AE612" s="8">
        <v>0</v>
      </c>
      <c r="AF612" s="10">
        <v>0</v>
      </c>
      <c r="AG612" s="8">
        <f>COUNTIF(Y612:AB612,"&gt;0")</f>
        <v>1</v>
      </c>
      <c r="AH612" s="10">
        <v>6.5449999999999999</v>
      </c>
      <c r="AI612" s="10">
        <v>0</v>
      </c>
      <c r="AJ612" s="8" t="str">
        <f>IF(ISNUMBER(X612),IF(X612&gt;0,"+",IF(X612&lt;0,"−","0")),IF(ISNUMBER(W612),IF(W612&gt;0,"+",IF(W612&lt;0,"−","0")),"yok"))</f>
        <v>−</v>
      </c>
      <c r="AK612" s="10">
        <f>IF(AND(RIGHT(C612,2)&lt;&gt;"12",ISNUMBER(U612),ISNUMBER(V612)),U612-V612,"")</f>
        <v>-574.15800000000002</v>
      </c>
      <c r="AL612" s="11">
        <f>IF(AND(ISNUMBER(AK612),ISNUMBER(V612)),IF(V612&lt;&gt;0,AK612/ABS(V612),""),"")</f>
        <v>-2.3545540291162603</v>
      </c>
      <c r="AM612" s="8">
        <f>IF(ISNUMBER(AK612),IF(AK612&gt;1,1,0),"")</f>
        <v>0</v>
      </c>
      <c r="AN612" s="8">
        <f>IF(ISNUMBER(AK612),IF(AK612&gt;0.05*ABS(V612),1,0),"")</f>
        <v>0</v>
      </c>
      <c r="AO612" s="10">
        <v>-686.20699999999999</v>
      </c>
      <c r="AP612" s="10">
        <v>686.20699999999999</v>
      </c>
      <c r="AQ612" s="8" t="s">
        <v>204</v>
      </c>
      <c r="AR612" s="8">
        <v>0</v>
      </c>
      <c r="AS612" s="10">
        <v>511.245</v>
      </c>
      <c r="AT612" s="10">
        <v>-174.96199999999999</v>
      </c>
      <c r="AU612" s="8" t="s">
        <v>204</v>
      </c>
      <c r="AV612" s="10">
        <v>6.5449999999999999</v>
      </c>
      <c r="AW612" s="11">
        <f>IF(AND(ISNUMBER(AV612),ISNUMBER(AT612)),IF(AT612&lt;&gt;0,AV612/ABS(AT612),""),"")</f>
        <v>3.740812290668831E-2</v>
      </c>
      <c r="AX612" s="8">
        <v>0</v>
      </c>
      <c r="AY612" s="8">
        <v>0</v>
      </c>
      <c r="AZ612" s="10"/>
      <c r="BA612" s="8">
        <v>0</v>
      </c>
    </row>
    <row r="613" spans="1:53" x14ac:dyDescent="0.2">
      <c r="A613" s="8" t="s">
        <v>268</v>
      </c>
      <c r="B613" s="8" t="s">
        <v>83</v>
      </c>
      <c r="C613" s="8" t="s">
        <v>290</v>
      </c>
      <c r="D613" s="8">
        <v>1</v>
      </c>
      <c r="E613" s="8">
        <v>0</v>
      </c>
      <c r="F613" s="8">
        <f>SUM(G613:M613)</f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1</v>
      </c>
      <c r="Q613" s="8">
        <v>0</v>
      </c>
      <c r="R613" s="8">
        <v>0</v>
      </c>
      <c r="S613" s="8">
        <v>1</v>
      </c>
      <c r="T613" s="10">
        <v>-581.73400000000004</v>
      </c>
      <c r="U613" s="10"/>
      <c r="V613" s="10"/>
      <c r="W613" s="10">
        <f>IF(RIGHT(C613,2)="12",IF(ISNUMBER(T613),T613,""),IF(COUNT(T613,U613,V613)=3,T613+U613-V613,""))</f>
        <v>-581.73400000000004</v>
      </c>
      <c r="X613" s="10">
        <v>-581.73400000000004</v>
      </c>
      <c r="Y613" s="10">
        <v>-82.405000000000001</v>
      </c>
      <c r="Z613" s="10">
        <v>6.5449999999999999</v>
      </c>
      <c r="AA613" s="10">
        <v>-36.188000000000002</v>
      </c>
      <c r="AB613" s="10">
        <v>-469.68400000000003</v>
      </c>
      <c r="AC613" s="8">
        <v>0</v>
      </c>
      <c r="AD613" s="8">
        <v>0</v>
      </c>
      <c r="AE613" s="8">
        <v>0</v>
      </c>
      <c r="AF613" s="10">
        <v>0</v>
      </c>
      <c r="AG613" s="8">
        <f>COUNTIF(Y613:AB613,"&gt;0")</f>
        <v>1</v>
      </c>
      <c r="AH613" s="10">
        <v>6.5449999999999999</v>
      </c>
      <c r="AI613" s="10">
        <v>0</v>
      </c>
      <c r="AJ613" s="8" t="str">
        <f>IF(ISNUMBER(X613),IF(X613&gt;0,"+",IF(X613&lt;0,"−","0")),IF(ISNUMBER(W613),IF(W613&gt;0,"+",IF(W613&lt;0,"−","0")),"yok"))</f>
        <v>−</v>
      </c>
      <c r="AK613" s="10" t="str">
        <f>IF(AND(RIGHT(C613,2)&lt;&gt;"12",ISNUMBER(U613),ISNUMBER(V613)),U613-V613,"")</f>
        <v/>
      </c>
      <c r="AL613" s="11" t="str">
        <f>IF(AND(ISNUMBER(AK613),ISNUMBER(V613)),IF(V613&lt;&gt;0,AK613/ABS(V613),""),"")</f>
        <v/>
      </c>
      <c r="AM613" s="8" t="str">
        <f>IF(ISNUMBER(AK613),IF(AK613&gt;1,1,0),"")</f>
        <v/>
      </c>
      <c r="AN613" s="8" t="str">
        <f>IF(ISNUMBER(AK613),IF(AK613&gt;0.05*ABS(V613),1,0),"")</f>
        <v/>
      </c>
      <c r="AO613" s="10">
        <v>-581.73500000000001</v>
      </c>
      <c r="AP613" s="10">
        <v>581.73500000000001</v>
      </c>
      <c r="AQ613" s="8" t="s">
        <v>204</v>
      </c>
      <c r="AR613" s="8">
        <v>0</v>
      </c>
      <c r="AS613" s="10">
        <v>516.21299999999997</v>
      </c>
      <c r="AT613" s="10">
        <v>-65.522000000000105</v>
      </c>
      <c r="AU613" s="8" t="s">
        <v>204</v>
      </c>
      <c r="AV613" s="10">
        <v>6.5449999999999999</v>
      </c>
      <c r="AW613" s="11">
        <f>IF(AND(ISNUMBER(AV613),ISNUMBER(AT613)),IF(AT613&lt;&gt;0,AV613/ABS(AT613),""),"")</f>
        <v>9.9890113244406303E-2</v>
      </c>
      <c r="AX613" s="8">
        <v>0</v>
      </c>
      <c r="AY613" s="8">
        <v>0</v>
      </c>
      <c r="AZ613" s="10"/>
      <c r="BA613" s="8">
        <v>0</v>
      </c>
    </row>
    <row r="614" spans="1:53" x14ac:dyDescent="0.2">
      <c r="A614" s="8" t="s">
        <v>269</v>
      </c>
      <c r="B614" s="8" t="s">
        <v>82</v>
      </c>
      <c r="C614" s="8" t="s">
        <v>215</v>
      </c>
      <c r="D614" s="8">
        <v>1</v>
      </c>
      <c r="E614" s="8">
        <v>0</v>
      </c>
      <c r="F614" s="8">
        <f>SUM(G614:M614)</f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1</v>
      </c>
      <c r="Q614" s="8">
        <v>0</v>
      </c>
      <c r="R614" s="8">
        <v>0</v>
      </c>
      <c r="S614" s="8">
        <v>1</v>
      </c>
      <c r="T614" s="10">
        <v>-65.713999999999999</v>
      </c>
      <c r="U614" s="10">
        <v>-79.007000000000005</v>
      </c>
      <c r="V614" s="10">
        <v>-55.445</v>
      </c>
      <c r="W614" s="10">
        <f>IF(RIGHT(C614,2)="12",IF(ISNUMBER(T614),T614,""),IF(COUNT(T614,U614,V614)=3,T614+U614-V614,""))</f>
        <v>-89.27600000000001</v>
      </c>
      <c r="X614" s="10">
        <v>-89.275999999999996</v>
      </c>
      <c r="Y614" s="10">
        <v>-23.562000000000001</v>
      </c>
      <c r="Z614" s="10"/>
      <c r="AA614" s="10"/>
      <c r="AB614" s="10">
        <v>3.117</v>
      </c>
      <c r="AC614" s="8">
        <v>0</v>
      </c>
      <c r="AD614" s="8">
        <v>0</v>
      </c>
      <c r="AE614" s="8">
        <v>0</v>
      </c>
      <c r="AF614" s="10">
        <v>0</v>
      </c>
      <c r="AG614" s="8">
        <f>COUNTIF(Y614:AB614,"&gt;0")</f>
        <v>1</v>
      </c>
      <c r="AH614" s="10">
        <v>3.117</v>
      </c>
      <c r="AI614" s="10">
        <v>0</v>
      </c>
      <c r="AJ614" s="8" t="str">
        <f>IF(ISNUMBER(X614),IF(X614&gt;0,"+",IF(X614&lt;0,"−","0")),IF(ISNUMBER(W614),IF(W614&gt;0,"+",IF(W614&lt;0,"−","0")),"yok"))</f>
        <v>−</v>
      </c>
      <c r="AK614" s="10">
        <f>IF(AND(RIGHT(C614,2)&lt;&gt;"12",ISNUMBER(U614),ISNUMBER(V614)),U614-V614,"")</f>
        <v>-23.562000000000005</v>
      </c>
      <c r="AL614" s="11">
        <f>IF(AND(ISNUMBER(AK614),ISNUMBER(V614)),IF(V614&lt;&gt;0,AK614/ABS(V614),""),"")</f>
        <v>-0.42496167373072424</v>
      </c>
      <c r="AM614" s="8">
        <f>IF(ISNUMBER(AK614),IF(AK614&gt;1,1,0),"")</f>
        <v>0</v>
      </c>
      <c r="AN614" s="8">
        <f>IF(ISNUMBER(AK614),IF(AK614&gt;0.05*ABS(V614),1,0),"")</f>
        <v>0</v>
      </c>
      <c r="AO614" s="10"/>
      <c r="AP614" s="10"/>
      <c r="AQ614" s="8" t="s">
        <v>207</v>
      </c>
      <c r="AR614" s="8">
        <v>0</v>
      </c>
      <c r="AS614" s="10">
        <v>-966.447</v>
      </c>
      <c r="AT614" s="10"/>
      <c r="AU614" s="8" t="s">
        <v>207</v>
      </c>
      <c r="AV614" s="10">
        <v>3.117</v>
      </c>
      <c r="AW614" s="11" t="str">
        <f>IF(AND(ISNUMBER(AV614),ISNUMBER(AT614)),IF(AT614&lt;&gt;0,AV614/ABS(AT614),""),"")</f>
        <v/>
      </c>
      <c r="AX614" s="8">
        <v>0</v>
      </c>
      <c r="AY614" s="8">
        <v>0</v>
      </c>
      <c r="AZ614" s="10"/>
      <c r="BA614" s="8">
        <v>0</v>
      </c>
    </row>
    <row r="615" spans="1:53" x14ac:dyDescent="0.2">
      <c r="A615" s="8" t="s">
        <v>269</v>
      </c>
      <c r="B615" s="8" t="s">
        <v>82</v>
      </c>
      <c r="C615" s="8" t="s">
        <v>290</v>
      </c>
      <c r="D615" s="8">
        <v>1</v>
      </c>
      <c r="E615" s="8">
        <v>0</v>
      </c>
      <c r="F615" s="8">
        <f>SUM(G615:M615)</f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1</v>
      </c>
      <c r="Q615" s="8">
        <v>0</v>
      </c>
      <c r="R615" s="8">
        <v>0</v>
      </c>
      <c r="S615" s="8">
        <v>1</v>
      </c>
      <c r="T615" s="10">
        <v>-89.856999999999999</v>
      </c>
      <c r="U615" s="10"/>
      <c r="V615" s="10"/>
      <c r="W615" s="10">
        <f>IF(RIGHT(C615,2)="12",IF(ISNUMBER(T615),T615,""),IF(COUNT(T615,U615,V615)=3,T615+U615-V615,""))</f>
        <v>-89.856999999999999</v>
      </c>
      <c r="X615" s="10">
        <v>-89.856999999999999</v>
      </c>
      <c r="Y615" s="10"/>
      <c r="Z615" s="10"/>
      <c r="AA615" s="10">
        <v>3.117</v>
      </c>
      <c r="AB615" s="10">
        <v>-24.143000000000001</v>
      </c>
      <c r="AC615" s="8">
        <v>0</v>
      </c>
      <c r="AD615" s="8">
        <v>0</v>
      </c>
      <c r="AE615" s="8">
        <v>0</v>
      </c>
      <c r="AF615" s="10">
        <v>0</v>
      </c>
      <c r="AG615" s="8">
        <f>COUNTIF(Y615:AB615,"&gt;0")</f>
        <v>1</v>
      </c>
      <c r="AH615" s="10">
        <v>3.117</v>
      </c>
      <c r="AI615" s="10">
        <v>0</v>
      </c>
      <c r="AJ615" s="8" t="str">
        <f>IF(ISNUMBER(X615),IF(X615&gt;0,"+",IF(X615&lt;0,"−","0")),IF(ISNUMBER(W615),IF(W615&gt;0,"+",IF(W615&lt;0,"−","0")),"yok"))</f>
        <v>−</v>
      </c>
      <c r="AK615" s="10" t="str">
        <f>IF(AND(RIGHT(C615,2)&lt;&gt;"12",ISNUMBER(U615),ISNUMBER(V615)),U615-V615,"")</f>
        <v/>
      </c>
      <c r="AL615" s="11" t="str">
        <f>IF(AND(ISNUMBER(AK615),ISNUMBER(V615)),IF(V615&lt;&gt;0,AK615/ABS(V615),""),"")</f>
        <v/>
      </c>
      <c r="AM615" s="8" t="str">
        <f>IF(ISNUMBER(AK615),IF(AK615&gt;1,1,0),"")</f>
        <v/>
      </c>
      <c r="AN615" s="8" t="str">
        <f>IF(ISNUMBER(AK615),IF(AK615&gt;0.05*ABS(V615),1,0),"")</f>
        <v/>
      </c>
      <c r="AO615" s="10">
        <v>-89.858000000000004</v>
      </c>
      <c r="AP615" s="10">
        <v>89.858000000000004</v>
      </c>
      <c r="AQ615" s="8" t="s">
        <v>209</v>
      </c>
      <c r="AR615" s="8">
        <v>0</v>
      </c>
      <c r="AS615" s="10">
        <v>-275.52600000000001</v>
      </c>
      <c r="AT615" s="10">
        <v>-462.702</v>
      </c>
      <c r="AU615" s="8" t="s">
        <v>209</v>
      </c>
      <c r="AV615" s="10">
        <v>3.117</v>
      </c>
      <c r="AW615" s="11">
        <f>IF(AND(ISNUMBER(AV615),ISNUMBER(AT615)),IF(AT615&lt;&gt;0,AV615/ABS(AT615),""),"")</f>
        <v>6.7365172400378646E-3</v>
      </c>
      <c r="AX615" s="8">
        <v>0</v>
      </c>
      <c r="AY615" s="8">
        <v>0</v>
      </c>
      <c r="AZ615" s="10"/>
      <c r="BA615" s="8">
        <v>0</v>
      </c>
    </row>
    <row r="616" spans="1:53" x14ac:dyDescent="0.2">
      <c r="A616" s="8" t="s">
        <v>269</v>
      </c>
      <c r="B616" s="8" t="s">
        <v>83</v>
      </c>
      <c r="C616" s="8" t="s">
        <v>290</v>
      </c>
      <c r="D616" s="8">
        <v>1</v>
      </c>
      <c r="E616" s="8">
        <v>0</v>
      </c>
      <c r="F616" s="8">
        <f>SUM(G616:M616)</f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1</v>
      </c>
      <c r="Q616" s="8">
        <v>0</v>
      </c>
      <c r="R616" s="8">
        <v>0</v>
      </c>
      <c r="S616" s="8">
        <v>1</v>
      </c>
      <c r="T616" s="10">
        <v>-97.317999999999998</v>
      </c>
      <c r="U616" s="10"/>
      <c r="V616" s="10"/>
      <c r="W616" s="10">
        <f>IF(RIGHT(C616,2)="12",IF(ISNUMBER(T616),T616,""),IF(COUNT(T616,U616,V616)=3,T616+U616-V616,""))</f>
        <v>-97.317999999999998</v>
      </c>
      <c r="X616" s="10">
        <v>-97.317999999999998</v>
      </c>
      <c r="Y616" s="10">
        <v>-27.393999999999998</v>
      </c>
      <c r="Z616" s="10">
        <v>1.292</v>
      </c>
      <c r="AA616" s="10">
        <v>-32.002000000000002</v>
      </c>
      <c r="AB616" s="10">
        <v>-39.213000000000001</v>
      </c>
      <c r="AC616" s="8">
        <v>0</v>
      </c>
      <c r="AD616" s="8">
        <v>0</v>
      </c>
      <c r="AE616" s="8">
        <v>0</v>
      </c>
      <c r="AF616" s="10">
        <v>0</v>
      </c>
      <c r="AG616" s="8">
        <f>COUNTIF(Y616:AB616,"&gt;0")</f>
        <v>1</v>
      </c>
      <c r="AH616" s="10">
        <v>1.292</v>
      </c>
      <c r="AI616" s="10">
        <v>0</v>
      </c>
      <c r="AJ616" s="8" t="str">
        <f>IF(ISNUMBER(X616),IF(X616&gt;0,"+",IF(X616&lt;0,"−","0")),IF(ISNUMBER(W616),IF(W616&gt;0,"+",IF(W616&lt;0,"−","0")),"yok"))</f>
        <v>−</v>
      </c>
      <c r="AK616" s="10" t="str">
        <f>IF(AND(RIGHT(C616,2)&lt;&gt;"12",ISNUMBER(U616),ISNUMBER(V616)),U616-V616,"")</f>
        <v/>
      </c>
      <c r="AL616" s="11" t="str">
        <f>IF(AND(ISNUMBER(AK616),ISNUMBER(V616)),IF(V616&lt;&gt;0,AK616/ABS(V616),""),"")</f>
        <v/>
      </c>
      <c r="AM616" s="8" t="str">
        <f>IF(ISNUMBER(AK616),IF(AK616&gt;1,1,0),"")</f>
        <v/>
      </c>
      <c r="AN616" s="8" t="str">
        <f>IF(ISNUMBER(AK616),IF(AK616&gt;0.05*ABS(V616),1,0),"")</f>
        <v/>
      </c>
      <c r="AO616" s="10">
        <v>-97.317999999999998</v>
      </c>
      <c r="AP616" s="10">
        <v>97.317999999999998</v>
      </c>
      <c r="AQ616" s="8" t="s">
        <v>209</v>
      </c>
      <c r="AR616" s="8">
        <v>0</v>
      </c>
      <c r="AS616" s="10">
        <v>-275.52600000000001</v>
      </c>
      <c r="AT616" s="10">
        <v>-462.702</v>
      </c>
      <c r="AU616" s="8" t="s">
        <v>209</v>
      </c>
      <c r="AV616" s="10">
        <v>1.292</v>
      </c>
      <c r="AW616" s="11">
        <f>IF(AND(ISNUMBER(AV616),ISNUMBER(AT616)),IF(AT616&lt;&gt;0,AV616/ABS(AT616),""),"")</f>
        <v>2.792293960259519E-3</v>
      </c>
      <c r="AX616" s="8">
        <v>0</v>
      </c>
      <c r="AY616" s="8">
        <v>0</v>
      </c>
      <c r="AZ616" s="10"/>
      <c r="BA616" s="8">
        <v>0</v>
      </c>
    </row>
    <row r="617" spans="1:53" x14ac:dyDescent="0.2">
      <c r="A617" s="8" t="s">
        <v>269</v>
      </c>
      <c r="B617" s="8" t="s">
        <v>83</v>
      </c>
      <c r="C617" s="8" t="s">
        <v>210</v>
      </c>
      <c r="D617" s="8">
        <v>1</v>
      </c>
      <c r="E617" s="8">
        <v>0</v>
      </c>
      <c r="F617" s="8">
        <f>SUM(G617:M617)</f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1</v>
      </c>
      <c r="Q617" s="8">
        <v>0</v>
      </c>
      <c r="R617" s="8">
        <v>0</v>
      </c>
      <c r="S617" s="8">
        <v>1</v>
      </c>
      <c r="T617" s="10">
        <v>-170.58799999999999</v>
      </c>
      <c r="U617" s="10">
        <v>-97.317999999999998</v>
      </c>
      <c r="V617" s="10">
        <v>-26.102</v>
      </c>
      <c r="W617" s="10">
        <f>IF(RIGHT(C617,2)="12",IF(ISNUMBER(T617),T617,""),IF(COUNT(T617,U617,V617)=3,T617+U617-V617,""))</f>
        <v>-241.804</v>
      </c>
      <c r="X617" s="10">
        <v>-241.804</v>
      </c>
      <c r="Y617" s="10">
        <v>-32.002000000000002</v>
      </c>
      <c r="Z617" s="10">
        <v>-39.213000000000001</v>
      </c>
      <c r="AA617" s="10">
        <v>-277.30500000000001</v>
      </c>
      <c r="AB617" s="10">
        <v>106.71599999999999</v>
      </c>
      <c r="AC617" s="8">
        <v>0</v>
      </c>
      <c r="AD617" s="8">
        <v>0</v>
      </c>
      <c r="AE617" s="8">
        <v>0</v>
      </c>
      <c r="AF617" s="10">
        <v>0</v>
      </c>
      <c r="AG617" s="8">
        <f>COUNTIF(Y617:AB617,"&gt;0")</f>
        <v>1</v>
      </c>
      <c r="AH617" s="10">
        <v>106.71599999999999</v>
      </c>
      <c r="AI617" s="10">
        <v>0</v>
      </c>
      <c r="AJ617" s="8" t="str">
        <f>IF(ISNUMBER(X617),IF(X617&gt;0,"+",IF(X617&lt;0,"−","0")),IF(ISNUMBER(W617),IF(W617&gt;0,"+",IF(W617&lt;0,"−","0")),"yok"))</f>
        <v>−</v>
      </c>
      <c r="AK617" s="10">
        <f>IF(AND(RIGHT(C617,2)&lt;&gt;"12",ISNUMBER(U617),ISNUMBER(V617)),U617-V617,"")</f>
        <v>-71.215999999999994</v>
      </c>
      <c r="AL617" s="11">
        <f>IF(AND(ISNUMBER(AK617),ISNUMBER(V617)),IF(V617&lt;&gt;0,AK617/ABS(V617),""),"")</f>
        <v>-2.7283733047276066</v>
      </c>
      <c r="AM617" s="8">
        <f>IF(ISNUMBER(AK617),IF(AK617&gt;1,1,0),"")</f>
        <v>0</v>
      </c>
      <c r="AN617" s="8">
        <f>IF(ISNUMBER(AK617),IF(AK617&gt;0.05*ABS(V617),1,0),"")</f>
        <v>0</v>
      </c>
      <c r="AO617" s="10">
        <v>-241.804</v>
      </c>
      <c r="AP617" s="10">
        <v>241.804</v>
      </c>
      <c r="AQ617" s="8" t="s">
        <v>204</v>
      </c>
      <c r="AR617" s="8">
        <v>0</v>
      </c>
      <c r="AS617" s="10">
        <v>-120.88200000000001</v>
      </c>
      <c r="AT617" s="10"/>
      <c r="AU617" s="8" t="s">
        <v>207</v>
      </c>
      <c r="AV617" s="10">
        <v>106.71599999999999</v>
      </c>
      <c r="AW617" s="11" t="str">
        <f>IF(AND(ISNUMBER(AV617),ISNUMBER(AT617)),IF(AT617&lt;&gt;0,AV617/ABS(AT617),""),"")</f>
        <v/>
      </c>
      <c r="AX617" s="8">
        <v>0</v>
      </c>
      <c r="AY617" s="8">
        <v>0</v>
      </c>
      <c r="AZ617" s="10"/>
      <c r="BA617" s="8">
        <v>0</v>
      </c>
    </row>
    <row r="618" spans="1:53" x14ac:dyDescent="0.2">
      <c r="A618" s="8" t="s">
        <v>270</v>
      </c>
      <c r="B618" s="8" t="s">
        <v>83</v>
      </c>
      <c r="C618" s="8" t="s">
        <v>205</v>
      </c>
      <c r="D618" s="8">
        <v>1</v>
      </c>
      <c r="E618" s="8">
        <v>0</v>
      </c>
      <c r="F618" s="8">
        <f>SUM(G618:M618)</f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1</v>
      </c>
      <c r="Q618" s="8">
        <v>0</v>
      </c>
      <c r="R618" s="8">
        <v>0</v>
      </c>
      <c r="S618" s="8">
        <v>1</v>
      </c>
      <c r="T618" s="10">
        <v>-134.47999999999999</v>
      </c>
      <c r="U618" s="10">
        <v>-1066.8219999999999</v>
      </c>
      <c r="V618" s="10">
        <v>-481.58199999999999</v>
      </c>
      <c r="W618" s="10">
        <f>IF(RIGHT(C618,2)="12",IF(ISNUMBER(T618),T618,""),IF(COUNT(T618,U618,V618)=3,T618+U618-V618,""))</f>
        <v>-719.71999999999991</v>
      </c>
      <c r="X618" s="10">
        <v>-719.72</v>
      </c>
      <c r="Y618" s="10">
        <v>-415.00099999999998</v>
      </c>
      <c r="Z618" s="10">
        <v>-170.238</v>
      </c>
      <c r="AA618" s="10">
        <v>-142.55799999999999</v>
      </c>
      <c r="AB618" s="10">
        <v>8.077</v>
      </c>
      <c r="AC618" s="8">
        <v>0</v>
      </c>
      <c r="AD618" s="8">
        <v>0</v>
      </c>
      <c r="AE618" s="8">
        <v>0</v>
      </c>
      <c r="AF618" s="10">
        <v>0</v>
      </c>
      <c r="AG618" s="8">
        <f>COUNTIF(Y618:AB618,"&gt;0")</f>
        <v>1</v>
      </c>
      <c r="AH618" s="10">
        <v>8.077</v>
      </c>
      <c r="AI618" s="10">
        <v>0</v>
      </c>
      <c r="AJ618" s="8" t="str">
        <f>IF(ISNUMBER(X618),IF(X618&gt;0,"+",IF(X618&lt;0,"−","0")),IF(ISNUMBER(W618),IF(W618&gt;0,"+",IF(W618&lt;0,"−","0")),"yok"))</f>
        <v>−</v>
      </c>
      <c r="AK618" s="10">
        <f>IF(AND(RIGHT(C618,2)&lt;&gt;"12",ISNUMBER(U618),ISNUMBER(V618)),U618-V618,"")</f>
        <v>-585.2399999999999</v>
      </c>
      <c r="AL618" s="11">
        <f>IF(AND(ISNUMBER(AK618),ISNUMBER(V618)),IF(V618&lt;&gt;0,AK618/ABS(V618),""),"")</f>
        <v>-1.2152447558255912</v>
      </c>
      <c r="AM618" s="8">
        <f>IF(ISNUMBER(AK618),IF(AK618&gt;1,1,0),"")</f>
        <v>0</v>
      </c>
      <c r="AN618" s="8">
        <f>IF(ISNUMBER(AK618),IF(AK618&gt;0.05*ABS(V618),1,0),"")</f>
        <v>0</v>
      </c>
      <c r="AO618" s="10">
        <v>-719.72</v>
      </c>
      <c r="AP618" s="10">
        <v>719.72</v>
      </c>
      <c r="AQ618" s="8" t="s">
        <v>204</v>
      </c>
      <c r="AR618" s="8">
        <v>0</v>
      </c>
      <c r="AS618" s="10">
        <v>-1739.7750000000001</v>
      </c>
      <c r="AT618" s="10"/>
      <c r="AU618" s="8" t="s">
        <v>207</v>
      </c>
      <c r="AV618" s="10">
        <v>8.077</v>
      </c>
      <c r="AW618" s="11" t="str">
        <f>IF(AND(ISNUMBER(AV618),ISNUMBER(AT618)),IF(AT618&lt;&gt;0,AV618/ABS(AT618),""),"")</f>
        <v/>
      </c>
      <c r="AX618" s="8">
        <v>0</v>
      </c>
      <c r="AY618" s="8">
        <v>0</v>
      </c>
      <c r="AZ618" s="10"/>
      <c r="BA618" s="8">
        <v>0</v>
      </c>
    </row>
    <row r="619" spans="1:53" x14ac:dyDescent="0.2">
      <c r="A619" s="8" t="s">
        <v>270</v>
      </c>
      <c r="B619" s="8" t="s">
        <v>83</v>
      </c>
      <c r="C619" s="8" t="s">
        <v>215</v>
      </c>
      <c r="D619" s="8">
        <v>1</v>
      </c>
      <c r="E619" s="8">
        <v>0</v>
      </c>
      <c r="F619" s="8">
        <f>SUM(G619:M619)</f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1</v>
      </c>
      <c r="Q619" s="8">
        <v>0</v>
      </c>
      <c r="R619" s="8">
        <v>0</v>
      </c>
      <c r="S619" s="8">
        <v>1</v>
      </c>
      <c r="T619" s="10">
        <v>-571.37599999999998</v>
      </c>
      <c r="U619" s="10">
        <v>-1066.8219999999999</v>
      </c>
      <c r="V619" s="10">
        <v>-896.58299999999997</v>
      </c>
      <c r="W619" s="10">
        <f>IF(RIGHT(C619,2)="12",IF(ISNUMBER(T619),T619,""),IF(COUNT(T619,U619,V619)=3,T619+U619-V619,""))</f>
        <v>-741.6149999999999</v>
      </c>
      <c r="X619" s="10">
        <v>-741.61400000000003</v>
      </c>
      <c r="Y619" s="10">
        <v>-170.238</v>
      </c>
      <c r="Z619" s="10">
        <v>-142.55799999999999</v>
      </c>
      <c r="AA619" s="10">
        <v>8.077</v>
      </c>
      <c r="AB619" s="10">
        <v>-436.89499999999998</v>
      </c>
      <c r="AC619" s="8">
        <v>0</v>
      </c>
      <c r="AD619" s="8">
        <v>0</v>
      </c>
      <c r="AE619" s="8">
        <v>0</v>
      </c>
      <c r="AF619" s="10">
        <v>0</v>
      </c>
      <c r="AG619" s="8">
        <f>COUNTIF(Y619:AB619,"&gt;0")</f>
        <v>1</v>
      </c>
      <c r="AH619" s="10">
        <v>8.077</v>
      </c>
      <c r="AI619" s="10">
        <v>0</v>
      </c>
      <c r="AJ619" s="8" t="str">
        <f>IF(ISNUMBER(X619),IF(X619&gt;0,"+",IF(X619&lt;0,"−","0")),IF(ISNUMBER(W619),IF(W619&gt;0,"+",IF(W619&lt;0,"−","0")),"yok"))</f>
        <v>−</v>
      </c>
      <c r="AK619" s="10">
        <f>IF(AND(RIGHT(C619,2)&lt;&gt;"12",ISNUMBER(U619),ISNUMBER(V619)),U619-V619,"")</f>
        <v>-170.23899999999992</v>
      </c>
      <c r="AL619" s="11">
        <f>IF(AND(ISNUMBER(AK619),ISNUMBER(V619)),IF(V619&lt;&gt;0,AK619/ABS(V619),""),"")</f>
        <v>-0.18987533781033092</v>
      </c>
      <c r="AM619" s="8">
        <f>IF(ISNUMBER(AK619),IF(AK619&gt;1,1,0),"")</f>
        <v>0</v>
      </c>
      <c r="AN619" s="8">
        <f>IF(ISNUMBER(AK619),IF(AK619&gt;0.05*ABS(V619),1,0),"")</f>
        <v>0</v>
      </c>
      <c r="AO619" s="10">
        <v>-741.61400000000003</v>
      </c>
      <c r="AP619" s="10">
        <v>741.61400000000003</v>
      </c>
      <c r="AQ619" s="8" t="s">
        <v>204</v>
      </c>
      <c r="AR619" s="8">
        <v>0</v>
      </c>
      <c r="AS619" s="10">
        <v>-1540.5070000000001</v>
      </c>
      <c r="AT619" s="10"/>
      <c r="AU619" s="8" t="s">
        <v>207</v>
      </c>
      <c r="AV619" s="10">
        <v>8.077</v>
      </c>
      <c r="AW619" s="11" t="str">
        <f>IF(AND(ISNUMBER(AV619),ISNUMBER(AT619)),IF(AT619&lt;&gt;0,AV619/ABS(AT619),""),"")</f>
        <v/>
      </c>
      <c r="AX619" s="8">
        <v>0</v>
      </c>
      <c r="AY619" s="8">
        <v>0</v>
      </c>
      <c r="AZ619" s="10"/>
      <c r="BA619" s="8">
        <v>0</v>
      </c>
    </row>
    <row r="620" spans="1:53" x14ac:dyDescent="0.2">
      <c r="A620" s="8" t="s">
        <v>270</v>
      </c>
      <c r="B620" s="8" t="s">
        <v>83</v>
      </c>
      <c r="C620" s="8" t="s">
        <v>290</v>
      </c>
      <c r="D620" s="8">
        <v>1</v>
      </c>
      <c r="E620" s="8">
        <v>0</v>
      </c>
      <c r="F620" s="8">
        <f>SUM(G620:M620)</f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1</v>
      </c>
      <c r="Q620" s="8">
        <v>0</v>
      </c>
      <c r="R620" s="8">
        <v>0</v>
      </c>
      <c r="S620" s="8">
        <v>1</v>
      </c>
      <c r="T620" s="10">
        <v>-681.54100000000005</v>
      </c>
      <c r="U620" s="10"/>
      <c r="V620" s="10"/>
      <c r="W620" s="10">
        <f>IF(RIGHT(C620,2)="12",IF(ISNUMBER(T620),T620,""),IF(COUNT(T620,U620,V620)=3,T620+U620-V620,""))</f>
        <v>-681.54100000000005</v>
      </c>
      <c r="X620" s="10">
        <v>-681.54100000000005</v>
      </c>
      <c r="Y620" s="10">
        <v>-142.55799999999999</v>
      </c>
      <c r="Z620" s="10">
        <v>8.077</v>
      </c>
      <c r="AA620" s="10">
        <v>-436.89499999999998</v>
      </c>
      <c r="AB620" s="10">
        <v>-110.164</v>
      </c>
      <c r="AC620" s="8">
        <v>0</v>
      </c>
      <c r="AD620" s="8">
        <v>0</v>
      </c>
      <c r="AE620" s="8">
        <v>0</v>
      </c>
      <c r="AF620" s="10">
        <v>0</v>
      </c>
      <c r="AG620" s="8">
        <f>COUNTIF(Y620:AB620,"&gt;0")</f>
        <v>1</v>
      </c>
      <c r="AH620" s="10">
        <v>8.077</v>
      </c>
      <c r="AI620" s="10">
        <v>0</v>
      </c>
      <c r="AJ620" s="8" t="str">
        <f>IF(ISNUMBER(X620),IF(X620&gt;0,"+",IF(X620&lt;0,"−","0")),IF(ISNUMBER(W620),IF(W620&gt;0,"+",IF(W620&lt;0,"−","0")),"yok"))</f>
        <v>−</v>
      </c>
      <c r="AK620" s="10" t="str">
        <f>IF(AND(RIGHT(C620,2)&lt;&gt;"12",ISNUMBER(U620),ISNUMBER(V620)),U620-V620,"")</f>
        <v/>
      </c>
      <c r="AL620" s="11" t="str">
        <f>IF(AND(ISNUMBER(AK620),ISNUMBER(V620)),IF(V620&lt;&gt;0,AK620/ABS(V620),""),"")</f>
        <v/>
      </c>
      <c r="AM620" s="8" t="str">
        <f>IF(ISNUMBER(AK620),IF(AK620&gt;1,1,0),"")</f>
        <v/>
      </c>
      <c r="AN620" s="8" t="str">
        <f>IF(ISNUMBER(AK620),IF(AK620&gt;0.05*ABS(V620),1,0),"")</f>
        <v/>
      </c>
      <c r="AO620" s="10">
        <v>-681.54100000000005</v>
      </c>
      <c r="AP620" s="10">
        <v>681.54100000000005</v>
      </c>
      <c r="AQ620" s="8" t="s">
        <v>209</v>
      </c>
      <c r="AR620" s="8">
        <v>0</v>
      </c>
      <c r="AS620" s="10">
        <v>862.52300000000002</v>
      </c>
      <c r="AT620" s="10">
        <v>45.767000000000003</v>
      </c>
      <c r="AU620" s="8" t="s">
        <v>209</v>
      </c>
      <c r="AV620" s="10">
        <v>8.077</v>
      </c>
      <c r="AW620" s="11">
        <f>IF(AND(ISNUMBER(AV620),ISNUMBER(AT620)),IF(AT620&lt;&gt;0,AV620/ABS(AT620),""),"")</f>
        <v>0.17648087049620906</v>
      </c>
      <c r="AX620" s="8">
        <v>0</v>
      </c>
      <c r="AY620" s="8">
        <v>0</v>
      </c>
      <c r="AZ620" s="10"/>
      <c r="BA620" s="8">
        <v>0</v>
      </c>
    </row>
    <row r="621" spans="1:53" x14ac:dyDescent="0.2">
      <c r="A621" s="8" t="s">
        <v>271</v>
      </c>
      <c r="B621" s="8" t="s">
        <v>83</v>
      </c>
      <c r="C621" s="8" t="s">
        <v>205</v>
      </c>
      <c r="D621" s="8">
        <v>1</v>
      </c>
      <c r="E621" s="8">
        <v>0</v>
      </c>
      <c r="F621" s="8">
        <f>SUM(G621:M621)</f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1</v>
      </c>
      <c r="Q621" s="8">
        <v>0</v>
      </c>
      <c r="R621" s="8">
        <v>0</v>
      </c>
      <c r="S621" s="8">
        <v>1</v>
      </c>
      <c r="T621" s="10">
        <v>-64.849999999999994</v>
      </c>
      <c r="U621" s="10">
        <v>-936.68399999999997</v>
      </c>
      <c r="V621" s="10">
        <v>-253.29499999999999</v>
      </c>
      <c r="W621" s="10">
        <f>IF(RIGHT(C621,2)="12",IF(ISNUMBER(T621),T621,""),IF(COUNT(T621,U621,V621)=3,T621+U621-V621,""))</f>
        <v>-748.23900000000003</v>
      </c>
      <c r="X621" s="10">
        <v>-748.23800000000006</v>
      </c>
      <c r="Y621" s="10">
        <v>-135.852</v>
      </c>
      <c r="Z621" s="10">
        <v>-547.53599999999994</v>
      </c>
      <c r="AA621" s="10">
        <v>-85.343000000000004</v>
      </c>
      <c r="AB621" s="10">
        <v>20.492000000000001</v>
      </c>
      <c r="AC621" s="8">
        <v>0</v>
      </c>
      <c r="AD621" s="8">
        <v>0</v>
      </c>
      <c r="AE621" s="8">
        <v>0</v>
      </c>
      <c r="AF621" s="10">
        <v>0</v>
      </c>
      <c r="AG621" s="8">
        <f>COUNTIF(Y621:AB621,"&gt;0")</f>
        <v>1</v>
      </c>
      <c r="AH621" s="10">
        <v>20.492000000000001</v>
      </c>
      <c r="AI621" s="10">
        <v>0</v>
      </c>
      <c r="AJ621" s="8" t="str">
        <f>IF(ISNUMBER(X621),IF(X621&gt;0,"+",IF(X621&lt;0,"−","0")),IF(ISNUMBER(W621),IF(W621&gt;0,"+",IF(W621&lt;0,"−","0")),"yok"))</f>
        <v>−</v>
      </c>
      <c r="AK621" s="10">
        <f>IF(AND(RIGHT(C621,2)&lt;&gt;"12",ISNUMBER(U621),ISNUMBER(V621)),U621-V621,"")</f>
        <v>-683.38900000000001</v>
      </c>
      <c r="AL621" s="11">
        <f>IF(AND(ISNUMBER(AK621),ISNUMBER(V621)),IF(V621&lt;&gt;0,AK621/ABS(V621),""),"")</f>
        <v>-2.6979964073511127</v>
      </c>
      <c r="AM621" s="8">
        <f>IF(ISNUMBER(AK621),IF(AK621&gt;1,1,0),"")</f>
        <v>0</v>
      </c>
      <c r="AN621" s="8">
        <f>IF(ISNUMBER(AK621),IF(AK621&gt;0.05*ABS(V621),1,0),"")</f>
        <v>0</v>
      </c>
      <c r="AO621" s="10">
        <v>-748.23800000000006</v>
      </c>
      <c r="AP621" s="10">
        <v>748.23800000000006</v>
      </c>
      <c r="AQ621" s="8" t="s">
        <v>204</v>
      </c>
      <c r="AR621" s="8">
        <v>0</v>
      </c>
      <c r="AS621" s="10">
        <v>2477.6080000000002</v>
      </c>
      <c r="AT621" s="10"/>
      <c r="AU621" s="8" t="s">
        <v>207</v>
      </c>
      <c r="AV621" s="10">
        <v>20.492000000000001</v>
      </c>
      <c r="AW621" s="11" t="str">
        <f>IF(AND(ISNUMBER(AV621),ISNUMBER(AT621)),IF(AT621&lt;&gt;0,AV621/ABS(AT621),""),"")</f>
        <v/>
      </c>
      <c r="AX621" s="8">
        <v>0</v>
      </c>
      <c r="AY621" s="8">
        <v>0</v>
      </c>
      <c r="AZ621" s="10"/>
      <c r="BA621" s="8">
        <v>0</v>
      </c>
    </row>
    <row r="622" spans="1:53" x14ac:dyDescent="0.2">
      <c r="A622" s="8" t="s">
        <v>271</v>
      </c>
      <c r="B622" s="8" t="s">
        <v>83</v>
      </c>
      <c r="C622" s="8" t="s">
        <v>215</v>
      </c>
      <c r="D622" s="8">
        <v>1</v>
      </c>
      <c r="E622" s="8">
        <v>0</v>
      </c>
      <c r="F622" s="8">
        <f>SUM(G622:M622)</f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1</v>
      </c>
      <c r="Q622" s="8">
        <v>0</v>
      </c>
      <c r="R622" s="8">
        <v>0</v>
      </c>
      <c r="S622" s="8">
        <v>1</v>
      </c>
      <c r="T622" s="10">
        <v>-181.13</v>
      </c>
      <c r="U622" s="10">
        <v>-936.68399999999997</v>
      </c>
      <c r="V622" s="10">
        <v>-389.14699999999999</v>
      </c>
      <c r="W622" s="10">
        <f>IF(RIGHT(C622,2)="12",IF(ISNUMBER(T622),T622,""),IF(COUNT(T622,U622,V622)=3,T622+U622-V622,""))</f>
        <v>-728.66699999999992</v>
      </c>
      <c r="X622" s="10">
        <v>-728.66600000000005</v>
      </c>
      <c r="Y622" s="10">
        <v>-547.53599999999994</v>
      </c>
      <c r="Z622" s="10">
        <v>-85.343000000000004</v>
      </c>
      <c r="AA622" s="10">
        <v>20.492000000000001</v>
      </c>
      <c r="AB622" s="10">
        <v>-116.28</v>
      </c>
      <c r="AC622" s="8">
        <v>0</v>
      </c>
      <c r="AD622" s="8">
        <v>0</v>
      </c>
      <c r="AE622" s="8">
        <v>0</v>
      </c>
      <c r="AF622" s="10">
        <v>0</v>
      </c>
      <c r="AG622" s="8">
        <f>COUNTIF(Y622:AB622,"&gt;0")</f>
        <v>1</v>
      </c>
      <c r="AH622" s="10">
        <v>20.492000000000001</v>
      </c>
      <c r="AI622" s="10">
        <v>0</v>
      </c>
      <c r="AJ622" s="8" t="str">
        <f>IF(ISNUMBER(X622),IF(X622&gt;0,"+",IF(X622&lt;0,"−","0")),IF(ISNUMBER(W622),IF(W622&gt;0,"+",IF(W622&lt;0,"−","0")),"yok"))</f>
        <v>−</v>
      </c>
      <c r="AK622" s="10">
        <f>IF(AND(RIGHT(C622,2)&lt;&gt;"12",ISNUMBER(U622),ISNUMBER(V622)),U622-V622,"")</f>
        <v>-547.53700000000003</v>
      </c>
      <c r="AL622" s="11">
        <f>IF(AND(ISNUMBER(AK622),ISNUMBER(V622)),IF(V622&lt;&gt;0,AK622/ABS(V622),""),"")</f>
        <v>-1.4070184274837017</v>
      </c>
      <c r="AM622" s="8">
        <f>IF(ISNUMBER(AK622),IF(AK622&gt;1,1,0),"")</f>
        <v>0</v>
      </c>
      <c r="AN622" s="8">
        <f>IF(ISNUMBER(AK622),IF(AK622&gt;0.05*ABS(V622),1,0),"")</f>
        <v>0</v>
      </c>
      <c r="AO622" s="10">
        <v>-728.66600000000005</v>
      </c>
      <c r="AP622" s="10">
        <v>728.66600000000005</v>
      </c>
      <c r="AQ622" s="8" t="s">
        <v>204</v>
      </c>
      <c r="AR622" s="8">
        <v>0</v>
      </c>
      <c r="AS622" s="10">
        <v>2330.1999999999998</v>
      </c>
      <c r="AT622" s="10"/>
      <c r="AU622" s="8" t="s">
        <v>207</v>
      </c>
      <c r="AV622" s="10">
        <v>20.492000000000001</v>
      </c>
      <c r="AW622" s="11" t="str">
        <f>IF(AND(ISNUMBER(AV622),ISNUMBER(AT622)),IF(AT622&lt;&gt;0,AV622/ABS(AT622),""),"")</f>
        <v/>
      </c>
      <c r="AX622" s="8">
        <v>0</v>
      </c>
      <c r="AY622" s="8">
        <v>0</v>
      </c>
      <c r="AZ622" s="10"/>
      <c r="BA622" s="8">
        <v>0</v>
      </c>
    </row>
    <row r="623" spans="1:53" x14ac:dyDescent="0.2">
      <c r="A623" s="8" t="s">
        <v>271</v>
      </c>
      <c r="B623" s="8" t="s">
        <v>83</v>
      </c>
      <c r="C623" s="8" t="s">
        <v>290</v>
      </c>
      <c r="D623" s="8">
        <v>1</v>
      </c>
      <c r="E623" s="8">
        <v>0</v>
      </c>
      <c r="F623" s="8">
        <f>SUM(G623:M623)</f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1</v>
      </c>
      <c r="Q623" s="8">
        <v>0</v>
      </c>
      <c r="R623" s="8">
        <v>0</v>
      </c>
      <c r="S623" s="8">
        <v>1</v>
      </c>
      <c r="T623" s="10">
        <v>-241.57900000000001</v>
      </c>
      <c r="U623" s="10"/>
      <c r="V623" s="10"/>
      <c r="W623" s="10">
        <f>IF(RIGHT(C623,2)="12",IF(ISNUMBER(T623),T623,""),IF(COUNT(T623,U623,V623)=3,T623+U623-V623,""))</f>
        <v>-241.57900000000001</v>
      </c>
      <c r="X623" s="10">
        <v>-241.57900000000001</v>
      </c>
      <c r="Y623" s="10">
        <v>-85.343000000000004</v>
      </c>
      <c r="Z623" s="10">
        <v>20.492000000000001</v>
      </c>
      <c r="AA623" s="10">
        <v>-116.28</v>
      </c>
      <c r="AB623" s="10">
        <v>-60.448999999999998</v>
      </c>
      <c r="AC623" s="8">
        <v>0</v>
      </c>
      <c r="AD623" s="8">
        <v>0</v>
      </c>
      <c r="AE623" s="8">
        <v>0</v>
      </c>
      <c r="AF623" s="10">
        <v>0</v>
      </c>
      <c r="AG623" s="8">
        <f>COUNTIF(Y623:AB623,"&gt;0")</f>
        <v>1</v>
      </c>
      <c r="AH623" s="10">
        <v>20.492000000000001</v>
      </c>
      <c r="AI623" s="10">
        <v>0</v>
      </c>
      <c r="AJ623" s="8" t="str">
        <f>IF(ISNUMBER(X623),IF(X623&gt;0,"+",IF(X623&lt;0,"−","0")),IF(ISNUMBER(W623),IF(W623&gt;0,"+",IF(W623&lt;0,"−","0")),"yok"))</f>
        <v>−</v>
      </c>
      <c r="AK623" s="10" t="str">
        <f>IF(AND(RIGHT(C623,2)&lt;&gt;"12",ISNUMBER(U623),ISNUMBER(V623)),U623-V623,"")</f>
        <v/>
      </c>
      <c r="AL623" s="11" t="str">
        <f>IF(AND(ISNUMBER(AK623),ISNUMBER(V623)),IF(V623&lt;&gt;0,AK623/ABS(V623),""),"")</f>
        <v/>
      </c>
      <c r="AM623" s="8" t="str">
        <f>IF(ISNUMBER(AK623),IF(AK623&gt;1,1,0),"")</f>
        <v/>
      </c>
      <c r="AN623" s="8" t="str">
        <f>IF(ISNUMBER(AK623),IF(AK623&gt;0.05*ABS(V623),1,0),"")</f>
        <v/>
      </c>
      <c r="AO623" s="10">
        <v>-241.58</v>
      </c>
      <c r="AP623" s="10">
        <v>241.58</v>
      </c>
      <c r="AQ623" s="8" t="s">
        <v>209</v>
      </c>
      <c r="AR623" s="8">
        <v>0</v>
      </c>
      <c r="AS623" s="10">
        <v>1593.097</v>
      </c>
      <c r="AT623" s="10">
        <v>314.08600000000001</v>
      </c>
      <c r="AU623" s="8" t="s">
        <v>209</v>
      </c>
      <c r="AV623" s="10">
        <v>20.492000000000001</v>
      </c>
      <c r="AW623" s="11">
        <f>IF(AND(ISNUMBER(AV623),ISNUMBER(AT623)),IF(AT623&lt;&gt;0,AV623/ABS(AT623),""),"")</f>
        <v>6.5243277318950854E-2</v>
      </c>
      <c r="AX623" s="8">
        <v>0</v>
      </c>
      <c r="AY623" s="8">
        <v>0</v>
      </c>
      <c r="AZ623" s="10"/>
      <c r="BA623" s="8">
        <v>0</v>
      </c>
    </row>
    <row r="624" spans="1:53" x14ac:dyDescent="0.2">
      <c r="A624" s="8" t="s">
        <v>272</v>
      </c>
      <c r="B624" s="8" t="s">
        <v>83</v>
      </c>
      <c r="C624" s="8" t="s">
        <v>208</v>
      </c>
      <c r="D624" s="8">
        <v>1</v>
      </c>
      <c r="E624" s="8">
        <v>0</v>
      </c>
      <c r="F624" s="8">
        <f>SUM(G624:M624)</f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1</v>
      </c>
      <c r="P624" s="8">
        <v>1</v>
      </c>
      <c r="Q624" s="8">
        <v>0</v>
      </c>
      <c r="R624" s="8">
        <v>0</v>
      </c>
      <c r="S624" s="8">
        <v>0</v>
      </c>
      <c r="T624" s="10">
        <v>4.2670000000000003</v>
      </c>
      <c r="U624" s="10">
        <v>-89.986999999999995</v>
      </c>
      <c r="V624" s="10"/>
      <c r="W624" s="10" t="str">
        <f>IF(RIGHT(C624,2)="12",IF(ISNUMBER(T624),T624,""),IF(COUNT(T624,U624,V624)=3,T624+U624-V624,""))</f>
        <v/>
      </c>
      <c r="X624" s="10"/>
      <c r="Y624" s="10"/>
      <c r="Z624" s="10">
        <v>-3.3719999999999999</v>
      </c>
      <c r="AA624" s="10">
        <v>-56.171999999999997</v>
      </c>
      <c r="AB624" s="10">
        <v>4.2670000000000003</v>
      </c>
      <c r="AC624" s="8">
        <v>1</v>
      </c>
      <c r="AD624" s="8">
        <v>0</v>
      </c>
      <c r="AE624" s="8">
        <v>0</v>
      </c>
      <c r="AF624" s="10">
        <v>4.2670000000000003</v>
      </c>
      <c r="AG624" s="8">
        <f>COUNTIF(Y624:AB624,"&gt;0")</f>
        <v>1</v>
      </c>
      <c r="AH624" s="10">
        <v>0</v>
      </c>
      <c r="AI624" s="10">
        <v>0</v>
      </c>
      <c r="AJ624" s="8" t="str">
        <f>IF(ISNUMBER(X624),IF(X624&gt;0,"+",IF(X624&lt;0,"−","0")),IF(ISNUMBER(W624),IF(W624&gt;0,"+",IF(W624&lt;0,"−","0")),"yok"))</f>
        <v>yok</v>
      </c>
      <c r="AK624" s="10" t="str">
        <f>IF(AND(RIGHT(C624,2)&lt;&gt;"12",ISNUMBER(U624),ISNUMBER(V624)),U624-V624,"")</f>
        <v/>
      </c>
      <c r="AL624" s="11" t="str">
        <f>IF(AND(ISNUMBER(AK624),ISNUMBER(V624)),IF(V624&lt;&gt;0,AK624/ABS(V624),""),"")</f>
        <v/>
      </c>
      <c r="AM624" s="8" t="str">
        <f>IF(ISNUMBER(AK624),IF(AK624&gt;1,1,0),"")</f>
        <v/>
      </c>
      <c r="AN624" s="8" t="str">
        <f>IF(ISNUMBER(AK624),IF(AK624&gt;0.05*ABS(V624),1,0),"")</f>
        <v/>
      </c>
      <c r="AO624" s="10"/>
      <c r="AP624" s="10"/>
      <c r="AQ624" s="8" t="s">
        <v>207</v>
      </c>
      <c r="AR624" s="8">
        <v>0</v>
      </c>
      <c r="AS624" s="10">
        <v>732.005</v>
      </c>
      <c r="AT624" s="10"/>
      <c r="AU624" s="8" t="s">
        <v>207</v>
      </c>
      <c r="AV624" s="10">
        <v>4.2670000000000003</v>
      </c>
      <c r="AW624" s="11" t="str">
        <f>IF(AND(ISNUMBER(AV624),ISNUMBER(AT624)),IF(AT624&lt;&gt;0,AV624/ABS(AT624),""),"")</f>
        <v/>
      </c>
      <c r="AX624" s="8">
        <v>1</v>
      </c>
      <c r="AY624" s="8">
        <v>0</v>
      </c>
      <c r="AZ624" s="8" t="s">
        <v>575</v>
      </c>
      <c r="BA624" s="8">
        <v>0</v>
      </c>
    </row>
    <row r="625" spans="1:53" x14ac:dyDescent="0.2">
      <c r="A625" s="8" t="s">
        <v>272</v>
      </c>
      <c r="B625" s="8" t="s">
        <v>84</v>
      </c>
      <c r="C625" s="8" t="s">
        <v>215</v>
      </c>
      <c r="D625" s="8">
        <v>1</v>
      </c>
      <c r="E625" s="8">
        <v>0</v>
      </c>
      <c r="F625" s="8">
        <f>SUM(G625:M625)</f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1</v>
      </c>
      <c r="Q625" s="8">
        <v>0</v>
      </c>
      <c r="R625" s="8">
        <v>0</v>
      </c>
      <c r="S625" s="8">
        <v>1</v>
      </c>
      <c r="T625" s="10">
        <v>-254.94399999999999</v>
      </c>
      <c r="U625" s="10"/>
      <c r="V625" s="10"/>
      <c r="W625" s="10" t="str">
        <f>IF(RIGHT(C625,2)="12",IF(ISNUMBER(T625),T625,""),IF(COUNT(T625,U625,V625)=3,T625+U625-V625,""))</f>
        <v/>
      </c>
      <c r="X625" s="10"/>
      <c r="Y625" s="10"/>
      <c r="Z625" s="10"/>
      <c r="AA625" s="10"/>
      <c r="AB625" s="10">
        <v>14.773</v>
      </c>
      <c r="AC625" s="8">
        <v>0</v>
      </c>
      <c r="AD625" s="8">
        <v>0</v>
      </c>
      <c r="AE625" s="8">
        <v>0</v>
      </c>
      <c r="AF625" s="10">
        <v>0</v>
      </c>
      <c r="AG625" s="8">
        <f>COUNTIF(Y625:AB625,"&gt;0")</f>
        <v>1</v>
      </c>
      <c r="AH625" s="10">
        <v>14.773</v>
      </c>
      <c r="AI625" s="10">
        <v>0</v>
      </c>
      <c r="AJ625" s="8" t="str">
        <f>IF(ISNUMBER(X625),IF(X625&gt;0,"+",IF(X625&lt;0,"−","0")),IF(ISNUMBER(W625),IF(W625&gt;0,"+",IF(W625&lt;0,"−","0")),"yok"))</f>
        <v>yok</v>
      </c>
      <c r="AK625" s="10" t="str">
        <f>IF(AND(RIGHT(C625,2)&lt;&gt;"12",ISNUMBER(U625),ISNUMBER(V625)),U625-V625,"")</f>
        <v/>
      </c>
      <c r="AL625" s="11" t="str">
        <f>IF(AND(ISNUMBER(AK625),ISNUMBER(V625)),IF(V625&lt;&gt;0,AK625/ABS(V625),""),"")</f>
        <v/>
      </c>
      <c r="AM625" s="8" t="str">
        <f>IF(ISNUMBER(AK625),IF(AK625&gt;1,1,0),"")</f>
        <v/>
      </c>
      <c r="AN625" s="8" t="str">
        <f>IF(ISNUMBER(AK625),IF(AK625&gt;0.05*ABS(V625),1,0),"")</f>
        <v/>
      </c>
      <c r="AO625" s="10">
        <v>-254.94499999999999</v>
      </c>
      <c r="AP625" s="10">
        <v>254.94499999999999</v>
      </c>
      <c r="AQ625" s="8" t="s">
        <v>209</v>
      </c>
      <c r="AR625" s="8">
        <v>0</v>
      </c>
      <c r="AS625" s="10">
        <v>-282.10300000000001</v>
      </c>
      <c r="AT625" s="10"/>
      <c r="AU625" s="8" t="s">
        <v>207</v>
      </c>
      <c r="AV625" s="10">
        <v>14.773</v>
      </c>
      <c r="AW625" s="11" t="str">
        <f>IF(AND(ISNUMBER(AV625),ISNUMBER(AT625)),IF(AT625&lt;&gt;0,AV625/ABS(AT625),""),"")</f>
        <v/>
      </c>
      <c r="AX625" s="8">
        <v>0</v>
      </c>
      <c r="AY625" s="8">
        <v>0</v>
      </c>
      <c r="AZ625" s="10"/>
      <c r="BA625" s="8">
        <v>0</v>
      </c>
    </row>
    <row r="626" spans="1:53" x14ac:dyDescent="0.2">
      <c r="A626" s="8" t="s">
        <v>272</v>
      </c>
      <c r="B626" s="8" t="s">
        <v>84</v>
      </c>
      <c r="C626" s="8" t="s">
        <v>290</v>
      </c>
      <c r="D626" s="8">
        <v>1</v>
      </c>
      <c r="E626" s="8">
        <v>0</v>
      </c>
      <c r="F626" s="8">
        <f>SUM(G626:M626)</f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1</v>
      </c>
      <c r="Q626" s="8">
        <v>0</v>
      </c>
      <c r="R626" s="8">
        <v>0</v>
      </c>
      <c r="S626" s="8">
        <v>1</v>
      </c>
      <c r="T626" s="10">
        <v>-581.08399999999995</v>
      </c>
      <c r="U626" s="10"/>
      <c r="V626" s="10"/>
      <c r="W626" s="10">
        <f>IF(RIGHT(C626,2)="12",IF(ISNUMBER(T626),T626,""),IF(COUNT(T626,U626,V626)=3,T626+U626-V626,""))</f>
        <v>-581.08399999999995</v>
      </c>
      <c r="X626" s="10">
        <v>-581.08399999999995</v>
      </c>
      <c r="Y626" s="10"/>
      <c r="Z626" s="10"/>
      <c r="AA626" s="10">
        <v>14.773</v>
      </c>
      <c r="AB626" s="10">
        <v>-326.14</v>
      </c>
      <c r="AC626" s="8">
        <v>0</v>
      </c>
      <c r="AD626" s="8">
        <v>0</v>
      </c>
      <c r="AE626" s="8">
        <v>0</v>
      </c>
      <c r="AF626" s="10">
        <v>0</v>
      </c>
      <c r="AG626" s="8">
        <f>COUNTIF(Y626:AB626,"&gt;0")</f>
        <v>1</v>
      </c>
      <c r="AH626" s="10">
        <v>14.773</v>
      </c>
      <c r="AI626" s="10">
        <v>0</v>
      </c>
      <c r="AJ626" s="8" t="str">
        <f>IF(ISNUMBER(X626),IF(X626&gt;0,"+",IF(X626&lt;0,"−","0")),IF(ISNUMBER(W626),IF(W626&gt;0,"+",IF(W626&lt;0,"−","0")),"yok"))</f>
        <v>−</v>
      </c>
      <c r="AK626" s="10" t="str">
        <f>IF(AND(RIGHT(C626,2)&lt;&gt;"12",ISNUMBER(U626),ISNUMBER(V626)),U626-V626,"")</f>
        <v/>
      </c>
      <c r="AL626" s="11" t="str">
        <f>IF(AND(ISNUMBER(AK626),ISNUMBER(V626)),IF(V626&lt;&gt;0,AK626/ABS(V626),""),"")</f>
        <v/>
      </c>
      <c r="AM626" s="8" t="str">
        <f>IF(ISNUMBER(AK626),IF(AK626&gt;1,1,0),"")</f>
        <v/>
      </c>
      <c r="AN626" s="8" t="str">
        <f>IF(ISNUMBER(AK626),IF(AK626&gt;0.05*ABS(V626),1,0),"")</f>
        <v/>
      </c>
      <c r="AO626" s="10">
        <v>-493.44871699999999</v>
      </c>
      <c r="AP626" s="10">
        <v>493.44871699999999</v>
      </c>
      <c r="AQ626" s="8" t="s">
        <v>209</v>
      </c>
      <c r="AR626" s="8">
        <v>0</v>
      </c>
      <c r="AS626" s="10">
        <v>-45.517507999999999</v>
      </c>
      <c r="AT626" s="10">
        <v>-607.27003500000001</v>
      </c>
      <c r="AU626" s="8" t="s">
        <v>212</v>
      </c>
      <c r="AV626" s="10">
        <v>14.773</v>
      </c>
      <c r="AW626" s="11">
        <f>IF(AND(ISNUMBER(AV626),ISNUMBER(AT626)),IF(AT626&lt;&gt;0,AV626/ABS(AT626),""),"")</f>
        <v>2.4326904257675086E-2</v>
      </c>
      <c r="AX626" s="8">
        <v>0</v>
      </c>
      <c r="AY626" s="8">
        <v>0</v>
      </c>
      <c r="AZ626" s="10"/>
      <c r="BA626" s="8">
        <v>0</v>
      </c>
    </row>
    <row r="627" spans="1:53" x14ac:dyDescent="0.2">
      <c r="A627" s="8" t="s">
        <v>280</v>
      </c>
      <c r="B627" s="8" t="s">
        <v>83</v>
      </c>
      <c r="C627" s="8" t="s">
        <v>290</v>
      </c>
      <c r="D627" s="8">
        <v>1</v>
      </c>
      <c r="E627" s="8">
        <v>0</v>
      </c>
      <c r="F627" s="8">
        <f>SUM(G627:M627)</f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1</v>
      </c>
      <c r="Q627" s="8">
        <v>0</v>
      </c>
      <c r="R627" s="8">
        <v>0</v>
      </c>
      <c r="S627" s="8">
        <v>1</v>
      </c>
      <c r="T627" s="10">
        <v>0</v>
      </c>
      <c r="U627" s="10"/>
      <c r="V627" s="10"/>
      <c r="W627" s="10">
        <f>IF(RIGHT(C627,2)="12",IF(ISNUMBER(T627),T627,""),IF(COUNT(T627,U627,V627)=3,T627+U627-V627,""))</f>
        <v>0</v>
      </c>
      <c r="X627" s="10">
        <v>0</v>
      </c>
      <c r="Y627" s="10"/>
      <c r="Z627" s="10"/>
      <c r="AA627" s="10">
        <v>-7.4870000000000001</v>
      </c>
      <c r="AB627" s="10">
        <v>9.3800000000000008</v>
      </c>
      <c r="AC627" s="8">
        <v>0</v>
      </c>
      <c r="AD627" s="8">
        <v>0</v>
      </c>
      <c r="AE627" s="8">
        <v>0</v>
      </c>
      <c r="AF627" s="10">
        <v>0</v>
      </c>
      <c r="AG627" s="8">
        <f>COUNTIF(Y627:AB627,"&gt;0")</f>
        <v>1</v>
      </c>
      <c r="AH627" s="10">
        <v>9.3800000000000008</v>
      </c>
      <c r="AI627" s="10">
        <v>0</v>
      </c>
      <c r="AJ627" s="8" t="str">
        <f>IF(ISNUMBER(X627),IF(X627&gt;0,"+",IF(X627&lt;0,"−","0")),IF(ISNUMBER(W627),IF(W627&gt;0,"+",IF(W627&lt;0,"−","0")),"yok"))</f>
        <v>0</v>
      </c>
      <c r="AK627" s="10" t="str">
        <f>IF(AND(RIGHT(C627,2)&lt;&gt;"12",ISNUMBER(U627),ISNUMBER(V627)),U627-V627,"")</f>
        <v/>
      </c>
      <c r="AL627" s="11" t="str">
        <f>IF(AND(ISNUMBER(AK627),ISNUMBER(V627)),IF(V627&lt;&gt;0,AK627/ABS(V627),""),"")</f>
        <v/>
      </c>
      <c r="AM627" s="8" t="str">
        <f>IF(ISNUMBER(AK627),IF(AK627&gt;1,1,0),"")</f>
        <v/>
      </c>
      <c r="AN627" s="8" t="str">
        <f>IF(ISNUMBER(AK627),IF(AK627&gt;0.05*ABS(V627),1,0),"")</f>
        <v/>
      </c>
      <c r="AO627" s="10">
        <v>0</v>
      </c>
      <c r="AP627" s="10">
        <v>0</v>
      </c>
      <c r="AQ627" s="8" t="s">
        <v>209</v>
      </c>
      <c r="AR627" s="8">
        <v>0</v>
      </c>
      <c r="AS627" s="10">
        <v>-163.952</v>
      </c>
      <c r="AT627" s="10">
        <v>-163.952</v>
      </c>
      <c r="AU627" s="8" t="s">
        <v>209</v>
      </c>
      <c r="AV627" s="10">
        <v>9.3800000000000008</v>
      </c>
      <c r="AW627" s="11">
        <f>IF(AND(ISNUMBER(AV627),ISNUMBER(AT627)),IF(AT627&lt;&gt;0,AV627/ABS(AT627),""),"")</f>
        <v>5.7211866887869625E-2</v>
      </c>
      <c r="AX627" s="8">
        <v>0</v>
      </c>
      <c r="AY627" s="8">
        <v>0</v>
      </c>
      <c r="AZ627" s="10"/>
      <c r="BA627" s="8">
        <v>0</v>
      </c>
    </row>
    <row r="628" spans="1:53" x14ac:dyDescent="0.2">
      <c r="A628" s="8" t="s">
        <v>281</v>
      </c>
      <c r="B628" s="8" t="s">
        <v>83</v>
      </c>
      <c r="C628" s="8" t="s">
        <v>290</v>
      </c>
      <c r="D628" s="8">
        <v>1</v>
      </c>
      <c r="E628" s="8">
        <v>0</v>
      </c>
      <c r="F628" s="8">
        <f>SUM(G628:M628)</f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1</v>
      </c>
      <c r="Q628" s="8">
        <v>0</v>
      </c>
      <c r="R628" s="8">
        <v>0</v>
      </c>
      <c r="S628" s="8">
        <v>1</v>
      </c>
      <c r="T628" s="10">
        <v>-25.097999999999999</v>
      </c>
      <c r="U628" s="10"/>
      <c r="V628" s="10"/>
      <c r="W628" s="10">
        <f>IF(RIGHT(C628,2)="12",IF(ISNUMBER(T628),T628,""),IF(COUNT(T628,U628,V628)=3,T628+U628-V628,""))</f>
        <v>-25.097999999999999</v>
      </c>
      <c r="X628" s="10">
        <v>-25.097999999999999</v>
      </c>
      <c r="Y628" s="10">
        <v>-23.721</v>
      </c>
      <c r="Z628" s="10">
        <v>3.7559999999999998</v>
      </c>
      <c r="AA628" s="10">
        <v>-2.73</v>
      </c>
      <c r="AB628" s="10">
        <v>-2.403</v>
      </c>
      <c r="AC628" s="8">
        <v>0</v>
      </c>
      <c r="AD628" s="8">
        <v>0</v>
      </c>
      <c r="AE628" s="8">
        <v>0</v>
      </c>
      <c r="AF628" s="10">
        <v>0</v>
      </c>
      <c r="AG628" s="8">
        <f>COUNTIF(Y628:AB628,"&gt;0")</f>
        <v>1</v>
      </c>
      <c r="AH628" s="10">
        <v>3.7559999999999998</v>
      </c>
      <c r="AI628" s="10">
        <v>0</v>
      </c>
      <c r="AJ628" s="8" t="str">
        <f>IF(ISNUMBER(X628),IF(X628&gt;0,"+",IF(X628&lt;0,"−","0")),IF(ISNUMBER(W628),IF(W628&gt;0,"+",IF(W628&lt;0,"−","0")),"yok"))</f>
        <v>−</v>
      </c>
      <c r="AK628" s="10" t="str">
        <f>IF(AND(RIGHT(C628,2)&lt;&gt;"12",ISNUMBER(U628),ISNUMBER(V628)),U628-V628,"")</f>
        <v/>
      </c>
      <c r="AL628" s="11" t="str">
        <f>IF(AND(ISNUMBER(AK628),ISNUMBER(V628)),IF(V628&lt;&gt;0,AK628/ABS(V628),""),"")</f>
        <v/>
      </c>
      <c r="AM628" s="8" t="str">
        <f>IF(ISNUMBER(AK628),IF(AK628&gt;1,1,0),"")</f>
        <v/>
      </c>
      <c r="AN628" s="8" t="str">
        <f>IF(ISNUMBER(AK628),IF(AK628&gt;0.05*ABS(V628),1,0),"")</f>
        <v/>
      </c>
      <c r="AO628" s="10">
        <v>-25.097999999999999</v>
      </c>
      <c r="AP628" s="10">
        <v>25.097999999999999</v>
      </c>
      <c r="AQ628" s="8" t="s">
        <v>204</v>
      </c>
      <c r="AR628" s="8">
        <v>0</v>
      </c>
      <c r="AS628" s="10">
        <v>102.91500000000001</v>
      </c>
      <c r="AT628" s="10">
        <v>77.816999999999993</v>
      </c>
      <c r="AU628" s="8" t="s">
        <v>204</v>
      </c>
      <c r="AV628" s="10">
        <v>3.7559999999999998</v>
      </c>
      <c r="AW628" s="11">
        <f>IF(AND(ISNUMBER(AV628),ISNUMBER(AT628)),IF(AT628&lt;&gt;0,AV628/ABS(AT628),""),"")</f>
        <v>4.8267088168395082E-2</v>
      </c>
      <c r="AX628" s="8">
        <v>0</v>
      </c>
      <c r="AY628" s="8">
        <v>0</v>
      </c>
      <c r="AZ628" s="10"/>
      <c r="BA628" s="8">
        <v>0</v>
      </c>
    </row>
    <row r="629" spans="1:53" x14ac:dyDescent="0.2">
      <c r="A629" s="8" t="s">
        <v>282</v>
      </c>
      <c r="B629" s="8" t="s">
        <v>83</v>
      </c>
      <c r="C629" s="8" t="s">
        <v>290</v>
      </c>
      <c r="D629" s="8">
        <v>1</v>
      </c>
      <c r="E629" s="8">
        <v>0</v>
      </c>
      <c r="F629" s="8">
        <f>SUM(G629:M629)</f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1</v>
      </c>
      <c r="Q629" s="8">
        <v>0</v>
      </c>
      <c r="R629" s="8">
        <v>0</v>
      </c>
      <c r="S629" s="8">
        <v>1</v>
      </c>
      <c r="T629" s="10">
        <v>0</v>
      </c>
      <c r="U629" s="10"/>
      <c r="V629" s="10"/>
      <c r="W629" s="10">
        <f>IF(RIGHT(C629,2)="12",IF(ISNUMBER(T629),T629,""),IF(COUNT(T629,U629,V629)=3,T629+U629-V629,""))</f>
        <v>0</v>
      </c>
      <c r="X629" s="10">
        <v>0</v>
      </c>
      <c r="Y629" s="10">
        <v>-3.6989999999999998</v>
      </c>
      <c r="Z629" s="10">
        <v>-1.294</v>
      </c>
      <c r="AA629" s="10">
        <v>-8.2449999999999992</v>
      </c>
      <c r="AB629" s="10">
        <v>13.239000000000001</v>
      </c>
      <c r="AC629" s="8">
        <v>0</v>
      </c>
      <c r="AD629" s="8">
        <v>0</v>
      </c>
      <c r="AE629" s="8">
        <v>0</v>
      </c>
      <c r="AF629" s="10">
        <v>0</v>
      </c>
      <c r="AG629" s="8">
        <f>COUNTIF(Y629:AB629,"&gt;0")</f>
        <v>1</v>
      </c>
      <c r="AH629" s="10">
        <v>13.239000000000001</v>
      </c>
      <c r="AI629" s="10">
        <v>0</v>
      </c>
      <c r="AJ629" s="8" t="str">
        <f>IF(ISNUMBER(X629),IF(X629&gt;0,"+",IF(X629&lt;0,"−","0")),IF(ISNUMBER(W629),IF(W629&gt;0,"+",IF(W629&lt;0,"−","0")),"yok"))</f>
        <v>0</v>
      </c>
      <c r="AK629" s="10" t="str">
        <f>IF(AND(RIGHT(C629,2)&lt;&gt;"12",ISNUMBER(U629),ISNUMBER(V629)),U629-V629,"")</f>
        <v/>
      </c>
      <c r="AL629" s="11" t="str">
        <f>IF(AND(ISNUMBER(AK629),ISNUMBER(V629)),IF(V629&lt;&gt;0,AK629/ABS(V629),""),"")</f>
        <v/>
      </c>
      <c r="AM629" s="8" t="str">
        <f>IF(ISNUMBER(AK629),IF(AK629&gt;1,1,0),"")</f>
        <v/>
      </c>
      <c r="AN629" s="8" t="str">
        <f>IF(ISNUMBER(AK629),IF(AK629&gt;0.05*ABS(V629),1,0),"")</f>
        <v/>
      </c>
      <c r="AO629" s="10">
        <v>0</v>
      </c>
      <c r="AP629" s="10">
        <v>0</v>
      </c>
      <c r="AQ629" s="8" t="s">
        <v>204</v>
      </c>
      <c r="AR629" s="8">
        <v>0</v>
      </c>
      <c r="AS629" s="10">
        <v>-97.33</v>
      </c>
      <c r="AT629" s="10">
        <v>-97.33</v>
      </c>
      <c r="AU629" s="8" t="s">
        <v>204</v>
      </c>
      <c r="AV629" s="10">
        <v>13.239000000000001</v>
      </c>
      <c r="AW629" s="11">
        <f>IF(AND(ISNUMBER(AV629),ISNUMBER(AT629)),IF(AT629&lt;&gt;0,AV629/ABS(AT629),""),"")</f>
        <v>0.13602178156786193</v>
      </c>
      <c r="AX629" s="8">
        <v>0</v>
      </c>
      <c r="AY629" s="8">
        <v>0</v>
      </c>
      <c r="AZ629" s="10"/>
      <c r="BA629" s="8">
        <v>0</v>
      </c>
    </row>
    <row r="630" spans="1:53" x14ac:dyDescent="0.2">
      <c r="A630" s="8" t="s">
        <v>576</v>
      </c>
      <c r="B630" s="8" t="s">
        <v>82</v>
      </c>
      <c r="C630" s="8" t="s">
        <v>203</v>
      </c>
      <c r="D630" s="8">
        <v>1</v>
      </c>
      <c r="E630" s="8">
        <v>0</v>
      </c>
      <c r="F630" s="8">
        <f>SUM(G630:M630)</f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1</v>
      </c>
      <c r="Q630" s="8">
        <v>0</v>
      </c>
      <c r="R630" s="8">
        <v>1</v>
      </c>
      <c r="S630" s="8">
        <v>0</v>
      </c>
      <c r="T630" s="10">
        <v>-19.981999999999999</v>
      </c>
      <c r="U630" s="10">
        <v>-60.874000000000002</v>
      </c>
      <c r="V630" s="10">
        <v>-25.64</v>
      </c>
      <c r="W630" s="10">
        <f>IF(RIGHT(C630,2)="12",IF(ISNUMBER(T630),T630,""),IF(COUNT(T630,U630,V630)=3,T630+U630-V630,""))</f>
        <v>-55.215999999999994</v>
      </c>
      <c r="X630" s="10">
        <v>-55.216000000000001</v>
      </c>
      <c r="Y630" s="10">
        <v>-36.496000000000002</v>
      </c>
      <c r="Z630" s="10">
        <v>19.625</v>
      </c>
      <c r="AA630" s="10">
        <v>-18.363</v>
      </c>
      <c r="AB630" s="10">
        <v>-19.981999999999999</v>
      </c>
      <c r="AC630" s="8">
        <v>0</v>
      </c>
      <c r="AD630" s="8">
        <v>0</v>
      </c>
      <c r="AE630" s="8">
        <v>0</v>
      </c>
      <c r="AF630" s="10">
        <v>0</v>
      </c>
      <c r="AG630" s="8">
        <f>COUNTIF(Y630:AB630,"&gt;0")</f>
        <v>1</v>
      </c>
      <c r="AH630" s="10">
        <v>0</v>
      </c>
      <c r="AI630" s="10">
        <v>19.625</v>
      </c>
      <c r="AJ630" s="8" t="str">
        <f>IF(ISNUMBER(X630),IF(X630&gt;0,"+",IF(X630&lt;0,"−","0")),IF(ISNUMBER(W630),IF(W630&gt;0,"+",IF(W630&lt;0,"−","0")),"yok"))</f>
        <v>−</v>
      </c>
      <c r="AK630" s="10">
        <f>IF(AND(RIGHT(C630,2)&lt;&gt;"12",ISNUMBER(U630),ISNUMBER(V630)),U630-V630,"")</f>
        <v>-35.234000000000002</v>
      </c>
      <c r="AL630" s="11">
        <f>IF(AND(ISNUMBER(AK630),ISNUMBER(V630)),IF(V630&lt;&gt;0,AK630/ABS(V630),""),"")</f>
        <v>-1.3741809672386895</v>
      </c>
      <c r="AM630" s="8">
        <f>IF(ISNUMBER(AK630),IF(AK630&gt;1,1,0),"")</f>
        <v>0</v>
      </c>
      <c r="AN630" s="8">
        <f>IF(ISNUMBER(AK630),IF(AK630&gt;0.05*ABS(V630),1,0),"")</f>
        <v>0</v>
      </c>
      <c r="AO630" s="10">
        <v>-55.216000000000001</v>
      </c>
      <c r="AP630" s="10">
        <v>55.216000000000001</v>
      </c>
      <c r="AQ630" s="8" t="s">
        <v>204</v>
      </c>
      <c r="AR630" s="8">
        <v>0</v>
      </c>
      <c r="AS630" s="10">
        <v>1853.6959999999999</v>
      </c>
      <c r="AT630" s="10">
        <v>-302.72699999999998</v>
      </c>
      <c r="AU630" s="8" t="s">
        <v>204</v>
      </c>
      <c r="AV630" s="10">
        <v>19.625</v>
      </c>
      <c r="AW630" s="11">
        <f>IF(AND(ISNUMBER(AV630),ISNUMBER(AT630)),IF(AT630&lt;&gt;0,AV630/ABS(AT630),""),"")</f>
        <v>6.4827385730377537E-2</v>
      </c>
      <c r="AX630" s="8">
        <v>0</v>
      </c>
      <c r="AY630" s="8">
        <v>0</v>
      </c>
      <c r="AZ630" s="10"/>
      <c r="BA630" s="8">
        <v>0</v>
      </c>
    </row>
    <row r="631" spans="1:53" x14ac:dyDescent="0.2">
      <c r="A631" s="8" t="s">
        <v>576</v>
      </c>
      <c r="B631" s="8" t="s">
        <v>82</v>
      </c>
      <c r="C631" s="8" t="s">
        <v>205</v>
      </c>
      <c r="D631" s="8">
        <v>1</v>
      </c>
      <c r="E631" s="8">
        <v>0</v>
      </c>
      <c r="F631" s="8">
        <f>SUM(G631:M631)</f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1</v>
      </c>
      <c r="Q631" s="8">
        <v>0</v>
      </c>
      <c r="R631" s="8">
        <v>1</v>
      </c>
      <c r="S631" s="8">
        <v>0</v>
      </c>
      <c r="T631" s="10">
        <v>-40.709000000000003</v>
      </c>
      <c r="U631" s="10">
        <v>-60.874000000000002</v>
      </c>
      <c r="V631" s="10">
        <v>-62.136000000000003</v>
      </c>
      <c r="W631" s="10">
        <f>IF(RIGHT(C631,2)="12",IF(ISNUMBER(T631),T631,""),IF(COUNT(T631,U631,V631)=3,T631+U631-V631,""))</f>
        <v>-39.446999999999996</v>
      </c>
      <c r="X631" s="10">
        <v>-39.447000000000003</v>
      </c>
      <c r="Y631" s="10">
        <v>19.625</v>
      </c>
      <c r="Z631" s="10">
        <v>-18.363</v>
      </c>
      <c r="AA631" s="10">
        <v>-19.981999999999999</v>
      </c>
      <c r="AB631" s="10">
        <v>-20.727</v>
      </c>
      <c r="AC631" s="8">
        <v>0</v>
      </c>
      <c r="AD631" s="8">
        <v>0</v>
      </c>
      <c r="AE631" s="8">
        <v>0</v>
      </c>
      <c r="AF631" s="10">
        <v>0</v>
      </c>
      <c r="AG631" s="8">
        <f>COUNTIF(Y631:AB631,"&gt;0")</f>
        <v>1</v>
      </c>
      <c r="AH631" s="10">
        <v>0</v>
      </c>
      <c r="AI631" s="10">
        <v>19.625</v>
      </c>
      <c r="AJ631" s="8" t="str">
        <f>IF(ISNUMBER(X631),IF(X631&gt;0,"+",IF(X631&lt;0,"−","0")),IF(ISNUMBER(W631),IF(W631&gt;0,"+",IF(W631&lt;0,"−","0")),"yok"))</f>
        <v>−</v>
      </c>
      <c r="AK631" s="10">
        <f>IF(AND(RIGHT(C631,2)&lt;&gt;"12",ISNUMBER(U631),ISNUMBER(V631)),U631-V631,"")</f>
        <v>1.2620000000000005</v>
      </c>
      <c r="AL631" s="11">
        <f>IF(AND(ISNUMBER(AK631),ISNUMBER(V631)),IF(V631&lt;&gt;0,AK631/ABS(V631),""),"")</f>
        <v>2.0310287112141116E-2</v>
      </c>
      <c r="AM631" s="8">
        <f>IF(ISNUMBER(AK631),IF(AK631&gt;1,1,0),"")</f>
        <v>1</v>
      </c>
      <c r="AN631" s="8">
        <f>IF(ISNUMBER(AK631),IF(AK631&gt;0.05*ABS(V631),1,0),"")</f>
        <v>0</v>
      </c>
      <c r="AO631" s="10">
        <v>-39.447000000000003</v>
      </c>
      <c r="AP631" s="10">
        <v>39.447000000000003</v>
      </c>
      <c r="AQ631" s="8" t="s">
        <v>204</v>
      </c>
      <c r="AR631" s="8">
        <v>0</v>
      </c>
      <c r="AS631" s="10">
        <v>8546.1569999999992</v>
      </c>
      <c r="AT631" s="10">
        <v>6427.0389999999998</v>
      </c>
      <c r="AU631" s="8" t="s">
        <v>204</v>
      </c>
      <c r="AV631" s="10">
        <v>1.262</v>
      </c>
      <c r="AW631" s="11">
        <f>IF(AND(ISNUMBER(AV631),ISNUMBER(AT631)),IF(AT631&lt;&gt;0,AV631/ABS(AT631),""),"")</f>
        <v>1.9635791847536635E-4</v>
      </c>
      <c r="AX631" s="8">
        <v>0</v>
      </c>
      <c r="AY631" s="8">
        <v>0</v>
      </c>
      <c r="AZ631" s="10"/>
      <c r="BA631" s="8">
        <v>0</v>
      </c>
    </row>
    <row r="632" spans="1:53" x14ac:dyDescent="0.2">
      <c r="A632" s="8" t="s">
        <v>285</v>
      </c>
      <c r="B632" s="8" t="s">
        <v>83</v>
      </c>
      <c r="C632" s="8" t="s">
        <v>205</v>
      </c>
      <c r="D632" s="8">
        <v>1</v>
      </c>
      <c r="E632" s="8">
        <v>0</v>
      </c>
      <c r="F632" s="8">
        <f>SUM(G632:M632)</f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1</v>
      </c>
      <c r="Q632" s="8">
        <v>0</v>
      </c>
      <c r="R632" s="8">
        <v>0</v>
      </c>
      <c r="S632" s="8">
        <v>1</v>
      </c>
      <c r="T632" s="10">
        <v>-144.976</v>
      </c>
      <c r="U632" s="10">
        <v>-563.78300000000002</v>
      </c>
      <c r="V632" s="10">
        <v>-344.76600000000002</v>
      </c>
      <c r="W632" s="10">
        <f>IF(RIGHT(C632,2)="12",IF(ISNUMBER(T632),T632,""),IF(COUNT(T632,U632,V632)=3,T632+U632-V632,""))</f>
        <v>-363.99299999999999</v>
      </c>
      <c r="X632" s="10">
        <v>-363.99400000000003</v>
      </c>
      <c r="Y632" s="10">
        <v>-8.7949999999999999</v>
      </c>
      <c r="Z632" s="10">
        <v>-210.22200000000001</v>
      </c>
      <c r="AA632" s="10">
        <v>-193.54599999999999</v>
      </c>
      <c r="AB632" s="10">
        <v>48.569000000000003</v>
      </c>
      <c r="AC632" s="8">
        <v>0</v>
      </c>
      <c r="AD632" s="8">
        <v>0</v>
      </c>
      <c r="AE632" s="8">
        <v>0</v>
      </c>
      <c r="AF632" s="10">
        <v>0</v>
      </c>
      <c r="AG632" s="8">
        <f>COUNTIF(Y632:AB632,"&gt;0")</f>
        <v>1</v>
      </c>
      <c r="AH632" s="10">
        <v>48.569000000000003</v>
      </c>
      <c r="AI632" s="10">
        <v>0</v>
      </c>
      <c r="AJ632" s="8" t="str">
        <f>IF(ISNUMBER(X632),IF(X632&gt;0,"+",IF(X632&lt;0,"−","0")),IF(ISNUMBER(W632),IF(W632&gt;0,"+",IF(W632&lt;0,"−","0")),"yok"))</f>
        <v>−</v>
      </c>
      <c r="AK632" s="10">
        <f>IF(AND(RIGHT(C632,2)&lt;&gt;"12",ISNUMBER(U632),ISNUMBER(V632)),U632-V632,"")</f>
        <v>-219.017</v>
      </c>
      <c r="AL632" s="11">
        <f>IF(AND(ISNUMBER(AK632),ISNUMBER(V632)),IF(V632&lt;&gt;0,AK632/ABS(V632),""),"")</f>
        <v>-0.63526275792856601</v>
      </c>
      <c r="AM632" s="8">
        <f>IF(ISNUMBER(AK632),IF(AK632&gt;1,1,0),"")</f>
        <v>0</v>
      </c>
      <c r="AN632" s="8">
        <f>IF(ISNUMBER(AK632),IF(AK632&gt;0.05*ABS(V632),1,0),"")</f>
        <v>0</v>
      </c>
      <c r="AO632" s="10">
        <v>-363.99400000000003</v>
      </c>
      <c r="AP632" s="10">
        <v>363.99400000000003</v>
      </c>
      <c r="AQ632" s="8" t="s">
        <v>204</v>
      </c>
      <c r="AR632" s="8">
        <v>0</v>
      </c>
      <c r="AS632" s="10">
        <v>-2016.173</v>
      </c>
      <c r="AT632" s="10"/>
      <c r="AU632" s="8" t="s">
        <v>207</v>
      </c>
      <c r="AV632" s="10">
        <v>48.569000000000003</v>
      </c>
      <c r="AW632" s="11" t="str">
        <f>IF(AND(ISNUMBER(AV632),ISNUMBER(AT632)),IF(AT632&lt;&gt;0,AV632/ABS(AT632),""),"")</f>
        <v/>
      </c>
      <c r="AX632" s="8">
        <v>0</v>
      </c>
      <c r="AY632" s="8">
        <v>0</v>
      </c>
      <c r="AZ632" s="10"/>
      <c r="BA632" s="8">
        <v>0</v>
      </c>
    </row>
    <row r="633" spans="1:53" x14ac:dyDescent="0.2">
      <c r="A633" s="8" t="s">
        <v>285</v>
      </c>
      <c r="B633" s="8" t="s">
        <v>83</v>
      </c>
      <c r="C633" s="8" t="s">
        <v>215</v>
      </c>
      <c r="D633" s="8">
        <v>1</v>
      </c>
      <c r="E633" s="8">
        <v>0</v>
      </c>
      <c r="F633" s="8">
        <f>SUM(G633:M633)</f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1</v>
      </c>
      <c r="Q633" s="8">
        <v>0</v>
      </c>
      <c r="R633" s="8">
        <v>0</v>
      </c>
      <c r="S633" s="8">
        <v>1</v>
      </c>
      <c r="T633" s="10">
        <v>-1003.074</v>
      </c>
      <c r="U633" s="10">
        <v>-563.78300000000002</v>
      </c>
      <c r="V633" s="10">
        <v>-353.56099999999998</v>
      </c>
      <c r="W633" s="10">
        <f>IF(RIGHT(C633,2)="12",IF(ISNUMBER(T633),T633,""),IF(COUNT(T633,U633,V633)=3,T633+U633-V633,""))</f>
        <v>-1213.296</v>
      </c>
      <c r="X633" s="10">
        <v>-1213.296</v>
      </c>
      <c r="Y633" s="10">
        <v>-210.22200000000001</v>
      </c>
      <c r="Z633" s="10">
        <v>-193.54599999999999</v>
      </c>
      <c r="AA633" s="10">
        <v>48.569000000000003</v>
      </c>
      <c r="AB633" s="10">
        <v>-858.09699999999998</v>
      </c>
      <c r="AC633" s="8">
        <v>0</v>
      </c>
      <c r="AD633" s="8">
        <v>0</v>
      </c>
      <c r="AE633" s="8">
        <v>0</v>
      </c>
      <c r="AF633" s="10">
        <v>0</v>
      </c>
      <c r="AG633" s="8">
        <f>COUNTIF(Y633:AB633,"&gt;0")</f>
        <v>1</v>
      </c>
      <c r="AH633" s="10">
        <v>48.569000000000003</v>
      </c>
      <c r="AI633" s="10">
        <v>0</v>
      </c>
      <c r="AJ633" s="8" t="str">
        <f>IF(ISNUMBER(X633),IF(X633&gt;0,"+",IF(X633&lt;0,"−","0")),IF(ISNUMBER(W633),IF(W633&gt;0,"+",IF(W633&lt;0,"−","0")),"yok"))</f>
        <v>−</v>
      </c>
      <c r="AK633" s="10">
        <f>IF(AND(RIGHT(C633,2)&lt;&gt;"12",ISNUMBER(U633),ISNUMBER(V633)),U633-V633,"")</f>
        <v>-210.22200000000004</v>
      </c>
      <c r="AL633" s="11">
        <f>IF(AND(ISNUMBER(AK633),ISNUMBER(V633)),IF(V633&lt;&gt;0,AK633/ABS(V633),""),"")</f>
        <v>-0.59458480997621355</v>
      </c>
      <c r="AM633" s="8">
        <f>IF(ISNUMBER(AK633),IF(AK633&gt;1,1,0),"")</f>
        <v>0</v>
      </c>
      <c r="AN633" s="8">
        <f>IF(ISNUMBER(AK633),IF(AK633&gt;0.05*ABS(V633),1,0),"")</f>
        <v>0</v>
      </c>
      <c r="AO633" s="10">
        <v>-1213.297</v>
      </c>
      <c r="AP633" s="10">
        <v>1213.297</v>
      </c>
      <c r="AQ633" s="8" t="s">
        <v>204</v>
      </c>
      <c r="AR633" s="8">
        <v>0</v>
      </c>
      <c r="AS633" s="10">
        <v>-1155.7850000000001</v>
      </c>
      <c r="AT633" s="10"/>
      <c r="AU633" s="8" t="s">
        <v>207</v>
      </c>
      <c r="AV633" s="10">
        <v>48.569000000000003</v>
      </c>
      <c r="AW633" s="11" t="str">
        <f>IF(AND(ISNUMBER(AV633),ISNUMBER(AT633)),IF(AT633&lt;&gt;0,AV633/ABS(AT633),""),"")</f>
        <v/>
      </c>
      <c r="AX633" s="8">
        <v>0</v>
      </c>
      <c r="AY633" s="8">
        <v>0</v>
      </c>
      <c r="AZ633" s="10"/>
      <c r="BA633" s="8">
        <v>0</v>
      </c>
    </row>
    <row r="634" spans="1:53" x14ac:dyDescent="0.2">
      <c r="A634" s="8" t="s">
        <v>285</v>
      </c>
      <c r="B634" s="8" t="s">
        <v>83</v>
      </c>
      <c r="C634" s="8" t="s">
        <v>290</v>
      </c>
      <c r="D634" s="8">
        <v>1</v>
      </c>
      <c r="E634" s="8">
        <v>0</v>
      </c>
      <c r="F634" s="8">
        <f>SUM(G634:M634)</f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1</v>
      </c>
      <c r="Q634" s="8">
        <v>0</v>
      </c>
      <c r="R634" s="8">
        <v>0</v>
      </c>
      <c r="S634" s="8">
        <v>1</v>
      </c>
      <c r="T634" s="10">
        <v>-1261.7829999999999</v>
      </c>
      <c r="U634" s="10"/>
      <c r="V634" s="10"/>
      <c r="W634" s="10">
        <f>IF(RIGHT(C634,2)="12",IF(ISNUMBER(T634),T634,""),IF(COUNT(T634,U634,V634)=3,T634+U634-V634,""))</f>
        <v>-1261.7829999999999</v>
      </c>
      <c r="X634" s="10">
        <v>-1261.7829999999999</v>
      </c>
      <c r="Y634" s="10">
        <v>-193.54599999999999</v>
      </c>
      <c r="Z634" s="10">
        <v>48.569000000000003</v>
      </c>
      <c r="AA634" s="10">
        <v>-858.09699999999998</v>
      </c>
      <c r="AB634" s="10">
        <v>-258.70800000000003</v>
      </c>
      <c r="AC634" s="8">
        <v>0</v>
      </c>
      <c r="AD634" s="8">
        <v>0</v>
      </c>
      <c r="AE634" s="8">
        <v>0</v>
      </c>
      <c r="AF634" s="10">
        <v>0</v>
      </c>
      <c r="AG634" s="8">
        <f>COUNTIF(Y634:AB634,"&gt;0")</f>
        <v>1</v>
      </c>
      <c r="AH634" s="10">
        <v>48.569000000000003</v>
      </c>
      <c r="AI634" s="10">
        <v>0</v>
      </c>
      <c r="AJ634" s="8" t="str">
        <f>IF(ISNUMBER(X634),IF(X634&gt;0,"+",IF(X634&lt;0,"−","0")),IF(ISNUMBER(W634),IF(W634&gt;0,"+",IF(W634&lt;0,"−","0")),"yok"))</f>
        <v>−</v>
      </c>
      <c r="AK634" s="10" t="str">
        <f>IF(AND(RIGHT(C634,2)&lt;&gt;"12",ISNUMBER(U634),ISNUMBER(V634)),U634-V634,"")</f>
        <v/>
      </c>
      <c r="AL634" s="11" t="str">
        <f>IF(AND(ISNUMBER(AK634),ISNUMBER(V634)),IF(V634&lt;&gt;0,AK634/ABS(V634),""),"")</f>
        <v/>
      </c>
      <c r="AM634" s="8" t="str">
        <f>IF(ISNUMBER(AK634),IF(AK634&gt;1,1,0),"")</f>
        <v/>
      </c>
      <c r="AN634" s="8" t="str">
        <f>IF(ISNUMBER(AK634),IF(AK634&gt;0.05*ABS(V634),1,0),"")</f>
        <v/>
      </c>
      <c r="AO634" s="10">
        <v>-1261.7829999999999</v>
      </c>
      <c r="AP634" s="10">
        <v>1261.7829999999999</v>
      </c>
      <c r="AQ634" s="8" t="s">
        <v>204</v>
      </c>
      <c r="AR634" s="8">
        <v>0</v>
      </c>
      <c r="AS634" s="10">
        <v>2342.2370000000001</v>
      </c>
      <c r="AT634" s="10">
        <v>998.10299999999995</v>
      </c>
      <c r="AU634" s="8" t="s">
        <v>209</v>
      </c>
      <c r="AV634" s="10">
        <v>48.569000000000003</v>
      </c>
      <c r="AW634" s="11">
        <f>IF(AND(ISNUMBER(AV634),ISNUMBER(AT634)),IF(AT634&lt;&gt;0,AV634/ABS(AT634),""),"")</f>
        <v>4.8661310506029946E-2</v>
      </c>
      <c r="AX634" s="8">
        <v>0</v>
      </c>
      <c r="AY634" s="8">
        <v>0</v>
      </c>
      <c r="AZ634" s="10"/>
      <c r="BA634" s="8">
        <v>0</v>
      </c>
    </row>
    <row r="635" spans="1:53" x14ac:dyDescent="0.2">
      <c r="A635" s="8" t="s">
        <v>577</v>
      </c>
      <c r="B635" s="8" t="s">
        <v>82</v>
      </c>
      <c r="C635" s="8" t="s">
        <v>203</v>
      </c>
      <c r="D635" s="8">
        <v>1</v>
      </c>
      <c r="E635" s="8">
        <v>0</v>
      </c>
      <c r="F635" s="8">
        <f>SUM(G635:M635)</f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1</v>
      </c>
      <c r="P635" s="8">
        <v>1</v>
      </c>
      <c r="Q635" s="8">
        <v>0</v>
      </c>
      <c r="R635" s="8">
        <v>0</v>
      </c>
      <c r="S635" s="8">
        <v>0</v>
      </c>
      <c r="T635" s="10">
        <v>0</v>
      </c>
      <c r="U635" s="10">
        <v>1.9E-2</v>
      </c>
      <c r="V635" s="10"/>
      <c r="W635" s="10" t="str">
        <f>IF(RIGHT(C635,2)="12",IF(ISNUMBER(T635),T635,""),IF(COUNT(T635,U635,V635)=3,T635+U635-V635,""))</f>
        <v/>
      </c>
      <c r="X635" s="10"/>
      <c r="Y635" s="10"/>
      <c r="Z635" s="10">
        <v>0.3</v>
      </c>
      <c r="AA635" s="10">
        <v>8.2000000000000003E-2</v>
      </c>
      <c r="AB635" s="10">
        <v>0</v>
      </c>
      <c r="AC635" s="8">
        <v>0</v>
      </c>
      <c r="AD635" s="8">
        <v>1</v>
      </c>
      <c r="AE635" s="8">
        <v>0</v>
      </c>
      <c r="AF635" s="10">
        <v>1.9E-2</v>
      </c>
      <c r="AG635" s="8">
        <f>COUNTIF(Y635:AB635,"&gt;0")</f>
        <v>2</v>
      </c>
      <c r="AH635" s="10">
        <v>0</v>
      </c>
      <c r="AI635" s="10">
        <v>0.38200000000000001</v>
      </c>
      <c r="AJ635" s="8" t="str">
        <f>IF(ISNUMBER(X635),IF(X635&gt;0,"+",IF(X635&lt;0,"−","0")),IF(ISNUMBER(W635),IF(W635&gt;0,"+",IF(W635&lt;0,"−","0")),"yok"))</f>
        <v>yok</v>
      </c>
      <c r="AK635" s="10" t="str">
        <f>IF(AND(RIGHT(C635,2)&lt;&gt;"12",ISNUMBER(U635),ISNUMBER(V635)),U635-V635,"")</f>
        <v/>
      </c>
      <c r="AL635" s="11" t="str">
        <f>IF(AND(ISNUMBER(AK635),ISNUMBER(V635)),IF(V635&lt;&gt;0,AK635/ABS(V635),""),"")</f>
        <v/>
      </c>
      <c r="AM635" s="8" t="str">
        <f>IF(ISNUMBER(AK635),IF(AK635&gt;1,1,0),"")</f>
        <v/>
      </c>
      <c r="AN635" s="8" t="str">
        <f>IF(ISNUMBER(AK635),IF(AK635&gt;0.05*ABS(V635),1,0),"")</f>
        <v/>
      </c>
      <c r="AO635" s="10"/>
      <c r="AP635" s="10"/>
      <c r="AQ635" s="8" t="s">
        <v>207</v>
      </c>
      <c r="AR635" s="8">
        <v>0</v>
      </c>
      <c r="AS635" s="10">
        <v>74.400999999999996</v>
      </c>
      <c r="AT635" s="10"/>
      <c r="AU635" s="8" t="s">
        <v>207</v>
      </c>
      <c r="AV635" s="10">
        <v>1.9E-2</v>
      </c>
      <c r="AW635" s="11" t="str">
        <f>IF(AND(ISNUMBER(AV635),ISNUMBER(AT635)),IF(AT635&lt;&gt;0,AV635/ABS(AT635),""),"")</f>
        <v/>
      </c>
      <c r="AX635" s="8">
        <v>1</v>
      </c>
      <c r="AY635" s="8">
        <v>0</v>
      </c>
      <c r="AZ635" s="8" t="s">
        <v>578</v>
      </c>
      <c r="BA635" s="8">
        <v>0</v>
      </c>
    </row>
    <row r="636" spans="1:53" x14ac:dyDescent="0.2">
      <c r="A636" s="8" t="s">
        <v>577</v>
      </c>
      <c r="B636" s="8" t="s">
        <v>82</v>
      </c>
      <c r="C636" s="8" t="s">
        <v>205</v>
      </c>
      <c r="D636" s="8">
        <v>1</v>
      </c>
      <c r="E636" s="8">
        <v>0</v>
      </c>
      <c r="F636" s="8">
        <f>SUM(G636:M636)</f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1</v>
      </c>
      <c r="P636" s="8">
        <v>1</v>
      </c>
      <c r="Q636" s="8">
        <v>0</v>
      </c>
      <c r="R636" s="8">
        <v>0</v>
      </c>
      <c r="S636" s="8">
        <v>0</v>
      </c>
      <c r="T636" s="10"/>
      <c r="U636" s="10">
        <v>1.9E-2</v>
      </c>
      <c r="V636" s="10">
        <v>-0.36299999999999999</v>
      </c>
      <c r="W636" s="10" t="str">
        <f>IF(RIGHT(C636,2)="12",IF(ISNUMBER(T636),T636,""),IF(COUNT(T636,U636,V636)=3,T636+U636-V636,""))</f>
        <v/>
      </c>
      <c r="X636" s="10"/>
      <c r="Y636" s="10">
        <v>0.3</v>
      </c>
      <c r="Z636" s="10">
        <v>8.2000000000000003E-2</v>
      </c>
      <c r="AA636" s="10">
        <v>0</v>
      </c>
      <c r="AB636" s="10"/>
      <c r="AC636" s="8">
        <v>0</v>
      </c>
      <c r="AD636" s="8">
        <v>1</v>
      </c>
      <c r="AE636" s="8">
        <v>0</v>
      </c>
      <c r="AF636" s="10">
        <v>1.9E-2</v>
      </c>
      <c r="AG636" s="8">
        <f>COUNTIF(Y636:AB636,"&gt;0")</f>
        <v>2</v>
      </c>
      <c r="AH636" s="10">
        <v>0</v>
      </c>
      <c r="AI636" s="10">
        <v>0.38200000000000001</v>
      </c>
      <c r="AJ636" s="8" t="str">
        <f>IF(ISNUMBER(X636),IF(X636&gt;0,"+",IF(X636&lt;0,"−","0")),IF(ISNUMBER(W636),IF(W636&gt;0,"+",IF(W636&lt;0,"−","0")),"yok"))</f>
        <v>yok</v>
      </c>
      <c r="AK636" s="10">
        <f>IF(AND(RIGHT(C636,2)&lt;&gt;"12",ISNUMBER(U636),ISNUMBER(V636)),U636-V636,"")</f>
        <v>0.38200000000000001</v>
      </c>
      <c r="AL636" s="11">
        <f>IF(AND(ISNUMBER(AK636),ISNUMBER(V636)),IF(V636&lt;&gt;0,AK636/ABS(V636),""),"")</f>
        <v>1.0523415977961432</v>
      </c>
      <c r="AM636" s="8">
        <f>IF(ISNUMBER(AK636),IF(AK636&gt;1,1,0),"")</f>
        <v>0</v>
      </c>
      <c r="AN636" s="8">
        <f>IF(ISNUMBER(AK636),IF(AK636&gt;0.05*ABS(V636),1,0),"")</f>
        <v>1</v>
      </c>
      <c r="AO636" s="10"/>
      <c r="AP636" s="10"/>
      <c r="AQ636" s="8" t="s">
        <v>207</v>
      </c>
      <c r="AR636" s="8">
        <v>0</v>
      </c>
      <c r="AS636" s="10">
        <v>-54.930999999999997</v>
      </c>
      <c r="AT636" s="10"/>
      <c r="AU636" s="8" t="s">
        <v>207</v>
      </c>
      <c r="AV636" s="10">
        <v>1.9E-2</v>
      </c>
      <c r="AW636" s="11" t="str">
        <f>IF(AND(ISNUMBER(AV636),ISNUMBER(AT636)),IF(AT636&lt;&gt;0,AV636/ABS(AT636),""),"")</f>
        <v/>
      </c>
      <c r="AX636" s="8">
        <v>1</v>
      </c>
      <c r="AY636" s="8">
        <v>0</v>
      </c>
      <c r="AZ636" s="8" t="s">
        <v>578</v>
      </c>
      <c r="BA636" s="8">
        <v>0</v>
      </c>
    </row>
    <row r="637" spans="1:53" x14ac:dyDescent="0.2">
      <c r="A637" s="8" t="s">
        <v>577</v>
      </c>
      <c r="B637" s="8" t="s">
        <v>82</v>
      </c>
      <c r="C637" s="8" t="s">
        <v>215</v>
      </c>
      <c r="D637" s="8">
        <v>1</v>
      </c>
      <c r="E637" s="8">
        <v>0</v>
      </c>
      <c r="F637" s="8">
        <f>SUM(G637:M637)</f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1</v>
      </c>
      <c r="P637" s="8">
        <v>1</v>
      </c>
      <c r="Q637" s="8">
        <v>0</v>
      </c>
      <c r="R637" s="8">
        <v>0</v>
      </c>
      <c r="S637" s="8">
        <v>0</v>
      </c>
      <c r="T637" s="10"/>
      <c r="U637" s="10">
        <v>1.9E-2</v>
      </c>
      <c r="V637" s="10">
        <v>-6.3E-2</v>
      </c>
      <c r="W637" s="10" t="str">
        <f>IF(RIGHT(C637,2)="12",IF(ISNUMBER(T637),T637,""),IF(COUNT(T637,U637,V637)=3,T637+U637-V637,""))</f>
        <v/>
      </c>
      <c r="X637" s="10"/>
      <c r="Y637" s="10">
        <v>8.2000000000000003E-2</v>
      </c>
      <c r="Z637" s="10">
        <v>0</v>
      </c>
      <c r="AA637" s="10"/>
      <c r="AB637" s="10"/>
      <c r="AC637" s="8">
        <v>0</v>
      </c>
      <c r="AD637" s="8">
        <v>1</v>
      </c>
      <c r="AE637" s="8">
        <v>0</v>
      </c>
      <c r="AF637" s="10">
        <v>1.9E-2</v>
      </c>
      <c r="AG637" s="8">
        <f>COUNTIF(Y637:AB637,"&gt;0")</f>
        <v>1</v>
      </c>
      <c r="AH637" s="10">
        <v>0</v>
      </c>
      <c r="AI637" s="10">
        <v>8.2000000000000003E-2</v>
      </c>
      <c r="AJ637" s="8" t="str">
        <f>IF(ISNUMBER(X637),IF(X637&gt;0,"+",IF(X637&lt;0,"−","0")),IF(ISNUMBER(W637),IF(W637&gt;0,"+",IF(W637&lt;0,"−","0")),"yok"))</f>
        <v>yok</v>
      </c>
      <c r="AK637" s="10">
        <f>IF(AND(RIGHT(C637,2)&lt;&gt;"12",ISNUMBER(U637),ISNUMBER(V637)),U637-V637,"")</f>
        <v>8.2000000000000003E-2</v>
      </c>
      <c r="AL637" s="11">
        <f>IF(AND(ISNUMBER(AK637),ISNUMBER(V637)),IF(V637&lt;&gt;0,AK637/ABS(V637),""),"")</f>
        <v>1.3015873015873016</v>
      </c>
      <c r="AM637" s="8">
        <f>IF(ISNUMBER(AK637),IF(AK637&gt;1,1,0),"")</f>
        <v>0</v>
      </c>
      <c r="AN637" s="8">
        <f>IF(ISNUMBER(AK637),IF(AK637&gt;0.05*ABS(V637),1,0),"")</f>
        <v>1</v>
      </c>
      <c r="AO637" s="10"/>
      <c r="AP637" s="10"/>
      <c r="AQ637" s="8" t="s">
        <v>207</v>
      </c>
      <c r="AR637" s="8">
        <v>0</v>
      </c>
      <c r="AS637" s="10">
        <v>-69.567999999999998</v>
      </c>
      <c r="AT637" s="10"/>
      <c r="AU637" s="8" t="s">
        <v>207</v>
      </c>
      <c r="AV637" s="10">
        <v>1.9E-2</v>
      </c>
      <c r="AW637" s="11" t="str">
        <f>IF(AND(ISNUMBER(AV637),ISNUMBER(AT637)),IF(AT637&lt;&gt;0,AV637/ABS(AT637),""),"")</f>
        <v/>
      </c>
      <c r="AX637" s="8">
        <v>1</v>
      </c>
      <c r="AY637" s="8">
        <v>0</v>
      </c>
      <c r="AZ637" s="8" t="s">
        <v>578</v>
      </c>
      <c r="BA637" s="8">
        <v>0</v>
      </c>
    </row>
    <row r="638" spans="1:53" x14ac:dyDescent="0.2">
      <c r="A638" s="8" t="s">
        <v>287</v>
      </c>
      <c r="B638" s="8" t="s">
        <v>83</v>
      </c>
      <c r="C638" s="8" t="s">
        <v>205</v>
      </c>
      <c r="D638" s="8">
        <v>1</v>
      </c>
      <c r="E638" s="8">
        <v>0</v>
      </c>
      <c r="F638" s="8">
        <f>SUM(G638:M638)</f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1</v>
      </c>
      <c r="Q638" s="8">
        <v>0</v>
      </c>
      <c r="R638" s="8">
        <v>0</v>
      </c>
      <c r="S638" s="8">
        <v>1</v>
      </c>
      <c r="T638" s="10">
        <v>-242.38800000000001</v>
      </c>
      <c r="U638" s="10">
        <v>-255.702</v>
      </c>
      <c r="V638" s="10">
        <v>-97.539000000000001</v>
      </c>
      <c r="W638" s="10">
        <f>IF(RIGHT(C638,2)="12",IF(ISNUMBER(T638),T638,""),IF(COUNT(T638,U638,V638)=3,T638+U638-V638,""))</f>
        <v>-400.55100000000004</v>
      </c>
      <c r="X638" s="10">
        <v>-400.55099999999999</v>
      </c>
      <c r="Y638" s="10">
        <v>-13.285</v>
      </c>
      <c r="Z638" s="10">
        <v>-144.87700000000001</v>
      </c>
      <c r="AA638" s="10">
        <v>-315.68900000000002</v>
      </c>
      <c r="AB638" s="10">
        <v>73.3</v>
      </c>
      <c r="AC638" s="8">
        <v>0</v>
      </c>
      <c r="AD638" s="8">
        <v>0</v>
      </c>
      <c r="AE638" s="8">
        <v>0</v>
      </c>
      <c r="AF638" s="10">
        <v>0</v>
      </c>
      <c r="AG638" s="8">
        <f>COUNTIF(Y638:AB638,"&gt;0")</f>
        <v>1</v>
      </c>
      <c r="AH638" s="10">
        <v>73.3</v>
      </c>
      <c r="AI638" s="10">
        <v>0</v>
      </c>
      <c r="AJ638" s="8" t="str">
        <f>IF(ISNUMBER(X638),IF(X638&gt;0,"+",IF(X638&lt;0,"−","0")),IF(ISNUMBER(W638),IF(W638&gt;0,"+",IF(W638&lt;0,"−","0")),"yok"))</f>
        <v>−</v>
      </c>
      <c r="AK638" s="10">
        <f>IF(AND(RIGHT(C638,2)&lt;&gt;"12",ISNUMBER(U638),ISNUMBER(V638)),U638-V638,"")</f>
        <v>-158.16300000000001</v>
      </c>
      <c r="AL638" s="11">
        <f>IF(AND(ISNUMBER(AK638),ISNUMBER(V638)),IF(V638&lt;&gt;0,AK638/ABS(V638),""),"")</f>
        <v>-1.6215360009842217</v>
      </c>
      <c r="AM638" s="8">
        <f>IF(ISNUMBER(AK638),IF(AK638&gt;1,1,0),"")</f>
        <v>0</v>
      </c>
      <c r="AN638" s="8">
        <f>IF(ISNUMBER(AK638),IF(AK638&gt;0.05*ABS(V638),1,0),"")</f>
        <v>0</v>
      </c>
      <c r="AO638" s="10">
        <v>-400.55200000000002</v>
      </c>
      <c r="AP638" s="10">
        <v>400.55200000000002</v>
      </c>
      <c r="AQ638" s="8" t="s">
        <v>204</v>
      </c>
      <c r="AR638" s="8">
        <v>0</v>
      </c>
      <c r="AS638" s="10">
        <v>-30.164999999999999</v>
      </c>
      <c r="AT638" s="10">
        <v>-430.71699999999998</v>
      </c>
      <c r="AU638" s="8" t="s">
        <v>204</v>
      </c>
      <c r="AV638" s="10">
        <v>73.3</v>
      </c>
      <c r="AW638" s="11">
        <f>IF(AND(ISNUMBER(AV638),ISNUMBER(AT638)),IF(AT638&lt;&gt;0,AV638/ABS(AT638),""),"")</f>
        <v>0.17018134877425317</v>
      </c>
      <c r="AX638" s="8">
        <v>0</v>
      </c>
      <c r="AY638" s="8">
        <v>0</v>
      </c>
      <c r="AZ638" s="10"/>
      <c r="BA638" s="8">
        <v>0</v>
      </c>
    </row>
    <row r="639" spans="1:53" x14ac:dyDescent="0.2">
      <c r="A639" s="8" t="s">
        <v>287</v>
      </c>
      <c r="B639" s="8" t="s">
        <v>83</v>
      </c>
      <c r="C639" s="8" t="s">
        <v>215</v>
      </c>
      <c r="D639" s="8">
        <v>1</v>
      </c>
      <c r="E639" s="8">
        <v>0</v>
      </c>
      <c r="F639" s="8">
        <f>SUM(G639:M639)</f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1</v>
      </c>
      <c r="Q639" s="8">
        <v>0</v>
      </c>
      <c r="R639" s="8">
        <v>0</v>
      </c>
      <c r="S639" s="8">
        <v>1</v>
      </c>
      <c r="T639" s="10">
        <v>-308.93700000000001</v>
      </c>
      <c r="U639" s="10">
        <v>-255.702</v>
      </c>
      <c r="V639" s="10">
        <v>-110.824</v>
      </c>
      <c r="W639" s="10">
        <f>IF(RIGHT(C639,2)="12",IF(ISNUMBER(T639),T639,""),IF(COUNT(T639,U639,V639)=3,T639+U639-V639,""))</f>
        <v>-453.815</v>
      </c>
      <c r="X639" s="10">
        <v>-453.81400000000002</v>
      </c>
      <c r="Y639" s="10">
        <v>-144.87700000000001</v>
      </c>
      <c r="Z639" s="10">
        <v>-315.68900000000002</v>
      </c>
      <c r="AA639" s="10">
        <v>73.3</v>
      </c>
      <c r="AB639" s="10">
        <v>-66.548000000000002</v>
      </c>
      <c r="AC639" s="8">
        <v>0</v>
      </c>
      <c r="AD639" s="8">
        <v>0</v>
      </c>
      <c r="AE639" s="8">
        <v>0</v>
      </c>
      <c r="AF639" s="10">
        <v>0</v>
      </c>
      <c r="AG639" s="8">
        <f>COUNTIF(Y639:AB639,"&gt;0")</f>
        <v>1</v>
      </c>
      <c r="AH639" s="10">
        <v>73.3</v>
      </c>
      <c r="AI639" s="10">
        <v>0</v>
      </c>
      <c r="AJ639" s="8" t="str">
        <f>IF(ISNUMBER(X639),IF(X639&gt;0,"+",IF(X639&lt;0,"−","0")),IF(ISNUMBER(W639),IF(W639&gt;0,"+",IF(W639&lt;0,"−","0")),"yok"))</f>
        <v>−</v>
      </c>
      <c r="AK639" s="10">
        <f>IF(AND(RIGHT(C639,2)&lt;&gt;"12",ISNUMBER(U639),ISNUMBER(V639)),U639-V639,"")</f>
        <v>-144.87799999999999</v>
      </c>
      <c r="AL639" s="11">
        <f>IF(AND(ISNUMBER(AK639),ISNUMBER(V639)),IF(V639&lt;&gt;0,AK639/ABS(V639),""),"")</f>
        <v>-1.3072800115498446</v>
      </c>
      <c r="AM639" s="8">
        <f>IF(ISNUMBER(AK639),IF(AK639&gt;1,1,0),"")</f>
        <v>0</v>
      </c>
      <c r="AN639" s="8">
        <f>IF(ISNUMBER(AK639),IF(AK639&gt;0.05*ABS(V639),1,0),"")</f>
        <v>0</v>
      </c>
      <c r="AO639" s="10">
        <v>-453.81400000000002</v>
      </c>
      <c r="AP639" s="10">
        <v>453.81400000000002</v>
      </c>
      <c r="AQ639" s="8" t="s">
        <v>204</v>
      </c>
      <c r="AR639" s="8">
        <v>0</v>
      </c>
      <c r="AS639" s="10">
        <v>-182.09</v>
      </c>
      <c r="AT639" s="10">
        <v>-635.904</v>
      </c>
      <c r="AU639" s="8" t="s">
        <v>204</v>
      </c>
      <c r="AV639" s="10">
        <v>73.3</v>
      </c>
      <c r="AW639" s="11">
        <f>IF(AND(ISNUMBER(AV639),ISNUMBER(AT639)),IF(AT639&lt;&gt;0,AV639/ABS(AT639),""),"")</f>
        <v>0.11526897141706924</v>
      </c>
      <c r="AX639" s="8">
        <v>0</v>
      </c>
      <c r="AY639" s="8">
        <v>0</v>
      </c>
      <c r="AZ639" s="10"/>
      <c r="BA639" s="8">
        <v>0</v>
      </c>
    </row>
    <row r="640" spans="1:53" x14ac:dyDescent="0.2">
      <c r="A640" s="8" t="s">
        <v>287</v>
      </c>
      <c r="B640" s="8" t="s">
        <v>83</v>
      </c>
      <c r="C640" s="8" t="s">
        <v>290</v>
      </c>
      <c r="D640" s="8">
        <v>1</v>
      </c>
      <c r="E640" s="8">
        <v>0</v>
      </c>
      <c r="F640" s="8">
        <f>SUM(G640:M640)</f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1</v>
      </c>
      <c r="Q640" s="8">
        <v>0</v>
      </c>
      <c r="R640" s="8">
        <v>0</v>
      </c>
      <c r="S640" s="8">
        <v>1</v>
      </c>
      <c r="T640" s="10">
        <v>-319.976</v>
      </c>
      <c r="U640" s="10"/>
      <c r="V640" s="10"/>
      <c r="W640" s="10">
        <f>IF(RIGHT(C640,2)="12",IF(ISNUMBER(T640),T640,""),IF(COUNT(T640,U640,V640)=3,T640+U640-V640,""))</f>
        <v>-319.976</v>
      </c>
      <c r="X640" s="10">
        <v>-319.976</v>
      </c>
      <c r="Y640" s="10">
        <v>-315.68900000000002</v>
      </c>
      <c r="Z640" s="10">
        <v>73.3</v>
      </c>
      <c r="AA640" s="10">
        <v>-66.548000000000002</v>
      </c>
      <c r="AB640" s="10">
        <v>-11.038</v>
      </c>
      <c r="AC640" s="8">
        <v>0</v>
      </c>
      <c r="AD640" s="8">
        <v>0</v>
      </c>
      <c r="AE640" s="8">
        <v>0</v>
      </c>
      <c r="AF640" s="10">
        <v>0</v>
      </c>
      <c r="AG640" s="8">
        <f>COUNTIF(Y640:AB640,"&gt;0")</f>
        <v>1</v>
      </c>
      <c r="AH640" s="10">
        <v>73.3</v>
      </c>
      <c r="AI640" s="10">
        <v>0</v>
      </c>
      <c r="AJ640" s="8" t="str">
        <f>IF(ISNUMBER(X640),IF(X640&gt;0,"+",IF(X640&lt;0,"−","0")),IF(ISNUMBER(W640),IF(W640&gt;0,"+",IF(W640&lt;0,"−","0")),"yok"))</f>
        <v>−</v>
      </c>
      <c r="AK640" s="10" t="str">
        <f>IF(AND(RIGHT(C640,2)&lt;&gt;"12",ISNUMBER(U640),ISNUMBER(V640)),U640-V640,"")</f>
        <v/>
      </c>
      <c r="AL640" s="11" t="str">
        <f>IF(AND(ISNUMBER(AK640),ISNUMBER(V640)),IF(V640&lt;&gt;0,AK640/ABS(V640),""),"")</f>
        <v/>
      </c>
      <c r="AM640" s="8" t="str">
        <f>IF(ISNUMBER(AK640),IF(AK640&gt;1,1,0),"")</f>
        <v/>
      </c>
      <c r="AN640" s="8" t="str">
        <f>IF(ISNUMBER(AK640),IF(AK640&gt;0.05*ABS(V640),1,0),"")</f>
        <v/>
      </c>
      <c r="AO640" s="10">
        <v>-319.976</v>
      </c>
      <c r="AP640" s="10">
        <v>319.976</v>
      </c>
      <c r="AQ640" s="8" t="s">
        <v>204</v>
      </c>
      <c r="AR640" s="8">
        <v>0</v>
      </c>
      <c r="AS640" s="10">
        <v>-300.62799999999999</v>
      </c>
      <c r="AT640" s="10">
        <v>-620.60400000000004</v>
      </c>
      <c r="AU640" s="8" t="s">
        <v>204</v>
      </c>
      <c r="AV640" s="10">
        <v>73.3</v>
      </c>
      <c r="AW640" s="11">
        <f>IF(AND(ISNUMBER(AV640),ISNUMBER(AT640)),IF(AT640&lt;&gt;0,AV640/ABS(AT640),""),"")</f>
        <v>0.11811074372707876</v>
      </c>
      <c r="AX640" s="8">
        <v>0</v>
      </c>
      <c r="AY640" s="8">
        <v>0</v>
      </c>
      <c r="AZ640" s="10"/>
      <c r="BA640" s="8">
        <v>0</v>
      </c>
    </row>
    <row r="641" spans="1:53" x14ac:dyDescent="0.2">
      <c r="A641" s="8" t="s">
        <v>288</v>
      </c>
      <c r="B641" s="8" t="s">
        <v>82</v>
      </c>
      <c r="C641" s="8" t="s">
        <v>203</v>
      </c>
      <c r="D641" s="8">
        <v>1</v>
      </c>
      <c r="E641" s="8">
        <v>0</v>
      </c>
      <c r="F641" s="8">
        <f>SUM(G641:M641)</f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1</v>
      </c>
      <c r="P641" s="8">
        <v>0</v>
      </c>
      <c r="Q641" s="8">
        <v>0</v>
      </c>
      <c r="R641" s="8">
        <v>0</v>
      </c>
      <c r="S641" s="8">
        <v>0</v>
      </c>
      <c r="T641" s="10"/>
      <c r="U641" s="10">
        <v>311.83300000000003</v>
      </c>
      <c r="V641" s="10"/>
      <c r="W641" s="10" t="str">
        <f>IF(RIGHT(C641,2)="12",IF(ISNUMBER(T641),T641,""),IF(COUNT(T641,U641,V641)=3,T641+U641-V641,""))</f>
        <v/>
      </c>
      <c r="X641" s="10"/>
      <c r="Y641" s="10"/>
      <c r="Z641" s="10"/>
      <c r="AA641" s="10"/>
      <c r="AB641" s="10"/>
      <c r="AC641" s="8">
        <v>0</v>
      </c>
      <c r="AD641" s="8">
        <v>1</v>
      </c>
      <c r="AE641" s="8">
        <v>0</v>
      </c>
      <c r="AF641" s="10">
        <v>311.83300000000003</v>
      </c>
      <c r="AG641" s="8">
        <f>COUNTIF(Y641:AB641,"&gt;0")</f>
        <v>0</v>
      </c>
      <c r="AH641" s="10">
        <v>0</v>
      </c>
      <c r="AI641" s="10">
        <v>0</v>
      </c>
      <c r="AJ641" s="8" t="str">
        <f>IF(ISNUMBER(X641),IF(X641&gt;0,"+",IF(X641&lt;0,"−","0")),IF(ISNUMBER(W641),IF(W641&gt;0,"+",IF(W641&lt;0,"−","0")),"yok"))</f>
        <v>yok</v>
      </c>
      <c r="AK641" s="10" t="str">
        <f>IF(AND(RIGHT(C641,2)&lt;&gt;"12",ISNUMBER(U641),ISNUMBER(V641)),U641-V641,"")</f>
        <v/>
      </c>
      <c r="AL641" s="11" t="str">
        <f>IF(AND(ISNUMBER(AK641),ISNUMBER(V641)),IF(V641&lt;&gt;0,AK641/ABS(V641),""),"")</f>
        <v/>
      </c>
      <c r="AM641" s="8" t="str">
        <f>IF(ISNUMBER(AK641),IF(AK641&gt;1,1,0),"")</f>
        <v/>
      </c>
      <c r="AN641" s="8" t="str">
        <f>IF(ISNUMBER(AK641),IF(AK641&gt;0.05*ABS(V641),1,0),"")</f>
        <v/>
      </c>
      <c r="AO641" s="10"/>
      <c r="AP641" s="10"/>
      <c r="AQ641" s="8" t="s">
        <v>207</v>
      </c>
      <c r="AR641" s="8">
        <v>0</v>
      </c>
      <c r="AS641" s="10">
        <v>-416.29199999999997</v>
      </c>
      <c r="AT641" s="10"/>
      <c r="AU641" s="8" t="s">
        <v>207</v>
      </c>
      <c r="AV641" s="10">
        <v>311.83300000000003</v>
      </c>
      <c r="AW641" s="11" t="str">
        <f>IF(AND(ISNUMBER(AV641),ISNUMBER(AT641)),IF(AT641&lt;&gt;0,AV641/ABS(AT641),""),"")</f>
        <v/>
      </c>
      <c r="AX641" s="8">
        <v>1</v>
      </c>
      <c r="AY641" s="8">
        <v>0</v>
      </c>
      <c r="AZ641" s="8" t="s">
        <v>289</v>
      </c>
      <c r="BA641" s="8">
        <v>0</v>
      </c>
    </row>
    <row r="642" spans="1:53" x14ac:dyDescent="0.2">
      <c r="A642" s="8" t="s">
        <v>288</v>
      </c>
      <c r="B642" s="8" t="s">
        <v>82</v>
      </c>
      <c r="C642" s="8" t="s">
        <v>205</v>
      </c>
      <c r="D642" s="8">
        <v>1</v>
      </c>
      <c r="E642" s="8">
        <v>0</v>
      </c>
      <c r="F642" s="8">
        <f>SUM(G642:M642)</f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1</v>
      </c>
      <c r="P642" s="8">
        <v>0</v>
      </c>
      <c r="Q642" s="8">
        <v>0</v>
      </c>
      <c r="R642" s="8">
        <v>0</v>
      </c>
      <c r="S642" s="8">
        <v>0</v>
      </c>
      <c r="T642" s="10"/>
      <c r="U642" s="10">
        <v>311.83300000000003</v>
      </c>
      <c r="V642" s="10"/>
      <c r="W642" s="10" t="str">
        <f>IF(RIGHT(C642,2)="12",IF(ISNUMBER(T642),T642,""),IF(COUNT(T642,U642,V642)=3,T642+U642-V642,""))</f>
        <v/>
      </c>
      <c r="X642" s="10"/>
      <c r="Y642" s="10"/>
      <c r="Z642" s="10"/>
      <c r="AA642" s="10"/>
      <c r="AB642" s="10"/>
      <c r="AC642" s="8">
        <v>0</v>
      </c>
      <c r="AD642" s="8">
        <v>1</v>
      </c>
      <c r="AE642" s="8">
        <v>0</v>
      </c>
      <c r="AF642" s="10">
        <v>311.83300000000003</v>
      </c>
      <c r="AG642" s="8">
        <f>COUNTIF(Y642:AB642,"&gt;0")</f>
        <v>0</v>
      </c>
      <c r="AH642" s="10">
        <v>0</v>
      </c>
      <c r="AI642" s="10">
        <v>0</v>
      </c>
      <c r="AJ642" s="8" t="str">
        <f>IF(ISNUMBER(X642),IF(X642&gt;0,"+",IF(X642&lt;0,"−","0")),IF(ISNUMBER(W642),IF(W642&gt;0,"+",IF(W642&lt;0,"−","0")),"yok"))</f>
        <v>yok</v>
      </c>
      <c r="AK642" s="10" t="str">
        <f>IF(AND(RIGHT(C642,2)&lt;&gt;"12",ISNUMBER(U642),ISNUMBER(V642)),U642-V642,"")</f>
        <v/>
      </c>
      <c r="AL642" s="11" t="str">
        <f>IF(AND(ISNUMBER(AK642),ISNUMBER(V642)),IF(V642&lt;&gt;0,AK642/ABS(V642),""),"")</f>
        <v/>
      </c>
      <c r="AM642" s="8" t="str">
        <f>IF(ISNUMBER(AK642),IF(AK642&gt;1,1,0),"")</f>
        <v/>
      </c>
      <c r="AN642" s="8" t="str">
        <f>IF(ISNUMBER(AK642),IF(AK642&gt;0.05*ABS(V642),1,0),"")</f>
        <v/>
      </c>
      <c r="AO642" s="10"/>
      <c r="AP642" s="10"/>
      <c r="AQ642" s="8" t="s">
        <v>207</v>
      </c>
      <c r="AR642" s="8">
        <v>0</v>
      </c>
      <c r="AS642" s="10">
        <v>-137.322</v>
      </c>
      <c r="AT642" s="10"/>
      <c r="AU642" s="8" t="s">
        <v>207</v>
      </c>
      <c r="AV642" s="10">
        <v>311.83300000000003</v>
      </c>
      <c r="AW642" s="11" t="str">
        <f>IF(AND(ISNUMBER(AV642),ISNUMBER(AT642)),IF(AT642&lt;&gt;0,AV642/ABS(AT642),""),"")</f>
        <v/>
      </c>
      <c r="AX642" s="8">
        <v>1</v>
      </c>
      <c r="AY642" s="8">
        <v>0</v>
      </c>
      <c r="AZ642" s="8" t="s">
        <v>289</v>
      </c>
      <c r="BA642" s="8">
        <v>0</v>
      </c>
    </row>
    <row r="643" spans="1:53" x14ac:dyDescent="0.2">
      <c r="A643" s="8" t="s">
        <v>288</v>
      </c>
      <c r="B643" s="8" t="s">
        <v>82</v>
      </c>
      <c r="C643" s="8" t="s">
        <v>208</v>
      </c>
      <c r="D643" s="8">
        <v>1</v>
      </c>
      <c r="E643" s="8">
        <v>0</v>
      </c>
      <c r="F643" s="8">
        <f>SUM(G643:M643)</f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1</v>
      </c>
      <c r="P643" s="8">
        <v>0</v>
      </c>
      <c r="Q643" s="8">
        <v>0</v>
      </c>
      <c r="R643" s="8">
        <v>0</v>
      </c>
      <c r="S643" s="8">
        <v>0</v>
      </c>
      <c r="T643" s="10"/>
      <c r="U643" s="10">
        <v>86.308000000000007</v>
      </c>
      <c r="V643" s="10"/>
      <c r="W643" s="10" t="str">
        <f>IF(RIGHT(C643,2)="12",IF(ISNUMBER(T643),T643,""),IF(COUNT(T643,U643,V643)=3,T643+U643-V643,""))</f>
        <v/>
      </c>
      <c r="X643" s="10"/>
      <c r="Y643" s="10"/>
      <c r="Z643" s="10"/>
      <c r="AA643" s="10"/>
      <c r="AB643" s="10"/>
      <c r="AC643" s="8">
        <v>0</v>
      </c>
      <c r="AD643" s="8">
        <v>1</v>
      </c>
      <c r="AE643" s="8">
        <v>0</v>
      </c>
      <c r="AF643" s="10">
        <v>86.308000000000007</v>
      </c>
      <c r="AG643" s="8">
        <f>COUNTIF(Y643:AB643,"&gt;0")</f>
        <v>0</v>
      </c>
      <c r="AH643" s="10">
        <v>0</v>
      </c>
      <c r="AI643" s="10">
        <v>0</v>
      </c>
      <c r="AJ643" s="8" t="str">
        <f>IF(ISNUMBER(X643),IF(X643&gt;0,"+",IF(X643&lt;0,"−","0")),IF(ISNUMBER(W643),IF(W643&gt;0,"+",IF(W643&lt;0,"−","0")),"yok"))</f>
        <v>yok</v>
      </c>
      <c r="AK643" s="10" t="str">
        <f>IF(AND(RIGHT(C643,2)&lt;&gt;"12",ISNUMBER(U643),ISNUMBER(V643)),U643-V643,"")</f>
        <v/>
      </c>
      <c r="AL643" s="11" t="str">
        <f>IF(AND(ISNUMBER(AK643),ISNUMBER(V643)),IF(V643&lt;&gt;0,AK643/ABS(V643),""),"")</f>
        <v/>
      </c>
      <c r="AM643" s="8" t="str">
        <f>IF(ISNUMBER(AK643),IF(AK643&gt;1,1,0),"")</f>
        <v/>
      </c>
      <c r="AN643" s="8" t="str">
        <f>IF(ISNUMBER(AK643),IF(AK643&gt;0.05*ABS(V643),1,0),"")</f>
        <v/>
      </c>
      <c r="AO643" s="10"/>
      <c r="AP643" s="10"/>
      <c r="AQ643" s="8" t="s">
        <v>207</v>
      </c>
      <c r="AR643" s="8">
        <v>0</v>
      </c>
      <c r="AS643" s="10">
        <v>1137.5530000000001</v>
      </c>
      <c r="AT643" s="10"/>
      <c r="AU643" s="8" t="s">
        <v>207</v>
      </c>
      <c r="AV643" s="10">
        <v>86.308000000000007</v>
      </c>
      <c r="AW643" s="11" t="str">
        <f>IF(AND(ISNUMBER(AV643),ISNUMBER(AT643)),IF(AT643&lt;&gt;0,AV643/ABS(AT643),""),"")</f>
        <v/>
      </c>
      <c r="AX643" s="8">
        <v>1</v>
      </c>
      <c r="AY643" s="8">
        <v>0</v>
      </c>
      <c r="AZ643" s="8" t="s">
        <v>579</v>
      </c>
      <c r="BA643" s="8">
        <v>0</v>
      </c>
    </row>
    <row r="644" spans="1:53" x14ac:dyDescent="0.2">
      <c r="A644" s="8" t="s">
        <v>288</v>
      </c>
      <c r="B644" s="8" t="s">
        <v>82</v>
      </c>
      <c r="C644" s="8" t="s">
        <v>210</v>
      </c>
      <c r="D644" s="8">
        <v>1</v>
      </c>
      <c r="E644" s="8">
        <v>0</v>
      </c>
      <c r="F644" s="8">
        <f>SUM(G644:M644)</f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1</v>
      </c>
      <c r="P644" s="8">
        <v>0</v>
      </c>
      <c r="Q644" s="8">
        <v>0</v>
      </c>
      <c r="R644" s="8">
        <v>0</v>
      </c>
      <c r="S644" s="8">
        <v>0</v>
      </c>
      <c r="T644" s="10"/>
      <c r="U644" s="10">
        <v>86.308000000000007</v>
      </c>
      <c r="V644" s="10"/>
      <c r="W644" s="10" t="str">
        <f>IF(RIGHT(C644,2)="12",IF(ISNUMBER(T644),T644,""),IF(COUNT(T644,U644,V644)=3,T644+U644-V644,""))</f>
        <v/>
      </c>
      <c r="X644" s="10"/>
      <c r="Y644" s="10"/>
      <c r="Z644" s="10"/>
      <c r="AA644" s="10"/>
      <c r="AB644" s="10"/>
      <c r="AC644" s="8">
        <v>0</v>
      </c>
      <c r="AD644" s="8">
        <v>1</v>
      </c>
      <c r="AE644" s="8">
        <v>0</v>
      </c>
      <c r="AF644" s="10">
        <v>86.308000000000007</v>
      </c>
      <c r="AG644" s="8">
        <f>COUNTIF(Y644:AB644,"&gt;0")</f>
        <v>0</v>
      </c>
      <c r="AH644" s="10">
        <v>0</v>
      </c>
      <c r="AI644" s="10">
        <v>0</v>
      </c>
      <c r="AJ644" s="8" t="str">
        <f>IF(ISNUMBER(X644),IF(X644&gt;0,"+",IF(X644&lt;0,"−","0")),IF(ISNUMBER(W644),IF(W644&gt;0,"+",IF(W644&lt;0,"−","0")),"yok"))</f>
        <v>yok</v>
      </c>
      <c r="AK644" s="10" t="str">
        <f>IF(AND(RIGHT(C644,2)&lt;&gt;"12",ISNUMBER(U644),ISNUMBER(V644)),U644-V644,"")</f>
        <v/>
      </c>
      <c r="AL644" s="11" t="str">
        <f>IF(AND(ISNUMBER(AK644),ISNUMBER(V644)),IF(V644&lt;&gt;0,AK644/ABS(V644),""),"")</f>
        <v/>
      </c>
      <c r="AM644" s="8" t="str">
        <f>IF(ISNUMBER(AK644),IF(AK644&gt;1,1,0),"")</f>
        <v/>
      </c>
      <c r="AN644" s="8" t="str">
        <f>IF(ISNUMBER(AK644),IF(AK644&gt;0.05*ABS(V644),1,0),"")</f>
        <v/>
      </c>
      <c r="AO644" s="10"/>
      <c r="AP644" s="10"/>
      <c r="AQ644" s="8" t="s">
        <v>207</v>
      </c>
      <c r="AR644" s="8">
        <v>0</v>
      </c>
      <c r="AS644" s="10">
        <v>1051.9290000000001</v>
      </c>
      <c r="AT644" s="10"/>
      <c r="AU644" s="8" t="s">
        <v>207</v>
      </c>
      <c r="AV644" s="10">
        <v>86.308000000000007</v>
      </c>
      <c r="AW644" s="11" t="str">
        <f>IF(AND(ISNUMBER(AV644),ISNUMBER(AT644)),IF(AT644&lt;&gt;0,AV644/ABS(AT644),""),"")</f>
        <v/>
      </c>
      <c r="AX644" s="8">
        <v>1</v>
      </c>
      <c r="AY644" s="8">
        <v>0</v>
      </c>
      <c r="AZ644" s="8" t="s">
        <v>579</v>
      </c>
      <c r="BA644" s="8">
        <v>0</v>
      </c>
    </row>
    <row r="645" spans="1:53" x14ac:dyDescent="0.2">
      <c r="A645" s="8" t="s">
        <v>304</v>
      </c>
      <c r="B645" s="8" t="s">
        <v>82</v>
      </c>
      <c r="C645" s="8" t="s">
        <v>203</v>
      </c>
      <c r="D645" s="8">
        <v>1</v>
      </c>
      <c r="E645" s="8">
        <v>0</v>
      </c>
      <c r="F645" s="8">
        <f>SUM(G645:M645)</f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1</v>
      </c>
      <c r="Q645" s="8">
        <v>0</v>
      </c>
      <c r="R645" s="8">
        <v>1</v>
      </c>
      <c r="S645" s="8">
        <v>0</v>
      </c>
      <c r="T645" s="10">
        <v>-14.446999999999999</v>
      </c>
      <c r="U645" s="10">
        <v>-14.164999999999999</v>
      </c>
      <c r="V645" s="10">
        <v>-6.3970000000000002</v>
      </c>
      <c r="W645" s="10">
        <f>IF(RIGHT(C645,2)="12",IF(ISNUMBER(T645),T645,""),IF(COUNT(T645,U645,V645)=3,T645+U645-V645,""))</f>
        <v>-22.214999999999996</v>
      </c>
      <c r="X645" s="10">
        <v>-22.215</v>
      </c>
      <c r="Y645" s="10">
        <v>3.976</v>
      </c>
      <c r="Z645" s="10">
        <v>-9.6229999999999993</v>
      </c>
      <c r="AA645" s="10">
        <v>-2.12</v>
      </c>
      <c r="AB645" s="10">
        <v>-14.446999999999999</v>
      </c>
      <c r="AC645" s="8">
        <v>0</v>
      </c>
      <c r="AD645" s="8">
        <v>0</v>
      </c>
      <c r="AE645" s="8">
        <v>0</v>
      </c>
      <c r="AF645" s="10">
        <v>0</v>
      </c>
      <c r="AG645" s="8">
        <f>COUNTIF(Y645:AB645,"&gt;0")</f>
        <v>1</v>
      </c>
      <c r="AH645" s="10">
        <v>0</v>
      </c>
      <c r="AI645" s="10">
        <v>3.976</v>
      </c>
      <c r="AJ645" s="8" t="str">
        <f>IF(ISNUMBER(X645),IF(X645&gt;0,"+",IF(X645&lt;0,"−","0")),IF(ISNUMBER(W645),IF(W645&gt;0,"+",IF(W645&lt;0,"−","0")),"yok"))</f>
        <v>−</v>
      </c>
      <c r="AK645" s="10">
        <f>IF(AND(RIGHT(C645,2)&lt;&gt;"12",ISNUMBER(U645),ISNUMBER(V645)),U645-V645,"")</f>
        <v>-7.7679999999999989</v>
      </c>
      <c r="AL645" s="11">
        <f>IF(AND(ISNUMBER(AK645),ISNUMBER(V645)),IF(V645&lt;&gt;0,AK645/ABS(V645),""),"")</f>
        <v>-1.2143192121306861</v>
      </c>
      <c r="AM645" s="8">
        <f>IF(ISNUMBER(AK645),IF(AK645&gt;1,1,0),"")</f>
        <v>0</v>
      </c>
      <c r="AN645" s="8">
        <f>IF(ISNUMBER(AK645),IF(AK645&gt;0.05*ABS(V645),1,0),"")</f>
        <v>0</v>
      </c>
      <c r="AO645" s="10">
        <v>-22.216000000000001</v>
      </c>
      <c r="AP645" s="10">
        <v>22.216000000000001</v>
      </c>
      <c r="AQ645" s="8" t="s">
        <v>204</v>
      </c>
      <c r="AR645" s="8">
        <v>0</v>
      </c>
      <c r="AS645" s="10">
        <v>1251.19</v>
      </c>
      <c r="AT645" s="10">
        <v>870.101</v>
      </c>
      <c r="AU645" s="8" t="s">
        <v>204</v>
      </c>
      <c r="AV645" s="10">
        <v>3.976</v>
      </c>
      <c r="AW645" s="11">
        <f>IF(AND(ISNUMBER(AV645),ISNUMBER(AT645)),IF(AT645&lt;&gt;0,AV645/ABS(AT645),""),"")</f>
        <v>4.5695844505407989E-3</v>
      </c>
      <c r="AX645" s="8">
        <v>0</v>
      </c>
      <c r="AY645" s="8">
        <v>0</v>
      </c>
      <c r="AZ645" s="10"/>
      <c r="BA645" s="8">
        <v>0</v>
      </c>
    </row>
    <row r="646" spans="1:53" x14ac:dyDescent="0.2">
      <c r="A646" s="8" t="s">
        <v>304</v>
      </c>
      <c r="B646" s="8" t="s">
        <v>82</v>
      </c>
      <c r="C646" s="8" t="s">
        <v>215</v>
      </c>
      <c r="D646" s="8">
        <v>1</v>
      </c>
      <c r="E646" s="8">
        <v>0</v>
      </c>
      <c r="F646" s="8">
        <f>SUM(G646:M646)</f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1</v>
      </c>
      <c r="Q646" s="8">
        <v>0</v>
      </c>
      <c r="R646" s="8">
        <v>0</v>
      </c>
      <c r="S646" s="8">
        <v>1</v>
      </c>
      <c r="T646" s="10">
        <v>-14.888999999999999</v>
      </c>
      <c r="U646" s="10">
        <v>-14.164999999999999</v>
      </c>
      <c r="V646" s="10">
        <v>-12.044</v>
      </c>
      <c r="W646" s="10">
        <f>IF(RIGHT(C646,2)="12",IF(ISNUMBER(T646),T646,""),IF(COUNT(T646,U646,V646)=3,T646+U646-V646,""))</f>
        <v>-17.009999999999998</v>
      </c>
      <c r="X646" s="10">
        <v>-17.010000000000002</v>
      </c>
      <c r="Y646" s="10">
        <v>-2.12</v>
      </c>
      <c r="Z646" s="10">
        <v>-14.446999999999999</v>
      </c>
      <c r="AA646" s="10">
        <v>-1.976</v>
      </c>
      <c r="AB646" s="10">
        <v>1.534</v>
      </c>
      <c r="AC646" s="8">
        <v>0</v>
      </c>
      <c r="AD646" s="8">
        <v>0</v>
      </c>
      <c r="AE646" s="8">
        <v>0</v>
      </c>
      <c r="AF646" s="10">
        <v>0</v>
      </c>
      <c r="AG646" s="8">
        <f>COUNTIF(Y646:AB646,"&gt;0")</f>
        <v>1</v>
      </c>
      <c r="AH646" s="10">
        <v>1.534</v>
      </c>
      <c r="AI646" s="10">
        <v>0</v>
      </c>
      <c r="AJ646" s="8" t="str">
        <f>IF(ISNUMBER(X646),IF(X646&gt;0,"+",IF(X646&lt;0,"−","0")),IF(ISNUMBER(W646),IF(W646&gt;0,"+",IF(W646&lt;0,"−","0")),"yok"))</f>
        <v>−</v>
      </c>
      <c r="AK646" s="10">
        <f>IF(AND(RIGHT(C646,2)&lt;&gt;"12",ISNUMBER(U646),ISNUMBER(V646)),U646-V646,"")</f>
        <v>-2.1209999999999987</v>
      </c>
      <c r="AL646" s="11">
        <f>IF(AND(ISNUMBER(AK646),ISNUMBER(V646)),IF(V646&lt;&gt;0,AK646/ABS(V646),""),"")</f>
        <v>-0.17610428429093314</v>
      </c>
      <c r="AM646" s="8">
        <f>IF(ISNUMBER(AK646),IF(AK646&gt;1,1,0),"")</f>
        <v>0</v>
      </c>
      <c r="AN646" s="8">
        <f>IF(ISNUMBER(AK646),IF(AK646&gt;0.05*ABS(V646),1,0),"")</f>
        <v>0</v>
      </c>
      <c r="AO646" s="10">
        <v>-17.010999999999999</v>
      </c>
      <c r="AP646" s="10">
        <v>17.010999999999999</v>
      </c>
      <c r="AQ646" s="8" t="s">
        <v>204</v>
      </c>
      <c r="AR646" s="8">
        <v>0</v>
      </c>
      <c r="AS646" s="10">
        <v>617.875</v>
      </c>
      <c r="AT646" s="10">
        <v>544.26300000000003</v>
      </c>
      <c r="AU646" s="8" t="s">
        <v>204</v>
      </c>
      <c r="AV646" s="10">
        <v>1.534</v>
      </c>
      <c r="AW646" s="11">
        <f>IF(AND(ISNUMBER(AV646),ISNUMBER(AT646)),IF(AT646&lt;&gt;0,AV646/ABS(AT646),""),"")</f>
        <v>2.8184903254492772E-3</v>
      </c>
      <c r="AX646" s="8">
        <v>0</v>
      </c>
      <c r="AY646" s="8">
        <v>0</v>
      </c>
      <c r="AZ646" s="10"/>
      <c r="BA646" s="8">
        <v>0</v>
      </c>
    </row>
    <row r="647" spans="1:53" x14ac:dyDescent="0.2">
      <c r="A647" s="8" t="s">
        <v>304</v>
      </c>
      <c r="B647" s="8" t="s">
        <v>82</v>
      </c>
      <c r="C647" s="8" t="s">
        <v>290</v>
      </c>
      <c r="D647" s="8">
        <v>1</v>
      </c>
      <c r="E647" s="8">
        <v>0</v>
      </c>
      <c r="F647" s="8">
        <f>SUM(G647:M647)</f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1</v>
      </c>
      <c r="Q647" s="8">
        <v>0</v>
      </c>
      <c r="R647" s="8">
        <v>0</v>
      </c>
      <c r="S647" s="8">
        <v>1</v>
      </c>
      <c r="T647" s="10">
        <v>-37.179000000000002</v>
      </c>
      <c r="U647" s="10"/>
      <c r="V647" s="10"/>
      <c r="W647" s="10">
        <f>IF(RIGHT(C647,2)="12",IF(ISNUMBER(T647),T647,""),IF(COUNT(T647,U647,V647)=3,T647+U647-V647,""))</f>
        <v>-37.179000000000002</v>
      </c>
      <c r="X647" s="10">
        <v>-37.179000000000002</v>
      </c>
      <c r="Y647" s="10">
        <v>-14.446999999999999</v>
      </c>
      <c r="Z647" s="10">
        <v>-1.976</v>
      </c>
      <c r="AA647" s="10">
        <v>1.534</v>
      </c>
      <c r="AB647" s="10">
        <v>-22.289000000000001</v>
      </c>
      <c r="AC647" s="8">
        <v>0</v>
      </c>
      <c r="AD647" s="8">
        <v>0</v>
      </c>
      <c r="AE647" s="8">
        <v>0</v>
      </c>
      <c r="AF647" s="10">
        <v>0</v>
      </c>
      <c r="AG647" s="8">
        <f>COUNTIF(Y647:AB647,"&gt;0")</f>
        <v>1</v>
      </c>
      <c r="AH647" s="10">
        <v>1.534</v>
      </c>
      <c r="AI647" s="10">
        <v>0</v>
      </c>
      <c r="AJ647" s="8" t="str">
        <f>IF(ISNUMBER(X647),IF(X647&gt;0,"+",IF(X647&lt;0,"−","0")),IF(ISNUMBER(W647),IF(W647&gt;0,"+",IF(W647&lt;0,"−","0")),"yok"))</f>
        <v>−</v>
      </c>
      <c r="AK647" s="10" t="str">
        <f>IF(AND(RIGHT(C647,2)&lt;&gt;"12",ISNUMBER(U647),ISNUMBER(V647)),U647-V647,"")</f>
        <v/>
      </c>
      <c r="AL647" s="11" t="str">
        <f>IF(AND(ISNUMBER(AK647),ISNUMBER(V647)),IF(V647&lt;&gt;0,AK647/ABS(V647),""),"")</f>
        <v/>
      </c>
      <c r="AM647" s="8" t="str">
        <f>IF(ISNUMBER(AK647),IF(AK647&gt;1,1,0),"")</f>
        <v/>
      </c>
      <c r="AN647" s="8" t="str">
        <f>IF(ISNUMBER(AK647),IF(AK647&gt;0.05*ABS(V647),1,0),"")</f>
        <v/>
      </c>
      <c r="AO647" s="10">
        <v>-37.18</v>
      </c>
      <c r="AP647" s="10">
        <v>37.18</v>
      </c>
      <c r="AQ647" s="8" t="s">
        <v>204</v>
      </c>
      <c r="AR647" s="8">
        <v>0</v>
      </c>
      <c r="AS647" s="10">
        <v>838.14499999999998</v>
      </c>
      <c r="AT647" s="10">
        <v>732.79700000000003</v>
      </c>
      <c r="AU647" s="8" t="s">
        <v>204</v>
      </c>
      <c r="AV647" s="10">
        <v>1.534</v>
      </c>
      <c r="AW647" s="11">
        <f>IF(AND(ISNUMBER(AV647),ISNUMBER(AT647)),IF(AT647&lt;&gt;0,AV647/ABS(AT647),""),"")</f>
        <v>2.0933491812875869E-3</v>
      </c>
      <c r="AX647" s="8">
        <v>0</v>
      </c>
      <c r="AY647" s="8">
        <v>0</v>
      </c>
      <c r="AZ647" s="10"/>
      <c r="BA647" s="8">
        <v>0</v>
      </c>
    </row>
    <row r="648" spans="1:53" x14ac:dyDescent="0.2">
      <c r="A648" s="8" t="s">
        <v>304</v>
      </c>
      <c r="B648" s="8" t="s">
        <v>82</v>
      </c>
      <c r="C648" s="8" t="s">
        <v>208</v>
      </c>
      <c r="D648" s="8">
        <v>1</v>
      </c>
      <c r="E648" s="8">
        <v>0</v>
      </c>
      <c r="F648" s="8">
        <f>SUM(G648:M648)</f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1</v>
      </c>
      <c r="Q648" s="8">
        <v>0</v>
      </c>
      <c r="R648" s="8">
        <v>1</v>
      </c>
      <c r="S648" s="8">
        <v>0</v>
      </c>
      <c r="T648" s="10">
        <v>-10.821999999999999</v>
      </c>
      <c r="U648" s="10">
        <v>-37.179000000000002</v>
      </c>
      <c r="V648" s="10">
        <v>-14.446999999999999</v>
      </c>
      <c r="W648" s="10">
        <f>IF(RIGHT(C648,2)="12",IF(ISNUMBER(T648),T648,""),IF(COUNT(T648,U648,V648)=3,T648+U648-V648,""))</f>
        <v>-33.554000000000002</v>
      </c>
      <c r="X648" s="10">
        <v>-33.552999999999997</v>
      </c>
      <c r="Y648" s="10">
        <v>-1.976</v>
      </c>
      <c r="Z648" s="10">
        <v>1.534</v>
      </c>
      <c r="AA648" s="10">
        <v>-22.289000000000001</v>
      </c>
      <c r="AB648" s="10">
        <v>-10.821999999999999</v>
      </c>
      <c r="AC648" s="8">
        <v>0</v>
      </c>
      <c r="AD648" s="8">
        <v>0</v>
      </c>
      <c r="AE648" s="8">
        <v>0</v>
      </c>
      <c r="AF648" s="10">
        <v>0</v>
      </c>
      <c r="AG648" s="8">
        <f>COUNTIF(Y648:AB648,"&gt;0")</f>
        <v>1</v>
      </c>
      <c r="AH648" s="10">
        <v>0</v>
      </c>
      <c r="AI648" s="10">
        <v>1.534</v>
      </c>
      <c r="AJ648" s="8" t="str">
        <f>IF(ISNUMBER(X648),IF(X648&gt;0,"+",IF(X648&lt;0,"−","0")),IF(ISNUMBER(W648),IF(W648&gt;0,"+",IF(W648&lt;0,"−","0")),"yok"))</f>
        <v>−</v>
      </c>
      <c r="AK648" s="10">
        <f>IF(AND(RIGHT(C648,2)&lt;&gt;"12",ISNUMBER(U648),ISNUMBER(V648)),U648-V648,"")</f>
        <v>-22.732000000000003</v>
      </c>
      <c r="AL648" s="11">
        <f>IF(AND(ISNUMBER(AK648),ISNUMBER(V648)),IF(V648&lt;&gt;0,AK648/ABS(V648),""),"")</f>
        <v>-1.5734754620336404</v>
      </c>
      <c r="AM648" s="8">
        <f>IF(ISNUMBER(AK648),IF(AK648&gt;1,1,0),"")</f>
        <v>0</v>
      </c>
      <c r="AN648" s="8">
        <f>IF(ISNUMBER(AK648),IF(AK648&gt;0.05*ABS(V648),1,0),"")</f>
        <v>0</v>
      </c>
      <c r="AO648" s="10">
        <v>-33.554000000000002</v>
      </c>
      <c r="AP648" s="10">
        <v>33.554000000000002</v>
      </c>
      <c r="AQ648" s="8" t="s">
        <v>204</v>
      </c>
      <c r="AR648" s="8">
        <v>0</v>
      </c>
      <c r="AS648" s="10">
        <v>618.33199999999999</v>
      </c>
      <c r="AT648" s="10">
        <v>517.21199999999999</v>
      </c>
      <c r="AU648" s="8" t="s">
        <v>204</v>
      </c>
      <c r="AV648" s="10">
        <v>1.534</v>
      </c>
      <c r="AW648" s="11">
        <f>IF(AND(ISNUMBER(AV648),ISNUMBER(AT648)),IF(AT648&lt;&gt;0,AV648/ABS(AT648),""),"")</f>
        <v>2.9659017965553776E-3</v>
      </c>
      <c r="AX648" s="8">
        <v>0</v>
      </c>
      <c r="AY648" s="8">
        <v>0</v>
      </c>
      <c r="AZ648" s="10"/>
      <c r="BA648" s="8">
        <v>0</v>
      </c>
    </row>
    <row r="649" spans="1:53" x14ac:dyDescent="0.2">
      <c r="A649" s="8" t="s">
        <v>304</v>
      </c>
      <c r="B649" s="8" t="s">
        <v>82</v>
      </c>
      <c r="C649" s="8" t="s">
        <v>210</v>
      </c>
      <c r="D649" s="8">
        <v>1</v>
      </c>
      <c r="E649" s="8">
        <v>0</v>
      </c>
      <c r="F649" s="8">
        <f>SUM(G649:M649)</f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1</v>
      </c>
      <c r="Q649" s="8">
        <v>0</v>
      </c>
      <c r="R649" s="8">
        <v>1</v>
      </c>
      <c r="S649" s="8">
        <v>0</v>
      </c>
      <c r="T649" s="10">
        <v>-15.109</v>
      </c>
      <c r="U649" s="10">
        <v>-37.179000000000002</v>
      </c>
      <c r="V649" s="10">
        <v>-16.423999999999999</v>
      </c>
      <c r="W649" s="10">
        <f>IF(RIGHT(C649,2)="12",IF(ISNUMBER(T649),T649,""),IF(COUNT(T649,U649,V649)=3,T649+U649-V649,""))</f>
        <v>-35.864000000000004</v>
      </c>
      <c r="X649" s="10">
        <v>-35.863999999999997</v>
      </c>
      <c r="Y649" s="10">
        <v>1.534</v>
      </c>
      <c r="Z649" s="10">
        <v>-22.289000000000001</v>
      </c>
      <c r="AA649" s="10">
        <v>-10.821999999999999</v>
      </c>
      <c r="AB649" s="10">
        <v>-4.2869999999999999</v>
      </c>
      <c r="AC649" s="8">
        <v>0</v>
      </c>
      <c r="AD649" s="8">
        <v>0</v>
      </c>
      <c r="AE649" s="8">
        <v>0</v>
      </c>
      <c r="AF649" s="10">
        <v>0</v>
      </c>
      <c r="AG649" s="8">
        <f>COUNTIF(Y649:AB649,"&gt;0")</f>
        <v>1</v>
      </c>
      <c r="AH649" s="10">
        <v>0</v>
      </c>
      <c r="AI649" s="10">
        <v>1.534</v>
      </c>
      <c r="AJ649" s="8" t="str">
        <f>IF(ISNUMBER(X649),IF(X649&gt;0,"+",IF(X649&lt;0,"−","0")),IF(ISNUMBER(W649),IF(W649&gt;0,"+",IF(W649&lt;0,"−","0")),"yok"))</f>
        <v>−</v>
      </c>
      <c r="AK649" s="10">
        <f>IF(AND(RIGHT(C649,2)&lt;&gt;"12",ISNUMBER(U649),ISNUMBER(V649)),U649-V649,"")</f>
        <v>-20.755000000000003</v>
      </c>
      <c r="AL649" s="11">
        <f>IF(AND(ISNUMBER(AK649),ISNUMBER(V649)),IF(V649&lt;&gt;0,AK649/ABS(V649),""),"")</f>
        <v>-1.2636994641987338</v>
      </c>
      <c r="AM649" s="8">
        <f>IF(ISNUMBER(AK649),IF(AK649&gt;1,1,0),"")</f>
        <v>0</v>
      </c>
      <c r="AN649" s="8">
        <f>IF(ISNUMBER(AK649),IF(AK649&gt;0.05*ABS(V649),1,0),"")</f>
        <v>0</v>
      </c>
      <c r="AO649" s="10">
        <v>-35.865000000000002</v>
      </c>
      <c r="AP649" s="10">
        <v>35.865000000000002</v>
      </c>
      <c r="AQ649" s="8" t="s">
        <v>204</v>
      </c>
      <c r="AR649" s="8">
        <v>0</v>
      </c>
      <c r="AS649" s="10">
        <v>1082.95</v>
      </c>
      <c r="AT649" s="10">
        <v>977.82600000000002</v>
      </c>
      <c r="AU649" s="8" t="s">
        <v>204</v>
      </c>
      <c r="AV649" s="10">
        <v>1.534</v>
      </c>
      <c r="AW649" s="11">
        <f>IF(AND(ISNUMBER(AV649),ISNUMBER(AT649)),IF(AT649&lt;&gt;0,AV649/ABS(AT649),""),"")</f>
        <v>1.5687862666773026E-3</v>
      </c>
      <c r="AX649" s="8">
        <v>0</v>
      </c>
      <c r="AY649" s="8">
        <v>0</v>
      </c>
      <c r="AZ649" s="10"/>
      <c r="BA649" s="8">
        <v>0</v>
      </c>
    </row>
    <row r="650" spans="1:53" x14ac:dyDescent="0.2">
      <c r="A650" s="8" t="s">
        <v>580</v>
      </c>
      <c r="B650" s="8" t="s">
        <v>82</v>
      </c>
      <c r="C650" s="8" t="s">
        <v>215</v>
      </c>
      <c r="D650" s="8">
        <v>1</v>
      </c>
      <c r="E650" s="8">
        <v>0</v>
      </c>
      <c r="F650" s="8">
        <f>SUM(G650:M650)</f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1</v>
      </c>
      <c r="Q650" s="8">
        <v>0</v>
      </c>
      <c r="R650" s="8">
        <v>0</v>
      </c>
      <c r="S650" s="8">
        <v>1</v>
      </c>
      <c r="T650" s="10">
        <v>-242.251</v>
      </c>
      <c r="U650" s="10">
        <v>-505.416</v>
      </c>
      <c r="V650" s="10">
        <v>-412.48399999999998</v>
      </c>
      <c r="W650" s="10">
        <f>IF(RIGHT(C650,2)="12",IF(ISNUMBER(T650),T650,""),IF(COUNT(T650,U650,V650)=3,T650+U650-V650,""))</f>
        <v>-335.18300000000005</v>
      </c>
      <c r="X650" s="10">
        <v>-335.18299999999999</v>
      </c>
      <c r="Y650" s="10">
        <v>-92.930999999999997</v>
      </c>
      <c r="Z650" s="10">
        <v>-192.54300000000001</v>
      </c>
      <c r="AA650" s="10">
        <v>-115.238</v>
      </c>
      <c r="AB650" s="10">
        <v>65.53</v>
      </c>
      <c r="AC650" s="8">
        <v>0</v>
      </c>
      <c r="AD650" s="8">
        <v>0</v>
      </c>
      <c r="AE650" s="8">
        <v>0</v>
      </c>
      <c r="AF650" s="10">
        <v>0</v>
      </c>
      <c r="AG650" s="8">
        <f>COUNTIF(Y650:AB650,"&gt;0")</f>
        <v>1</v>
      </c>
      <c r="AH650" s="10">
        <v>65.53</v>
      </c>
      <c r="AI650" s="10">
        <v>0</v>
      </c>
      <c r="AJ650" s="8" t="str">
        <f>IF(ISNUMBER(X650),IF(X650&gt;0,"+",IF(X650&lt;0,"−","0")),IF(ISNUMBER(W650),IF(W650&gt;0,"+",IF(W650&lt;0,"−","0")),"yok"))</f>
        <v>−</v>
      </c>
      <c r="AK650" s="10">
        <f>IF(AND(RIGHT(C650,2)&lt;&gt;"12",ISNUMBER(U650),ISNUMBER(V650)),U650-V650,"")</f>
        <v>-92.932000000000016</v>
      </c>
      <c r="AL650" s="11">
        <f>IF(AND(ISNUMBER(AK650),ISNUMBER(V650)),IF(V650&lt;&gt;0,AK650/ABS(V650),""),"")</f>
        <v>-0.22529843581811662</v>
      </c>
      <c r="AM650" s="8">
        <f>IF(ISNUMBER(AK650),IF(AK650&gt;1,1,0),"")</f>
        <v>0</v>
      </c>
      <c r="AN650" s="8">
        <f>IF(ISNUMBER(AK650),IF(AK650&gt;0.05*ABS(V650),1,0),"")</f>
        <v>0</v>
      </c>
      <c r="AO650" s="10">
        <v>-335.18400000000003</v>
      </c>
      <c r="AP650" s="10">
        <v>335.18400000000003</v>
      </c>
      <c r="AQ650" s="8" t="s">
        <v>204</v>
      </c>
      <c r="AR650" s="8">
        <v>0</v>
      </c>
      <c r="AS650" s="10">
        <v>33854.959000000003</v>
      </c>
      <c r="AT650" s="10">
        <v>17030.164000000001</v>
      </c>
      <c r="AU650" s="8" t="s">
        <v>204</v>
      </c>
      <c r="AV650" s="10">
        <v>65.53</v>
      </c>
      <c r="AW650" s="11">
        <f>IF(AND(ISNUMBER(AV650),ISNUMBER(AT650)),IF(AT650&lt;&gt;0,AV650/ABS(AT650),""),"")</f>
        <v>3.8478783880178721E-3</v>
      </c>
      <c r="AX650" s="8">
        <v>0</v>
      </c>
      <c r="AY650" s="8">
        <v>0</v>
      </c>
      <c r="AZ650" s="10"/>
      <c r="BA650" s="8">
        <v>0</v>
      </c>
    </row>
    <row r="651" spans="1:53" x14ac:dyDescent="0.2">
      <c r="A651" s="8" t="s">
        <v>580</v>
      </c>
      <c r="B651" s="8" t="s">
        <v>82</v>
      </c>
      <c r="C651" s="8" t="s">
        <v>290</v>
      </c>
      <c r="D651" s="8">
        <v>1</v>
      </c>
      <c r="E651" s="8">
        <v>0</v>
      </c>
      <c r="F651" s="8">
        <f>SUM(G651:M651)</f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1</v>
      </c>
      <c r="Q651" s="8">
        <v>0</v>
      </c>
      <c r="R651" s="8">
        <v>0</v>
      </c>
      <c r="S651" s="8">
        <v>1</v>
      </c>
      <c r="T651" s="10">
        <v>-580.38300000000004</v>
      </c>
      <c r="U651" s="10"/>
      <c r="V651" s="10"/>
      <c r="W651" s="10">
        <f>IF(RIGHT(C651,2)="12",IF(ISNUMBER(T651),T651,""),IF(COUNT(T651,U651,V651)=3,T651+U651-V651,""))</f>
        <v>-580.38300000000004</v>
      </c>
      <c r="X651" s="10">
        <v>-580.38300000000004</v>
      </c>
      <c r="Y651" s="10">
        <v>-192.54300000000001</v>
      </c>
      <c r="Z651" s="10">
        <v>-115.238</v>
      </c>
      <c r="AA651" s="10">
        <v>65.53</v>
      </c>
      <c r="AB651" s="10">
        <v>-338.13099999999997</v>
      </c>
      <c r="AC651" s="8">
        <v>0</v>
      </c>
      <c r="AD651" s="8">
        <v>0</v>
      </c>
      <c r="AE651" s="8">
        <v>0</v>
      </c>
      <c r="AF651" s="10">
        <v>0</v>
      </c>
      <c r="AG651" s="8">
        <f>COUNTIF(Y651:AB651,"&gt;0")</f>
        <v>1</v>
      </c>
      <c r="AH651" s="10">
        <v>65.53</v>
      </c>
      <c r="AI651" s="10">
        <v>0</v>
      </c>
      <c r="AJ651" s="8" t="str">
        <f>IF(ISNUMBER(X651),IF(X651&gt;0,"+",IF(X651&lt;0,"−","0")),IF(ISNUMBER(W651),IF(W651&gt;0,"+",IF(W651&lt;0,"−","0")),"yok"))</f>
        <v>−</v>
      </c>
      <c r="AK651" s="10" t="str">
        <f>IF(AND(RIGHT(C651,2)&lt;&gt;"12",ISNUMBER(U651),ISNUMBER(V651)),U651-V651,"")</f>
        <v/>
      </c>
      <c r="AL651" s="11" t="str">
        <f>IF(AND(ISNUMBER(AK651),ISNUMBER(V651)),IF(V651&lt;&gt;0,AK651/ABS(V651),""),"")</f>
        <v/>
      </c>
      <c r="AM651" s="8" t="str">
        <f>IF(ISNUMBER(AK651),IF(AK651&gt;1,1,0),"")</f>
        <v/>
      </c>
      <c r="AN651" s="8" t="str">
        <f>IF(ISNUMBER(AK651),IF(AK651&gt;0.05*ABS(V651),1,0),"")</f>
        <v/>
      </c>
      <c r="AO651" s="10">
        <v>-580.38300000000004</v>
      </c>
      <c r="AP651" s="10">
        <v>580.38300000000004</v>
      </c>
      <c r="AQ651" s="8" t="s">
        <v>204</v>
      </c>
      <c r="AR651" s="8">
        <v>0</v>
      </c>
      <c r="AS651" s="10">
        <v>32235.753000000001</v>
      </c>
      <c r="AT651" s="10">
        <v>15323.312</v>
      </c>
      <c r="AU651" s="8" t="s">
        <v>204</v>
      </c>
      <c r="AV651" s="10">
        <v>65.53</v>
      </c>
      <c r="AW651" s="11">
        <f>IF(AND(ISNUMBER(AV651),ISNUMBER(AT651)),IF(AT651&lt;&gt;0,AV651/ABS(AT651),""),"")</f>
        <v>4.276490617694138E-3</v>
      </c>
      <c r="AX651" s="8">
        <v>0</v>
      </c>
      <c r="AY651" s="8">
        <v>0</v>
      </c>
      <c r="AZ651" s="10"/>
      <c r="BA651" s="8">
        <v>0</v>
      </c>
    </row>
    <row r="652" spans="1:53" x14ac:dyDescent="0.2">
      <c r="A652" s="8" t="s">
        <v>580</v>
      </c>
      <c r="B652" s="8" t="s">
        <v>82</v>
      </c>
      <c r="C652" s="8" t="s">
        <v>208</v>
      </c>
      <c r="D652" s="8">
        <v>1</v>
      </c>
      <c r="E652" s="8">
        <v>0</v>
      </c>
      <c r="F652" s="8">
        <f>SUM(G652:M652)</f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1</v>
      </c>
      <c r="Q652" s="8">
        <v>0</v>
      </c>
      <c r="R652" s="8">
        <v>1</v>
      </c>
      <c r="S652" s="8">
        <v>0</v>
      </c>
      <c r="T652" s="10">
        <v>-262.80900000000003</v>
      </c>
      <c r="U652" s="10">
        <v>-580.38300000000004</v>
      </c>
      <c r="V652" s="10">
        <v>-192.54300000000001</v>
      </c>
      <c r="W652" s="10">
        <f>IF(RIGHT(C652,2)="12",IF(ISNUMBER(T652),T652,""),IF(COUNT(T652,U652,V652)=3,T652+U652-V652,""))</f>
        <v>-650.649</v>
      </c>
      <c r="X652" s="10">
        <v>-650.649</v>
      </c>
      <c r="Y652" s="10">
        <v>-115.238</v>
      </c>
      <c r="Z652" s="10">
        <v>65.53</v>
      </c>
      <c r="AA652" s="10">
        <v>-338.13099999999997</v>
      </c>
      <c r="AB652" s="10">
        <v>-262.80900000000003</v>
      </c>
      <c r="AC652" s="8">
        <v>0</v>
      </c>
      <c r="AD652" s="8">
        <v>0</v>
      </c>
      <c r="AE652" s="8">
        <v>0</v>
      </c>
      <c r="AF652" s="10">
        <v>0</v>
      </c>
      <c r="AG652" s="8">
        <f>COUNTIF(Y652:AB652,"&gt;0")</f>
        <v>1</v>
      </c>
      <c r="AH652" s="10">
        <v>0</v>
      </c>
      <c r="AI652" s="10">
        <v>65.53</v>
      </c>
      <c r="AJ652" s="8" t="str">
        <f>IF(ISNUMBER(X652),IF(X652&gt;0,"+",IF(X652&lt;0,"−","0")),IF(ISNUMBER(W652),IF(W652&gt;0,"+",IF(W652&lt;0,"−","0")),"yok"))</f>
        <v>−</v>
      </c>
      <c r="AK652" s="10">
        <f>IF(AND(RIGHT(C652,2)&lt;&gt;"12",ISNUMBER(U652),ISNUMBER(V652)),U652-V652,"")</f>
        <v>-387.84000000000003</v>
      </c>
      <c r="AL652" s="11">
        <f>IF(AND(ISNUMBER(AK652),ISNUMBER(V652)),IF(V652&lt;&gt;0,AK652/ABS(V652),""),"")</f>
        <v>-2.0143032984839753</v>
      </c>
      <c r="AM652" s="8">
        <f>IF(ISNUMBER(AK652),IF(AK652&gt;1,1,0),"")</f>
        <v>0</v>
      </c>
      <c r="AN652" s="8">
        <f>IF(ISNUMBER(AK652),IF(AK652&gt;0.05*ABS(V652),1,0),"")</f>
        <v>0</v>
      </c>
      <c r="AO652" s="10">
        <v>-650.649</v>
      </c>
      <c r="AP652" s="10">
        <v>650.649</v>
      </c>
      <c r="AQ652" s="8" t="s">
        <v>204</v>
      </c>
      <c r="AR652" s="8">
        <v>0</v>
      </c>
      <c r="AS652" s="10">
        <v>40971.055</v>
      </c>
      <c r="AT652" s="10">
        <v>25494.723999999998</v>
      </c>
      <c r="AU652" s="8" t="s">
        <v>204</v>
      </c>
      <c r="AV652" s="10">
        <v>65.53</v>
      </c>
      <c r="AW652" s="11">
        <f>IF(AND(ISNUMBER(AV652),ISNUMBER(AT652)),IF(AT652&lt;&gt;0,AV652/ABS(AT652),""),"")</f>
        <v>2.5703357290708462E-3</v>
      </c>
      <c r="AX652" s="8">
        <v>0</v>
      </c>
      <c r="AY652" s="8">
        <v>0</v>
      </c>
      <c r="AZ652" s="10"/>
      <c r="BA652" s="8">
        <v>0</v>
      </c>
    </row>
    <row r="653" spans="1:53" x14ac:dyDescent="0.2">
      <c r="A653" s="8" t="s">
        <v>580</v>
      </c>
      <c r="B653" s="8" t="s">
        <v>82</v>
      </c>
      <c r="C653" s="8" t="s">
        <v>210</v>
      </c>
      <c r="D653" s="8">
        <v>1</v>
      </c>
      <c r="E653" s="8">
        <v>0</v>
      </c>
      <c r="F653" s="8">
        <f>SUM(G653:M653)</f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1</v>
      </c>
      <c r="Q653" s="8">
        <v>0</v>
      </c>
      <c r="R653" s="8">
        <v>1</v>
      </c>
      <c r="S653" s="8">
        <v>0</v>
      </c>
      <c r="T653" s="10">
        <v>-456.31200000000001</v>
      </c>
      <c r="U653" s="10">
        <v>-580.38300000000004</v>
      </c>
      <c r="V653" s="10">
        <v>-307.78199999999998</v>
      </c>
      <c r="W653" s="10">
        <f>IF(RIGHT(C653,2)="12",IF(ISNUMBER(T653),T653,""),IF(COUNT(T653,U653,V653)=3,T653+U653-V653,""))</f>
        <v>-728.91300000000024</v>
      </c>
      <c r="X653" s="10">
        <v>-728.91300000000001</v>
      </c>
      <c r="Y653" s="10">
        <v>65.53</v>
      </c>
      <c r="Z653" s="10">
        <v>-338.13099999999997</v>
      </c>
      <c r="AA653" s="10">
        <v>-262.80900000000003</v>
      </c>
      <c r="AB653" s="10">
        <v>-193.50200000000001</v>
      </c>
      <c r="AC653" s="8">
        <v>0</v>
      </c>
      <c r="AD653" s="8">
        <v>0</v>
      </c>
      <c r="AE653" s="8">
        <v>0</v>
      </c>
      <c r="AF653" s="10">
        <v>0</v>
      </c>
      <c r="AG653" s="8">
        <f>COUNTIF(Y653:AB653,"&gt;0")</f>
        <v>1</v>
      </c>
      <c r="AH653" s="10">
        <v>0</v>
      </c>
      <c r="AI653" s="10">
        <v>65.53</v>
      </c>
      <c r="AJ653" s="8" t="str">
        <f>IF(ISNUMBER(X653),IF(X653&gt;0,"+",IF(X653&lt;0,"−","0")),IF(ISNUMBER(W653),IF(W653&gt;0,"+",IF(W653&lt;0,"−","0")),"yok"))</f>
        <v>−</v>
      </c>
      <c r="AK653" s="10">
        <f>IF(AND(RIGHT(C653,2)&lt;&gt;"12",ISNUMBER(U653),ISNUMBER(V653)),U653-V653,"")</f>
        <v>-272.60100000000006</v>
      </c>
      <c r="AL653" s="11">
        <f>IF(AND(ISNUMBER(AK653),ISNUMBER(V653)),IF(V653&lt;&gt;0,AK653/ABS(V653),""),"")</f>
        <v>-0.88569506988712809</v>
      </c>
      <c r="AM653" s="8">
        <f>IF(ISNUMBER(AK653),IF(AK653&gt;1,1,0),"")</f>
        <v>0</v>
      </c>
      <c r="AN653" s="8">
        <f>IF(ISNUMBER(AK653),IF(AK653&gt;0.05*ABS(V653),1,0),"")</f>
        <v>0</v>
      </c>
      <c r="AO653" s="10">
        <v>-728.91300000000001</v>
      </c>
      <c r="AP653" s="10">
        <v>728.91300000000001</v>
      </c>
      <c r="AQ653" s="8" t="s">
        <v>204</v>
      </c>
      <c r="AR653" s="8">
        <v>0</v>
      </c>
      <c r="AS653" s="10">
        <v>36922.826999999997</v>
      </c>
      <c r="AT653" s="10">
        <v>21348.864000000001</v>
      </c>
      <c r="AU653" s="8" t="s">
        <v>204</v>
      </c>
      <c r="AV653" s="10">
        <v>65.53</v>
      </c>
      <c r="AW653" s="11">
        <f>IF(AND(ISNUMBER(AV653),ISNUMBER(AT653)),IF(AT653&lt;&gt;0,AV653/ABS(AT653),""),"")</f>
        <v>3.0694841655274957E-3</v>
      </c>
      <c r="AX653" s="8">
        <v>0</v>
      </c>
      <c r="AY653" s="8">
        <v>0</v>
      </c>
      <c r="AZ653" s="10"/>
      <c r="BA653" s="8">
        <v>0</v>
      </c>
    </row>
    <row r="654" spans="1:53" x14ac:dyDescent="0.2">
      <c r="A654" s="8" t="s">
        <v>306</v>
      </c>
      <c r="B654" s="8" t="s">
        <v>83</v>
      </c>
      <c r="C654" s="8" t="s">
        <v>210</v>
      </c>
      <c r="D654" s="8">
        <v>1</v>
      </c>
      <c r="E654" s="8">
        <v>0</v>
      </c>
      <c r="F654" s="8">
        <f>SUM(G654:M654)</f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1</v>
      </c>
      <c r="Q654" s="8">
        <v>0</v>
      </c>
      <c r="R654" s="8">
        <v>0</v>
      </c>
      <c r="S654" s="8">
        <v>1</v>
      </c>
      <c r="T654" s="10">
        <v>-19.175999999999998</v>
      </c>
      <c r="U654" s="10">
        <v>-321.35599999999999</v>
      </c>
      <c r="V654" s="10">
        <v>-250.02600000000001</v>
      </c>
      <c r="W654" s="10">
        <f>IF(RIGHT(C654,2)="12",IF(ISNUMBER(T654),T654,""),IF(COUNT(T654,U654,V654)=3,T654+U654-V654,""))</f>
        <v>-90.505999999999972</v>
      </c>
      <c r="X654" s="10">
        <v>-90.506</v>
      </c>
      <c r="Y654" s="10">
        <v>-4.3819999999999997</v>
      </c>
      <c r="Z654" s="10">
        <v>-66.947000000000003</v>
      </c>
      <c r="AA654" s="10">
        <v>-27.812999999999999</v>
      </c>
      <c r="AB654" s="10">
        <v>8.6370000000000005</v>
      </c>
      <c r="AC654" s="8">
        <v>0</v>
      </c>
      <c r="AD654" s="8">
        <v>0</v>
      </c>
      <c r="AE654" s="8">
        <v>0</v>
      </c>
      <c r="AF654" s="10">
        <v>0</v>
      </c>
      <c r="AG654" s="8">
        <f>COUNTIF(Y654:AB654,"&gt;0")</f>
        <v>1</v>
      </c>
      <c r="AH654" s="10">
        <v>8.6370000000000005</v>
      </c>
      <c r="AI654" s="10">
        <v>0</v>
      </c>
      <c r="AJ654" s="8" t="str">
        <f>IF(ISNUMBER(X654),IF(X654&gt;0,"+",IF(X654&lt;0,"−","0")),IF(ISNUMBER(W654),IF(W654&gt;0,"+",IF(W654&lt;0,"−","0")),"yok"))</f>
        <v>−</v>
      </c>
      <c r="AK654" s="10">
        <f>IF(AND(RIGHT(C654,2)&lt;&gt;"12",ISNUMBER(U654),ISNUMBER(V654)),U654-V654,"")</f>
        <v>-71.329999999999984</v>
      </c>
      <c r="AL654" s="11">
        <f>IF(AND(ISNUMBER(AK654),ISNUMBER(V654)),IF(V654&lt;&gt;0,AK654/ABS(V654),""),"")</f>
        <v>-0.28529032980570013</v>
      </c>
      <c r="AM654" s="8">
        <f>IF(ISNUMBER(AK654),IF(AK654&gt;1,1,0),"")</f>
        <v>0</v>
      </c>
      <c r="AN654" s="8">
        <f>IF(ISNUMBER(AK654),IF(AK654&gt;0.05*ABS(V654),1,0),"")</f>
        <v>0</v>
      </c>
      <c r="AO654" s="10">
        <v>-90.507000000000104</v>
      </c>
      <c r="AP654" s="10">
        <v>90.507000000000104</v>
      </c>
      <c r="AQ654" s="8" t="s">
        <v>204</v>
      </c>
      <c r="AR654" s="8">
        <v>0</v>
      </c>
      <c r="AS654" s="10">
        <v>-473.26400000000001</v>
      </c>
      <c r="AT654" s="10">
        <v>-563.77099999999996</v>
      </c>
      <c r="AU654" s="8" t="s">
        <v>209</v>
      </c>
      <c r="AV654" s="10">
        <v>8.6370000000000005</v>
      </c>
      <c r="AW654" s="11">
        <f>IF(AND(ISNUMBER(AV654),ISNUMBER(AT654)),IF(AT654&lt;&gt;0,AV654/ABS(AT654),""),"")</f>
        <v>1.5320050162211255E-2</v>
      </c>
      <c r="AX654" s="8">
        <v>0</v>
      </c>
      <c r="AY654" s="8">
        <v>0</v>
      </c>
      <c r="AZ654" s="10"/>
      <c r="BA654" s="8">
        <v>0</v>
      </c>
    </row>
    <row r="655" spans="1:53" x14ac:dyDescent="0.2">
      <c r="A655" s="8" t="s">
        <v>310</v>
      </c>
      <c r="B655" s="8" t="s">
        <v>83</v>
      </c>
      <c r="C655" s="8" t="s">
        <v>290</v>
      </c>
      <c r="D655" s="8">
        <v>1</v>
      </c>
      <c r="E655" s="8">
        <v>0</v>
      </c>
      <c r="F655" s="8">
        <f>SUM(G655:M655)</f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1</v>
      </c>
      <c r="Q655" s="8">
        <v>0</v>
      </c>
      <c r="R655" s="8">
        <v>0</v>
      </c>
      <c r="S655" s="8">
        <v>1</v>
      </c>
      <c r="T655" s="10">
        <v>-6641.5730000000003</v>
      </c>
      <c r="U655" s="10"/>
      <c r="V655" s="10"/>
      <c r="W655" s="10">
        <f>IF(RIGHT(C655,2)="12",IF(ISNUMBER(T655),T655,""),IF(COUNT(T655,U655,V655)=3,T655+U655-V655,""))</f>
        <v>-6641.5730000000003</v>
      </c>
      <c r="X655" s="10">
        <v>-6641.5730000000003</v>
      </c>
      <c r="Y655" s="10">
        <v>-1261.625</v>
      </c>
      <c r="Z655" s="10">
        <v>-3916.7190000000001</v>
      </c>
      <c r="AA655" s="10">
        <v>-3810.68</v>
      </c>
      <c r="AB655" s="10">
        <v>2347.4520000000002</v>
      </c>
      <c r="AC655" s="8">
        <v>0</v>
      </c>
      <c r="AD655" s="8">
        <v>0</v>
      </c>
      <c r="AE655" s="8">
        <v>0</v>
      </c>
      <c r="AF655" s="10">
        <v>0</v>
      </c>
      <c r="AG655" s="8">
        <f>COUNTIF(Y655:AB655,"&gt;0")</f>
        <v>1</v>
      </c>
      <c r="AH655" s="10">
        <v>2347.4520000000002</v>
      </c>
      <c r="AI655" s="10">
        <v>0</v>
      </c>
      <c r="AJ655" s="8" t="str">
        <f>IF(ISNUMBER(X655),IF(X655&gt;0,"+",IF(X655&lt;0,"−","0")),IF(ISNUMBER(W655),IF(W655&gt;0,"+",IF(W655&lt;0,"−","0")),"yok"))</f>
        <v>−</v>
      </c>
      <c r="AK655" s="10" t="str">
        <f>IF(AND(RIGHT(C655,2)&lt;&gt;"12",ISNUMBER(U655),ISNUMBER(V655)),U655-V655,"")</f>
        <v/>
      </c>
      <c r="AL655" s="11" t="str">
        <f>IF(AND(ISNUMBER(AK655),ISNUMBER(V655)),IF(V655&lt;&gt;0,AK655/ABS(V655),""),"")</f>
        <v/>
      </c>
      <c r="AM655" s="8" t="str">
        <f>IF(ISNUMBER(AK655),IF(AK655&gt;1,1,0),"")</f>
        <v/>
      </c>
      <c r="AN655" s="8" t="str">
        <f>IF(ISNUMBER(AK655),IF(AK655&gt;0.05*ABS(V655),1,0),"")</f>
        <v/>
      </c>
      <c r="AO655" s="10">
        <v>-6641.5739999999996</v>
      </c>
      <c r="AP655" s="10">
        <v>6641.5739999999996</v>
      </c>
      <c r="AQ655" s="8" t="s">
        <v>204</v>
      </c>
      <c r="AR655" s="8">
        <v>0</v>
      </c>
      <c r="AS655" s="10">
        <v>-24.631</v>
      </c>
      <c r="AT655" s="10">
        <v>-6764.5789999999997</v>
      </c>
      <c r="AU655" s="8" t="s">
        <v>204</v>
      </c>
      <c r="AV655" s="10">
        <v>2347.4520000000002</v>
      </c>
      <c r="AW655" s="11">
        <f>IF(AND(ISNUMBER(AV655),ISNUMBER(AT655)),IF(AT655&lt;&gt;0,AV655/ABS(AT655),""),"")</f>
        <v>0.34702115238804965</v>
      </c>
      <c r="AX655" s="8">
        <v>0</v>
      </c>
      <c r="AY655" s="8">
        <v>0</v>
      </c>
      <c r="AZ655" s="10"/>
      <c r="BA655" s="8">
        <v>0</v>
      </c>
    </row>
    <row r="656" spans="1:53" x14ac:dyDescent="0.2">
      <c r="A656" s="8" t="s">
        <v>314</v>
      </c>
      <c r="B656" s="8" t="s">
        <v>83</v>
      </c>
      <c r="C656" s="8" t="s">
        <v>210</v>
      </c>
      <c r="D656" s="8">
        <v>1</v>
      </c>
      <c r="E656" s="8">
        <v>0</v>
      </c>
      <c r="F656" s="8">
        <f>SUM(G656:M656)</f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1</v>
      </c>
      <c r="Q656" s="8">
        <v>0</v>
      </c>
      <c r="R656" s="8">
        <v>0</v>
      </c>
      <c r="S656" s="8">
        <v>1</v>
      </c>
      <c r="T656" s="10">
        <v>-3.198</v>
      </c>
      <c r="U656" s="10">
        <v>-262.22000000000003</v>
      </c>
      <c r="V656" s="10">
        <v>-53.337000000000003</v>
      </c>
      <c r="W656" s="10">
        <f>IF(RIGHT(C656,2)="12",IF(ISNUMBER(T656),T656,""),IF(COUNT(T656,U656,V656)=3,T656+U656-V656,""))</f>
        <v>-212.08100000000002</v>
      </c>
      <c r="X656" s="10">
        <v>-212.08</v>
      </c>
      <c r="Y656" s="10">
        <v>-49.143999999999998</v>
      </c>
      <c r="Z656" s="10">
        <v>-159.73699999999999</v>
      </c>
      <c r="AA656" s="10">
        <v>-15.48</v>
      </c>
      <c r="AB656" s="10">
        <v>12.282</v>
      </c>
      <c r="AC656" s="8">
        <v>0</v>
      </c>
      <c r="AD656" s="8">
        <v>0</v>
      </c>
      <c r="AE656" s="8">
        <v>0</v>
      </c>
      <c r="AF656" s="10">
        <v>0</v>
      </c>
      <c r="AG656" s="8">
        <f>COUNTIF(Y656:AB656,"&gt;0")</f>
        <v>1</v>
      </c>
      <c r="AH656" s="10">
        <v>12.282</v>
      </c>
      <c r="AI656" s="10">
        <v>0</v>
      </c>
      <c r="AJ656" s="8" t="str">
        <f>IF(ISNUMBER(X656),IF(X656&gt;0,"+",IF(X656&lt;0,"−","0")),IF(ISNUMBER(W656),IF(W656&gt;0,"+",IF(W656&lt;0,"−","0")),"yok"))</f>
        <v>−</v>
      </c>
      <c r="AK656" s="10">
        <f>IF(AND(RIGHT(C656,2)&lt;&gt;"12",ISNUMBER(U656),ISNUMBER(V656)),U656-V656,"")</f>
        <v>-208.88300000000004</v>
      </c>
      <c r="AL656" s="11">
        <f>IF(AND(ISNUMBER(AK656),ISNUMBER(V656)),IF(V656&lt;&gt;0,AK656/ABS(V656),""),"")</f>
        <v>-3.9162870052683885</v>
      </c>
      <c r="AM656" s="8">
        <f>IF(ISNUMBER(AK656),IF(AK656&gt;1,1,0),"")</f>
        <v>0</v>
      </c>
      <c r="AN656" s="8">
        <f>IF(ISNUMBER(AK656),IF(AK656&gt;0.05*ABS(V656),1,0),"")</f>
        <v>0</v>
      </c>
      <c r="AO656" s="10">
        <v>-212.08</v>
      </c>
      <c r="AP656" s="10">
        <v>212.08</v>
      </c>
      <c r="AQ656" s="8" t="s">
        <v>204</v>
      </c>
      <c r="AR656" s="8">
        <v>0</v>
      </c>
      <c r="AS656" s="10">
        <v>217.404</v>
      </c>
      <c r="AT656" s="10">
        <v>5.3239999999999803</v>
      </c>
      <c r="AU656" s="8" t="s">
        <v>209</v>
      </c>
      <c r="AV656" s="10">
        <v>12.282</v>
      </c>
      <c r="AW656" s="11">
        <f>IF(AND(ISNUMBER(AV656),ISNUMBER(AT656)),IF(AT656&lt;&gt;0,AV656/ABS(AT656),""),"")</f>
        <v>2.3069120961683032</v>
      </c>
      <c r="AX656" s="8">
        <v>0</v>
      </c>
      <c r="AY656" s="8">
        <v>0</v>
      </c>
      <c r="AZ656" s="10"/>
      <c r="BA656" s="8">
        <v>0</v>
      </c>
    </row>
    <row r="657" spans="1:53" x14ac:dyDescent="0.2">
      <c r="A657" s="8" t="s">
        <v>315</v>
      </c>
      <c r="B657" s="8" t="s">
        <v>82</v>
      </c>
      <c r="C657" s="8" t="s">
        <v>203</v>
      </c>
      <c r="D657" s="8">
        <v>1</v>
      </c>
      <c r="E657" s="8">
        <v>0</v>
      </c>
      <c r="F657" s="8">
        <f>SUM(G657:M657)</f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1</v>
      </c>
      <c r="Q657" s="8">
        <v>0</v>
      </c>
      <c r="R657" s="8">
        <v>1</v>
      </c>
      <c r="S657" s="8">
        <v>0</v>
      </c>
      <c r="T657" s="10"/>
      <c r="U657" s="10">
        <v>-3.0310000000000001</v>
      </c>
      <c r="V657" s="10">
        <v>-7.3319999999999999</v>
      </c>
      <c r="W657" s="10" t="str">
        <f>IF(RIGHT(C657,2)="12",IF(ISNUMBER(T657),T657,""),IF(COUNT(T657,U657,V657)=3,T657+U657-V657,""))</f>
        <v/>
      </c>
      <c r="X657" s="10"/>
      <c r="Y657" s="10">
        <v>1.522</v>
      </c>
      <c r="Z657" s="10">
        <v>0.47499999999999998</v>
      </c>
      <c r="AA657" s="10">
        <v>2.3029999999999999</v>
      </c>
      <c r="AB657" s="10"/>
      <c r="AC657" s="8">
        <v>0</v>
      </c>
      <c r="AD657" s="8">
        <v>0</v>
      </c>
      <c r="AE657" s="8">
        <v>0</v>
      </c>
      <c r="AF657" s="10">
        <v>0</v>
      </c>
      <c r="AG657" s="8">
        <f>COUNTIF(Y657:AB657,"&gt;0")</f>
        <v>3</v>
      </c>
      <c r="AH657" s="10">
        <v>0</v>
      </c>
      <c r="AI657" s="10">
        <v>4.3</v>
      </c>
      <c r="AJ657" s="8" t="str">
        <f>IF(ISNUMBER(X657),IF(X657&gt;0,"+",IF(X657&lt;0,"−","0")),IF(ISNUMBER(W657),IF(W657&gt;0,"+",IF(W657&lt;0,"−","0")),"yok"))</f>
        <v>yok</v>
      </c>
      <c r="AK657" s="10">
        <f>IF(AND(RIGHT(C657,2)&lt;&gt;"12",ISNUMBER(U657),ISNUMBER(V657)),U657-V657,"")</f>
        <v>4.3010000000000002</v>
      </c>
      <c r="AL657" s="11">
        <f>IF(AND(ISNUMBER(AK657),ISNUMBER(V657)),IF(V657&lt;&gt;0,AK657/ABS(V657),""),"")</f>
        <v>0.58660665575559201</v>
      </c>
      <c r="AM657" s="8">
        <f>IF(ISNUMBER(AK657),IF(AK657&gt;1,1,0),"")</f>
        <v>1</v>
      </c>
      <c r="AN657" s="8">
        <f>IF(ISNUMBER(AK657),IF(AK657&gt;0.05*ABS(V657),1,0),"")</f>
        <v>1</v>
      </c>
      <c r="AO657" s="10"/>
      <c r="AP657" s="10"/>
      <c r="AQ657" s="8" t="s">
        <v>207</v>
      </c>
      <c r="AR657" s="8">
        <v>0</v>
      </c>
      <c r="AS657" s="10">
        <v>247.02600000000001</v>
      </c>
      <c r="AT657" s="10"/>
      <c r="AU657" s="8" t="s">
        <v>207</v>
      </c>
      <c r="AV657" s="10">
        <v>2.3029999999999999</v>
      </c>
      <c r="AW657" s="11" t="str">
        <f>IF(AND(ISNUMBER(AV657),ISNUMBER(AT657)),IF(AT657&lt;&gt;0,AV657/ABS(AT657),""),"")</f>
        <v/>
      </c>
      <c r="AX657" s="8">
        <v>0</v>
      </c>
      <c r="AY657" s="8">
        <v>0</v>
      </c>
      <c r="AZ657" s="10"/>
      <c r="BA657" s="8">
        <v>0</v>
      </c>
    </row>
    <row r="658" spans="1:53" x14ac:dyDescent="0.2">
      <c r="A658" s="8" t="s">
        <v>315</v>
      </c>
      <c r="B658" s="8" t="s">
        <v>82</v>
      </c>
      <c r="C658" s="8" t="s">
        <v>205</v>
      </c>
      <c r="D658" s="8">
        <v>1</v>
      </c>
      <c r="E658" s="8">
        <v>0</v>
      </c>
      <c r="F658" s="8">
        <f>SUM(G658:M658)</f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1</v>
      </c>
      <c r="Q658" s="8">
        <v>0</v>
      </c>
      <c r="R658" s="8">
        <v>1</v>
      </c>
      <c r="S658" s="8">
        <v>0</v>
      </c>
      <c r="T658" s="10"/>
      <c r="U658" s="10">
        <v>-3.0310000000000001</v>
      </c>
      <c r="V658" s="10">
        <v>-5.8090000000000002</v>
      </c>
      <c r="W658" s="10" t="str">
        <f>IF(RIGHT(C658,2)="12",IF(ISNUMBER(T658),T658,""),IF(COUNT(T658,U658,V658)=3,T658+U658-V658,""))</f>
        <v/>
      </c>
      <c r="X658" s="10"/>
      <c r="Y658" s="10">
        <v>0.47499999999999998</v>
      </c>
      <c r="Z658" s="10">
        <v>2.3029999999999999</v>
      </c>
      <c r="AA658" s="10"/>
      <c r="AB658" s="10"/>
      <c r="AC658" s="8">
        <v>0</v>
      </c>
      <c r="AD658" s="8">
        <v>0</v>
      </c>
      <c r="AE658" s="8">
        <v>0</v>
      </c>
      <c r="AF658" s="10">
        <v>0</v>
      </c>
      <c r="AG658" s="8">
        <f>COUNTIF(Y658:AB658,"&gt;0")</f>
        <v>2</v>
      </c>
      <c r="AH658" s="10">
        <v>0</v>
      </c>
      <c r="AI658" s="10">
        <v>2.778</v>
      </c>
      <c r="AJ658" s="8" t="str">
        <f>IF(ISNUMBER(X658),IF(X658&gt;0,"+",IF(X658&lt;0,"−","0")),IF(ISNUMBER(W658),IF(W658&gt;0,"+",IF(W658&lt;0,"−","0")),"yok"))</f>
        <v>yok</v>
      </c>
      <c r="AK658" s="10">
        <f>IF(AND(RIGHT(C658,2)&lt;&gt;"12",ISNUMBER(U658),ISNUMBER(V658)),U658-V658,"")</f>
        <v>2.778</v>
      </c>
      <c r="AL658" s="11">
        <f>IF(AND(ISNUMBER(AK658),ISNUMBER(V658)),IF(V658&lt;&gt;0,AK658/ABS(V658),""),"")</f>
        <v>0.47822344637631259</v>
      </c>
      <c r="AM658" s="8">
        <f>IF(ISNUMBER(AK658),IF(AK658&gt;1,1,0),"")</f>
        <v>1</v>
      </c>
      <c r="AN658" s="8">
        <f>IF(ISNUMBER(AK658),IF(AK658&gt;0.05*ABS(V658),1,0),"")</f>
        <v>1</v>
      </c>
      <c r="AO658" s="10"/>
      <c r="AP658" s="10"/>
      <c r="AQ658" s="8" t="s">
        <v>207</v>
      </c>
      <c r="AR658" s="8">
        <v>0</v>
      </c>
      <c r="AS658" s="10">
        <v>208.108</v>
      </c>
      <c r="AT658" s="10"/>
      <c r="AU658" s="8" t="s">
        <v>207</v>
      </c>
      <c r="AV658" s="10">
        <v>2.3029999999999999</v>
      </c>
      <c r="AW658" s="11" t="str">
        <f>IF(AND(ISNUMBER(AV658),ISNUMBER(AT658)),IF(AT658&lt;&gt;0,AV658/ABS(AT658),""),"")</f>
        <v/>
      </c>
      <c r="AX658" s="8">
        <v>0</v>
      </c>
      <c r="AY658" s="8">
        <v>0</v>
      </c>
      <c r="AZ658" s="10"/>
      <c r="BA658" s="8">
        <v>0</v>
      </c>
    </row>
    <row r="659" spans="1:53" x14ac:dyDescent="0.2">
      <c r="A659" s="8" t="s">
        <v>316</v>
      </c>
      <c r="B659" s="8" t="s">
        <v>82</v>
      </c>
      <c r="C659" s="8" t="s">
        <v>208</v>
      </c>
      <c r="D659" s="8">
        <v>1</v>
      </c>
      <c r="E659" s="8">
        <v>0</v>
      </c>
      <c r="F659" s="8">
        <f>SUM(G659:M659)</f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1</v>
      </c>
      <c r="S659" s="8">
        <v>0</v>
      </c>
      <c r="T659" s="10">
        <v>-102.926</v>
      </c>
      <c r="U659" s="10">
        <v>-196.39599999999999</v>
      </c>
      <c r="V659" s="10">
        <v>-114.66200000000001</v>
      </c>
      <c r="W659" s="10">
        <f>IF(RIGHT(C659,2)="12",IF(ISNUMBER(T659),T659,""),IF(COUNT(T659,U659,V659)=3,T659+U659-V659,""))</f>
        <v>-184.66</v>
      </c>
      <c r="X659" s="10">
        <v>-184.66</v>
      </c>
      <c r="Y659" s="10">
        <v>-96.991</v>
      </c>
      <c r="Z659" s="10"/>
      <c r="AA659" s="10"/>
      <c r="AB659" s="10">
        <v>-102.926</v>
      </c>
      <c r="AC659" s="8">
        <v>0</v>
      </c>
      <c r="AD659" s="8">
        <v>0</v>
      </c>
      <c r="AE659" s="8">
        <v>0</v>
      </c>
      <c r="AF659" s="10">
        <v>0</v>
      </c>
      <c r="AG659" s="8">
        <f>COUNTIF(Y659:AB659,"&gt;0")</f>
        <v>0</v>
      </c>
      <c r="AH659" s="10">
        <v>0</v>
      </c>
      <c r="AI659" s="10">
        <v>0</v>
      </c>
      <c r="AJ659" s="8" t="str">
        <f>IF(ISNUMBER(X659),IF(X659&gt;0,"+",IF(X659&lt;0,"−","0")),IF(ISNUMBER(W659),IF(W659&gt;0,"+",IF(W659&lt;0,"−","0")),"yok"))</f>
        <v>−</v>
      </c>
      <c r="AK659" s="10">
        <f>IF(AND(RIGHT(C659,2)&lt;&gt;"12",ISNUMBER(U659),ISNUMBER(V659)),U659-V659,"")</f>
        <v>-81.73399999999998</v>
      </c>
      <c r="AL659" s="11">
        <f>IF(AND(ISNUMBER(AK659),ISNUMBER(V659)),IF(V659&lt;&gt;0,AK659/ABS(V659),""),"")</f>
        <v>-0.71282552196891713</v>
      </c>
      <c r="AM659" s="8">
        <f>IF(ISNUMBER(AK659),IF(AK659&gt;1,1,0),"")</f>
        <v>0</v>
      </c>
      <c r="AN659" s="8">
        <f>IF(ISNUMBER(AK659),IF(AK659&gt;0.05*ABS(V659),1,0),"")</f>
        <v>0</v>
      </c>
      <c r="AO659" s="10"/>
      <c r="AP659" s="10"/>
      <c r="AQ659" s="8" t="s">
        <v>207</v>
      </c>
      <c r="AR659" s="8">
        <v>0</v>
      </c>
      <c r="AS659" s="10">
        <v>659.23599999999999</v>
      </c>
      <c r="AT659" s="10"/>
      <c r="AU659" s="8" t="s">
        <v>207</v>
      </c>
      <c r="AV659" s="10">
        <v>0</v>
      </c>
      <c r="AW659" s="11" t="str">
        <f>IF(AND(ISNUMBER(AV659),ISNUMBER(AT659)),IF(AT659&lt;&gt;0,AV659/ABS(AT659),""),"")</f>
        <v/>
      </c>
      <c r="AX659" s="8">
        <v>0</v>
      </c>
      <c r="AY659" s="8">
        <v>0</v>
      </c>
      <c r="AZ659" s="10"/>
      <c r="BA659" s="8">
        <v>0</v>
      </c>
    </row>
    <row r="660" spans="1:53" x14ac:dyDescent="0.2">
      <c r="A660" s="8" t="s">
        <v>316</v>
      </c>
      <c r="B660" s="8" t="s">
        <v>82</v>
      </c>
      <c r="C660" s="8" t="s">
        <v>210</v>
      </c>
      <c r="D660" s="8">
        <v>1</v>
      </c>
      <c r="E660" s="8">
        <v>0</v>
      </c>
      <c r="F660" s="8">
        <f>SUM(G660:M660)</f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1</v>
      </c>
      <c r="R660" s="8">
        <v>1</v>
      </c>
      <c r="S660" s="8">
        <v>0</v>
      </c>
      <c r="T660" s="10">
        <v>-217.61799999999999</v>
      </c>
      <c r="U660" s="10">
        <v>-196.39599999999999</v>
      </c>
      <c r="V660" s="10">
        <v>-211.65299999999999</v>
      </c>
      <c r="W660" s="10">
        <f>IF(RIGHT(C660,2)="12",IF(ISNUMBER(T660),T660,""),IF(COUNT(T660,U660,V660)=3,T660+U660-V660,""))</f>
        <v>-202.36100000000002</v>
      </c>
      <c r="X660" s="10">
        <v>-202.36099999999999</v>
      </c>
      <c r="Y660" s="10"/>
      <c r="Z660" s="10"/>
      <c r="AA660" s="10">
        <v>-102.926</v>
      </c>
      <c r="AB660" s="10">
        <v>-114.69199999999999</v>
      </c>
      <c r="AC660" s="8">
        <v>0</v>
      </c>
      <c r="AD660" s="8">
        <v>0</v>
      </c>
      <c r="AE660" s="8">
        <v>0</v>
      </c>
      <c r="AF660" s="10">
        <v>0</v>
      </c>
      <c r="AG660" s="8">
        <f>COUNTIF(Y660:AB660,"&gt;0")</f>
        <v>0</v>
      </c>
      <c r="AH660" s="10">
        <v>0</v>
      </c>
      <c r="AI660" s="10">
        <v>0</v>
      </c>
      <c r="AJ660" s="8" t="str">
        <f>IF(ISNUMBER(X660),IF(X660&gt;0,"+",IF(X660&lt;0,"−","0")),IF(ISNUMBER(W660),IF(W660&gt;0,"+",IF(W660&lt;0,"−","0")),"yok"))</f>
        <v>−</v>
      </c>
      <c r="AK660" s="10">
        <f>IF(AND(RIGHT(C660,2)&lt;&gt;"12",ISNUMBER(U660),ISNUMBER(V660)),U660-V660,"")</f>
        <v>15.257000000000005</v>
      </c>
      <c r="AL660" s="11">
        <f>IF(AND(ISNUMBER(AK660),ISNUMBER(V660)),IF(V660&lt;&gt;0,AK660/ABS(V660),""),"")</f>
        <v>7.2084969265732143E-2</v>
      </c>
      <c r="AM660" s="8">
        <f>IF(ISNUMBER(AK660),IF(AK660&gt;1,1,0),"")</f>
        <v>1</v>
      </c>
      <c r="AN660" s="8">
        <f>IF(ISNUMBER(AK660),IF(AK660&gt;0.05*ABS(V660),1,0),"")</f>
        <v>1</v>
      </c>
      <c r="AO660" s="10"/>
      <c r="AP660" s="10"/>
      <c r="AQ660" s="8" t="s">
        <v>207</v>
      </c>
      <c r="AR660" s="8">
        <v>0</v>
      </c>
      <c r="AS660" s="10">
        <v>742.63</v>
      </c>
      <c r="AT660" s="10"/>
      <c r="AU660" s="8" t="s">
        <v>207</v>
      </c>
      <c r="AV660" s="10">
        <v>15.257</v>
      </c>
      <c r="AW660" s="11" t="str">
        <f>IF(AND(ISNUMBER(AV660),ISNUMBER(AT660)),IF(AT660&lt;&gt;0,AV660/ABS(AT660),""),"")</f>
        <v/>
      </c>
      <c r="AX660" s="8">
        <v>0</v>
      </c>
      <c r="AY660" s="8">
        <v>1</v>
      </c>
      <c r="AZ660" s="10"/>
      <c r="BA660" s="8">
        <v>0</v>
      </c>
    </row>
    <row r="661" spans="1:53" x14ac:dyDescent="0.2">
      <c r="A661" s="8" t="s">
        <v>316</v>
      </c>
      <c r="B661" s="8" t="s">
        <v>83</v>
      </c>
      <c r="C661" s="8" t="s">
        <v>215</v>
      </c>
      <c r="D661" s="8">
        <v>1</v>
      </c>
      <c r="E661" s="8">
        <v>0</v>
      </c>
      <c r="F661" s="8">
        <f>SUM(G661:M661)</f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1</v>
      </c>
      <c r="Q661" s="8">
        <v>0</v>
      </c>
      <c r="R661" s="8">
        <v>0</v>
      </c>
      <c r="S661" s="8">
        <v>1</v>
      </c>
      <c r="T661" s="10">
        <v>-21.297999999999998</v>
      </c>
      <c r="U661" s="10">
        <v>-63.987000000000002</v>
      </c>
      <c r="V661" s="10">
        <v>-61.634</v>
      </c>
      <c r="W661" s="10">
        <f>IF(RIGHT(C661,2)="12",IF(ISNUMBER(T661),T661,""),IF(COUNT(T661,U661,V661)=3,T661+U661-V661,""))</f>
        <v>-23.650999999999996</v>
      </c>
      <c r="X661" s="10">
        <v>-23.651</v>
      </c>
      <c r="Y661" s="10">
        <v>-2.3530000000000002</v>
      </c>
      <c r="Z661" s="10">
        <v>-7.0190000000000001</v>
      </c>
      <c r="AA661" s="10">
        <v>-31.998999999999999</v>
      </c>
      <c r="AB661" s="10">
        <v>17.72</v>
      </c>
      <c r="AC661" s="8">
        <v>0</v>
      </c>
      <c r="AD661" s="8">
        <v>0</v>
      </c>
      <c r="AE661" s="8">
        <v>0</v>
      </c>
      <c r="AF661" s="10">
        <v>0</v>
      </c>
      <c r="AG661" s="8">
        <f>COUNTIF(Y661:AB661,"&gt;0")</f>
        <v>1</v>
      </c>
      <c r="AH661" s="10">
        <v>17.72</v>
      </c>
      <c r="AI661" s="10">
        <v>0</v>
      </c>
      <c r="AJ661" s="8" t="str">
        <f>IF(ISNUMBER(X661),IF(X661&gt;0,"+",IF(X661&lt;0,"−","0")),IF(ISNUMBER(W661),IF(W661&gt;0,"+",IF(W661&lt;0,"−","0")),"yok"))</f>
        <v>−</v>
      </c>
      <c r="AK661" s="10">
        <f>IF(AND(RIGHT(C661,2)&lt;&gt;"12",ISNUMBER(U661),ISNUMBER(V661)),U661-V661,"")</f>
        <v>-2.3530000000000015</v>
      </c>
      <c r="AL661" s="11">
        <f>IF(AND(ISNUMBER(AK661),ISNUMBER(V661)),IF(V661&lt;&gt;0,AK661/ABS(V661),""),"")</f>
        <v>-3.8176980238180253E-2</v>
      </c>
      <c r="AM661" s="8">
        <f>IF(ISNUMBER(AK661),IF(AK661&gt;1,1,0),"")</f>
        <v>0</v>
      </c>
      <c r="AN661" s="8">
        <f>IF(ISNUMBER(AK661),IF(AK661&gt;0.05*ABS(V661),1,0),"")</f>
        <v>0</v>
      </c>
      <c r="AO661" s="10">
        <v>-23.652000000000001</v>
      </c>
      <c r="AP661" s="10">
        <v>23.652000000000001</v>
      </c>
      <c r="AQ661" s="8" t="s">
        <v>204</v>
      </c>
      <c r="AR661" s="8">
        <v>0</v>
      </c>
      <c r="AS661" s="10">
        <v>707.97500000000002</v>
      </c>
      <c r="AT661" s="10"/>
      <c r="AU661" s="8" t="s">
        <v>207</v>
      </c>
      <c r="AV661" s="10">
        <v>17.72</v>
      </c>
      <c r="AW661" s="11" t="str">
        <f>IF(AND(ISNUMBER(AV661),ISNUMBER(AT661)),IF(AT661&lt;&gt;0,AV661/ABS(AT661),""),"")</f>
        <v/>
      </c>
      <c r="AX661" s="8">
        <v>0</v>
      </c>
      <c r="AY661" s="8">
        <v>0</v>
      </c>
      <c r="AZ661" s="10"/>
      <c r="BA661" s="8">
        <v>0</v>
      </c>
    </row>
    <row r="662" spans="1:53" x14ac:dyDescent="0.2">
      <c r="A662" s="8" t="s">
        <v>316</v>
      </c>
      <c r="B662" s="8" t="s">
        <v>83</v>
      </c>
      <c r="C662" s="8" t="s">
        <v>290</v>
      </c>
      <c r="D662" s="8">
        <v>1</v>
      </c>
      <c r="E662" s="8">
        <v>0</v>
      </c>
      <c r="F662" s="8">
        <f>SUM(G662:M662)</f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1</v>
      </c>
      <c r="Q662" s="8">
        <v>0</v>
      </c>
      <c r="R662" s="8">
        <v>0</v>
      </c>
      <c r="S662" s="8">
        <v>1</v>
      </c>
      <c r="T662" s="10">
        <v>-61.506999999999998</v>
      </c>
      <c r="U662" s="10"/>
      <c r="V662" s="10"/>
      <c r="W662" s="10">
        <f>IF(RIGHT(C662,2)="12",IF(ISNUMBER(T662),T662,""),IF(COUNT(T662,U662,V662)=3,T662+U662-V662,""))</f>
        <v>-61.506999999999998</v>
      </c>
      <c r="X662" s="10">
        <v>-61.506999999999998</v>
      </c>
      <c r="Y662" s="10">
        <v>-7.0190000000000001</v>
      </c>
      <c r="Z662" s="10">
        <v>-31.998999999999999</v>
      </c>
      <c r="AA662" s="10">
        <v>17.72</v>
      </c>
      <c r="AB662" s="10">
        <v>-40.209000000000003</v>
      </c>
      <c r="AC662" s="8">
        <v>0</v>
      </c>
      <c r="AD662" s="8">
        <v>0</v>
      </c>
      <c r="AE662" s="8">
        <v>0</v>
      </c>
      <c r="AF662" s="10">
        <v>0</v>
      </c>
      <c r="AG662" s="8">
        <f>COUNTIF(Y662:AB662,"&gt;0")</f>
        <v>1</v>
      </c>
      <c r="AH662" s="10">
        <v>17.72</v>
      </c>
      <c r="AI662" s="10">
        <v>0</v>
      </c>
      <c r="AJ662" s="8" t="str">
        <f>IF(ISNUMBER(X662),IF(X662&gt;0,"+",IF(X662&lt;0,"−","0")),IF(ISNUMBER(W662),IF(W662&gt;0,"+",IF(W662&lt;0,"−","0")),"yok"))</f>
        <v>−</v>
      </c>
      <c r="AK662" s="10" t="str">
        <f>IF(AND(RIGHT(C662,2)&lt;&gt;"12",ISNUMBER(U662),ISNUMBER(V662)),U662-V662,"")</f>
        <v/>
      </c>
      <c r="AL662" s="11" t="str">
        <f>IF(AND(ISNUMBER(AK662),ISNUMBER(V662)),IF(V662&lt;&gt;0,AK662/ABS(V662),""),"")</f>
        <v/>
      </c>
      <c r="AM662" s="8" t="str">
        <f>IF(ISNUMBER(AK662),IF(AK662&gt;1,1,0),"")</f>
        <v/>
      </c>
      <c r="AN662" s="8" t="str">
        <f>IF(ISNUMBER(AK662),IF(AK662&gt;0.05*ABS(V662),1,0),"")</f>
        <v/>
      </c>
      <c r="AO662" s="10">
        <v>-61.508000000000003</v>
      </c>
      <c r="AP662" s="10">
        <v>61.508000000000003</v>
      </c>
      <c r="AQ662" s="8" t="s">
        <v>209</v>
      </c>
      <c r="AR662" s="8">
        <v>0</v>
      </c>
      <c r="AS662" s="10">
        <v>1178.213</v>
      </c>
      <c r="AT662" s="10">
        <v>920.30899999999997</v>
      </c>
      <c r="AU662" s="8" t="s">
        <v>209</v>
      </c>
      <c r="AV662" s="10">
        <v>17.72</v>
      </c>
      <c r="AW662" s="11">
        <f>IF(AND(ISNUMBER(AV662),ISNUMBER(AT662)),IF(AT662&lt;&gt;0,AV662/ABS(AT662),""),"")</f>
        <v>1.9254402597388486E-2</v>
      </c>
      <c r="AX662" s="8">
        <v>0</v>
      </c>
      <c r="AY662" s="8">
        <v>0</v>
      </c>
      <c r="AZ662" s="10"/>
      <c r="BA662" s="8">
        <v>0</v>
      </c>
    </row>
    <row r="663" spans="1:53" x14ac:dyDescent="0.2">
      <c r="A663" s="8" t="s">
        <v>581</v>
      </c>
      <c r="B663" s="8" t="s">
        <v>82</v>
      </c>
      <c r="C663" s="8" t="s">
        <v>203</v>
      </c>
      <c r="D663" s="8">
        <v>1</v>
      </c>
      <c r="E663" s="8">
        <v>0</v>
      </c>
      <c r="F663" s="8">
        <f>SUM(G663:M663)</f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1</v>
      </c>
      <c r="Q663" s="8">
        <v>0</v>
      </c>
      <c r="R663" s="8">
        <v>1</v>
      </c>
      <c r="S663" s="8">
        <v>0</v>
      </c>
      <c r="T663" s="10">
        <v>-98.742000000000004</v>
      </c>
      <c r="U663" s="10">
        <v>-415.57499999999999</v>
      </c>
      <c r="V663" s="10">
        <v>-209.35400000000001</v>
      </c>
      <c r="W663" s="10">
        <f>IF(RIGHT(C663,2)="12",IF(ISNUMBER(T663),T663,""),IF(COUNT(T663,U663,V663)=3,T663+U663-V663,""))</f>
        <v>-304.96299999999997</v>
      </c>
      <c r="X663" s="10">
        <v>-304.964</v>
      </c>
      <c r="Y663" s="10">
        <v>-116.502</v>
      </c>
      <c r="Z663" s="10">
        <v>73.591999999999999</v>
      </c>
      <c r="AA663" s="10">
        <v>-163.31100000000001</v>
      </c>
      <c r="AB663" s="10">
        <v>-98.742000000000004</v>
      </c>
      <c r="AC663" s="8">
        <v>0</v>
      </c>
      <c r="AD663" s="8">
        <v>0</v>
      </c>
      <c r="AE663" s="8">
        <v>0</v>
      </c>
      <c r="AF663" s="10">
        <v>0</v>
      </c>
      <c r="AG663" s="8">
        <f>COUNTIF(Y663:AB663,"&gt;0")</f>
        <v>1</v>
      </c>
      <c r="AH663" s="10">
        <v>0</v>
      </c>
      <c r="AI663" s="10">
        <v>73.591999999999999</v>
      </c>
      <c r="AJ663" s="8" t="str">
        <f>IF(ISNUMBER(X663),IF(X663&gt;0,"+",IF(X663&lt;0,"−","0")),IF(ISNUMBER(W663),IF(W663&gt;0,"+",IF(W663&lt;0,"−","0")),"yok"))</f>
        <v>−</v>
      </c>
      <c r="AK663" s="10">
        <f>IF(AND(RIGHT(C663,2)&lt;&gt;"12",ISNUMBER(U663),ISNUMBER(V663)),U663-V663,"")</f>
        <v>-206.22099999999998</v>
      </c>
      <c r="AL663" s="11">
        <f>IF(AND(ISNUMBER(AK663),ISNUMBER(V663)),IF(V663&lt;&gt;0,AK663/ABS(V663),""),"")</f>
        <v>-0.98503491693495215</v>
      </c>
      <c r="AM663" s="8">
        <f>IF(ISNUMBER(AK663),IF(AK663&gt;1,1,0),"")</f>
        <v>0</v>
      </c>
      <c r="AN663" s="8">
        <f>IF(ISNUMBER(AK663),IF(AK663&gt;0.05*ABS(V663),1,0),"")</f>
        <v>0</v>
      </c>
      <c r="AO663" s="10">
        <v>-304.96499999999997</v>
      </c>
      <c r="AP663" s="10">
        <v>304.96499999999997</v>
      </c>
      <c r="AQ663" s="8" t="s">
        <v>204</v>
      </c>
      <c r="AR663" s="8">
        <v>0</v>
      </c>
      <c r="AS663" s="10">
        <v>10351.466</v>
      </c>
      <c r="AT663" s="10">
        <v>6674.2489999999998</v>
      </c>
      <c r="AU663" s="8" t="s">
        <v>204</v>
      </c>
      <c r="AV663" s="10">
        <v>73.591999999999999</v>
      </c>
      <c r="AW663" s="11">
        <f>IF(AND(ISNUMBER(AV663),ISNUMBER(AT663)),IF(AT663&lt;&gt;0,AV663/ABS(AT663),""),"")</f>
        <v>1.1026259284003338E-2</v>
      </c>
      <c r="AX663" s="8">
        <v>0</v>
      </c>
      <c r="AY663" s="8">
        <v>0</v>
      </c>
      <c r="AZ663" s="10"/>
      <c r="BA663" s="8">
        <v>0</v>
      </c>
    </row>
    <row r="664" spans="1:53" x14ac:dyDescent="0.2">
      <c r="A664" s="8" t="s">
        <v>581</v>
      </c>
      <c r="B664" s="8" t="s">
        <v>82</v>
      </c>
      <c r="C664" s="8" t="s">
        <v>205</v>
      </c>
      <c r="D664" s="8">
        <v>1</v>
      </c>
      <c r="E664" s="8">
        <v>0</v>
      </c>
      <c r="F664" s="8">
        <f>SUM(G664:M664)</f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1</v>
      </c>
      <c r="Q664" s="8">
        <v>0</v>
      </c>
      <c r="R664" s="8">
        <v>1</v>
      </c>
      <c r="S664" s="8">
        <v>0</v>
      </c>
      <c r="T664" s="10">
        <v>-187.001</v>
      </c>
      <c r="U664" s="10">
        <v>-415.57499999999999</v>
      </c>
      <c r="V664" s="10">
        <v>-325.85599999999999</v>
      </c>
      <c r="W664" s="10">
        <f>IF(RIGHT(C664,2)="12",IF(ISNUMBER(T664),T664,""),IF(COUNT(T664,U664,V664)=3,T664+U664-V664,""))</f>
        <v>-276.72000000000003</v>
      </c>
      <c r="X664" s="10">
        <v>-276.72000000000003</v>
      </c>
      <c r="Y664" s="10">
        <v>73.591999999999999</v>
      </c>
      <c r="Z664" s="10">
        <v>-163.31100000000001</v>
      </c>
      <c r="AA664" s="10">
        <v>-98.742000000000004</v>
      </c>
      <c r="AB664" s="10">
        <v>-88.259</v>
      </c>
      <c r="AC664" s="8">
        <v>0</v>
      </c>
      <c r="AD664" s="8">
        <v>0</v>
      </c>
      <c r="AE664" s="8">
        <v>0</v>
      </c>
      <c r="AF664" s="10">
        <v>0</v>
      </c>
      <c r="AG664" s="8">
        <f>COUNTIF(Y664:AB664,"&gt;0")</f>
        <v>1</v>
      </c>
      <c r="AH664" s="10">
        <v>0</v>
      </c>
      <c r="AI664" s="10">
        <v>73.591999999999999</v>
      </c>
      <c r="AJ664" s="8" t="str">
        <f>IF(ISNUMBER(X664),IF(X664&gt;0,"+",IF(X664&lt;0,"−","0")),IF(ISNUMBER(W664),IF(W664&gt;0,"+",IF(W664&lt;0,"−","0")),"yok"))</f>
        <v>−</v>
      </c>
      <c r="AK664" s="10">
        <f>IF(AND(RIGHT(C664,2)&lt;&gt;"12",ISNUMBER(U664),ISNUMBER(V664)),U664-V664,"")</f>
        <v>-89.718999999999994</v>
      </c>
      <c r="AL664" s="11">
        <f>IF(AND(ISNUMBER(AK664),ISNUMBER(V664)),IF(V664&lt;&gt;0,AK664/ABS(V664),""),"")</f>
        <v>-0.27533327604831581</v>
      </c>
      <c r="AM664" s="8">
        <f>IF(ISNUMBER(AK664),IF(AK664&gt;1,1,0),"")</f>
        <v>0</v>
      </c>
      <c r="AN664" s="8">
        <f>IF(ISNUMBER(AK664),IF(AK664&gt;0.05*ABS(V664),1,0),"")</f>
        <v>0</v>
      </c>
      <c r="AO664" s="10">
        <v>-276.721</v>
      </c>
      <c r="AP664" s="10">
        <v>276.721</v>
      </c>
      <c r="AQ664" s="8" t="s">
        <v>204</v>
      </c>
      <c r="AR664" s="8">
        <v>0</v>
      </c>
      <c r="AS664" s="10">
        <v>10570.213</v>
      </c>
      <c r="AT664" s="10">
        <v>6980.0559999999996</v>
      </c>
      <c r="AU664" s="8" t="s">
        <v>204</v>
      </c>
      <c r="AV664" s="10">
        <v>73.591999999999999</v>
      </c>
      <c r="AW664" s="11">
        <f>IF(AND(ISNUMBER(AV664),ISNUMBER(AT664)),IF(AT664&lt;&gt;0,AV664/ABS(AT664),""),"")</f>
        <v>1.054318188851207E-2</v>
      </c>
      <c r="AX664" s="8">
        <v>0</v>
      </c>
      <c r="AY664" s="8">
        <v>0</v>
      </c>
      <c r="AZ664" s="10"/>
      <c r="BA664" s="8">
        <v>0</v>
      </c>
    </row>
    <row r="665" spans="1:53" x14ac:dyDescent="0.2">
      <c r="A665" s="8" t="s">
        <v>581</v>
      </c>
      <c r="B665" s="8" t="s">
        <v>82</v>
      </c>
      <c r="C665" s="8" t="s">
        <v>290</v>
      </c>
      <c r="D665" s="8">
        <v>1</v>
      </c>
      <c r="E665" s="8">
        <v>0</v>
      </c>
      <c r="F665" s="8">
        <f>SUM(G665:M665)</f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1</v>
      </c>
      <c r="Q665" s="8">
        <v>0</v>
      </c>
      <c r="R665" s="8">
        <v>0</v>
      </c>
      <c r="S665" s="8">
        <v>1</v>
      </c>
      <c r="T665" s="10">
        <v>-236.053</v>
      </c>
      <c r="U665" s="10"/>
      <c r="V665" s="10"/>
      <c r="W665" s="10">
        <f>IF(RIGHT(C665,2)="12",IF(ISNUMBER(T665),T665,""),IF(COUNT(T665,U665,V665)=3,T665+U665-V665,""))</f>
        <v>-236.053</v>
      </c>
      <c r="X665" s="10">
        <v>-236.053</v>
      </c>
      <c r="Y665" s="10">
        <v>-98.742000000000004</v>
      </c>
      <c r="Z665" s="10">
        <v>-88.259</v>
      </c>
      <c r="AA665" s="10">
        <v>-93.858000000000004</v>
      </c>
      <c r="AB665" s="10">
        <v>44.805999999999997</v>
      </c>
      <c r="AC665" s="8">
        <v>0</v>
      </c>
      <c r="AD665" s="8">
        <v>0</v>
      </c>
      <c r="AE665" s="8">
        <v>0</v>
      </c>
      <c r="AF665" s="10">
        <v>0</v>
      </c>
      <c r="AG665" s="8">
        <f>COUNTIF(Y665:AB665,"&gt;0")</f>
        <v>1</v>
      </c>
      <c r="AH665" s="10">
        <v>44.805999999999997</v>
      </c>
      <c r="AI665" s="10">
        <v>0</v>
      </c>
      <c r="AJ665" s="8" t="str">
        <f>IF(ISNUMBER(X665),IF(X665&gt;0,"+",IF(X665&lt;0,"−","0")),IF(ISNUMBER(W665),IF(W665&gt;0,"+",IF(W665&lt;0,"−","0")),"yok"))</f>
        <v>−</v>
      </c>
      <c r="AK665" s="10" t="str">
        <f>IF(AND(RIGHT(C665,2)&lt;&gt;"12",ISNUMBER(U665),ISNUMBER(V665)),U665-V665,"")</f>
        <v/>
      </c>
      <c r="AL665" s="11" t="str">
        <f>IF(AND(ISNUMBER(AK665),ISNUMBER(V665)),IF(V665&lt;&gt;0,AK665/ABS(V665),""),"")</f>
        <v/>
      </c>
      <c r="AM665" s="8" t="str">
        <f>IF(ISNUMBER(AK665),IF(AK665&gt;1,1,0),"")</f>
        <v/>
      </c>
      <c r="AN665" s="8" t="str">
        <f>IF(ISNUMBER(AK665),IF(AK665&gt;0.05*ABS(V665),1,0),"")</f>
        <v/>
      </c>
      <c r="AO665" s="10">
        <v>-236.053</v>
      </c>
      <c r="AP665" s="10">
        <v>236.053</v>
      </c>
      <c r="AQ665" s="8" t="s">
        <v>204</v>
      </c>
      <c r="AR665" s="8">
        <v>0</v>
      </c>
      <c r="AS665" s="10">
        <v>6223.26</v>
      </c>
      <c r="AT665" s="10">
        <v>3202.2310000000002</v>
      </c>
      <c r="AU665" s="8" t="s">
        <v>204</v>
      </c>
      <c r="AV665" s="10">
        <v>44.805999999999997</v>
      </c>
      <c r="AW665" s="11">
        <f>IF(AND(ISNUMBER(AV665),ISNUMBER(AT665)),IF(AT665&lt;&gt;0,AV665/ABS(AT665),""),"")</f>
        <v>1.3992119868928879E-2</v>
      </c>
      <c r="AX665" s="8">
        <v>0</v>
      </c>
      <c r="AY665" s="8">
        <v>0</v>
      </c>
      <c r="AZ665" s="10"/>
      <c r="BA665" s="8">
        <v>0</v>
      </c>
    </row>
    <row r="666" spans="1:53" x14ac:dyDescent="0.2">
      <c r="A666" s="8" t="s">
        <v>581</v>
      </c>
      <c r="B666" s="8" t="s">
        <v>82</v>
      </c>
      <c r="C666" s="8" t="s">
        <v>208</v>
      </c>
      <c r="D666" s="8">
        <v>1</v>
      </c>
      <c r="E666" s="8">
        <v>0</v>
      </c>
      <c r="F666" s="8">
        <f>SUM(G666:M666)</f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1</v>
      </c>
      <c r="Q666" s="8">
        <v>0</v>
      </c>
      <c r="R666" s="8">
        <v>1</v>
      </c>
      <c r="S666" s="8">
        <v>0</v>
      </c>
      <c r="T666" s="10">
        <v>-48.484000000000002</v>
      </c>
      <c r="U666" s="10">
        <v>-236.053</v>
      </c>
      <c r="V666" s="10">
        <v>-98.742000000000004</v>
      </c>
      <c r="W666" s="10">
        <f>IF(RIGHT(C666,2)="12",IF(ISNUMBER(T666),T666,""),IF(COUNT(T666,U666,V666)=3,T666+U666-V666,""))</f>
        <v>-185.79499999999996</v>
      </c>
      <c r="X666" s="10">
        <v>-185.79400000000001</v>
      </c>
      <c r="Y666" s="10">
        <v>-88.259</v>
      </c>
      <c r="Z666" s="10">
        <v>-93.858000000000004</v>
      </c>
      <c r="AA666" s="10">
        <v>44.805999999999997</v>
      </c>
      <c r="AB666" s="10">
        <v>-48.484000000000002</v>
      </c>
      <c r="AC666" s="8">
        <v>0</v>
      </c>
      <c r="AD666" s="8">
        <v>0</v>
      </c>
      <c r="AE666" s="8">
        <v>0</v>
      </c>
      <c r="AF666" s="10">
        <v>0</v>
      </c>
      <c r="AG666" s="8">
        <f>COUNTIF(Y666:AB666,"&gt;0")</f>
        <v>1</v>
      </c>
      <c r="AH666" s="10">
        <v>0</v>
      </c>
      <c r="AI666" s="10">
        <v>44.805999999999997</v>
      </c>
      <c r="AJ666" s="8" t="str">
        <f>IF(ISNUMBER(X666),IF(X666&gt;0,"+",IF(X666&lt;0,"−","0")),IF(ISNUMBER(W666),IF(W666&gt;0,"+",IF(W666&lt;0,"−","0")),"yok"))</f>
        <v>−</v>
      </c>
      <c r="AK666" s="10">
        <f>IF(AND(RIGHT(C666,2)&lt;&gt;"12",ISNUMBER(U666),ISNUMBER(V666)),U666-V666,"")</f>
        <v>-137.31099999999998</v>
      </c>
      <c r="AL666" s="11">
        <f>IF(AND(ISNUMBER(AK666),ISNUMBER(V666)),IF(V666&lt;&gt;0,AK666/ABS(V666),""),"")</f>
        <v>-1.3906037957505415</v>
      </c>
      <c r="AM666" s="8">
        <f>IF(ISNUMBER(AK666),IF(AK666&gt;1,1,0),"")</f>
        <v>0</v>
      </c>
      <c r="AN666" s="8">
        <f>IF(ISNUMBER(AK666),IF(AK666&gt;0.05*ABS(V666),1,0),"")</f>
        <v>0</v>
      </c>
      <c r="AO666" s="10">
        <v>-185.79400000000001</v>
      </c>
      <c r="AP666" s="10">
        <v>185.79400000000001</v>
      </c>
      <c r="AQ666" s="8" t="s">
        <v>204</v>
      </c>
      <c r="AR666" s="8">
        <v>0</v>
      </c>
      <c r="AS666" s="10">
        <v>2758.9250000000002</v>
      </c>
      <c r="AT666" s="10">
        <v>-255.16900000000001</v>
      </c>
      <c r="AU666" s="8" t="s">
        <v>204</v>
      </c>
      <c r="AV666" s="10">
        <v>44.805999999999997</v>
      </c>
      <c r="AW666" s="11">
        <f>IF(AND(ISNUMBER(AV666),ISNUMBER(AT666)),IF(AT666&lt;&gt;0,AV666/ABS(AT666),""),"")</f>
        <v>0.17559343023643154</v>
      </c>
      <c r="AX666" s="8">
        <v>0</v>
      </c>
      <c r="AY666" s="8">
        <v>0</v>
      </c>
      <c r="AZ666" s="10"/>
      <c r="BA666" s="8">
        <v>0</v>
      </c>
    </row>
    <row r="667" spans="1:53" x14ac:dyDescent="0.2">
      <c r="A667" s="8" t="s">
        <v>581</v>
      </c>
      <c r="B667" s="8" t="s">
        <v>82</v>
      </c>
      <c r="C667" s="8" t="s">
        <v>210</v>
      </c>
      <c r="D667" s="8">
        <v>1</v>
      </c>
      <c r="E667" s="8">
        <v>0</v>
      </c>
      <c r="F667" s="8">
        <f>SUM(G667:M667)</f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1</v>
      </c>
      <c r="Q667" s="8">
        <v>0</v>
      </c>
      <c r="R667" s="8">
        <v>1</v>
      </c>
      <c r="S667" s="8">
        <v>0</v>
      </c>
      <c r="T667" s="10">
        <v>-166.50700000000001</v>
      </c>
      <c r="U667" s="10">
        <v>-236.053</v>
      </c>
      <c r="V667" s="10">
        <v>-187.001</v>
      </c>
      <c r="W667" s="10">
        <f>IF(RIGHT(C667,2)="12",IF(ISNUMBER(T667),T667,""),IF(COUNT(T667,U667,V667)=3,T667+U667-V667,""))</f>
        <v>-215.559</v>
      </c>
      <c r="X667" s="10">
        <v>-215.559</v>
      </c>
      <c r="Y667" s="10">
        <v>-93.858000000000004</v>
      </c>
      <c r="Z667" s="10">
        <v>44.805999999999997</v>
      </c>
      <c r="AA667" s="10">
        <v>-48.484000000000002</v>
      </c>
      <c r="AB667" s="10">
        <v>-118.023</v>
      </c>
      <c r="AC667" s="8">
        <v>0</v>
      </c>
      <c r="AD667" s="8">
        <v>0</v>
      </c>
      <c r="AE667" s="8">
        <v>0</v>
      </c>
      <c r="AF667" s="10">
        <v>0</v>
      </c>
      <c r="AG667" s="8">
        <f>COUNTIF(Y667:AB667,"&gt;0")</f>
        <v>1</v>
      </c>
      <c r="AH667" s="10">
        <v>0</v>
      </c>
      <c r="AI667" s="10">
        <v>44.805999999999997</v>
      </c>
      <c r="AJ667" s="8" t="str">
        <f>IF(ISNUMBER(X667),IF(X667&gt;0,"+",IF(X667&lt;0,"−","0")),IF(ISNUMBER(W667),IF(W667&gt;0,"+",IF(W667&lt;0,"−","0")),"yok"))</f>
        <v>−</v>
      </c>
      <c r="AK667" s="10">
        <f>IF(AND(RIGHT(C667,2)&lt;&gt;"12",ISNUMBER(U667),ISNUMBER(V667)),U667-V667,"")</f>
        <v>-49.051999999999992</v>
      </c>
      <c r="AL667" s="11">
        <f>IF(AND(ISNUMBER(AK667),ISNUMBER(V667)),IF(V667&lt;&gt;0,AK667/ABS(V667),""),"")</f>
        <v>-0.26230875770717799</v>
      </c>
      <c r="AM667" s="8">
        <f>IF(ISNUMBER(AK667),IF(AK667&gt;1,1,0),"")</f>
        <v>0</v>
      </c>
      <c r="AN667" s="8">
        <f>IF(ISNUMBER(AK667),IF(AK667&gt;0.05*ABS(V667),1,0),"")</f>
        <v>0</v>
      </c>
      <c r="AO667" s="10">
        <v>-215.559</v>
      </c>
      <c r="AP667" s="10">
        <v>215.559</v>
      </c>
      <c r="AQ667" s="8" t="s">
        <v>204</v>
      </c>
      <c r="AR667" s="8">
        <v>0</v>
      </c>
      <c r="AS667" s="10">
        <v>1451.624</v>
      </c>
      <c r="AT667" s="10">
        <v>-1578.9549999999999</v>
      </c>
      <c r="AU667" s="8" t="s">
        <v>204</v>
      </c>
      <c r="AV667" s="10">
        <v>44.805999999999997</v>
      </c>
      <c r="AW667" s="11">
        <f>IF(AND(ISNUMBER(AV667),ISNUMBER(AT667)),IF(AT667&lt;&gt;0,AV667/ABS(AT667),""),"")</f>
        <v>2.8376996177851808E-2</v>
      </c>
      <c r="AX667" s="8">
        <v>0</v>
      </c>
      <c r="AY667" s="8">
        <v>0</v>
      </c>
      <c r="AZ667" s="10"/>
      <c r="BA667" s="8">
        <v>0</v>
      </c>
    </row>
    <row r="668" spans="1:53" x14ac:dyDescent="0.2">
      <c r="A668" s="8" t="s">
        <v>317</v>
      </c>
      <c r="B668" s="8" t="s">
        <v>83</v>
      </c>
      <c r="C668" s="8" t="s">
        <v>215</v>
      </c>
      <c r="D668" s="8">
        <v>1</v>
      </c>
      <c r="E668" s="8">
        <v>0</v>
      </c>
      <c r="F668" s="8">
        <f>SUM(G668:M668)</f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1</v>
      </c>
      <c r="Q668" s="8">
        <v>0</v>
      </c>
      <c r="R668" s="8">
        <v>0</v>
      </c>
      <c r="S668" s="8">
        <v>1</v>
      </c>
      <c r="T668" s="10">
        <v>-442.90300000000002</v>
      </c>
      <c r="U668" s="10">
        <v>-1368.8710000000001</v>
      </c>
      <c r="V668" s="10">
        <v>-1110.07</v>
      </c>
      <c r="W668" s="10">
        <f>IF(RIGHT(C668,2)="12",IF(ISNUMBER(T668),T668,""),IF(COUNT(T668,U668,V668)=3,T668+U668-V668,""))</f>
        <v>-701.70400000000018</v>
      </c>
      <c r="X668" s="10">
        <v>-701.70399999999995</v>
      </c>
      <c r="Y668" s="10">
        <v>-258.8</v>
      </c>
      <c r="Z668" s="10">
        <v>-406.166</v>
      </c>
      <c r="AA668" s="10">
        <v>822.77700000000004</v>
      </c>
      <c r="AB668" s="10">
        <v>-859.51400000000001</v>
      </c>
      <c r="AC668" s="8">
        <v>0</v>
      </c>
      <c r="AD668" s="8">
        <v>0</v>
      </c>
      <c r="AE668" s="8">
        <v>0</v>
      </c>
      <c r="AF668" s="10">
        <v>0</v>
      </c>
      <c r="AG668" s="8">
        <f>COUNTIF(Y668:AB668,"&gt;0")</f>
        <v>1</v>
      </c>
      <c r="AH668" s="10">
        <v>822.77700000000004</v>
      </c>
      <c r="AI668" s="10">
        <v>0</v>
      </c>
      <c r="AJ668" s="8" t="str">
        <f>IF(ISNUMBER(X668),IF(X668&gt;0,"+",IF(X668&lt;0,"−","0")),IF(ISNUMBER(W668),IF(W668&gt;0,"+",IF(W668&lt;0,"−","0")),"yok"))</f>
        <v>−</v>
      </c>
      <c r="AK668" s="10">
        <f>IF(AND(RIGHT(C668,2)&lt;&gt;"12",ISNUMBER(U668),ISNUMBER(V668)),U668-V668,"")</f>
        <v>-258.80100000000016</v>
      </c>
      <c r="AL668" s="11">
        <f>IF(AND(ISNUMBER(AK668),ISNUMBER(V668)),IF(V668&lt;&gt;0,AK668/ABS(V668),""),"")</f>
        <v>-0.23313935157242352</v>
      </c>
      <c r="AM668" s="8">
        <f>IF(ISNUMBER(AK668),IF(AK668&gt;1,1,0),"")</f>
        <v>0</v>
      </c>
      <c r="AN668" s="8">
        <f>IF(ISNUMBER(AK668),IF(AK668&gt;0.05*ABS(V668),1,0),"")</f>
        <v>0</v>
      </c>
      <c r="AO668" s="10">
        <v>-701.70399999999995</v>
      </c>
      <c r="AP668" s="10">
        <v>701.70399999999995</v>
      </c>
      <c r="AQ668" s="8" t="s">
        <v>204</v>
      </c>
      <c r="AR668" s="8">
        <v>0</v>
      </c>
      <c r="AS668" s="10">
        <v>2470.8139999999999</v>
      </c>
      <c r="AT668" s="10">
        <v>1508.28</v>
      </c>
      <c r="AU668" s="8" t="s">
        <v>212</v>
      </c>
      <c r="AV668" s="10">
        <v>822.77700000000004</v>
      </c>
      <c r="AW668" s="11">
        <f>IF(AND(ISNUMBER(AV668),ISNUMBER(AT668)),IF(AT668&lt;&gt;0,AV668/ABS(AT668),""),"")</f>
        <v>0.54550680245047345</v>
      </c>
      <c r="AX668" s="8">
        <v>0</v>
      </c>
      <c r="AY668" s="8">
        <v>0</v>
      </c>
      <c r="AZ668" s="10"/>
      <c r="BA668" s="8">
        <v>0</v>
      </c>
    </row>
    <row r="669" spans="1:53" x14ac:dyDescent="0.2">
      <c r="A669" s="8" t="s">
        <v>317</v>
      </c>
      <c r="B669" s="8" t="s">
        <v>83</v>
      </c>
      <c r="C669" s="8" t="s">
        <v>290</v>
      </c>
      <c r="D669" s="8">
        <v>1</v>
      </c>
      <c r="E669" s="8">
        <v>0</v>
      </c>
      <c r="F669" s="8">
        <f>SUM(G669:M669)</f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1</v>
      </c>
      <c r="Q669" s="8">
        <v>0</v>
      </c>
      <c r="R669" s="8">
        <v>0</v>
      </c>
      <c r="S669" s="8">
        <v>1</v>
      </c>
      <c r="T669" s="10">
        <v>-439.92500000000001</v>
      </c>
      <c r="U669" s="10"/>
      <c r="V669" s="10"/>
      <c r="W669" s="10">
        <f>IF(RIGHT(C669,2)="12",IF(ISNUMBER(T669),T669,""),IF(COUNT(T669,U669,V669)=3,T669+U669-V669,""))</f>
        <v>-439.92500000000001</v>
      </c>
      <c r="X669" s="10">
        <v>-439.92500000000001</v>
      </c>
      <c r="Y669" s="10">
        <v>-406.166</v>
      </c>
      <c r="Z669" s="10">
        <v>822.77700000000004</v>
      </c>
      <c r="AA669" s="10">
        <v>-859.51400000000001</v>
      </c>
      <c r="AB669" s="10">
        <v>2.9769999999999999</v>
      </c>
      <c r="AC669" s="8">
        <v>0</v>
      </c>
      <c r="AD669" s="8">
        <v>0</v>
      </c>
      <c r="AE669" s="8">
        <v>0</v>
      </c>
      <c r="AF669" s="10">
        <v>0</v>
      </c>
      <c r="AG669" s="8">
        <f>COUNTIF(Y669:AB669,"&gt;0")</f>
        <v>2</v>
      </c>
      <c r="AH669" s="10">
        <v>825.75400000000002</v>
      </c>
      <c r="AI669" s="10">
        <v>0</v>
      </c>
      <c r="AJ669" s="8" t="str">
        <f>IF(ISNUMBER(X669),IF(X669&gt;0,"+",IF(X669&lt;0,"−","0")),IF(ISNUMBER(W669),IF(W669&gt;0,"+",IF(W669&lt;0,"−","0")),"yok"))</f>
        <v>−</v>
      </c>
      <c r="AK669" s="10" t="str">
        <f>IF(AND(RIGHT(C669,2)&lt;&gt;"12",ISNUMBER(U669),ISNUMBER(V669)),U669-V669,"")</f>
        <v/>
      </c>
      <c r="AL669" s="11" t="str">
        <f>IF(AND(ISNUMBER(AK669),ISNUMBER(V669)),IF(V669&lt;&gt;0,AK669/ABS(V669),""),"")</f>
        <v/>
      </c>
      <c r="AM669" s="8" t="str">
        <f>IF(ISNUMBER(AK669),IF(AK669&gt;1,1,0),"")</f>
        <v/>
      </c>
      <c r="AN669" s="8" t="str">
        <f>IF(ISNUMBER(AK669),IF(AK669&gt;0.05*ABS(V669),1,0),"")</f>
        <v/>
      </c>
      <c r="AO669" s="10">
        <v>-439.92500000000001</v>
      </c>
      <c r="AP669" s="10">
        <v>439.92500000000001</v>
      </c>
      <c r="AQ669" s="8" t="s">
        <v>204</v>
      </c>
      <c r="AR669" s="8">
        <v>0</v>
      </c>
      <c r="AS669" s="10">
        <v>27.821000000000002</v>
      </c>
      <c r="AT669" s="10">
        <v>-764.53700000000003</v>
      </c>
      <c r="AU669" s="8" t="s">
        <v>204</v>
      </c>
      <c r="AV669" s="10">
        <v>822.77700000000004</v>
      </c>
      <c r="AW669" s="11">
        <f>IF(AND(ISNUMBER(AV669),ISNUMBER(AT669)),IF(AT669&lt;&gt;0,AV669/ABS(AT669),""),"")</f>
        <v>1.076176823358451</v>
      </c>
      <c r="AX669" s="8">
        <v>0</v>
      </c>
      <c r="AY669" s="8">
        <v>0</v>
      </c>
      <c r="AZ669" s="10"/>
      <c r="BA669" s="8">
        <v>0</v>
      </c>
    </row>
    <row r="670" spans="1:53" x14ac:dyDescent="0.2">
      <c r="A670" s="8" t="s">
        <v>582</v>
      </c>
      <c r="B670" s="8" t="s">
        <v>82</v>
      </c>
      <c r="C670" s="8" t="s">
        <v>203</v>
      </c>
      <c r="D670" s="8">
        <v>1</v>
      </c>
      <c r="E670" s="8">
        <v>0</v>
      </c>
      <c r="F670" s="8">
        <f>SUM(G670:M670)</f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1</v>
      </c>
      <c r="Q670" s="8">
        <v>0</v>
      </c>
      <c r="R670" s="8">
        <v>1</v>
      </c>
      <c r="S670" s="8">
        <v>0</v>
      </c>
      <c r="T670" s="10"/>
      <c r="U670" s="10">
        <v>-20.309999999999999</v>
      </c>
      <c r="V670" s="10">
        <v>-2.2090000000000001</v>
      </c>
      <c r="W670" s="10" t="str">
        <f>IF(RIGHT(C670,2)="12",IF(ISNUMBER(T670),T670,""),IF(COUNT(T670,U670,V670)=3,T670+U670-V670,""))</f>
        <v/>
      </c>
      <c r="X670" s="10"/>
      <c r="Y670" s="10">
        <v>7.6999999999999999E-2</v>
      </c>
      <c r="Z670" s="10">
        <v>-36.277000000000001</v>
      </c>
      <c r="AA670" s="10">
        <v>18.099</v>
      </c>
      <c r="AB670" s="10"/>
      <c r="AC670" s="8">
        <v>0</v>
      </c>
      <c r="AD670" s="8">
        <v>0</v>
      </c>
      <c r="AE670" s="8">
        <v>0</v>
      </c>
      <c r="AF670" s="10">
        <v>0</v>
      </c>
      <c r="AG670" s="8">
        <f>COUNTIF(Y670:AB670,"&gt;0")</f>
        <v>2</v>
      </c>
      <c r="AH670" s="10">
        <v>0</v>
      </c>
      <c r="AI670" s="10">
        <v>18.175999999999998</v>
      </c>
      <c r="AJ670" s="8" t="str">
        <f>IF(ISNUMBER(X670),IF(X670&gt;0,"+",IF(X670&lt;0,"−","0")),IF(ISNUMBER(W670),IF(W670&gt;0,"+",IF(W670&lt;0,"−","0")),"yok"))</f>
        <v>yok</v>
      </c>
      <c r="AK670" s="10">
        <f>IF(AND(RIGHT(C670,2)&lt;&gt;"12",ISNUMBER(U670),ISNUMBER(V670)),U670-V670,"")</f>
        <v>-18.100999999999999</v>
      </c>
      <c r="AL670" s="11">
        <f>IF(AND(ISNUMBER(AK670),ISNUMBER(V670)),IF(V670&lt;&gt;0,AK670/ABS(V670),""),"")</f>
        <v>-8.1942055228610222</v>
      </c>
      <c r="AM670" s="8">
        <f>IF(ISNUMBER(AK670),IF(AK670&gt;1,1,0),"")</f>
        <v>0</v>
      </c>
      <c r="AN670" s="8">
        <f>IF(ISNUMBER(AK670),IF(AK670&gt;0.05*ABS(V670),1,0),"")</f>
        <v>0</v>
      </c>
      <c r="AO670" s="10"/>
      <c r="AP670" s="10"/>
      <c r="AQ670" s="8" t="s">
        <v>207</v>
      </c>
      <c r="AR670" s="8">
        <v>0</v>
      </c>
      <c r="AS670" s="10">
        <v>-115.52500000000001</v>
      </c>
      <c r="AT670" s="10"/>
      <c r="AU670" s="8" t="s">
        <v>207</v>
      </c>
      <c r="AV670" s="10">
        <v>18.099</v>
      </c>
      <c r="AW670" s="11" t="str">
        <f>IF(AND(ISNUMBER(AV670),ISNUMBER(AT670)),IF(AT670&lt;&gt;0,AV670/ABS(AT670),""),"")</f>
        <v/>
      </c>
      <c r="AX670" s="8">
        <v>0</v>
      </c>
      <c r="AY670" s="8">
        <v>0</v>
      </c>
      <c r="AZ670" s="10"/>
      <c r="BA670" s="8">
        <v>0</v>
      </c>
    </row>
    <row r="671" spans="1:53" x14ac:dyDescent="0.2">
      <c r="A671" s="8" t="s">
        <v>582</v>
      </c>
      <c r="B671" s="8" t="s">
        <v>82</v>
      </c>
      <c r="C671" s="8" t="s">
        <v>205</v>
      </c>
      <c r="D671" s="8">
        <v>1</v>
      </c>
      <c r="E671" s="8">
        <v>0</v>
      </c>
      <c r="F671" s="8">
        <f>SUM(G671:M671)</f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1</v>
      </c>
      <c r="Q671" s="8">
        <v>0</v>
      </c>
      <c r="R671" s="8">
        <v>1</v>
      </c>
      <c r="S671" s="8">
        <v>0</v>
      </c>
      <c r="T671" s="10"/>
      <c r="U671" s="10">
        <v>-20.309999999999999</v>
      </c>
      <c r="V671" s="10">
        <v>-2.1320000000000001</v>
      </c>
      <c r="W671" s="10" t="str">
        <f>IF(RIGHT(C671,2)="12",IF(ISNUMBER(T671),T671,""),IF(COUNT(T671,U671,V671)=3,T671+U671-V671,""))</f>
        <v/>
      </c>
      <c r="X671" s="10"/>
      <c r="Y671" s="10">
        <v>-36.277000000000001</v>
      </c>
      <c r="Z671" s="10">
        <v>18.099</v>
      </c>
      <c r="AA671" s="10"/>
      <c r="AB671" s="10"/>
      <c r="AC671" s="8">
        <v>0</v>
      </c>
      <c r="AD671" s="8">
        <v>0</v>
      </c>
      <c r="AE671" s="8">
        <v>0</v>
      </c>
      <c r="AF671" s="10">
        <v>0</v>
      </c>
      <c r="AG671" s="8">
        <f>COUNTIF(Y671:AB671,"&gt;0")</f>
        <v>1</v>
      </c>
      <c r="AH671" s="10">
        <v>0</v>
      </c>
      <c r="AI671" s="10">
        <v>18.099</v>
      </c>
      <c r="AJ671" s="8" t="str">
        <f>IF(ISNUMBER(X671),IF(X671&gt;0,"+",IF(X671&lt;0,"−","0")),IF(ISNUMBER(W671),IF(W671&gt;0,"+",IF(W671&lt;0,"−","0")),"yok"))</f>
        <v>yok</v>
      </c>
      <c r="AK671" s="10">
        <f>IF(AND(RIGHT(C671,2)&lt;&gt;"12",ISNUMBER(U671),ISNUMBER(V671)),U671-V671,"")</f>
        <v>-18.177999999999997</v>
      </c>
      <c r="AL671" s="11">
        <f>IF(AND(ISNUMBER(AK671),ISNUMBER(V671)),IF(V671&lt;&gt;0,AK671/ABS(V671),""),"")</f>
        <v>-8.5262664165103175</v>
      </c>
      <c r="AM671" s="8">
        <f>IF(ISNUMBER(AK671),IF(AK671&gt;1,1,0),"")</f>
        <v>0</v>
      </c>
      <c r="AN671" s="8">
        <f>IF(ISNUMBER(AK671),IF(AK671&gt;0.05*ABS(V671),1,0),"")</f>
        <v>0</v>
      </c>
      <c r="AO671" s="10">
        <v>-14.575915999999999</v>
      </c>
      <c r="AP671" s="10">
        <v>14.575915999999999</v>
      </c>
      <c r="AQ671" s="8" t="s">
        <v>209</v>
      </c>
      <c r="AR671" s="8">
        <v>0</v>
      </c>
      <c r="AS671" s="10">
        <v>-94.230999999999995</v>
      </c>
      <c r="AT671" s="10">
        <v>-335.81491599999998</v>
      </c>
      <c r="AU671" s="8" t="s">
        <v>209</v>
      </c>
      <c r="AV671" s="10">
        <v>18.099</v>
      </c>
      <c r="AW671" s="11">
        <f>IF(AND(ISNUMBER(AV671),ISNUMBER(AT671)),IF(AT671&lt;&gt;0,AV671/ABS(AT671),""),"")</f>
        <v>5.3895759651128784E-2</v>
      </c>
      <c r="AX671" s="8">
        <v>0</v>
      </c>
      <c r="AY671" s="8">
        <v>0</v>
      </c>
      <c r="AZ671" s="10"/>
      <c r="BA671" s="8">
        <v>0</v>
      </c>
    </row>
    <row r="672" spans="1:53" x14ac:dyDescent="0.2">
      <c r="A672" s="8" t="s">
        <v>582</v>
      </c>
      <c r="B672" s="8" t="s">
        <v>82</v>
      </c>
      <c r="C672" s="8" t="s">
        <v>215</v>
      </c>
      <c r="D672" s="8">
        <v>1</v>
      </c>
      <c r="E672" s="8">
        <v>0</v>
      </c>
      <c r="F672" s="8">
        <f>SUM(G672:M672)</f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1</v>
      </c>
      <c r="O672" s="8">
        <v>0</v>
      </c>
      <c r="P672" s="8">
        <v>1</v>
      </c>
      <c r="Q672" s="8">
        <v>1</v>
      </c>
      <c r="R672" s="8">
        <v>1</v>
      </c>
      <c r="S672" s="8">
        <v>0</v>
      </c>
      <c r="T672" s="10">
        <v>-11.589</v>
      </c>
      <c r="U672" s="10">
        <v>-20.309999999999999</v>
      </c>
      <c r="V672" s="10">
        <v>-38.408999999999999</v>
      </c>
      <c r="W672" s="10">
        <f>IF(RIGHT(C672,2)="12",IF(ISNUMBER(T672),T672,""),IF(COUNT(T672,U672,V672)=3,T672+U672-V672,""))</f>
        <v>6.509999999999998</v>
      </c>
      <c r="X672" s="10">
        <v>6.5090000000000003</v>
      </c>
      <c r="Y672" s="10">
        <v>18.099</v>
      </c>
      <c r="Z672" s="10"/>
      <c r="AA672" s="10"/>
      <c r="AB672" s="10"/>
      <c r="AC672" s="8">
        <v>0</v>
      </c>
      <c r="AD672" s="8">
        <v>0</v>
      </c>
      <c r="AE672" s="8">
        <v>0</v>
      </c>
      <c r="AF672" s="10">
        <v>0</v>
      </c>
      <c r="AG672" s="8">
        <f>COUNTIF(Y672:AB672,"&gt;0")</f>
        <v>1</v>
      </c>
      <c r="AH672" s="10">
        <v>0</v>
      </c>
      <c r="AI672" s="10">
        <v>18.099</v>
      </c>
      <c r="AJ672" s="8" t="str">
        <f>IF(ISNUMBER(X672),IF(X672&gt;0,"+",IF(X672&lt;0,"−","0")),IF(ISNUMBER(W672),IF(W672&gt;0,"+",IF(W672&lt;0,"−","0")),"yok"))</f>
        <v>+</v>
      </c>
      <c r="AK672" s="10">
        <f>IF(AND(RIGHT(C672,2)&lt;&gt;"12",ISNUMBER(U672),ISNUMBER(V672)),U672-V672,"")</f>
        <v>18.099</v>
      </c>
      <c r="AL672" s="11">
        <f>IF(AND(ISNUMBER(AK672),ISNUMBER(V672)),IF(V672&lt;&gt;0,AK672/ABS(V672),""),"")</f>
        <v>0.4712176833554636</v>
      </c>
      <c r="AM672" s="8">
        <f>IF(ISNUMBER(AK672),IF(AK672&gt;1,1,0),"")</f>
        <v>1</v>
      </c>
      <c r="AN672" s="8">
        <f>IF(ISNUMBER(AK672),IF(AK672&gt;0.05*ABS(V672),1,0),"")</f>
        <v>1</v>
      </c>
      <c r="AO672" s="10"/>
      <c r="AP672" s="10"/>
      <c r="AQ672" s="8" t="s">
        <v>207</v>
      </c>
      <c r="AR672" s="8">
        <v>0</v>
      </c>
      <c r="AS672" s="10">
        <v>-705.56600000000003</v>
      </c>
      <c r="AT672" s="10"/>
      <c r="AU672" s="8" t="s">
        <v>207</v>
      </c>
      <c r="AV672" s="10">
        <v>18.099</v>
      </c>
      <c r="AW672" s="11" t="str">
        <f>IF(AND(ISNUMBER(AV672),ISNUMBER(AT672)),IF(AT672&lt;&gt;0,AV672/ABS(AT672),""),"")</f>
        <v/>
      </c>
      <c r="AX672" s="8">
        <v>0</v>
      </c>
      <c r="AY672" s="8">
        <v>1</v>
      </c>
      <c r="AZ672" s="10"/>
      <c r="BA672" s="8">
        <v>0</v>
      </c>
    </row>
    <row r="673" spans="1:53" x14ac:dyDescent="0.2">
      <c r="A673" s="8" t="s">
        <v>582</v>
      </c>
      <c r="B673" s="8" t="s">
        <v>82</v>
      </c>
      <c r="C673" s="8" t="s">
        <v>290</v>
      </c>
      <c r="D673" s="8">
        <v>1</v>
      </c>
      <c r="E673" s="8">
        <v>0</v>
      </c>
      <c r="F673" s="8">
        <f>SUM(G673:M673)</f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1</v>
      </c>
      <c r="Q673" s="8">
        <v>0</v>
      </c>
      <c r="R673" s="8">
        <v>0</v>
      </c>
      <c r="S673" s="8">
        <v>1</v>
      </c>
      <c r="T673" s="10">
        <v>-7.4470000000000001</v>
      </c>
      <c r="U673" s="10"/>
      <c r="V673" s="10"/>
      <c r="W673" s="10">
        <f>IF(RIGHT(C673,2)="12",IF(ISNUMBER(T673),T673,""),IF(COUNT(T673,U673,V673)=3,T673+U673-V673,""))</f>
        <v>-7.4470000000000001</v>
      </c>
      <c r="X673" s="10">
        <v>-7.4470000000000001</v>
      </c>
      <c r="Y673" s="10"/>
      <c r="Z673" s="10"/>
      <c r="AA673" s="10"/>
      <c r="AB673" s="10">
        <v>4.1420000000000003</v>
      </c>
      <c r="AC673" s="8">
        <v>0</v>
      </c>
      <c r="AD673" s="8">
        <v>0</v>
      </c>
      <c r="AE673" s="8">
        <v>0</v>
      </c>
      <c r="AF673" s="10">
        <v>0</v>
      </c>
      <c r="AG673" s="8">
        <f>COUNTIF(Y673:AB673,"&gt;0")</f>
        <v>1</v>
      </c>
      <c r="AH673" s="10">
        <v>4.1420000000000003</v>
      </c>
      <c r="AI673" s="10">
        <v>0</v>
      </c>
      <c r="AJ673" s="8" t="str">
        <f>IF(ISNUMBER(X673),IF(X673&gt;0,"+",IF(X673&lt;0,"−","0")),IF(ISNUMBER(W673),IF(W673&gt;0,"+",IF(W673&lt;0,"−","0")),"yok"))</f>
        <v>−</v>
      </c>
      <c r="AK673" s="10" t="str">
        <f>IF(AND(RIGHT(C673,2)&lt;&gt;"12",ISNUMBER(U673),ISNUMBER(V673)),U673-V673,"")</f>
        <v/>
      </c>
      <c r="AL673" s="11" t="str">
        <f>IF(AND(ISNUMBER(AK673),ISNUMBER(V673)),IF(V673&lt;&gt;0,AK673/ABS(V673),""),"")</f>
        <v/>
      </c>
      <c r="AM673" s="8" t="str">
        <f>IF(ISNUMBER(AK673),IF(AK673&gt;1,1,0),"")</f>
        <v/>
      </c>
      <c r="AN673" s="8" t="str">
        <f>IF(ISNUMBER(AK673),IF(AK673&gt;0.05*ABS(V673),1,0),"")</f>
        <v/>
      </c>
      <c r="AO673" s="10">
        <v>-7.4470000000000001</v>
      </c>
      <c r="AP673" s="10">
        <v>7.4470000000000001</v>
      </c>
      <c r="AQ673" s="8" t="s">
        <v>209</v>
      </c>
      <c r="AR673" s="8">
        <v>0</v>
      </c>
      <c r="AS673" s="10">
        <v>832.79</v>
      </c>
      <c r="AT673" s="10">
        <v>693.95699999999999</v>
      </c>
      <c r="AU673" s="8" t="s">
        <v>209</v>
      </c>
      <c r="AV673" s="10">
        <v>4.1420000000000003</v>
      </c>
      <c r="AW673" s="11">
        <f>IF(AND(ISNUMBER(AV673),ISNUMBER(AT673)),IF(AT673&lt;&gt;0,AV673/ABS(AT673),""),"")</f>
        <v>5.9686695285154565E-3</v>
      </c>
      <c r="AX673" s="8">
        <v>0</v>
      </c>
      <c r="AY673" s="8">
        <v>0</v>
      </c>
      <c r="AZ673" s="10"/>
      <c r="BA673" s="8">
        <v>0</v>
      </c>
    </row>
    <row r="674" spans="1:53" x14ac:dyDescent="0.2">
      <c r="A674" s="8" t="s">
        <v>582</v>
      </c>
      <c r="B674" s="8" t="s">
        <v>82</v>
      </c>
      <c r="C674" s="8" t="s">
        <v>208</v>
      </c>
      <c r="D674" s="8">
        <v>1</v>
      </c>
      <c r="E674" s="8">
        <v>0</v>
      </c>
      <c r="F674" s="8">
        <f>SUM(G674:M674)</f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1</v>
      </c>
      <c r="Q674" s="8">
        <v>0</v>
      </c>
      <c r="R674" s="8">
        <v>1</v>
      </c>
      <c r="S674" s="8">
        <v>0</v>
      </c>
      <c r="T674" s="10"/>
      <c r="U674" s="10">
        <v>-7.4470000000000001</v>
      </c>
      <c r="V674" s="10"/>
      <c r="W674" s="10" t="str">
        <f>IF(RIGHT(C674,2)="12",IF(ISNUMBER(T674),T674,""),IF(COUNT(T674,U674,V674)=3,T674+U674-V674,""))</f>
        <v/>
      </c>
      <c r="X674" s="10"/>
      <c r="Y674" s="10"/>
      <c r="Z674" s="10"/>
      <c r="AA674" s="10">
        <v>4.1420000000000003</v>
      </c>
      <c r="AB674" s="10"/>
      <c r="AC674" s="8">
        <v>0</v>
      </c>
      <c r="AD674" s="8">
        <v>0</v>
      </c>
      <c r="AE674" s="8">
        <v>0</v>
      </c>
      <c r="AF674" s="10">
        <v>0</v>
      </c>
      <c r="AG674" s="8">
        <f>COUNTIF(Y674:AB674,"&gt;0")</f>
        <v>1</v>
      </c>
      <c r="AH674" s="10">
        <v>0</v>
      </c>
      <c r="AI674" s="10">
        <v>4.1420000000000003</v>
      </c>
      <c r="AJ674" s="8" t="str">
        <f>IF(ISNUMBER(X674),IF(X674&gt;0,"+",IF(X674&lt;0,"−","0")),IF(ISNUMBER(W674),IF(W674&gt;0,"+",IF(W674&lt;0,"−","0")),"yok"))</f>
        <v>yok</v>
      </c>
      <c r="AK674" s="10" t="str">
        <f>IF(AND(RIGHT(C674,2)&lt;&gt;"12",ISNUMBER(U674),ISNUMBER(V674)),U674-V674,"")</f>
        <v/>
      </c>
      <c r="AL674" s="11" t="str">
        <f>IF(AND(ISNUMBER(AK674),ISNUMBER(V674)),IF(V674&lt;&gt;0,AK674/ABS(V674),""),"")</f>
        <v/>
      </c>
      <c r="AM674" s="8" t="str">
        <f>IF(ISNUMBER(AK674),IF(AK674&gt;1,1,0),"")</f>
        <v/>
      </c>
      <c r="AN674" s="8" t="str">
        <f>IF(ISNUMBER(AK674),IF(AK674&gt;0.05*ABS(V674),1,0),"")</f>
        <v/>
      </c>
      <c r="AO674" s="10">
        <v>-7.4470000000000001</v>
      </c>
      <c r="AP674" s="10">
        <v>7.4470000000000001</v>
      </c>
      <c r="AQ674" s="8" t="s">
        <v>209</v>
      </c>
      <c r="AR674" s="8">
        <v>0</v>
      </c>
      <c r="AS674" s="10">
        <v>1102.982</v>
      </c>
      <c r="AT674" s="10">
        <v>972.99699999999996</v>
      </c>
      <c r="AU674" s="8" t="s">
        <v>209</v>
      </c>
      <c r="AV674" s="10">
        <v>4.1420000000000003</v>
      </c>
      <c r="AW674" s="11">
        <f>IF(AND(ISNUMBER(AV674),ISNUMBER(AT674)),IF(AT674&lt;&gt;0,AV674/ABS(AT674),""),"")</f>
        <v>4.256950432529597E-3</v>
      </c>
      <c r="AX674" s="8">
        <v>0</v>
      </c>
      <c r="AY674" s="8">
        <v>0</v>
      </c>
      <c r="AZ674" s="10"/>
      <c r="BA674" s="8">
        <v>0</v>
      </c>
    </row>
    <row r="675" spans="1:53" x14ac:dyDescent="0.2">
      <c r="A675" s="8" t="s">
        <v>582</v>
      </c>
      <c r="B675" s="8" t="s">
        <v>82</v>
      </c>
      <c r="C675" s="8" t="s">
        <v>210</v>
      </c>
      <c r="D675" s="8">
        <v>1</v>
      </c>
      <c r="E675" s="8">
        <v>0</v>
      </c>
      <c r="F675" s="8">
        <f>SUM(G675:M675)</f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1</v>
      </c>
      <c r="Q675" s="8">
        <v>0</v>
      </c>
      <c r="R675" s="8">
        <v>1</v>
      </c>
      <c r="S675" s="8">
        <v>0</v>
      </c>
      <c r="T675" s="10"/>
      <c r="U675" s="10">
        <v>-7.4470000000000001</v>
      </c>
      <c r="V675" s="10"/>
      <c r="W675" s="10" t="str">
        <f>IF(RIGHT(C675,2)="12",IF(ISNUMBER(T675),T675,""),IF(COUNT(T675,U675,V675)=3,T675+U675-V675,""))</f>
        <v/>
      </c>
      <c r="X675" s="10"/>
      <c r="Y675" s="10"/>
      <c r="Z675" s="10">
        <v>4.1420000000000003</v>
      </c>
      <c r="AA675" s="10"/>
      <c r="AB675" s="10"/>
      <c r="AC675" s="8">
        <v>0</v>
      </c>
      <c r="AD675" s="8">
        <v>0</v>
      </c>
      <c r="AE675" s="8">
        <v>0</v>
      </c>
      <c r="AF675" s="10">
        <v>0</v>
      </c>
      <c r="AG675" s="8">
        <f>COUNTIF(Y675:AB675,"&gt;0")</f>
        <v>1</v>
      </c>
      <c r="AH675" s="10">
        <v>0</v>
      </c>
      <c r="AI675" s="10">
        <v>4.1420000000000003</v>
      </c>
      <c r="AJ675" s="8" t="str">
        <f>IF(ISNUMBER(X675),IF(X675&gt;0,"+",IF(X675&lt;0,"−","0")),IF(ISNUMBER(W675),IF(W675&gt;0,"+",IF(W675&lt;0,"−","0")),"yok"))</f>
        <v>yok</v>
      </c>
      <c r="AK675" s="10" t="str">
        <f>IF(AND(RIGHT(C675,2)&lt;&gt;"12",ISNUMBER(U675),ISNUMBER(V675)),U675-V675,"")</f>
        <v/>
      </c>
      <c r="AL675" s="11" t="str">
        <f>IF(AND(ISNUMBER(AK675),ISNUMBER(V675)),IF(V675&lt;&gt;0,AK675/ABS(V675),""),"")</f>
        <v/>
      </c>
      <c r="AM675" s="8" t="str">
        <f>IF(ISNUMBER(AK675),IF(AK675&gt;1,1,0),"")</f>
        <v/>
      </c>
      <c r="AN675" s="8" t="str">
        <f>IF(ISNUMBER(AK675),IF(AK675&gt;0.05*ABS(V675),1,0),"")</f>
        <v/>
      </c>
      <c r="AO675" s="10">
        <v>-7.4470000000000001</v>
      </c>
      <c r="AP675" s="10">
        <v>7.4470000000000001</v>
      </c>
      <c r="AQ675" s="8" t="s">
        <v>209</v>
      </c>
      <c r="AR675" s="8">
        <v>0</v>
      </c>
      <c r="AS675" s="10">
        <v>1134.93</v>
      </c>
      <c r="AT675" s="10">
        <v>1036.616</v>
      </c>
      <c r="AU675" s="8" t="s">
        <v>209</v>
      </c>
      <c r="AV675" s="10">
        <v>4.1420000000000003</v>
      </c>
      <c r="AW675" s="11">
        <f>IF(AND(ISNUMBER(AV675),ISNUMBER(AT675)),IF(AT675&lt;&gt;0,AV675/ABS(AT675),""),"")</f>
        <v>3.9956936802055922E-3</v>
      </c>
      <c r="AX675" s="8">
        <v>0</v>
      </c>
      <c r="AY675" s="8">
        <v>0</v>
      </c>
      <c r="AZ675" s="10"/>
      <c r="BA675" s="8">
        <v>0</v>
      </c>
    </row>
    <row r="676" spans="1:53" x14ac:dyDescent="0.2">
      <c r="A676" s="8" t="s">
        <v>322</v>
      </c>
      <c r="B676" s="8" t="s">
        <v>83</v>
      </c>
      <c r="C676" s="8" t="s">
        <v>215</v>
      </c>
      <c r="D676" s="8">
        <v>1</v>
      </c>
      <c r="E676" s="8">
        <v>0</v>
      </c>
      <c r="F676" s="8">
        <f>SUM(G676:M676)</f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1</v>
      </c>
      <c r="Q676" s="8">
        <v>0</v>
      </c>
      <c r="R676" s="8">
        <v>0</v>
      </c>
      <c r="S676" s="8">
        <v>1</v>
      </c>
      <c r="T676" s="10">
        <v>-4.1950000000000003</v>
      </c>
      <c r="U676" s="10">
        <v>-208.81299999999999</v>
      </c>
      <c r="V676" s="10">
        <v>-71.400999999999996</v>
      </c>
      <c r="W676" s="10">
        <f>IF(RIGHT(C676,2)="12",IF(ISNUMBER(T676),T676,""),IF(COUNT(T676,U676,V676)=3,T676+U676-V676,""))</f>
        <v>-141.60699999999997</v>
      </c>
      <c r="X676" s="10">
        <v>-141.607</v>
      </c>
      <c r="Y676" s="10">
        <v>-137.411</v>
      </c>
      <c r="Z676" s="10">
        <v>-1.887</v>
      </c>
      <c r="AA676" s="10">
        <v>-16.715</v>
      </c>
      <c r="AB676" s="10">
        <v>14.407</v>
      </c>
      <c r="AC676" s="8">
        <v>0</v>
      </c>
      <c r="AD676" s="8">
        <v>0</v>
      </c>
      <c r="AE676" s="8">
        <v>0</v>
      </c>
      <c r="AF676" s="10">
        <v>0</v>
      </c>
      <c r="AG676" s="8">
        <f>COUNTIF(Y676:AB676,"&gt;0")</f>
        <v>1</v>
      </c>
      <c r="AH676" s="10">
        <v>14.407</v>
      </c>
      <c r="AI676" s="10">
        <v>0</v>
      </c>
      <c r="AJ676" s="8" t="str">
        <f>IF(ISNUMBER(X676),IF(X676&gt;0,"+",IF(X676&lt;0,"−","0")),IF(ISNUMBER(W676),IF(W676&gt;0,"+",IF(W676&lt;0,"−","0")),"yok"))</f>
        <v>−</v>
      </c>
      <c r="AK676" s="10">
        <f>IF(AND(RIGHT(C676,2)&lt;&gt;"12",ISNUMBER(U676),ISNUMBER(V676)),U676-V676,"")</f>
        <v>-137.41199999999998</v>
      </c>
      <c r="AL676" s="11">
        <f>IF(AND(ISNUMBER(AK676),ISNUMBER(V676)),IF(V676&lt;&gt;0,AK676/ABS(V676),""),"")</f>
        <v>-1.92451086119242</v>
      </c>
      <c r="AM676" s="8">
        <f>IF(ISNUMBER(AK676),IF(AK676&gt;1,1,0),"")</f>
        <v>0</v>
      </c>
      <c r="AN676" s="8">
        <f>IF(ISNUMBER(AK676),IF(AK676&gt;0.05*ABS(V676),1,0),"")</f>
        <v>0</v>
      </c>
      <c r="AO676" s="10">
        <v>-141.607</v>
      </c>
      <c r="AP676" s="10">
        <v>141.607</v>
      </c>
      <c r="AQ676" s="8" t="s">
        <v>204</v>
      </c>
      <c r="AR676" s="8">
        <v>0</v>
      </c>
      <c r="AS676" s="10">
        <v>427.798</v>
      </c>
      <c r="AT676" s="10"/>
      <c r="AU676" s="8" t="s">
        <v>207</v>
      </c>
      <c r="AV676" s="10">
        <v>14.407</v>
      </c>
      <c r="AW676" s="11" t="str">
        <f>IF(AND(ISNUMBER(AV676),ISNUMBER(AT676)),IF(AT676&lt;&gt;0,AV676/ABS(AT676),""),"")</f>
        <v/>
      </c>
      <c r="AX676" s="8">
        <v>0</v>
      </c>
      <c r="AY676" s="8">
        <v>0</v>
      </c>
      <c r="AZ676" s="10"/>
      <c r="BA676" s="8">
        <v>0</v>
      </c>
    </row>
    <row r="677" spans="1:53" x14ac:dyDescent="0.2">
      <c r="A677" s="8" t="s">
        <v>322</v>
      </c>
      <c r="B677" s="8" t="s">
        <v>83</v>
      </c>
      <c r="C677" s="8" t="s">
        <v>290</v>
      </c>
      <c r="D677" s="8">
        <v>1</v>
      </c>
      <c r="E677" s="8">
        <v>0</v>
      </c>
      <c r="F677" s="8">
        <f>SUM(G677:M677)</f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1</v>
      </c>
      <c r="Q677" s="8">
        <v>0</v>
      </c>
      <c r="R677" s="8">
        <v>0</v>
      </c>
      <c r="S677" s="8">
        <v>1</v>
      </c>
      <c r="T677" s="10">
        <v>-34.319000000000003</v>
      </c>
      <c r="U677" s="10"/>
      <c r="V677" s="10"/>
      <c r="W677" s="10">
        <f>IF(RIGHT(C677,2)="12",IF(ISNUMBER(T677),T677,""),IF(COUNT(T677,U677,V677)=3,T677+U677-V677,""))</f>
        <v>-34.319000000000003</v>
      </c>
      <c r="X677" s="10">
        <v>-34.319000000000003</v>
      </c>
      <c r="Y677" s="10">
        <v>-1.887</v>
      </c>
      <c r="Z677" s="10">
        <v>-16.715</v>
      </c>
      <c r="AA677" s="10">
        <v>14.407</v>
      </c>
      <c r="AB677" s="10">
        <v>-30.123999999999999</v>
      </c>
      <c r="AC677" s="8">
        <v>0</v>
      </c>
      <c r="AD677" s="8">
        <v>0</v>
      </c>
      <c r="AE677" s="8">
        <v>0</v>
      </c>
      <c r="AF677" s="10">
        <v>0</v>
      </c>
      <c r="AG677" s="8">
        <f>COUNTIF(Y677:AB677,"&gt;0")</f>
        <v>1</v>
      </c>
      <c r="AH677" s="10">
        <v>14.407</v>
      </c>
      <c r="AI677" s="10">
        <v>0</v>
      </c>
      <c r="AJ677" s="8" t="str">
        <f>IF(ISNUMBER(X677),IF(X677&gt;0,"+",IF(X677&lt;0,"−","0")),IF(ISNUMBER(W677),IF(W677&gt;0,"+",IF(W677&lt;0,"−","0")),"yok"))</f>
        <v>−</v>
      </c>
      <c r="AK677" s="10" t="str">
        <f>IF(AND(RIGHT(C677,2)&lt;&gt;"12",ISNUMBER(U677),ISNUMBER(V677)),U677-V677,"")</f>
        <v/>
      </c>
      <c r="AL677" s="11" t="str">
        <f>IF(AND(ISNUMBER(AK677),ISNUMBER(V677)),IF(V677&lt;&gt;0,AK677/ABS(V677),""),"")</f>
        <v/>
      </c>
      <c r="AM677" s="8" t="str">
        <f>IF(ISNUMBER(AK677),IF(AK677&gt;1,1,0),"")</f>
        <v/>
      </c>
      <c r="AN677" s="8" t="str">
        <f>IF(ISNUMBER(AK677),IF(AK677&gt;0.05*ABS(V677),1,0),"")</f>
        <v/>
      </c>
      <c r="AO677" s="10">
        <v>-34.32</v>
      </c>
      <c r="AP677" s="10">
        <v>34.32</v>
      </c>
      <c r="AQ677" s="8" t="s">
        <v>204</v>
      </c>
      <c r="AR677" s="8">
        <v>0</v>
      </c>
      <c r="AS677" s="10">
        <v>344.96199999999999</v>
      </c>
      <c r="AT677" s="10">
        <v>310.642</v>
      </c>
      <c r="AU677" s="8" t="s">
        <v>204</v>
      </c>
      <c r="AV677" s="10">
        <v>14.407</v>
      </c>
      <c r="AW677" s="11">
        <f>IF(AND(ISNUMBER(AV677),ISNUMBER(AT677)),IF(AT677&lt;&gt;0,AV677/ABS(AT677),""),"")</f>
        <v>4.6378145904288536E-2</v>
      </c>
      <c r="AX677" s="8">
        <v>0</v>
      </c>
      <c r="AY677" s="8">
        <v>0</v>
      </c>
      <c r="AZ677" s="10"/>
      <c r="BA677" s="8">
        <v>0</v>
      </c>
    </row>
    <row r="678" spans="1:53" x14ac:dyDescent="0.2">
      <c r="A678" s="8" t="s">
        <v>323</v>
      </c>
      <c r="B678" s="8" t="s">
        <v>83</v>
      </c>
      <c r="C678" s="8" t="s">
        <v>210</v>
      </c>
      <c r="D678" s="8">
        <v>1</v>
      </c>
      <c r="E678" s="8">
        <v>0</v>
      </c>
      <c r="F678" s="8">
        <f>SUM(G678:M678)</f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1</v>
      </c>
      <c r="Q678" s="8">
        <v>0</v>
      </c>
      <c r="R678" s="8">
        <v>0</v>
      </c>
      <c r="S678" s="8">
        <v>1</v>
      </c>
      <c r="T678" s="10">
        <v>-41.103999999999999</v>
      </c>
      <c r="U678" s="10">
        <v>-151.548</v>
      </c>
      <c r="V678" s="10">
        <v>-51.494</v>
      </c>
      <c r="W678" s="10">
        <f>IF(RIGHT(C678,2)="12",IF(ISNUMBER(T678),T678,""),IF(COUNT(T678,U678,V678)=3,T678+U678-V678,""))</f>
        <v>-141.15799999999999</v>
      </c>
      <c r="X678" s="10">
        <v>-141.15799999999999</v>
      </c>
      <c r="Y678" s="10">
        <v>-36.055</v>
      </c>
      <c r="Z678" s="10">
        <v>-63.997999999999998</v>
      </c>
      <c r="AA678" s="10">
        <v>-46.518000000000001</v>
      </c>
      <c r="AB678" s="10">
        <v>5.4139999999999997</v>
      </c>
      <c r="AC678" s="8">
        <v>0</v>
      </c>
      <c r="AD678" s="8">
        <v>0</v>
      </c>
      <c r="AE678" s="8">
        <v>0</v>
      </c>
      <c r="AF678" s="10">
        <v>0</v>
      </c>
      <c r="AG678" s="8">
        <f>COUNTIF(Y678:AB678,"&gt;0")</f>
        <v>1</v>
      </c>
      <c r="AH678" s="10">
        <v>5.4139999999999997</v>
      </c>
      <c r="AI678" s="10">
        <v>0</v>
      </c>
      <c r="AJ678" s="8" t="str">
        <f>IF(ISNUMBER(X678),IF(X678&gt;0,"+",IF(X678&lt;0,"−","0")),IF(ISNUMBER(W678),IF(W678&gt;0,"+",IF(W678&lt;0,"−","0")),"yok"))</f>
        <v>−</v>
      </c>
      <c r="AK678" s="10">
        <f>IF(AND(RIGHT(C678,2)&lt;&gt;"12",ISNUMBER(U678),ISNUMBER(V678)),U678-V678,"")</f>
        <v>-100.054</v>
      </c>
      <c r="AL678" s="11">
        <f>IF(AND(ISNUMBER(AK678),ISNUMBER(V678)),IF(V678&lt;&gt;0,AK678/ABS(V678),""),"")</f>
        <v>-1.943022488056861</v>
      </c>
      <c r="AM678" s="8">
        <f>IF(ISNUMBER(AK678),IF(AK678&gt;1,1,0),"")</f>
        <v>0</v>
      </c>
      <c r="AN678" s="8">
        <f>IF(ISNUMBER(AK678),IF(AK678&gt;0.05*ABS(V678),1,0),"")</f>
        <v>0</v>
      </c>
      <c r="AO678" s="10">
        <v>-141.15700000000001</v>
      </c>
      <c r="AP678" s="10">
        <v>141.15700000000001</v>
      </c>
      <c r="AQ678" s="8" t="s">
        <v>204</v>
      </c>
      <c r="AR678" s="8">
        <v>0</v>
      </c>
      <c r="AS678" s="10">
        <v>8.6180000000000003</v>
      </c>
      <c r="AT678" s="10">
        <v>-132.53899999999999</v>
      </c>
      <c r="AU678" s="8" t="s">
        <v>204</v>
      </c>
      <c r="AV678" s="10">
        <v>5.4139999999999997</v>
      </c>
      <c r="AW678" s="11">
        <f>IF(AND(ISNUMBER(AV678),ISNUMBER(AT678)),IF(AT678&lt;&gt;0,AV678/ABS(AT678),""),"")</f>
        <v>4.0848354069368265E-2</v>
      </c>
      <c r="AX678" s="8">
        <v>0</v>
      </c>
      <c r="AY678" s="8">
        <v>0</v>
      </c>
      <c r="AZ678" s="10"/>
      <c r="BA678" s="8">
        <v>0</v>
      </c>
    </row>
    <row r="679" spans="1:53" x14ac:dyDescent="0.2">
      <c r="A679" s="8" t="s">
        <v>324</v>
      </c>
      <c r="B679" s="8" t="s">
        <v>82</v>
      </c>
      <c r="C679" s="8" t="s">
        <v>203</v>
      </c>
      <c r="D679" s="8">
        <v>1</v>
      </c>
      <c r="E679" s="8">
        <v>0</v>
      </c>
      <c r="F679" s="8">
        <f>SUM(G679:M679)</f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1</v>
      </c>
      <c r="Q679" s="8">
        <v>0</v>
      </c>
      <c r="R679" s="8">
        <v>1</v>
      </c>
      <c r="S679" s="8">
        <v>0</v>
      </c>
      <c r="T679" s="10">
        <v>-327.37299999999999</v>
      </c>
      <c r="U679" s="10">
        <v>-451.28399999999999</v>
      </c>
      <c r="V679" s="10">
        <v>-81.537000000000006</v>
      </c>
      <c r="W679" s="10">
        <f>IF(RIGHT(C679,2)="12",IF(ISNUMBER(T679),T679,""),IF(COUNT(T679,U679,V679)=3,T679+U679-V679,""))</f>
        <v>-697.11999999999989</v>
      </c>
      <c r="X679" s="10">
        <v>-697.11900000000003</v>
      </c>
      <c r="Y679" s="10">
        <v>-825.85199999999998</v>
      </c>
      <c r="Z679" s="10">
        <v>106.15300000000001</v>
      </c>
      <c r="AA679" s="10">
        <v>349.952</v>
      </c>
      <c r="AB679" s="10">
        <v>-327.37299999999999</v>
      </c>
      <c r="AC679" s="8">
        <v>0</v>
      </c>
      <c r="AD679" s="8">
        <v>0</v>
      </c>
      <c r="AE679" s="8">
        <v>0</v>
      </c>
      <c r="AF679" s="10">
        <v>0</v>
      </c>
      <c r="AG679" s="8">
        <f>COUNTIF(Y679:AB679,"&gt;0")</f>
        <v>2</v>
      </c>
      <c r="AH679" s="10">
        <v>0</v>
      </c>
      <c r="AI679" s="10">
        <v>456.10500000000002</v>
      </c>
      <c r="AJ679" s="8" t="str">
        <f>IF(ISNUMBER(X679),IF(X679&gt;0,"+",IF(X679&lt;0,"−","0")),IF(ISNUMBER(W679),IF(W679&gt;0,"+",IF(W679&lt;0,"−","0")),"yok"))</f>
        <v>−</v>
      </c>
      <c r="AK679" s="10">
        <f>IF(AND(RIGHT(C679,2)&lt;&gt;"12",ISNUMBER(U679),ISNUMBER(V679)),U679-V679,"")</f>
        <v>-369.74699999999996</v>
      </c>
      <c r="AL679" s="11">
        <f>IF(AND(ISNUMBER(AK679),ISNUMBER(V679)),IF(V679&lt;&gt;0,AK679/ABS(V679),""),"")</f>
        <v>-4.5347143014827616</v>
      </c>
      <c r="AM679" s="8">
        <f>IF(ISNUMBER(AK679),IF(AK679&gt;1,1,0),"")</f>
        <v>0</v>
      </c>
      <c r="AN679" s="8">
        <f>IF(ISNUMBER(AK679),IF(AK679&gt;0.05*ABS(V679),1,0),"")</f>
        <v>0</v>
      </c>
      <c r="AO679" s="10">
        <v>-697.11900000000003</v>
      </c>
      <c r="AP679" s="10">
        <v>697.11900000000003</v>
      </c>
      <c r="AQ679" s="8" t="s">
        <v>204</v>
      </c>
      <c r="AR679" s="8">
        <v>0</v>
      </c>
      <c r="AS679" s="10">
        <v>30865.300999999999</v>
      </c>
      <c r="AT679" s="10"/>
      <c r="AU679" s="8" t="s">
        <v>207</v>
      </c>
      <c r="AV679" s="10">
        <v>349.952</v>
      </c>
      <c r="AW679" s="11" t="str">
        <f>IF(AND(ISNUMBER(AV679),ISNUMBER(AT679)),IF(AT679&lt;&gt;0,AV679/ABS(AT679),""),"")</f>
        <v/>
      </c>
      <c r="AX679" s="8">
        <v>0</v>
      </c>
      <c r="AY679" s="8">
        <v>0</v>
      </c>
      <c r="AZ679" s="10"/>
      <c r="BA679" s="8">
        <v>0</v>
      </c>
    </row>
    <row r="680" spans="1:53" x14ac:dyDescent="0.2">
      <c r="A680" s="8" t="s">
        <v>583</v>
      </c>
      <c r="B680" s="8" t="s">
        <v>82</v>
      </c>
      <c r="C680" s="8" t="s">
        <v>210</v>
      </c>
      <c r="D680" s="8">
        <v>1</v>
      </c>
      <c r="E680" s="8">
        <v>0</v>
      </c>
      <c r="F680" s="8">
        <f>SUM(G680:M680)</f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1</v>
      </c>
      <c r="Q680" s="8">
        <v>0</v>
      </c>
      <c r="R680" s="8">
        <v>0</v>
      </c>
      <c r="S680" s="8">
        <v>1</v>
      </c>
      <c r="T680" s="10">
        <v>-204.77099999999999</v>
      </c>
      <c r="U680" s="10">
        <v>-376.31900000000002</v>
      </c>
      <c r="V680" s="10">
        <v>-212.523</v>
      </c>
      <c r="W680" s="10">
        <f>IF(RIGHT(C680,2)="12",IF(ISNUMBER(T680),T680,""),IF(COUNT(T680,U680,V680)=3,T680+U680-V680,""))</f>
        <v>-368.56700000000001</v>
      </c>
      <c r="X680" s="10">
        <v>-368.56700000000001</v>
      </c>
      <c r="Y680" s="10">
        <v>0</v>
      </c>
      <c r="Z680" s="10">
        <v>-163.79599999999999</v>
      </c>
      <c r="AA680" s="10">
        <v>-376.31900000000002</v>
      </c>
      <c r="AB680" s="10">
        <v>171.548</v>
      </c>
      <c r="AC680" s="8">
        <v>0</v>
      </c>
      <c r="AD680" s="8">
        <v>0</v>
      </c>
      <c r="AE680" s="8">
        <v>0</v>
      </c>
      <c r="AF680" s="10">
        <v>0</v>
      </c>
      <c r="AG680" s="8">
        <f>COUNTIF(Y680:AB680,"&gt;0")</f>
        <v>1</v>
      </c>
      <c r="AH680" s="10">
        <v>171.548</v>
      </c>
      <c r="AI680" s="10">
        <v>0</v>
      </c>
      <c r="AJ680" s="8" t="str">
        <f>IF(ISNUMBER(X680),IF(X680&gt;0,"+",IF(X680&lt;0,"−","0")),IF(ISNUMBER(W680),IF(W680&gt;0,"+",IF(W680&lt;0,"−","0")),"yok"))</f>
        <v>−</v>
      </c>
      <c r="AK680" s="10">
        <f>IF(AND(RIGHT(C680,2)&lt;&gt;"12",ISNUMBER(U680),ISNUMBER(V680)),U680-V680,"")</f>
        <v>-163.79600000000002</v>
      </c>
      <c r="AL680" s="11">
        <f>IF(AND(ISNUMBER(AK680),ISNUMBER(V680)),IF(V680&lt;&gt;0,AK680/ABS(V680),""),"")</f>
        <v>-0.77072128663721118</v>
      </c>
      <c r="AM680" s="8">
        <f>IF(ISNUMBER(AK680),IF(AK680&gt;1,1,0),"")</f>
        <v>0</v>
      </c>
      <c r="AN680" s="8">
        <f>IF(ISNUMBER(AK680),IF(AK680&gt;0.05*ABS(V680),1,0),"")</f>
        <v>0</v>
      </c>
      <c r="AO680" s="10">
        <v>-368.56799999999998</v>
      </c>
      <c r="AP680" s="10">
        <v>368.56799999999998</v>
      </c>
      <c r="AQ680" s="8" t="s">
        <v>204</v>
      </c>
      <c r="AR680" s="8">
        <v>0</v>
      </c>
      <c r="AS680" s="10">
        <v>1636.4090000000001</v>
      </c>
      <c r="AT680" s="10">
        <v>360.142</v>
      </c>
      <c r="AU680" s="8" t="s">
        <v>204</v>
      </c>
      <c r="AV680" s="10">
        <v>171.548</v>
      </c>
      <c r="AW680" s="11">
        <f>IF(AND(ISNUMBER(AV680),ISNUMBER(AT680)),IF(AT680&lt;&gt;0,AV680/ABS(AT680),""),"")</f>
        <v>0.47633433479016613</v>
      </c>
      <c r="AX680" s="8">
        <v>0</v>
      </c>
      <c r="AY680" s="8">
        <v>0</v>
      </c>
      <c r="AZ680" s="10"/>
      <c r="BA680" s="8">
        <v>0</v>
      </c>
    </row>
    <row r="681" spans="1:53" x14ac:dyDescent="0.2">
      <c r="A681" s="8" t="s">
        <v>584</v>
      </c>
      <c r="B681" s="8" t="s">
        <v>84</v>
      </c>
      <c r="C681" s="8" t="s">
        <v>203</v>
      </c>
      <c r="D681" s="8">
        <v>1</v>
      </c>
      <c r="E681" s="8">
        <v>0</v>
      </c>
      <c r="F681" s="8">
        <f>SUM(G681:M681)</f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1</v>
      </c>
      <c r="P681" s="8">
        <v>0</v>
      </c>
      <c r="Q681" s="8">
        <v>0</v>
      </c>
      <c r="R681" s="8">
        <v>0</v>
      </c>
      <c r="S681" s="8">
        <v>0</v>
      </c>
      <c r="T681" s="10"/>
      <c r="U681" s="10">
        <v>77.222999999999999</v>
      </c>
      <c r="V681" s="10"/>
      <c r="W681" s="10" t="str">
        <f>IF(RIGHT(C681,2)="12",IF(ISNUMBER(T681),T681,""),IF(COUNT(T681,U681,V681)=3,T681+U681-V681,""))</f>
        <v/>
      </c>
      <c r="X681" s="10"/>
      <c r="Y681" s="10"/>
      <c r="Z681" s="10"/>
      <c r="AA681" s="10"/>
      <c r="AB681" s="10"/>
      <c r="AC681" s="8">
        <v>0</v>
      </c>
      <c r="AD681" s="8">
        <v>1</v>
      </c>
      <c r="AE681" s="8">
        <v>0</v>
      </c>
      <c r="AF681" s="10">
        <v>77.222999999999999</v>
      </c>
      <c r="AG681" s="8">
        <f>COUNTIF(Y681:AB681,"&gt;0")</f>
        <v>0</v>
      </c>
      <c r="AH681" s="10">
        <v>0</v>
      </c>
      <c r="AI681" s="10">
        <v>0</v>
      </c>
      <c r="AJ681" s="8" t="str">
        <f>IF(ISNUMBER(X681),IF(X681&gt;0,"+",IF(X681&lt;0,"−","0")),IF(ISNUMBER(W681),IF(W681&gt;0,"+",IF(W681&lt;0,"−","0")),"yok"))</f>
        <v>yok</v>
      </c>
      <c r="AK681" s="10" t="str">
        <f>IF(AND(RIGHT(C681,2)&lt;&gt;"12",ISNUMBER(U681),ISNUMBER(V681)),U681-V681,"")</f>
        <v/>
      </c>
      <c r="AL681" s="11" t="str">
        <f>IF(AND(ISNUMBER(AK681),ISNUMBER(V681)),IF(V681&lt;&gt;0,AK681/ABS(V681),""),"")</f>
        <v/>
      </c>
      <c r="AM681" s="8" t="str">
        <f>IF(ISNUMBER(AK681),IF(AK681&gt;1,1,0),"")</f>
        <v/>
      </c>
      <c r="AN681" s="8" t="str">
        <f>IF(ISNUMBER(AK681),IF(AK681&gt;0.05*ABS(V681),1,0),"")</f>
        <v/>
      </c>
      <c r="AO681" s="10"/>
      <c r="AP681" s="10"/>
      <c r="AQ681" s="8" t="s">
        <v>207</v>
      </c>
      <c r="AR681" s="8">
        <v>0</v>
      </c>
      <c r="AS681" s="10">
        <v>350.95800000000003</v>
      </c>
      <c r="AT681" s="10"/>
      <c r="AU681" s="8" t="s">
        <v>207</v>
      </c>
      <c r="AV681" s="10">
        <v>77.222999999999999</v>
      </c>
      <c r="AW681" s="11" t="str">
        <f>IF(AND(ISNUMBER(AV681),ISNUMBER(AT681)),IF(AT681&lt;&gt;0,AV681/ABS(AT681),""),"")</f>
        <v/>
      </c>
      <c r="AX681" s="8">
        <v>1</v>
      </c>
      <c r="AY681" s="8">
        <v>0</v>
      </c>
      <c r="AZ681" s="8" t="s">
        <v>585</v>
      </c>
      <c r="BA681" s="8">
        <v>0</v>
      </c>
    </row>
    <row r="682" spans="1:53" x14ac:dyDescent="0.2">
      <c r="A682" s="8" t="s">
        <v>584</v>
      </c>
      <c r="B682" s="8" t="s">
        <v>84</v>
      </c>
      <c r="C682" s="8" t="s">
        <v>205</v>
      </c>
      <c r="D682" s="8">
        <v>1</v>
      </c>
      <c r="E682" s="8">
        <v>0</v>
      </c>
      <c r="F682" s="8">
        <f>SUM(G682:M682)</f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1</v>
      </c>
      <c r="P682" s="8">
        <v>0</v>
      </c>
      <c r="Q682" s="8">
        <v>0</v>
      </c>
      <c r="R682" s="8">
        <v>0</v>
      </c>
      <c r="S682" s="8">
        <v>0</v>
      </c>
      <c r="T682" s="10"/>
      <c r="U682" s="10">
        <v>77.222999999999999</v>
      </c>
      <c r="V682" s="10">
        <v>0</v>
      </c>
      <c r="W682" s="10" t="str">
        <f>IF(RIGHT(C682,2)="12",IF(ISNUMBER(T682),T682,""),IF(COUNT(T682,U682,V682)=3,T682+U682-V682,""))</f>
        <v/>
      </c>
      <c r="X682" s="10"/>
      <c r="Y682" s="10"/>
      <c r="Z682" s="10"/>
      <c r="AA682" s="10"/>
      <c r="AB682" s="10"/>
      <c r="AC682" s="8">
        <v>0</v>
      </c>
      <c r="AD682" s="8">
        <v>1</v>
      </c>
      <c r="AE682" s="8">
        <v>0</v>
      </c>
      <c r="AF682" s="10">
        <v>77.222999999999999</v>
      </c>
      <c r="AG682" s="8">
        <f>COUNTIF(Y682:AB682,"&gt;0")</f>
        <v>0</v>
      </c>
      <c r="AH682" s="10">
        <v>0</v>
      </c>
      <c r="AI682" s="10">
        <v>0</v>
      </c>
      <c r="AJ682" s="8" t="str">
        <f>IF(ISNUMBER(X682),IF(X682&gt;0,"+",IF(X682&lt;0,"−","0")),IF(ISNUMBER(W682),IF(W682&gt;0,"+",IF(W682&lt;0,"−","0")),"yok"))</f>
        <v>yok</v>
      </c>
      <c r="AK682" s="10">
        <f>IF(AND(RIGHT(C682,2)&lt;&gt;"12",ISNUMBER(U682),ISNUMBER(V682)),U682-V682,"")</f>
        <v>77.222999999999999</v>
      </c>
      <c r="AL682" s="11" t="str">
        <f>IF(AND(ISNUMBER(AK682),ISNUMBER(V682)),IF(V682&lt;&gt;0,AK682/ABS(V682),""),"")</f>
        <v/>
      </c>
      <c r="AM682" s="8">
        <f>IF(ISNUMBER(AK682),IF(AK682&gt;1,1,0),"")</f>
        <v>1</v>
      </c>
      <c r="AN682" s="8">
        <f>IF(ISNUMBER(AK682),IF(AK682&gt;0.05*ABS(V682),1,0),"")</f>
        <v>1</v>
      </c>
      <c r="AO682" s="10">
        <v>0</v>
      </c>
      <c r="AP682" s="10">
        <v>0</v>
      </c>
      <c r="AQ682" s="8" t="s">
        <v>209</v>
      </c>
      <c r="AR682" s="8">
        <v>0</v>
      </c>
      <c r="AS682" s="10">
        <v>361.79399999999998</v>
      </c>
      <c r="AT682" s="10"/>
      <c r="AU682" s="8" t="s">
        <v>207</v>
      </c>
      <c r="AV682" s="10">
        <v>77.222999999999999</v>
      </c>
      <c r="AW682" s="11" t="str">
        <f>IF(AND(ISNUMBER(AV682),ISNUMBER(AT682)),IF(AT682&lt;&gt;0,AV682/ABS(AT682),""),"")</f>
        <v/>
      </c>
      <c r="AX682" s="8">
        <v>1</v>
      </c>
      <c r="AY682" s="8">
        <v>0</v>
      </c>
      <c r="AZ682" s="8" t="s">
        <v>585</v>
      </c>
      <c r="BA682" s="8">
        <v>0</v>
      </c>
    </row>
    <row r="683" spans="1:53" x14ac:dyDescent="0.2">
      <c r="A683" s="8" t="s">
        <v>584</v>
      </c>
      <c r="B683" s="8" t="s">
        <v>84</v>
      </c>
      <c r="C683" s="8" t="s">
        <v>215</v>
      </c>
      <c r="D683" s="8">
        <v>1</v>
      </c>
      <c r="E683" s="8">
        <v>0</v>
      </c>
      <c r="F683" s="8">
        <f>SUM(G683:M683)</f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1</v>
      </c>
      <c r="P683" s="8">
        <v>0</v>
      </c>
      <c r="Q683" s="8">
        <v>0</v>
      </c>
      <c r="R683" s="8">
        <v>0</v>
      </c>
      <c r="S683" s="8">
        <v>0</v>
      </c>
      <c r="T683" s="10"/>
      <c r="U683" s="10">
        <v>77.222999999999999</v>
      </c>
      <c r="V683" s="10"/>
      <c r="W683" s="10" t="str">
        <f>IF(RIGHT(C683,2)="12",IF(ISNUMBER(T683),T683,""),IF(COUNT(T683,U683,V683)=3,T683+U683-V683,""))</f>
        <v/>
      </c>
      <c r="X683" s="10"/>
      <c r="Y683" s="10"/>
      <c r="Z683" s="10"/>
      <c r="AA683" s="10"/>
      <c r="AB683" s="10"/>
      <c r="AC683" s="8">
        <v>0</v>
      </c>
      <c r="AD683" s="8">
        <v>1</v>
      </c>
      <c r="AE683" s="8">
        <v>0</v>
      </c>
      <c r="AF683" s="10">
        <v>77.222999999999999</v>
      </c>
      <c r="AG683" s="8">
        <f>COUNTIF(Y683:AB683,"&gt;0")</f>
        <v>0</v>
      </c>
      <c r="AH683" s="10">
        <v>0</v>
      </c>
      <c r="AI683" s="10">
        <v>0</v>
      </c>
      <c r="AJ683" s="8" t="str">
        <f>IF(ISNUMBER(X683),IF(X683&gt;0,"+",IF(X683&lt;0,"−","0")),IF(ISNUMBER(W683),IF(W683&gt;0,"+",IF(W683&lt;0,"−","0")),"yok"))</f>
        <v>yok</v>
      </c>
      <c r="AK683" s="10" t="str">
        <f>IF(AND(RIGHT(C683,2)&lt;&gt;"12",ISNUMBER(U683),ISNUMBER(V683)),U683-V683,"")</f>
        <v/>
      </c>
      <c r="AL683" s="11" t="str">
        <f>IF(AND(ISNUMBER(AK683),ISNUMBER(V683)),IF(V683&lt;&gt;0,AK683/ABS(V683),""),"")</f>
        <v/>
      </c>
      <c r="AM683" s="8" t="str">
        <f>IF(ISNUMBER(AK683),IF(AK683&gt;1,1,0),"")</f>
        <v/>
      </c>
      <c r="AN683" s="8" t="str">
        <f>IF(ISNUMBER(AK683),IF(AK683&gt;0.05*ABS(V683),1,0),"")</f>
        <v/>
      </c>
      <c r="AO683" s="10"/>
      <c r="AP683" s="10"/>
      <c r="AQ683" s="8" t="s">
        <v>207</v>
      </c>
      <c r="AR683" s="8">
        <v>0</v>
      </c>
      <c r="AS683" s="10">
        <v>475.25599999999997</v>
      </c>
      <c r="AT683" s="10"/>
      <c r="AU683" s="8" t="s">
        <v>207</v>
      </c>
      <c r="AV683" s="10">
        <v>77.222999999999999</v>
      </c>
      <c r="AW683" s="11" t="str">
        <f>IF(AND(ISNUMBER(AV683),ISNUMBER(AT683)),IF(AT683&lt;&gt;0,AV683/ABS(AT683),""),"")</f>
        <v/>
      </c>
      <c r="AX683" s="8">
        <v>1</v>
      </c>
      <c r="AY683" s="8">
        <v>0</v>
      </c>
      <c r="AZ683" s="8" t="s">
        <v>585</v>
      </c>
      <c r="BA683" s="8">
        <v>0</v>
      </c>
    </row>
    <row r="684" spans="1:53" x14ac:dyDescent="0.2">
      <c r="A684" s="8" t="s">
        <v>586</v>
      </c>
      <c r="B684" s="8" t="s">
        <v>82</v>
      </c>
      <c r="C684" s="8" t="s">
        <v>203</v>
      </c>
      <c r="D684" s="8">
        <v>1</v>
      </c>
      <c r="E684" s="8">
        <v>0</v>
      </c>
      <c r="F684" s="8">
        <f>SUM(G684:M684)</f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1</v>
      </c>
      <c r="Q684" s="8">
        <v>0</v>
      </c>
      <c r="R684" s="8">
        <v>1</v>
      </c>
      <c r="S684" s="8">
        <v>0</v>
      </c>
      <c r="T684" s="10">
        <v>-9.1229999999999993</v>
      </c>
      <c r="U684" s="10">
        <v>-78.656999999999996</v>
      </c>
      <c r="V684" s="10">
        <v>-15.015000000000001</v>
      </c>
      <c r="W684" s="10">
        <f>IF(RIGHT(C684,2)="12",IF(ISNUMBER(T684),T684,""),IF(COUNT(T684,U684,V684)=3,T684+U684-V684,""))</f>
        <v>-72.765000000000001</v>
      </c>
      <c r="X684" s="10">
        <v>-72.765000000000001</v>
      </c>
      <c r="Y684" s="10">
        <v>-62.505000000000003</v>
      </c>
      <c r="Z684" s="10">
        <v>37.045000000000002</v>
      </c>
      <c r="AA684" s="10">
        <v>-38.182000000000002</v>
      </c>
      <c r="AB684" s="10">
        <v>-9.1229999999999993</v>
      </c>
      <c r="AC684" s="8">
        <v>0</v>
      </c>
      <c r="AD684" s="8">
        <v>0</v>
      </c>
      <c r="AE684" s="8">
        <v>0</v>
      </c>
      <c r="AF684" s="10">
        <v>0</v>
      </c>
      <c r="AG684" s="8">
        <f>COUNTIF(Y684:AB684,"&gt;0")</f>
        <v>1</v>
      </c>
      <c r="AH684" s="10">
        <v>0</v>
      </c>
      <c r="AI684" s="10">
        <v>37.045000000000002</v>
      </c>
      <c r="AJ684" s="8" t="str">
        <f>IF(ISNUMBER(X684),IF(X684&gt;0,"+",IF(X684&lt;0,"−","0")),IF(ISNUMBER(W684),IF(W684&gt;0,"+",IF(W684&lt;0,"−","0")),"yok"))</f>
        <v>−</v>
      </c>
      <c r="AK684" s="10">
        <f>IF(AND(RIGHT(C684,2)&lt;&gt;"12",ISNUMBER(U684),ISNUMBER(V684)),U684-V684,"")</f>
        <v>-63.641999999999996</v>
      </c>
      <c r="AL684" s="11">
        <f>IF(AND(ISNUMBER(AK684),ISNUMBER(V684)),IF(V684&lt;&gt;0,AK684/ABS(V684),""),"")</f>
        <v>-4.2385614385614385</v>
      </c>
      <c r="AM684" s="8">
        <f>IF(ISNUMBER(AK684),IF(AK684&gt;1,1,0),"")</f>
        <v>0</v>
      </c>
      <c r="AN684" s="8">
        <f>IF(ISNUMBER(AK684),IF(AK684&gt;0.05*ABS(V684),1,0),"")</f>
        <v>0</v>
      </c>
      <c r="AO684" s="10">
        <v>-72.766000000000005</v>
      </c>
      <c r="AP684" s="10">
        <v>72.766000000000005</v>
      </c>
      <c r="AQ684" s="8" t="s">
        <v>204</v>
      </c>
      <c r="AR684" s="8">
        <v>0</v>
      </c>
      <c r="AS684" s="10">
        <v>296.01600000000002</v>
      </c>
      <c r="AT684" s="10">
        <v>15.741000000000099</v>
      </c>
      <c r="AU684" s="8" t="s">
        <v>204</v>
      </c>
      <c r="AV684" s="10">
        <v>37.045000000000002</v>
      </c>
      <c r="AW684" s="11">
        <f>IF(AND(ISNUMBER(AV684),ISNUMBER(AT684)),IF(AT684&lt;&gt;0,AV684/ABS(AT684),""),"")</f>
        <v>2.3534082968045085</v>
      </c>
      <c r="AX684" s="8">
        <v>0</v>
      </c>
      <c r="AY684" s="8">
        <v>0</v>
      </c>
      <c r="AZ684" s="10"/>
      <c r="BA684" s="8">
        <v>0</v>
      </c>
    </row>
    <row r="685" spans="1:53" x14ac:dyDescent="0.2">
      <c r="A685" s="8" t="s">
        <v>586</v>
      </c>
      <c r="B685" s="8" t="s">
        <v>82</v>
      </c>
      <c r="C685" s="8" t="s">
        <v>205</v>
      </c>
      <c r="D685" s="8">
        <v>1</v>
      </c>
      <c r="E685" s="8">
        <v>0</v>
      </c>
      <c r="F685" s="8">
        <f>SUM(G685:M685)</f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1</v>
      </c>
      <c r="Q685" s="8">
        <v>0</v>
      </c>
      <c r="R685" s="8">
        <v>1</v>
      </c>
      <c r="S685" s="8">
        <v>0</v>
      </c>
      <c r="T685" s="10">
        <v>-40.762</v>
      </c>
      <c r="U685" s="10">
        <v>-78.656999999999996</v>
      </c>
      <c r="V685" s="10">
        <v>-77.521000000000001</v>
      </c>
      <c r="W685" s="10">
        <f>IF(RIGHT(C685,2)="12",IF(ISNUMBER(T685),T685,""),IF(COUNT(T685,U685,V685)=3,T685+U685-V685,""))</f>
        <v>-41.897999999999996</v>
      </c>
      <c r="X685" s="10">
        <v>-41.898000000000003</v>
      </c>
      <c r="Y685" s="10">
        <v>37.045000000000002</v>
      </c>
      <c r="Z685" s="10">
        <v>-38.182000000000002</v>
      </c>
      <c r="AA685" s="10">
        <v>-9.1229999999999993</v>
      </c>
      <c r="AB685" s="10">
        <v>-31.638000000000002</v>
      </c>
      <c r="AC685" s="8">
        <v>0</v>
      </c>
      <c r="AD685" s="8">
        <v>0</v>
      </c>
      <c r="AE685" s="8">
        <v>0</v>
      </c>
      <c r="AF685" s="10">
        <v>0</v>
      </c>
      <c r="AG685" s="8">
        <f>COUNTIF(Y685:AB685,"&gt;0")</f>
        <v>1</v>
      </c>
      <c r="AH685" s="10">
        <v>0</v>
      </c>
      <c r="AI685" s="10">
        <v>37.045000000000002</v>
      </c>
      <c r="AJ685" s="8" t="str">
        <f>IF(ISNUMBER(X685),IF(X685&gt;0,"+",IF(X685&lt;0,"−","0")),IF(ISNUMBER(W685),IF(W685&gt;0,"+",IF(W685&lt;0,"−","0")),"yok"))</f>
        <v>−</v>
      </c>
      <c r="AK685" s="10">
        <f>IF(AND(RIGHT(C685,2)&lt;&gt;"12",ISNUMBER(U685),ISNUMBER(V685)),U685-V685,"")</f>
        <v>-1.1359999999999957</v>
      </c>
      <c r="AL685" s="11">
        <f>IF(AND(ISNUMBER(AK685),ISNUMBER(V685)),IF(V685&lt;&gt;0,AK685/ABS(V685),""),"")</f>
        <v>-1.4654093729440999E-2</v>
      </c>
      <c r="AM685" s="8">
        <f>IF(ISNUMBER(AK685),IF(AK685&gt;1,1,0),"")</f>
        <v>0</v>
      </c>
      <c r="AN685" s="8">
        <f>IF(ISNUMBER(AK685),IF(AK685&gt;0.05*ABS(V685),1,0),"")</f>
        <v>0</v>
      </c>
      <c r="AO685" s="10">
        <v>-41.899000000000001</v>
      </c>
      <c r="AP685" s="10">
        <v>41.899000000000001</v>
      </c>
      <c r="AQ685" s="8" t="s">
        <v>204</v>
      </c>
      <c r="AR685" s="8">
        <v>0</v>
      </c>
      <c r="AS685" s="10">
        <v>499.80200000000002</v>
      </c>
      <c r="AT685" s="10">
        <v>232.369</v>
      </c>
      <c r="AU685" s="8" t="s">
        <v>204</v>
      </c>
      <c r="AV685" s="10">
        <v>37.045000000000002</v>
      </c>
      <c r="AW685" s="11">
        <f>IF(AND(ISNUMBER(AV685),ISNUMBER(AT685)),IF(AT685&lt;&gt;0,AV685/ABS(AT685),""),"")</f>
        <v>0.15942315885509686</v>
      </c>
      <c r="AX685" s="8">
        <v>0</v>
      </c>
      <c r="AY685" s="8">
        <v>0</v>
      </c>
      <c r="AZ685" s="10"/>
      <c r="BA685" s="8">
        <v>0</v>
      </c>
    </row>
    <row r="686" spans="1:53" x14ac:dyDescent="0.2">
      <c r="A686" s="8" t="s">
        <v>325</v>
      </c>
      <c r="B686" s="8" t="s">
        <v>83</v>
      </c>
      <c r="C686" s="8" t="s">
        <v>215</v>
      </c>
      <c r="D686" s="8">
        <v>1</v>
      </c>
      <c r="E686" s="8">
        <v>0</v>
      </c>
      <c r="F686" s="8">
        <f>SUM(G686:M686)</f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1</v>
      </c>
      <c r="Q686" s="8">
        <v>0</v>
      </c>
      <c r="R686" s="8">
        <v>0</v>
      </c>
      <c r="S686" s="8">
        <v>1</v>
      </c>
      <c r="T686" s="10">
        <v>-106.209</v>
      </c>
      <c r="U686" s="10">
        <v>-169.57400000000001</v>
      </c>
      <c r="V686" s="10">
        <v>-75.052999999999997</v>
      </c>
      <c r="W686" s="10">
        <f>IF(RIGHT(C686,2)="12",IF(ISNUMBER(T686),T686,""),IF(COUNT(T686,U686,V686)=3,T686+U686-V686,""))</f>
        <v>-200.73000000000002</v>
      </c>
      <c r="X686" s="10">
        <v>-200.73</v>
      </c>
      <c r="Y686" s="10">
        <v>-94.521000000000001</v>
      </c>
      <c r="Z686" s="10">
        <v>-88.727000000000004</v>
      </c>
      <c r="AA686" s="10">
        <v>-29.582999999999998</v>
      </c>
      <c r="AB686" s="10">
        <v>12.1</v>
      </c>
      <c r="AC686" s="8">
        <v>0</v>
      </c>
      <c r="AD686" s="8">
        <v>0</v>
      </c>
      <c r="AE686" s="8">
        <v>0</v>
      </c>
      <c r="AF686" s="10">
        <v>0</v>
      </c>
      <c r="AG686" s="8">
        <f>COUNTIF(Y686:AB686,"&gt;0")</f>
        <v>1</v>
      </c>
      <c r="AH686" s="10">
        <v>12.1</v>
      </c>
      <c r="AI686" s="10">
        <v>0</v>
      </c>
      <c r="AJ686" s="8" t="str">
        <f>IF(ISNUMBER(X686),IF(X686&gt;0,"+",IF(X686&lt;0,"−","0")),IF(ISNUMBER(W686),IF(W686&gt;0,"+",IF(W686&lt;0,"−","0")),"yok"))</f>
        <v>−</v>
      </c>
      <c r="AK686" s="10">
        <f>IF(AND(RIGHT(C686,2)&lt;&gt;"12",ISNUMBER(U686),ISNUMBER(V686)),U686-V686,"")</f>
        <v>-94.521000000000015</v>
      </c>
      <c r="AL686" s="11">
        <f>IF(AND(ISNUMBER(AK686),ISNUMBER(V686)),IF(V686&lt;&gt;0,AK686/ABS(V686),""),"")</f>
        <v>-1.2593900310447286</v>
      </c>
      <c r="AM686" s="8">
        <f>IF(ISNUMBER(AK686),IF(AK686&gt;1,1,0),"")</f>
        <v>0</v>
      </c>
      <c r="AN686" s="8">
        <f>IF(ISNUMBER(AK686),IF(AK686&gt;0.05*ABS(V686),1,0),"")</f>
        <v>0</v>
      </c>
      <c r="AO686" s="10">
        <v>-200.73099999999999</v>
      </c>
      <c r="AP686" s="10">
        <v>200.73099999999999</v>
      </c>
      <c r="AQ686" s="8" t="s">
        <v>204</v>
      </c>
      <c r="AR686" s="8">
        <v>0</v>
      </c>
      <c r="AS686" s="10">
        <v>-543.13599999999997</v>
      </c>
      <c r="AT686" s="10">
        <v>-743.86699999999996</v>
      </c>
      <c r="AU686" s="8" t="s">
        <v>204</v>
      </c>
      <c r="AV686" s="10">
        <v>12.1</v>
      </c>
      <c r="AW686" s="11">
        <f>IF(AND(ISNUMBER(AV686),ISNUMBER(AT686)),IF(AT686&lt;&gt;0,AV686/ABS(AT686),""),"")</f>
        <v>1.6266348688676872E-2</v>
      </c>
      <c r="AX686" s="8">
        <v>0</v>
      </c>
      <c r="AY686" s="8">
        <v>0</v>
      </c>
      <c r="AZ686" s="10"/>
      <c r="BA686" s="8">
        <v>0</v>
      </c>
    </row>
    <row r="687" spans="1:53" x14ac:dyDescent="0.2">
      <c r="A687" s="8" t="s">
        <v>325</v>
      </c>
      <c r="B687" s="8" t="s">
        <v>83</v>
      </c>
      <c r="C687" s="8" t="s">
        <v>290</v>
      </c>
      <c r="D687" s="8">
        <v>1</v>
      </c>
      <c r="E687" s="8">
        <v>0</v>
      </c>
      <c r="F687" s="8">
        <f>SUM(G687:M687)</f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1</v>
      </c>
      <c r="Q687" s="8">
        <v>0</v>
      </c>
      <c r="R687" s="8">
        <v>0</v>
      </c>
      <c r="S687" s="8">
        <v>1</v>
      </c>
      <c r="T687" s="10">
        <v>-196.01</v>
      </c>
      <c r="U687" s="10"/>
      <c r="V687" s="10"/>
      <c r="W687" s="10">
        <f>IF(RIGHT(C687,2)="12",IF(ISNUMBER(T687),T687,""),IF(COUNT(T687,U687,V687)=3,T687+U687-V687,""))</f>
        <v>-196.01</v>
      </c>
      <c r="X687" s="10">
        <v>-196.01</v>
      </c>
      <c r="Y687" s="10">
        <v>-88.727000000000004</v>
      </c>
      <c r="Z687" s="10">
        <v>-29.582999999999998</v>
      </c>
      <c r="AA687" s="10">
        <v>12.1</v>
      </c>
      <c r="AB687" s="10">
        <v>-89.8</v>
      </c>
      <c r="AC687" s="8">
        <v>0</v>
      </c>
      <c r="AD687" s="8">
        <v>0</v>
      </c>
      <c r="AE687" s="8">
        <v>0</v>
      </c>
      <c r="AF687" s="10">
        <v>0</v>
      </c>
      <c r="AG687" s="8">
        <f>COUNTIF(Y687:AB687,"&gt;0")</f>
        <v>1</v>
      </c>
      <c r="AH687" s="10">
        <v>12.1</v>
      </c>
      <c r="AI687" s="10">
        <v>0</v>
      </c>
      <c r="AJ687" s="8" t="str">
        <f>IF(ISNUMBER(X687),IF(X687&gt;0,"+",IF(X687&lt;0,"−","0")),IF(ISNUMBER(W687),IF(W687&gt;0,"+",IF(W687&lt;0,"−","0")),"yok"))</f>
        <v>−</v>
      </c>
      <c r="AK687" s="10" t="str">
        <f>IF(AND(RIGHT(C687,2)&lt;&gt;"12",ISNUMBER(U687),ISNUMBER(V687)),U687-V687,"")</f>
        <v/>
      </c>
      <c r="AL687" s="11" t="str">
        <f>IF(AND(ISNUMBER(AK687),ISNUMBER(V687)),IF(V687&lt;&gt;0,AK687/ABS(V687),""),"")</f>
        <v/>
      </c>
      <c r="AM687" s="8" t="str">
        <f>IF(ISNUMBER(AK687),IF(AK687&gt;1,1,0),"")</f>
        <v/>
      </c>
      <c r="AN687" s="8" t="str">
        <f>IF(ISNUMBER(AK687),IF(AK687&gt;0.05*ABS(V687),1,0),"")</f>
        <v/>
      </c>
      <c r="AO687" s="10">
        <v>-196.011</v>
      </c>
      <c r="AP687" s="10">
        <v>196.011</v>
      </c>
      <c r="AQ687" s="8" t="s">
        <v>204</v>
      </c>
      <c r="AR687" s="8">
        <v>0</v>
      </c>
      <c r="AS687" s="10">
        <v>-294.173</v>
      </c>
      <c r="AT687" s="10">
        <v>-490.18400000000003</v>
      </c>
      <c r="AU687" s="8" t="s">
        <v>204</v>
      </c>
      <c r="AV687" s="10">
        <v>12.1</v>
      </c>
      <c r="AW687" s="11">
        <f>IF(AND(ISNUMBER(AV687),ISNUMBER(AT687)),IF(AT687&lt;&gt;0,AV687/ABS(AT687),""),"")</f>
        <v>2.4684608228746754E-2</v>
      </c>
      <c r="AX687" s="8">
        <v>0</v>
      </c>
      <c r="AY687" s="8">
        <v>0</v>
      </c>
      <c r="AZ687" s="10"/>
      <c r="BA687" s="8">
        <v>0</v>
      </c>
    </row>
    <row r="688" spans="1:53" x14ac:dyDescent="0.2">
      <c r="A688" s="8" t="s">
        <v>326</v>
      </c>
      <c r="B688" s="8" t="s">
        <v>83</v>
      </c>
      <c r="C688" s="8" t="s">
        <v>290</v>
      </c>
      <c r="D688" s="8">
        <v>1</v>
      </c>
      <c r="E688" s="8">
        <v>0</v>
      </c>
      <c r="F688" s="8">
        <f>SUM(G688:M688)</f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1</v>
      </c>
      <c r="Q688" s="8">
        <v>0</v>
      </c>
      <c r="R688" s="8">
        <v>0</v>
      </c>
      <c r="S688" s="8">
        <v>1</v>
      </c>
      <c r="T688" s="10">
        <v>-559.15</v>
      </c>
      <c r="U688" s="10"/>
      <c r="V688" s="10"/>
      <c r="W688" s="10">
        <f>IF(RIGHT(C688,2)="12",IF(ISNUMBER(T688),T688,""),IF(COUNT(T688,U688,V688)=3,T688+U688-V688,""))</f>
        <v>-559.15</v>
      </c>
      <c r="X688" s="10">
        <v>-559.15</v>
      </c>
      <c r="Y688" s="10">
        <v>-167.27799999999999</v>
      </c>
      <c r="Z688" s="10">
        <v>-84.691000000000003</v>
      </c>
      <c r="AA688" s="10">
        <v>-354.32400000000001</v>
      </c>
      <c r="AB688" s="10">
        <v>47.145000000000003</v>
      </c>
      <c r="AC688" s="8">
        <v>0</v>
      </c>
      <c r="AD688" s="8">
        <v>0</v>
      </c>
      <c r="AE688" s="8">
        <v>0</v>
      </c>
      <c r="AF688" s="10">
        <v>0</v>
      </c>
      <c r="AG688" s="8">
        <f>COUNTIF(Y688:AB688,"&gt;0")</f>
        <v>1</v>
      </c>
      <c r="AH688" s="10">
        <v>47.145000000000003</v>
      </c>
      <c r="AI688" s="10">
        <v>0</v>
      </c>
      <c r="AJ688" s="8" t="str">
        <f>IF(ISNUMBER(X688),IF(X688&gt;0,"+",IF(X688&lt;0,"−","0")),IF(ISNUMBER(W688),IF(W688&gt;0,"+",IF(W688&lt;0,"−","0")),"yok"))</f>
        <v>−</v>
      </c>
      <c r="AK688" s="10" t="str">
        <f>IF(AND(RIGHT(C688,2)&lt;&gt;"12",ISNUMBER(U688),ISNUMBER(V688)),U688-V688,"")</f>
        <v/>
      </c>
      <c r="AL688" s="11" t="str">
        <f>IF(AND(ISNUMBER(AK688),ISNUMBER(V688)),IF(V688&lt;&gt;0,AK688/ABS(V688),""),"")</f>
        <v/>
      </c>
      <c r="AM688" s="8" t="str">
        <f>IF(ISNUMBER(AK688),IF(AK688&gt;1,1,0),"")</f>
        <v/>
      </c>
      <c r="AN688" s="8" t="str">
        <f>IF(ISNUMBER(AK688),IF(AK688&gt;0.05*ABS(V688),1,0),"")</f>
        <v/>
      </c>
      <c r="AO688" s="10">
        <v>-559.15</v>
      </c>
      <c r="AP688" s="10">
        <v>559.15</v>
      </c>
      <c r="AQ688" s="8" t="s">
        <v>204</v>
      </c>
      <c r="AR688" s="8">
        <v>0</v>
      </c>
      <c r="AS688" s="10">
        <v>2368.7950000000001</v>
      </c>
      <c r="AT688" s="10">
        <v>1693.72</v>
      </c>
      <c r="AU688" s="8" t="s">
        <v>204</v>
      </c>
      <c r="AV688" s="10">
        <v>47.145000000000003</v>
      </c>
      <c r="AW688" s="11">
        <f>IF(AND(ISNUMBER(AV688),ISNUMBER(AT688)),IF(AT688&lt;&gt;0,AV688/ABS(AT688),""),"")</f>
        <v>2.783517936849066E-2</v>
      </c>
      <c r="AX688" s="8">
        <v>0</v>
      </c>
      <c r="AY688" s="8">
        <v>0</v>
      </c>
      <c r="AZ688" s="10"/>
      <c r="BA688" s="8">
        <v>0</v>
      </c>
    </row>
    <row r="689" spans="1:53" x14ac:dyDescent="0.2">
      <c r="A689" s="8" t="s">
        <v>329</v>
      </c>
      <c r="B689" s="8" t="s">
        <v>82</v>
      </c>
      <c r="C689" s="8" t="s">
        <v>203</v>
      </c>
      <c r="D689" s="8">
        <v>1</v>
      </c>
      <c r="E689" s="8">
        <v>0</v>
      </c>
      <c r="F689" s="8">
        <f>SUM(G689:M689)</f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1</v>
      </c>
      <c r="Q689" s="8">
        <v>0</v>
      </c>
      <c r="R689" s="8">
        <v>1</v>
      </c>
      <c r="S689" s="8">
        <v>0</v>
      </c>
      <c r="T689" s="10">
        <v>-28.786999999999999</v>
      </c>
      <c r="U689" s="10">
        <v>-174.12</v>
      </c>
      <c r="V689" s="10">
        <v>-36.244999999999997</v>
      </c>
      <c r="W689" s="10">
        <f>IF(RIGHT(C689,2)="12",IF(ISNUMBER(T689),T689,""),IF(COUNT(T689,U689,V689)=3,T689+U689-V689,""))</f>
        <v>-166.66200000000001</v>
      </c>
      <c r="X689" s="10">
        <v>-166.66300000000001</v>
      </c>
      <c r="Y689" s="10">
        <v>-110.962</v>
      </c>
      <c r="Z689" s="10">
        <v>12.788</v>
      </c>
      <c r="AA689" s="10">
        <v>-39.701000000000001</v>
      </c>
      <c r="AB689" s="10">
        <v>-28.786999999999999</v>
      </c>
      <c r="AC689" s="8">
        <v>0</v>
      </c>
      <c r="AD689" s="8">
        <v>0</v>
      </c>
      <c r="AE689" s="8">
        <v>0</v>
      </c>
      <c r="AF689" s="10">
        <v>0</v>
      </c>
      <c r="AG689" s="8">
        <f>COUNTIF(Y689:AB689,"&gt;0")</f>
        <v>1</v>
      </c>
      <c r="AH689" s="10">
        <v>0</v>
      </c>
      <c r="AI689" s="10">
        <v>12.788</v>
      </c>
      <c r="AJ689" s="8" t="str">
        <f>IF(ISNUMBER(X689),IF(X689&gt;0,"+",IF(X689&lt;0,"−","0")),IF(ISNUMBER(W689),IF(W689&gt;0,"+",IF(W689&lt;0,"−","0")),"yok"))</f>
        <v>−</v>
      </c>
      <c r="AK689" s="10">
        <f>IF(AND(RIGHT(C689,2)&lt;&gt;"12",ISNUMBER(U689),ISNUMBER(V689)),U689-V689,"")</f>
        <v>-137.875</v>
      </c>
      <c r="AL689" s="11">
        <f>IF(AND(ISNUMBER(AK689),ISNUMBER(V689)),IF(V689&lt;&gt;0,AK689/ABS(V689),""),"")</f>
        <v>-3.8039729617878333</v>
      </c>
      <c r="AM689" s="8">
        <f>IF(ISNUMBER(AK689),IF(AK689&gt;1,1,0),"")</f>
        <v>0</v>
      </c>
      <c r="AN689" s="8">
        <f>IF(ISNUMBER(AK689),IF(AK689&gt;0.05*ABS(V689),1,0),"")</f>
        <v>0</v>
      </c>
      <c r="AO689" s="10">
        <v>-166.66399999999999</v>
      </c>
      <c r="AP689" s="10">
        <v>166.66399999999999</v>
      </c>
      <c r="AQ689" s="8" t="s">
        <v>204</v>
      </c>
      <c r="AR689" s="8">
        <v>0</v>
      </c>
      <c r="AS689" s="10">
        <v>2272.2150000000001</v>
      </c>
      <c r="AT689" s="10"/>
      <c r="AU689" s="8" t="s">
        <v>207</v>
      </c>
      <c r="AV689" s="10">
        <v>12.788</v>
      </c>
      <c r="AW689" s="11" t="str">
        <f>IF(AND(ISNUMBER(AV689),ISNUMBER(AT689)),IF(AT689&lt;&gt;0,AV689/ABS(AT689),""),"")</f>
        <v/>
      </c>
      <c r="AX689" s="8">
        <v>0</v>
      </c>
      <c r="AY689" s="8">
        <v>0</v>
      </c>
      <c r="AZ689" s="10"/>
      <c r="BA689" s="8">
        <v>0</v>
      </c>
    </row>
    <row r="690" spans="1:53" x14ac:dyDescent="0.2">
      <c r="A690" s="8" t="s">
        <v>329</v>
      </c>
      <c r="B690" s="8" t="s">
        <v>82</v>
      </c>
      <c r="C690" s="8" t="s">
        <v>205</v>
      </c>
      <c r="D690" s="8">
        <v>1</v>
      </c>
      <c r="E690" s="8">
        <v>0</v>
      </c>
      <c r="F690" s="8">
        <f>SUM(G690:M690)</f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1</v>
      </c>
      <c r="Q690" s="8">
        <v>0</v>
      </c>
      <c r="R690" s="8">
        <v>1</v>
      </c>
      <c r="S690" s="8">
        <v>0</v>
      </c>
      <c r="T690" s="10">
        <v>-40.642000000000003</v>
      </c>
      <c r="U690" s="10">
        <v>-174.12</v>
      </c>
      <c r="V690" s="10">
        <v>-147.208</v>
      </c>
      <c r="W690" s="10">
        <f>IF(RIGHT(C690,2)="12",IF(ISNUMBER(T690),T690,""),IF(COUNT(T690,U690,V690)=3,T690+U690-V690,""))</f>
        <v>-67.554000000000002</v>
      </c>
      <c r="X690" s="10">
        <v>-67.554000000000002</v>
      </c>
      <c r="Y690" s="10">
        <v>12.788</v>
      </c>
      <c r="Z690" s="10">
        <v>-39.701000000000001</v>
      </c>
      <c r="AA690" s="10">
        <v>-28.786999999999999</v>
      </c>
      <c r="AB690" s="10">
        <v>-11.853999999999999</v>
      </c>
      <c r="AC690" s="8">
        <v>0</v>
      </c>
      <c r="AD690" s="8">
        <v>0</v>
      </c>
      <c r="AE690" s="8">
        <v>0</v>
      </c>
      <c r="AF690" s="10">
        <v>0</v>
      </c>
      <c r="AG690" s="8">
        <f>COUNTIF(Y690:AB690,"&gt;0")</f>
        <v>1</v>
      </c>
      <c r="AH690" s="10">
        <v>0</v>
      </c>
      <c r="AI690" s="10">
        <v>12.788</v>
      </c>
      <c r="AJ690" s="8" t="str">
        <f>IF(ISNUMBER(X690),IF(X690&gt;0,"+",IF(X690&lt;0,"−","0")),IF(ISNUMBER(W690),IF(W690&gt;0,"+",IF(W690&lt;0,"−","0")),"yok"))</f>
        <v>−</v>
      </c>
      <c r="AK690" s="10">
        <f>IF(AND(RIGHT(C690,2)&lt;&gt;"12",ISNUMBER(U690),ISNUMBER(V690)),U690-V690,"")</f>
        <v>-26.912000000000006</v>
      </c>
      <c r="AL690" s="11">
        <f>IF(AND(ISNUMBER(AK690),ISNUMBER(V690)),IF(V690&lt;&gt;0,AK690/ABS(V690),""),"")</f>
        <v>-0.18281615129612525</v>
      </c>
      <c r="AM690" s="8">
        <f>IF(ISNUMBER(AK690),IF(AK690&gt;1,1,0),"")</f>
        <v>0</v>
      </c>
      <c r="AN690" s="8">
        <f>IF(ISNUMBER(AK690),IF(AK690&gt;0.05*ABS(V690),1,0),"")</f>
        <v>0</v>
      </c>
      <c r="AO690" s="10">
        <v>-67.555000000000007</v>
      </c>
      <c r="AP690" s="10">
        <v>67.555000000000007</v>
      </c>
      <c r="AQ690" s="8" t="s">
        <v>204</v>
      </c>
      <c r="AR690" s="8">
        <v>0</v>
      </c>
      <c r="AS690" s="10">
        <v>2785.3009999999999</v>
      </c>
      <c r="AT690" s="10"/>
      <c r="AU690" s="8" t="s">
        <v>207</v>
      </c>
      <c r="AV690" s="10">
        <v>12.788</v>
      </c>
      <c r="AW690" s="11" t="str">
        <f>IF(AND(ISNUMBER(AV690),ISNUMBER(AT690)),IF(AT690&lt;&gt;0,AV690/ABS(AT690),""),"")</f>
        <v/>
      </c>
      <c r="AX690" s="8">
        <v>0</v>
      </c>
      <c r="AY690" s="8">
        <v>0</v>
      </c>
      <c r="AZ690" s="10"/>
      <c r="BA690" s="8">
        <v>0</v>
      </c>
    </row>
    <row r="691" spans="1:53" x14ac:dyDescent="0.2">
      <c r="A691" s="8" t="s">
        <v>330</v>
      </c>
      <c r="B691" s="8" t="s">
        <v>82</v>
      </c>
      <c r="C691" s="8" t="s">
        <v>215</v>
      </c>
      <c r="D691" s="8">
        <v>1</v>
      </c>
      <c r="E691" s="8">
        <v>0</v>
      </c>
      <c r="F691" s="8">
        <f>SUM(G691:M691)</f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1</v>
      </c>
      <c r="Q691" s="8">
        <v>0</v>
      </c>
      <c r="R691" s="8">
        <v>0</v>
      </c>
      <c r="S691" s="8">
        <v>1</v>
      </c>
      <c r="T691" s="10">
        <v>0</v>
      </c>
      <c r="U691" s="10"/>
      <c r="V691" s="10">
        <v>0</v>
      </c>
      <c r="W691" s="10" t="str">
        <f>IF(RIGHT(C691,2)="12",IF(ISNUMBER(T691),T691,""),IF(COUNT(T691,U691,V691)=3,T691+U691-V691,""))</f>
        <v/>
      </c>
      <c r="X691" s="10"/>
      <c r="Y691" s="10"/>
      <c r="Z691" s="10"/>
      <c r="AA691" s="10"/>
      <c r="AB691" s="10">
        <v>54.183999999999997</v>
      </c>
      <c r="AC691" s="8">
        <v>0</v>
      </c>
      <c r="AD691" s="8">
        <v>0</v>
      </c>
      <c r="AE691" s="8">
        <v>0</v>
      </c>
      <c r="AF691" s="10">
        <v>0</v>
      </c>
      <c r="AG691" s="8">
        <f>COUNTIF(Y691:AB691,"&gt;0")</f>
        <v>1</v>
      </c>
      <c r="AH691" s="10">
        <v>54.183999999999997</v>
      </c>
      <c r="AI691" s="10">
        <v>0</v>
      </c>
      <c r="AJ691" s="8" t="str">
        <f>IF(ISNUMBER(X691),IF(X691&gt;0,"+",IF(X691&lt;0,"−","0")),IF(ISNUMBER(W691),IF(W691&gt;0,"+",IF(W691&lt;0,"−","0")),"yok"))</f>
        <v>yok</v>
      </c>
      <c r="AK691" s="10" t="str">
        <f>IF(AND(RIGHT(C691,2)&lt;&gt;"12",ISNUMBER(U691),ISNUMBER(V691)),U691-V691,"")</f>
        <v/>
      </c>
      <c r="AL691" s="11" t="str">
        <f>IF(AND(ISNUMBER(AK691),ISNUMBER(V691)),IF(V691&lt;&gt;0,AK691/ABS(V691),""),"")</f>
        <v/>
      </c>
      <c r="AM691" s="8" t="str">
        <f>IF(ISNUMBER(AK691),IF(AK691&gt;1,1,0),"")</f>
        <v/>
      </c>
      <c r="AN691" s="8" t="str">
        <f>IF(ISNUMBER(AK691),IF(AK691&gt;0.05*ABS(V691),1,0),"")</f>
        <v/>
      </c>
      <c r="AO691" s="10"/>
      <c r="AP691" s="10"/>
      <c r="AQ691" s="8" t="s">
        <v>207</v>
      </c>
      <c r="AR691" s="8">
        <v>0</v>
      </c>
      <c r="AS691" s="10">
        <v>1915.7850000000001</v>
      </c>
      <c r="AT691" s="10"/>
      <c r="AU691" s="8" t="s">
        <v>207</v>
      </c>
      <c r="AV691" s="10">
        <v>54.183999999999997</v>
      </c>
      <c r="AW691" s="11" t="str">
        <f>IF(AND(ISNUMBER(AV691),ISNUMBER(AT691)),IF(AT691&lt;&gt;0,AV691/ABS(AT691),""),"")</f>
        <v/>
      </c>
      <c r="AX691" s="8">
        <v>0</v>
      </c>
      <c r="AY691" s="8">
        <v>0</v>
      </c>
      <c r="AZ691" s="10"/>
      <c r="BA691" s="8">
        <v>0</v>
      </c>
    </row>
    <row r="692" spans="1:53" x14ac:dyDescent="0.2">
      <c r="A692" s="8" t="s">
        <v>330</v>
      </c>
      <c r="B692" s="8" t="s">
        <v>83</v>
      </c>
      <c r="C692" s="8" t="s">
        <v>290</v>
      </c>
      <c r="D692" s="8">
        <v>1</v>
      </c>
      <c r="E692" s="8">
        <v>0</v>
      </c>
      <c r="F692" s="8">
        <f>SUM(G692:M692)</f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1</v>
      </c>
      <c r="Q692" s="8">
        <v>0</v>
      </c>
      <c r="R692" s="8">
        <v>0</v>
      </c>
      <c r="S692" s="8">
        <v>1</v>
      </c>
      <c r="T692" s="10">
        <v>-243.80699999999999</v>
      </c>
      <c r="U692" s="10"/>
      <c r="V692" s="10"/>
      <c r="W692" s="10">
        <f>IF(RIGHT(C692,2)="12",IF(ISNUMBER(T692),T692,""),IF(COUNT(T692,U692,V692)=3,T692+U692-V692,""))</f>
        <v>-243.80699999999999</v>
      </c>
      <c r="X692" s="10">
        <v>-243.80699999999999</v>
      </c>
      <c r="Y692" s="10">
        <v>-75.506</v>
      </c>
      <c r="Z692" s="10">
        <v>1.76</v>
      </c>
      <c r="AA692" s="10">
        <v>-688.24099999999999</v>
      </c>
      <c r="AB692" s="10">
        <v>518.17999999999995</v>
      </c>
      <c r="AC692" s="8">
        <v>0</v>
      </c>
      <c r="AD692" s="8">
        <v>0</v>
      </c>
      <c r="AE692" s="8">
        <v>0</v>
      </c>
      <c r="AF692" s="10">
        <v>0</v>
      </c>
      <c r="AG692" s="8">
        <f>COUNTIF(Y692:AB692,"&gt;0")</f>
        <v>2</v>
      </c>
      <c r="AH692" s="10">
        <v>519.94000000000005</v>
      </c>
      <c r="AI692" s="10">
        <v>0</v>
      </c>
      <c r="AJ692" s="8" t="str">
        <f>IF(ISNUMBER(X692),IF(X692&gt;0,"+",IF(X692&lt;0,"−","0")),IF(ISNUMBER(W692),IF(W692&gt;0,"+",IF(W692&lt;0,"−","0")),"yok"))</f>
        <v>−</v>
      </c>
      <c r="AK692" s="10" t="str">
        <f>IF(AND(RIGHT(C692,2)&lt;&gt;"12",ISNUMBER(U692),ISNUMBER(V692)),U692-V692,"")</f>
        <v/>
      </c>
      <c r="AL692" s="11" t="str">
        <f>IF(AND(ISNUMBER(AK692),ISNUMBER(V692)),IF(V692&lt;&gt;0,AK692/ABS(V692),""),"")</f>
        <v/>
      </c>
      <c r="AM692" s="8" t="str">
        <f>IF(ISNUMBER(AK692),IF(AK692&gt;1,1,0),"")</f>
        <v/>
      </c>
      <c r="AN692" s="8" t="str">
        <f>IF(ISNUMBER(AK692),IF(AK692&gt;0.05*ABS(V692),1,0),"")</f>
        <v/>
      </c>
      <c r="AO692" s="10">
        <v>-243.80699999999999</v>
      </c>
      <c r="AP692" s="10">
        <v>243.80699999999999</v>
      </c>
      <c r="AQ692" s="8" t="s">
        <v>204</v>
      </c>
      <c r="AR692" s="8">
        <v>0</v>
      </c>
      <c r="AS692" s="10">
        <v>4708.4750000000004</v>
      </c>
      <c r="AT692" s="10">
        <v>4334.9336039999998</v>
      </c>
      <c r="AU692" s="8" t="s">
        <v>209</v>
      </c>
      <c r="AV692" s="10">
        <v>518.17999999999995</v>
      </c>
      <c r="AW692" s="11">
        <f>IF(AND(ISNUMBER(AV692),ISNUMBER(AT692)),IF(AT692&lt;&gt;0,AV692/ABS(AT692),""),"")</f>
        <v>0.11953585621746468</v>
      </c>
      <c r="AX692" s="8">
        <v>0</v>
      </c>
      <c r="AY692" s="8">
        <v>0</v>
      </c>
      <c r="AZ692" s="10"/>
      <c r="BA692" s="8">
        <v>0</v>
      </c>
    </row>
    <row r="693" spans="1:53" x14ac:dyDescent="0.2">
      <c r="A693" s="8" t="s">
        <v>587</v>
      </c>
      <c r="B693" s="8" t="s">
        <v>82</v>
      </c>
      <c r="C693" s="8" t="s">
        <v>215</v>
      </c>
      <c r="D693" s="8">
        <v>1</v>
      </c>
      <c r="E693" s="8">
        <v>0</v>
      </c>
      <c r="F693" s="8">
        <f>SUM(G693:M693)</f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1</v>
      </c>
      <c r="Q693" s="8">
        <v>0</v>
      </c>
      <c r="R693" s="8">
        <v>0</v>
      </c>
      <c r="S693" s="8">
        <v>1</v>
      </c>
      <c r="T693" s="10">
        <v>-4.9180000000000001</v>
      </c>
      <c r="U693" s="10">
        <v>-4.3769999999999998</v>
      </c>
      <c r="V693" s="10">
        <v>-1.734</v>
      </c>
      <c r="W693" s="10">
        <f>IF(RIGHT(C693,2)="12",IF(ISNUMBER(T693),T693,""),IF(COUNT(T693,U693,V693)=3,T693+U693-V693,""))</f>
        <v>-7.5609999999999999</v>
      </c>
      <c r="X693" s="10">
        <v>-7.5620000000000003</v>
      </c>
      <c r="Y693" s="10">
        <v>-2.6429999999999998</v>
      </c>
      <c r="Z693" s="10">
        <v>-3.3580000000000001</v>
      </c>
      <c r="AA693" s="10">
        <v>-2.645</v>
      </c>
      <c r="AB693" s="10">
        <v>1.085</v>
      </c>
      <c r="AC693" s="8">
        <v>0</v>
      </c>
      <c r="AD693" s="8">
        <v>0</v>
      </c>
      <c r="AE693" s="8">
        <v>0</v>
      </c>
      <c r="AF693" s="10">
        <v>0</v>
      </c>
      <c r="AG693" s="8">
        <f>COUNTIF(Y693:AB693,"&gt;0")</f>
        <v>1</v>
      </c>
      <c r="AH693" s="10">
        <v>1.085</v>
      </c>
      <c r="AI693" s="10">
        <v>0</v>
      </c>
      <c r="AJ693" s="8" t="str">
        <f>IF(ISNUMBER(X693),IF(X693&gt;0,"+",IF(X693&lt;0,"−","0")),IF(ISNUMBER(W693),IF(W693&gt;0,"+",IF(W693&lt;0,"−","0")),"yok"))</f>
        <v>−</v>
      </c>
      <c r="AK693" s="10">
        <f>IF(AND(RIGHT(C693,2)&lt;&gt;"12",ISNUMBER(U693),ISNUMBER(V693)),U693-V693,"")</f>
        <v>-2.6429999999999998</v>
      </c>
      <c r="AL693" s="11">
        <f>IF(AND(ISNUMBER(AK693),ISNUMBER(V693)),IF(V693&lt;&gt;0,AK693/ABS(V693),""),"")</f>
        <v>-1.5242214532871972</v>
      </c>
      <c r="AM693" s="8">
        <f>IF(ISNUMBER(AK693),IF(AK693&gt;1,1,0),"")</f>
        <v>0</v>
      </c>
      <c r="AN693" s="8">
        <f>IF(ISNUMBER(AK693),IF(AK693&gt;0.05*ABS(V693),1,0),"")</f>
        <v>0</v>
      </c>
      <c r="AO693" s="10">
        <v>-7.5629999999999997</v>
      </c>
      <c r="AP693" s="10">
        <v>7.5629999999999997</v>
      </c>
      <c r="AQ693" s="8" t="s">
        <v>204</v>
      </c>
      <c r="AR693" s="8">
        <v>0</v>
      </c>
      <c r="AS693" s="10">
        <v>-169.31899999999999</v>
      </c>
      <c r="AT693" s="10">
        <v>-185.09800000000001</v>
      </c>
      <c r="AU693" s="8" t="s">
        <v>204</v>
      </c>
      <c r="AV693" s="10">
        <v>1.085</v>
      </c>
      <c r="AW693" s="11">
        <f>IF(AND(ISNUMBER(AV693),ISNUMBER(AT693)),IF(AT693&lt;&gt;0,AV693/ABS(AT693),""),"")</f>
        <v>5.8617597164745154E-3</v>
      </c>
      <c r="AX693" s="8">
        <v>0</v>
      </c>
      <c r="AY693" s="8">
        <v>0</v>
      </c>
      <c r="AZ693" s="10"/>
      <c r="BA693" s="8">
        <v>0</v>
      </c>
    </row>
    <row r="694" spans="1:53" x14ac:dyDescent="0.2">
      <c r="A694" s="8" t="s">
        <v>587</v>
      </c>
      <c r="B694" s="8" t="s">
        <v>82</v>
      </c>
      <c r="C694" s="8" t="s">
        <v>290</v>
      </c>
      <c r="D694" s="8">
        <v>1</v>
      </c>
      <c r="E694" s="8">
        <v>0</v>
      </c>
      <c r="F694" s="8">
        <f>SUM(G694:M694)</f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1</v>
      </c>
      <c r="Q694" s="8">
        <v>0</v>
      </c>
      <c r="R694" s="8">
        <v>0</v>
      </c>
      <c r="S694" s="8">
        <v>1</v>
      </c>
      <c r="T694" s="10">
        <v>-8.875</v>
      </c>
      <c r="U694" s="10"/>
      <c r="V694" s="10"/>
      <c r="W694" s="10">
        <f>IF(RIGHT(C694,2)="12",IF(ISNUMBER(T694),T694,""),IF(COUNT(T694,U694,V694)=3,T694+U694-V694,""))</f>
        <v>-8.875</v>
      </c>
      <c r="X694" s="10">
        <v>-8.875</v>
      </c>
      <c r="Y694" s="10">
        <v>-3.3580000000000001</v>
      </c>
      <c r="Z694" s="10">
        <v>-2.645</v>
      </c>
      <c r="AA694" s="10">
        <v>1.085</v>
      </c>
      <c r="AB694" s="10">
        <v>-3.9569999999999999</v>
      </c>
      <c r="AC694" s="8">
        <v>0</v>
      </c>
      <c r="AD694" s="8">
        <v>0</v>
      </c>
      <c r="AE694" s="8">
        <v>0</v>
      </c>
      <c r="AF694" s="10">
        <v>0</v>
      </c>
      <c r="AG694" s="8">
        <f>COUNTIF(Y694:AB694,"&gt;0")</f>
        <v>1</v>
      </c>
      <c r="AH694" s="10">
        <v>1.085</v>
      </c>
      <c r="AI694" s="10">
        <v>0</v>
      </c>
      <c r="AJ694" s="8" t="str">
        <f>IF(ISNUMBER(X694),IF(X694&gt;0,"+",IF(X694&lt;0,"−","0")),IF(ISNUMBER(W694),IF(W694&gt;0,"+",IF(W694&lt;0,"−","0")),"yok"))</f>
        <v>−</v>
      </c>
      <c r="AK694" s="10" t="str">
        <f>IF(AND(RIGHT(C694,2)&lt;&gt;"12",ISNUMBER(U694),ISNUMBER(V694)),U694-V694,"")</f>
        <v/>
      </c>
      <c r="AL694" s="11" t="str">
        <f>IF(AND(ISNUMBER(AK694),ISNUMBER(V694)),IF(V694&lt;&gt;0,AK694/ABS(V694),""),"")</f>
        <v/>
      </c>
      <c r="AM694" s="8" t="str">
        <f>IF(ISNUMBER(AK694),IF(AK694&gt;1,1,0),"")</f>
        <v/>
      </c>
      <c r="AN694" s="8" t="str">
        <f>IF(ISNUMBER(AK694),IF(AK694&gt;0.05*ABS(V694),1,0),"")</f>
        <v/>
      </c>
      <c r="AO694" s="10">
        <v>-8.8759999999999994</v>
      </c>
      <c r="AP694" s="10">
        <v>8.8759999999999994</v>
      </c>
      <c r="AQ694" s="8" t="s">
        <v>204</v>
      </c>
      <c r="AR694" s="8">
        <v>0</v>
      </c>
      <c r="AS694" s="10">
        <v>-30.64</v>
      </c>
      <c r="AT694" s="10">
        <v>-45.915999999999997</v>
      </c>
      <c r="AU694" s="8" t="s">
        <v>204</v>
      </c>
      <c r="AV694" s="10">
        <v>1.085</v>
      </c>
      <c r="AW694" s="11">
        <f>IF(AND(ISNUMBER(AV694),ISNUMBER(AT694)),IF(AT694&lt;&gt;0,AV694/ABS(AT694),""),"")</f>
        <v>2.3630107152190959E-2</v>
      </c>
      <c r="AX694" s="8">
        <v>0</v>
      </c>
      <c r="AY694" s="8">
        <v>0</v>
      </c>
      <c r="AZ694" s="10"/>
      <c r="BA694" s="8">
        <v>0</v>
      </c>
    </row>
    <row r="695" spans="1:53" x14ac:dyDescent="0.2">
      <c r="A695" s="8" t="s">
        <v>587</v>
      </c>
      <c r="B695" s="8" t="s">
        <v>82</v>
      </c>
      <c r="C695" s="8" t="s">
        <v>208</v>
      </c>
      <c r="D695" s="8">
        <v>1</v>
      </c>
      <c r="E695" s="8">
        <v>0</v>
      </c>
      <c r="F695" s="8">
        <f>SUM(G695:M695)</f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1</v>
      </c>
      <c r="Q695" s="8">
        <v>0</v>
      </c>
      <c r="R695" s="8">
        <v>1</v>
      </c>
      <c r="S695" s="8">
        <v>0</v>
      </c>
      <c r="T695" s="10">
        <v>-3.9510000000000001</v>
      </c>
      <c r="U695" s="10">
        <v>-8.875</v>
      </c>
      <c r="V695" s="10">
        <v>-3.3580000000000001</v>
      </c>
      <c r="W695" s="10">
        <f>IF(RIGHT(C695,2)="12",IF(ISNUMBER(T695),T695,""),IF(COUNT(T695,U695,V695)=3,T695+U695-V695,""))</f>
        <v>-9.468</v>
      </c>
      <c r="X695" s="10">
        <v>-9.468</v>
      </c>
      <c r="Y695" s="10">
        <v>-2.645</v>
      </c>
      <c r="Z695" s="10">
        <v>1.085</v>
      </c>
      <c r="AA695" s="10">
        <v>-3.9569999999999999</v>
      </c>
      <c r="AB695" s="10">
        <v>-3.9510000000000001</v>
      </c>
      <c r="AC695" s="8">
        <v>0</v>
      </c>
      <c r="AD695" s="8">
        <v>0</v>
      </c>
      <c r="AE695" s="8">
        <v>0</v>
      </c>
      <c r="AF695" s="10">
        <v>0</v>
      </c>
      <c r="AG695" s="8">
        <f>COUNTIF(Y695:AB695,"&gt;0")</f>
        <v>1</v>
      </c>
      <c r="AH695" s="10">
        <v>0</v>
      </c>
      <c r="AI695" s="10">
        <v>1.085</v>
      </c>
      <c r="AJ695" s="8" t="str">
        <f>IF(ISNUMBER(X695),IF(X695&gt;0,"+",IF(X695&lt;0,"−","0")),IF(ISNUMBER(W695),IF(W695&gt;0,"+",IF(W695&lt;0,"−","0")),"yok"))</f>
        <v>−</v>
      </c>
      <c r="AK695" s="10">
        <f>IF(AND(RIGHT(C695,2)&lt;&gt;"12",ISNUMBER(U695),ISNUMBER(V695)),U695-V695,"")</f>
        <v>-5.5169999999999995</v>
      </c>
      <c r="AL695" s="11">
        <f>IF(AND(ISNUMBER(AK695),ISNUMBER(V695)),IF(V695&lt;&gt;0,AK695/ABS(V695),""),"")</f>
        <v>-1.6429422275163785</v>
      </c>
      <c r="AM695" s="8">
        <f>IF(ISNUMBER(AK695),IF(AK695&gt;1,1,0),"")</f>
        <v>0</v>
      </c>
      <c r="AN695" s="8">
        <f>IF(ISNUMBER(AK695),IF(AK695&gt;0.05*ABS(V695),1,0),"")</f>
        <v>0</v>
      </c>
      <c r="AO695" s="10">
        <v>-9.468</v>
      </c>
      <c r="AP695" s="10">
        <v>9.468</v>
      </c>
      <c r="AQ695" s="8" t="s">
        <v>204</v>
      </c>
      <c r="AR695" s="8">
        <v>0</v>
      </c>
      <c r="AS695" s="10">
        <v>146.11799999999999</v>
      </c>
      <c r="AT695" s="10">
        <v>134.47</v>
      </c>
      <c r="AU695" s="8" t="s">
        <v>204</v>
      </c>
      <c r="AV695" s="10">
        <v>1.085</v>
      </c>
      <c r="AW695" s="11">
        <f>IF(AND(ISNUMBER(AV695),ISNUMBER(AT695)),IF(AT695&lt;&gt;0,AV695/ABS(AT695),""),"")</f>
        <v>8.068714211348256E-3</v>
      </c>
      <c r="AX695" s="8">
        <v>0</v>
      </c>
      <c r="AY695" s="8">
        <v>0</v>
      </c>
      <c r="AZ695" s="10"/>
      <c r="BA695" s="8">
        <v>0</v>
      </c>
    </row>
    <row r="696" spans="1:53" x14ac:dyDescent="0.2">
      <c r="A696" s="8" t="s">
        <v>587</v>
      </c>
      <c r="B696" s="8" t="s">
        <v>82</v>
      </c>
      <c r="C696" s="8" t="s">
        <v>210</v>
      </c>
      <c r="D696" s="8">
        <v>1</v>
      </c>
      <c r="E696" s="8">
        <v>0</v>
      </c>
      <c r="F696" s="8">
        <f>SUM(G696:M696)</f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1</v>
      </c>
      <c r="Q696" s="8">
        <v>0</v>
      </c>
      <c r="R696" s="8">
        <v>1</v>
      </c>
      <c r="S696" s="8">
        <v>0</v>
      </c>
      <c r="T696" s="10">
        <v>-10.766</v>
      </c>
      <c r="U696" s="10">
        <v>-8.875</v>
      </c>
      <c r="V696" s="10">
        <v>-6.0030000000000001</v>
      </c>
      <c r="W696" s="10">
        <f>IF(RIGHT(C696,2)="12",IF(ISNUMBER(T696),T696,""),IF(COUNT(T696,U696,V696)=3,T696+U696-V696,""))</f>
        <v>-13.637999999999998</v>
      </c>
      <c r="X696" s="10">
        <v>-13.638</v>
      </c>
      <c r="Y696" s="10">
        <v>1.085</v>
      </c>
      <c r="Z696" s="10">
        <v>-3.9569999999999999</v>
      </c>
      <c r="AA696" s="10">
        <v>-3.9510000000000001</v>
      </c>
      <c r="AB696" s="10">
        <v>-6.8150000000000004</v>
      </c>
      <c r="AC696" s="8">
        <v>0</v>
      </c>
      <c r="AD696" s="8">
        <v>0</v>
      </c>
      <c r="AE696" s="8">
        <v>0</v>
      </c>
      <c r="AF696" s="10">
        <v>0</v>
      </c>
      <c r="AG696" s="8">
        <f>COUNTIF(Y696:AB696,"&gt;0")</f>
        <v>1</v>
      </c>
      <c r="AH696" s="10">
        <v>0</v>
      </c>
      <c r="AI696" s="10">
        <v>1.085</v>
      </c>
      <c r="AJ696" s="8" t="str">
        <f>IF(ISNUMBER(X696),IF(X696&gt;0,"+",IF(X696&lt;0,"−","0")),IF(ISNUMBER(W696),IF(W696&gt;0,"+",IF(W696&lt;0,"−","0")),"yok"))</f>
        <v>−</v>
      </c>
      <c r="AK696" s="10">
        <f>IF(AND(RIGHT(C696,2)&lt;&gt;"12",ISNUMBER(U696),ISNUMBER(V696)),U696-V696,"")</f>
        <v>-2.8719999999999999</v>
      </c>
      <c r="AL696" s="11">
        <f>IF(AND(ISNUMBER(AK696),ISNUMBER(V696)),IF(V696&lt;&gt;0,AK696/ABS(V696),""),"")</f>
        <v>-0.47842745294019656</v>
      </c>
      <c r="AM696" s="8">
        <f>IF(ISNUMBER(AK696),IF(AK696&gt;1,1,0),"")</f>
        <v>0</v>
      </c>
      <c r="AN696" s="8">
        <f>IF(ISNUMBER(AK696),IF(AK696&gt;0.05*ABS(V696),1,0),"")</f>
        <v>0</v>
      </c>
      <c r="AO696" s="10">
        <v>-13.638999999999999</v>
      </c>
      <c r="AP696" s="10">
        <v>13.638999999999999</v>
      </c>
      <c r="AQ696" s="8" t="s">
        <v>204</v>
      </c>
      <c r="AR696" s="8">
        <v>0</v>
      </c>
      <c r="AS696" s="10">
        <v>-85.308999999999997</v>
      </c>
      <c r="AT696" s="10">
        <v>-99.807000000000002</v>
      </c>
      <c r="AU696" s="8" t="s">
        <v>204</v>
      </c>
      <c r="AV696" s="10">
        <v>1.085</v>
      </c>
      <c r="AW696" s="11">
        <f>IF(AND(ISNUMBER(AV696),ISNUMBER(AT696)),IF(AT696&lt;&gt;0,AV696/ABS(AT696),""),"")</f>
        <v>1.0870980993317101E-2</v>
      </c>
      <c r="AX696" s="8">
        <v>0</v>
      </c>
      <c r="AY696" s="8">
        <v>0</v>
      </c>
      <c r="AZ696" s="10"/>
      <c r="BA696" s="8">
        <v>0</v>
      </c>
    </row>
    <row r="697" spans="1:53" x14ac:dyDescent="0.2">
      <c r="A697" s="8" t="s">
        <v>331</v>
      </c>
      <c r="B697" s="8" t="s">
        <v>83</v>
      </c>
      <c r="C697" s="8" t="s">
        <v>290</v>
      </c>
      <c r="D697" s="8">
        <v>1</v>
      </c>
      <c r="E697" s="8">
        <v>0</v>
      </c>
      <c r="F697" s="8">
        <f>SUM(G697:M697)</f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1</v>
      </c>
      <c r="Q697" s="8">
        <v>0</v>
      </c>
      <c r="R697" s="8">
        <v>0</v>
      </c>
      <c r="S697" s="8">
        <v>1</v>
      </c>
      <c r="T697" s="10">
        <v>-485.10599999999999</v>
      </c>
      <c r="U697" s="10"/>
      <c r="V697" s="10"/>
      <c r="W697" s="10">
        <f>IF(RIGHT(C697,2)="12",IF(ISNUMBER(T697),T697,""),IF(COUNT(T697,U697,V697)=3,T697+U697-V697,""))</f>
        <v>-485.10599999999999</v>
      </c>
      <c r="X697" s="10">
        <v>-485.10599999999999</v>
      </c>
      <c r="Y697" s="10">
        <v>-139.13900000000001</v>
      </c>
      <c r="Z697" s="10">
        <v>-159.322</v>
      </c>
      <c r="AA697" s="10">
        <v>-244.768</v>
      </c>
      <c r="AB697" s="10">
        <v>58.124000000000002</v>
      </c>
      <c r="AC697" s="8">
        <v>0</v>
      </c>
      <c r="AD697" s="8">
        <v>0</v>
      </c>
      <c r="AE697" s="8">
        <v>0</v>
      </c>
      <c r="AF697" s="10">
        <v>0</v>
      </c>
      <c r="AG697" s="8">
        <f>COUNTIF(Y697:AB697,"&gt;0")</f>
        <v>1</v>
      </c>
      <c r="AH697" s="10">
        <v>58.124000000000002</v>
      </c>
      <c r="AI697" s="10">
        <v>0</v>
      </c>
      <c r="AJ697" s="8" t="str">
        <f>IF(ISNUMBER(X697),IF(X697&gt;0,"+",IF(X697&lt;0,"−","0")),IF(ISNUMBER(W697),IF(W697&gt;0,"+",IF(W697&lt;0,"−","0")),"yok"))</f>
        <v>−</v>
      </c>
      <c r="AK697" s="10" t="str">
        <f>IF(AND(RIGHT(C697,2)&lt;&gt;"12",ISNUMBER(U697),ISNUMBER(V697)),U697-V697,"")</f>
        <v/>
      </c>
      <c r="AL697" s="11" t="str">
        <f>IF(AND(ISNUMBER(AK697),ISNUMBER(V697)),IF(V697&lt;&gt;0,AK697/ABS(V697),""),"")</f>
        <v/>
      </c>
      <c r="AM697" s="8" t="str">
        <f>IF(ISNUMBER(AK697),IF(AK697&gt;1,1,0),"")</f>
        <v/>
      </c>
      <c r="AN697" s="8" t="str">
        <f>IF(ISNUMBER(AK697),IF(AK697&gt;0.05*ABS(V697),1,0),"")</f>
        <v/>
      </c>
      <c r="AO697" s="10">
        <v>-485.10599999999999</v>
      </c>
      <c r="AP697" s="10">
        <v>485.10599999999999</v>
      </c>
      <c r="AQ697" s="8" t="s">
        <v>204</v>
      </c>
      <c r="AR697" s="8">
        <v>0</v>
      </c>
      <c r="AS697" s="10">
        <v>1530.8430000000001</v>
      </c>
      <c r="AT697" s="10">
        <v>1045.7370000000001</v>
      </c>
      <c r="AU697" s="8" t="s">
        <v>212</v>
      </c>
      <c r="AV697" s="10">
        <v>58.124000000000002</v>
      </c>
      <c r="AW697" s="11">
        <f>IF(AND(ISNUMBER(AV697),ISNUMBER(AT697)),IF(AT697&lt;&gt;0,AV697/ABS(AT697),""),"")</f>
        <v>5.55818527985526E-2</v>
      </c>
      <c r="AX697" s="8">
        <v>0</v>
      </c>
      <c r="AY697" s="8">
        <v>0</v>
      </c>
      <c r="AZ697" s="10"/>
      <c r="BA697" s="8">
        <v>0</v>
      </c>
    </row>
    <row r="698" spans="1:53" x14ac:dyDescent="0.2">
      <c r="A698" s="8" t="s">
        <v>588</v>
      </c>
      <c r="B698" s="8" t="s">
        <v>82</v>
      </c>
      <c r="C698" s="8" t="s">
        <v>203</v>
      </c>
      <c r="D698" s="8">
        <v>1</v>
      </c>
      <c r="E698" s="8">
        <v>0</v>
      </c>
      <c r="F698" s="8">
        <f>SUM(G698:M698)</f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1</v>
      </c>
      <c r="Q698" s="8">
        <v>0</v>
      </c>
      <c r="R698" s="8">
        <v>1</v>
      </c>
      <c r="S698" s="8">
        <v>0</v>
      </c>
      <c r="T698" s="10">
        <v>-8.1440000000000001</v>
      </c>
      <c r="U698" s="10">
        <v>-29.053000000000001</v>
      </c>
      <c r="V698" s="10">
        <v>-8.9990000000000006</v>
      </c>
      <c r="W698" s="10">
        <f>IF(RIGHT(C698,2)="12",IF(ISNUMBER(T698),T698,""),IF(COUNT(T698,U698,V698)=3,T698+U698-V698,""))</f>
        <v>-28.198</v>
      </c>
      <c r="X698" s="10">
        <v>-28.199000000000002</v>
      </c>
      <c r="Y698" s="10">
        <v>-5.9980000000000002</v>
      </c>
      <c r="Z698" s="10">
        <v>4.1479999999999997</v>
      </c>
      <c r="AA698" s="10">
        <v>-18.204000000000001</v>
      </c>
      <c r="AB698" s="10">
        <v>-8.1440000000000001</v>
      </c>
      <c r="AC698" s="8">
        <v>0</v>
      </c>
      <c r="AD698" s="8">
        <v>0</v>
      </c>
      <c r="AE698" s="8">
        <v>0</v>
      </c>
      <c r="AF698" s="10">
        <v>0</v>
      </c>
      <c r="AG698" s="8">
        <f>COUNTIF(Y698:AB698,"&gt;0")</f>
        <v>1</v>
      </c>
      <c r="AH698" s="10">
        <v>0</v>
      </c>
      <c r="AI698" s="10">
        <v>4.1479999999999997</v>
      </c>
      <c r="AJ698" s="8" t="str">
        <f>IF(ISNUMBER(X698),IF(X698&gt;0,"+",IF(X698&lt;0,"−","0")),IF(ISNUMBER(W698),IF(W698&gt;0,"+",IF(W698&lt;0,"−","0")),"yok"))</f>
        <v>−</v>
      </c>
      <c r="AK698" s="10">
        <f>IF(AND(RIGHT(C698,2)&lt;&gt;"12",ISNUMBER(U698),ISNUMBER(V698)),U698-V698,"")</f>
        <v>-20.054000000000002</v>
      </c>
      <c r="AL698" s="11">
        <f>IF(AND(ISNUMBER(AK698),ISNUMBER(V698)),IF(V698&lt;&gt;0,AK698/ABS(V698),""),"")</f>
        <v>-2.2284698299811092</v>
      </c>
      <c r="AM698" s="8">
        <f>IF(ISNUMBER(AK698),IF(AK698&gt;1,1,0),"")</f>
        <v>0</v>
      </c>
      <c r="AN698" s="8">
        <f>IF(ISNUMBER(AK698),IF(AK698&gt;0.05*ABS(V698),1,0),"")</f>
        <v>0</v>
      </c>
      <c r="AO698" s="10">
        <v>-28.199000000000002</v>
      </c>
      <c r="AP698" s="10">
        <v>28.199000000000002</v>
      </c>
      <c r="AQ698" s="8" t="s">
        <v>204</v>
      </c>
      <c r="AR698" s="8">
        <v>0</v>
      </c>
      <c r="AS698" s="10">
        <v>1479.8910000000001</v>
      </c>
      <c r="AT698" s="10">
        <v>-249.839</v>
      </c>
      <c r="AU698" s="8" t="s">
        <v>204</v>
      </c>
      <c r="AV698" s="10">
        <v>4.1479999999999997</v>
      </c>
      <c r="AW698" s="11">
        <f>IF(AND(ISNUMBER(AV698),ISNUMBER(AT698)),IF(AT698&lt;&gt;0,AV698/ABS(AT698),""),"")</f>
        <v>1.6602692133734123E-2</v>
      </c>
      <c r="AX698" s="8">
        <v>0</v>
      </c>
      <c r="AY698" s="8">
        <v>0</v>
      </c>
      <c r="AZ698" s="10"/>
      <c r="BA698" s="8">
        <v>0</v>
      </c>
    </row>
    <row r="699" spans="1:53" x14ac:dyDescent="0.2">
      <c r="A699" s="8" t="s">
        <v>588</v>
      </c>
      <c r="B699" s="8" t="s">
        <v>82</v>
      </c>
      <c r="C699" s="8" t="s">
        <v>205</v>
      </c>
      <c r="D699" s="8">
        <v>1</v>
      </c>
      <c r="E699" s="8">
        <v>0</v>
      </c>
      <c r="F699" s="8">
        <f>SUM(G699:M699)</f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1</v>
      </c>
      <c r="Q699" s="8">
        <v>0</v>
      </c>
      <c r="R699" s="8">
        <v>1</v>
      </c>
      <c r="S699" s="8">
        <v>0</v>
      </c>
      <c r="T699" s="10">
        <v>-11.105</v>
      </c>
      <c r="U699" s="10">
        <v>-29.053000000000001</v>
      </c>
      <c r="V699" s="10">
        <v>-14.997999999999999</v>
      </c>
      <c r="W699" s="10">
        <f>IF(RIGHT(C699,2)="12",IF(ISNUMBER(T699),T699,""),IF(COUNT(T699,U699,V699)=3,T699+U699-V699,""))</f>
        <v>-25.160000000000004</v>
      </c>
      <c r="X699" s="10">
        <v>-25.16</v>
      </c>
      <c r="Y699" s="10">
        <v>4.1479999999999997</v>
      </c>
      <c r="Z699" s="10">
        <v>-18.204000000000001</v>
      </c>
      <c r="AA699" s="10">
        <v>-8.1440000000000001</v>
      </c>
      <c r="AB699" s="10">
        <v>-2.96</v>
      </c>
      <c r="AC699" s="8">
        <v>0</v>
      </c>
      <c r="AD699" s="8">
        <v>0</v>
      </c>
      <c r="AE699" s="8">
        <v>0</v>
      </c>
      <c r="AF699" s="10">
        <v>0</v>
      </c>
      <c r="AG699" s="8">
        <f>COUNTIF(Y699:AB699,"&gt;0")</f>
        <v>1</v>
      </c>
      <c r="AH699" s="10">
        <v>0</v>
      </c>
      <c r="AI699" s="10">
        <v>4.1479999999999997</v>
      </c>
      <c r="AJ699" s="8" t="str">
        <f>IF(ISNUMBER(X699),IF(X699&gt;0,"+",IF(X699&lt;0,"−","0")),IF(ISNUMBER(W699),IF(W699&gt;0,"+",IF(W699&lt;0,"−","0")),"yok"))</f>
        <v>−</v>
      </c>
      <c r="AK699" s="10">
        <f>IF(AND(RIGHT(C699,2)&lt;&gt;"12",ISNUMBER(U699),ISNUMBER(V699)),U699-V699,"")</f>
        <v>-14.055000000000001</v>
      </c>
      <c r="AL699" s="11">
        <f>IF(AND(ISNUMBER(AK699),ISNUMBER(V699)),IF(V699&lt;&gt;0,AK699/ABS(V699),""),"")</f>
        <v>-0.93712494999333262</v>
      </c>
      <c r="AM699" s="8">
        <f>IF(ISNUMBER(AK699),IF(AK699&gt;1,1,0),"")</f>
        <v>0</v>
      </c>
      <c r="AN699" s="8">
        <f>IF(ISNUMBER(AK699),IF(AK699&gt;0.05*ABS(V699),1,0),"")</f>
        <v>0</v>
      </c>
      <c r="AO699" s="10">
        <v>-25.161000000000001</v>
      </c>
      <c r="AP699" s="10">
        <v>25.161000000000001</v>
      </c>
      <c r="AQ699" s="8" t="s">
        <v>204</v>
      </c>
      <c r="AR699" s="8">
        <v>0</v>
      </c>
      <c r="AS699" s="10">
        <v>1733.3409999999999</v>
      </c>
      <c r="AT699" s="10">
        <v>-328.02699999999999</v>
      </c>
      <c r="AU699" s="8" t="s">
        <v>204</v>
      </c>
      <c r="AV699" s="10">
        <v>4.1479999999999997</v>
      </c>
      <c r="AW699" s="11">
        <f>IF(AND(ISNUMBER(AV699),ISNUMBER(AT699)),IF(AT699&lt;&gt;0,AV699/ABS(AT699),""),"")</f>
        <v>1.2645300539284875E-2</v>
      </c>
      <c r="AX699" s="8">
        <v>0</v>
      </c>
      <c r="AY699" s="8">
        <v>0</v>
      </c>
      <c r="AZ699" s="10"/>
      <c r="BA699" s="8">
        <v>0</v>
      </c>
    </row>
    <row r="700" spans="1:53" x14ac:dyDescent="0.2">
      <c r="A700" s="8" t="s">
        <v>332</v>
      </c>
      <c r="B700" s="8" t="s">
        <v>82</v>
      </c>
      <c r="C700" s="8" t="s">
        <v>290</v>
      </c>
      <c r="D700" s="8">
        <v>1</v>
      </c>
      <c r="E700" s="8">
        <v>0</v>
      </c>
      <c r="F700" s="8">
        <f>SUM(G700:M700)</f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1</v>
      </c>
      <c r="Q700" s="8">
        <v>0</v>
      </c>
      <c r="R700" s="8">
        <v>0</v>
      </c>
      <c r="S700" s="8">
        <v>1</v>
      </c>
      <c r="T700" s="10">
        <v>-102.093</v>
      </c>
      <c r="U700" s="10"/>
      <c r="V700" s="10"/>
      <c r="W700" s="10">
        <f>IF(RIGHT(C700,2)="12",IF(ISNUMBER(T700),T700,""),IF(COUNT(T700,U700,V700)=3,T700+U700-V700,""))</f>
        <v>-102.093</v>
      </c>
      <c r="X700" s="10">
        <v>-102.093</v>
      </c>
      <c r="Y700" s="10">
        <v>-27.053999999999998</v>
      </c>
      <c r="Z700" s="10">
        <v>-27.454000000000001</v>
      </c>
      <c r="AA700" s="10">
        <v>-49.343000000000004</v>
      </c>
      <c r="AB700" s="10">
        <v>1.758</v>
      </c>
      <c r="AC700" s="8">
        <v>0</v>
      </c>
      <c r="AD700" s="8">
        <v>0</v>
      </c>
      <c r="AE700" s="8">
        <v>0</v>
      </c>
      <c r="AF700" s="10">
        <v>0</v>
      </c>
      <c r="AG700" s="8">
        <f>COUNTIF(Y700:AB700,"&gt;0")</f>
        <v>1</v>
      </c>
      <c r="AH700" s="10">
        <v>1.758</v>
      </c>
      <c r="AI700" s="10">
        <v>0</v>
      </c>
      <c r="AJ700" s="8" t="str">
        <f>IF(ISNUMBER(X700),IF(X700&gt;0,"+",IF(X700&lt;0,"−","0")),IF(ISNUMBER(W700),IF(W700&gt;0,"+",IF(W700&lt;0,"−","0")),"yok"))</f>
        <v>−</v>
      </c>
      <c r="AK700" s="10" t="str">
        <f>IF(AND(RIGHT(C700,2)&lt;&gt;"12",ISNUMBER(U700),ISNUMBER(V700)),U700-V700,"")</f>
        <v/>
      </c>
      <c r="AL700" s="11" t="str">
        <f>IF(AND(ISNUMBER(AK700),ISNUMBER(V700)),IF(V700&lt;&gt;0,AK700/ABS(V700),""),"")</f>
        <v/>
      </c>
      <c r="AM700" s="8" t="str">
        <f>IF(ISNUMBER(AK700),IF(AK700&gt;1,1,0),"")</f>
        <v/>
      </c>
      <c r="AN700" s="8" t="str">
        <f>IF(ISNUMBER(AK700),IF(AK700&gt;0.05*ABS(V700),1,0),"")</f>
        <v/>
      </c>
      <c r="AO700" s="10">
        <v>-102.093</v>
      </c>
      <c r="AP700" s="10">
        <v>102.093</v>
      </c>
      <c r="AQ700" s="8" t="s">
        <v>204</v>
      </c>
      <c r="AR700" s="8">
        <v>0</v>
      </c>
      <c r="AS700" s="10">
        <v>1428.8869999999999</v>
      </c>
      <c r="AT700" s="10">
        <v>913.74400000000003</v>
      </c>
      <c r="AU700" s="8" t="s">
        <v>204</v>
      </c>
      <c r="AV700" s="10">
        <v>1.758</v>
      </c>
      <c r="AW700" s="11">
        <f>IF(AND(ISNUMBER(AV700),ISNUMBER(AT700)),IF(AT700&lt;&gt;0,AV700/ABS(AT700),""),"")</f>
        <v>1.9239524418217793E-3</v>
      </c>
      <c r="AX700" s="8">
        <v>0</v>
      </c>
      <c r="AY700" s="8">
        <v>0</v>
      </c>
      <c r="AZ700" s="10"/>
      <c r="BA700" s="8">
        <v>0</v>
      </c>
    </row>
    <row r="701" spans="1:53" x14ac:dyDescent="0.2">
      <c r="A701" s="8" t="s">
        <v>333</v>
      </c>
      <c r="B701" s="8" t="s">
        <v>82</v>
      </c>
      <c r="C701" s="8" t="s">
        <v>205</v>
      </c>
      <c r="D701" s="8">
        <v>1</v>
      </c>
      <c r="E701" s="8">
        <v>0</v>
      </c>
      <c r="F701" s="8">
        <f>SUM(G701:M701)</f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1</v>
      </c>
      <c r="Q701" s="8">
        <v>0</v>
      </c>
      <c r="R701" s="8">
        <v>1</v>
      </c>
      <c r="S701" s="8">
        <v>0</v>
      </c>
      <c r="T701" s="10">
        <v>-3.569</v>
      </c>
      <c r="U701" s="10">
        <v>-41.3</v>
      </c>
      <c r="V701" s="10">
        <v>-33.110999999999997</v>
      </c>
      <c r="W701" s="10">
        <f>IF(RIGHT(C701,2)="12",IF(ISNUMBER(T701),T701,""),IF(COUNT(T701,U701,V701)=3,T701+U701-V701,""))</f>
        <v>-11.758000000000003</v>
      </c>
      <c r="X701" s="10">
        <v>-11.759</v>
      </c>
      <c r="Y701" s="10">
        <v>2.7109999999999999</v>
      </c>
      <c r="Z701" s="10">
        <v>-10.901</v>
      </c>
      <c r="AA701" s="10">
        <v>0</v>
      </c>
      <c r="AB701" s="10">
        <v>-3.569</v>
      </c>
      <c r="AC701" s="8">
        <v>0</v>
      </c>
      <c r="AD701" s="8">
        <v>0</v>
      </c>
      <c r="AE701" s="8">
        <v>0</v>
      </c>
      <c r="AF701" s="10">
        <v>0</v>
      </c>
      <c r="AG701" s="8">
        <f>COUNTIF(Y701:AB701,"&gt;0")</f>
        <v>1</v>
      </c>
      <c r="AH701" s="10">
        <v>0</v>
      </c>
      <c r="AI701" s="10">
        <v>2.7109999999999999</v>
      </c>
      <c r="AJ701" s="8" t="str">
        <f>IF(ISNUMBER(X701),IF(X701&gt;0,"+",IF(X701&lt;0,"−","0")),IF(ISNUMBER(W701),IF(W701&gt;0,"+",IF(W701&lt;0,"−","0")),"yok"))</f>
        <v>−</v>
      </c>
      <c r="AK701" s="10">
        <f>IF(AND(RIGHT(C701,2)&lt;&gt;"12",ISNUMBER(U701),ISNUMBER(V701)),U701-V701,"")</f>
        <v>-8.1890000000000001</v>
      </c>
      <c r="AL701" s="11">
        <f>IF(AND(ISNUMBER(AK701),ISNUMBER(V701)),IF(V701&lt;&gt;0,AK701/ABS(V701),""),"")</f>
        <v>-0.24731962187792578</v>
      </c>
      <c r="AM701" s="8">
        <f>IF(ISNUMBER(AK701),IF(AK701&gt;1,1,0),"")</f>
        <v>0</v>
      </c>
      <c r="AN701" s="8">
        <f>IF(ISNUMBER(AK701),IF(AK701&gt;0.05*ABS(V701),1,0),"")</f>
        <v>0</v>
      </c>
      <c r="AO701" s="10">
        <v>-11.76</v>
      </c>
      <c r="AP701" s="10">
        <v>11.76</v>
      </c>
      <c r="AQ701" s="8" t="s">
        <v>204</v>
      </c>
      <c r="AR701" s="8">
        <v>0</v>
      </c>
      <c r="AS701" s="10">
        <v>156.86000000000001</v>
      </c>
      <c r="AT701" s="10">
        <v>-953.69200000000001</v>
      </c>
      <c r="AU701" s="8" t="s">
        <v>204</v>
      </c>
      <c r="AV701" s="10">
        <v>2.7109999999999999</v>
      </c>
      <c r="AW701" s="11">
        <f>IF(AND(ISNUMBER(AV701),ISNUMBER(AT701)),IF(AT701&lt;&gt;0,AV701/ABS(AT701),""),"")</f>
        <v>2.8426368261451284E-3</v>
      </c>
      <c r="AX701" s="8">
        <v>0</v>
      </c>
      <c r="AY701" s="8">
        <v>0</v>
      </c>
      <c r="AZ701" s="10"/>
      <c r="BA701" s="8">
        <v>0</v>
      </c>
    </row>
    <row r="702" spans="1:53" x14ac:dyDescent="0.2">
      <c r="A702" s="8" t="s">
        <v>333</v>
      </c>
      <c r="B702" s="8" t="s">
        <v>83</v>
      </c>
      <c r="C702" s="8" t="s">
        <v>210</v>
      </c>
      <c r="D702" s="8">
        <v>1</v>
      </c>
      <c r="E702" s="8">
        <v>0</v>
      </c>
      <c r="F702" s="8">
        <f>SUM(G702:M702)</f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1</v>
      </c>
      <c r="Q702" s="8">
        <v>0</v>
      </c>
      <c r="R702" s="8">
        <v>0</v>
      </c>
      <c r="S702" s="8">
        <v>1</v>
      </c>
      <c r="T702" s="10">
        <v>-404.64800000000002</v>
      </c>
      <c r="U702" s="10">
        <v>-295.108</v>
      </c>
      <c r="V702" s="10">
        <v>-85.466999999999999</v>
      </c>
      <c r="W702" s="10">
        <f>IF(RIGHT(C702,2)="12",IF(ISNUMBER(T702),T702,""),IF(COUNT(T702,U702,V702)=3,T702+U702-V702,""))</f>
        <v>-614.2890000000001</v>
      </c>
      <c r="X702" s="10">
        <v>-614.28899999999999</v>
      </c>
      <c r="Y702" s="10">
        <v>-117.258</v>
      </c>
      <c r="Z702" s="10">
        <v>-92.382000000000005</v>
      </c>
      <c r="AA702" s="10">
        <v>-456.101</v>
      </c>
      <c r="AB702" s="10">
        <v>51.451999999999998</v>
      </c>
      <c r="AC702" s="8">
        <v>0</v>
      </c>
      <c r="AD702" s="8">
        <v>0</v>
      </c>
      <c r="AE702" s="8">
        <v>0</v>
      </c>
      <c r="AF702" s="10">
        <v>0</v>
      </c>
      <c r="AG702" s="8">
        <f>COUNTIF(Y702:AB702,"&gt;0")</f>
        <v>1</v>
      </c>
      <c r="AH702" s="10">
        <v>51.451999999999998</v>
      </c>
      <c r="AI702" s="10">
        <v>0</v>
      </c>
      <c r="AJ702" s="8" t="str">
        <f>IF(ISNUMBER(X702),IF(X702&gt;0,"+",IF(X702&lt;0,"−","0")),IF(ISNUMBER(W702),IF(W702&gt;0,"+",IF(W702&lt;0,"−","0")),"yok"))</f>
        <v>−</v>
      </c>
      <c r="AK702" s="10">
        <f>IF(AND(RIGHT(C702,2)&lt;&gt;"12",ISNUMBER(U702),ISNUMBER(V702)),U702-V702,"")</f>
        <v>-209.64100000000002</v>
      </c>
      <c r="AL702" s="11">
        <f>IF(AND(ISNUMBER(AK702),ISNUMBER(V702)),IF(V702&lt;&gt;0,AK702/ABS(V702),""),"")</f>
        <v>-2.4528882492657988</v>
      </c>
      <c r="AM702" s="8">
        <f>IF(ISNUMBER(AK702),IF(AK702&gt;1,1,0),"")</f>
        <v>0</v>
      </c>
      <c r="AN702" s="8">
        <f>IF(ISNUMBER(AK702),IF(AK702&gt;0.05*ABS(V702),1,0),"")</f>
        <v>0</v>
      </c>
      <c r="AO702" s="10">
        <v>-614.29</v>
      </c>
      <c r="AP702" s="10">
        <v>614.29</v>
      </c>
      <c r="AQ702" s="8" t="s">
        <v>204</v>
      </c>
      <c r="AR702" s="8">
        <v>0</v>
      </c>
      <c r="AS702" s="10">
        <v>-365.27499999999998</v>
      </c>
      <c r="AT702" s="10">
        <v>-990.654</v>
      </c>
      <c r="AU702" s="8" t="s">
        <v>204</v>
      </c>
      <c r="AV702" s="10">
        <v>51.451999999999998</v>
      </c>
      <c r="AW702" s="11">
        <f>IF(AND(ISNUMBER(AV702),ISNUMBER(AT702)),IF(AT702&lt;&gt;0,AV702/ABS(AT702),""),"")</f>
        <v>5.1937407005876922E-2</v>
      </c>
      <c r="AX702" s="8">
        <v>0</v>
      </c>
      <c r="AY702" s="8">
        <v>0</v>
      </c>
      <c r="AZ702" s="10"/>
      <c r="BA702" s="8">
        <v>0</v>
      </c>
    </row>
    <row r="703" spans="1:53" x14ac:dyDescent="0.2">
      <c r="A703" s="8" t="s">
        <v>335</v>
      </c>
      <c r="B703" s="8" t="s">
        <v>83</v>
      </c>
      <c r="C703" s="8" t="s">
        <v>205</v>
      </c>
      <c r="D703" s="8">
        <v>1</v>
      </c>
      <c r="E703" s="8">
        <v>0</v>
      </c>
      <c r="F703" s="8">
        <f>SUM(G703:M703)</f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1</v>
      </c>
      <c r="Q703" s="8">
        <v>0</v>
      </c>
      <c r="R703" s="8">
        <v>0</v>
      </c>
      <c r="S703" s="8">
        <v>1</v>
      </c>
      <c r="T703" s="10">
        <v>-106.767</v>
      </c>
      <c r="U703" s="10">
        <v>-368.31</v>
      </c>
      <c r="V703" s="10"/>
      <c r="W703" s="10" t="str">
        <f>IF(RIGHT(C703,2)="12",IF(ISNUMBER(T703),T703,""),IF(COUNT(T703,U703,V703)=3,T703+U703-V703,""))</f>
        <v/>
      </c>
      <c r="X703" s="10"/>
      <c r="Y703" s="10"/>
      <c r="Z703" s="10"/>
      <c r="AA703" s="10">
        <v>-114.14</v>
      </c>
      <c r="AB703" s="10">
        <v>7.3730000000000002</v>
      </c>
      <c r="AC703" s="8">
        <v>0</v>
      </c>
      <c r="AD703" s="8">
        <v>0</v>
      </c>
      <c r="AE703" s="8">
        <v>0</v>
      </c>
      <c r="AF703" s="10">
        <v>0</v>
      </c>
      <c r="AG703" s="8">
        <f>COUNTIF(Y703:AB703,"&gt;0")</f>
        <v>1</v>
      </c>
      <c r="AH703" s="10">
        <v>7.3730000000000002</v>
      </c>
      <c r="AI703" s="10">
        <v>0</v>
      </c>
      <c r="AJ703" s="8" t="str">
        <f>IF(ISNUMBER(X703),IF(X703&gt;0,"+",IF(X703&lt;0,"−","0")),IF(ISNUMBER(W703),IF(W703&gt;0,"+",IF(W703&lt;0,"−","0")),"yok"))</f>
        <v>yok</v>
      </c>
      <c r="AK703" s="10" t="str">
        <f>IF(AND(RIGHT(C703,2)&lt;&gt;"12",ISNUMBER(U703),ISNUMBER(V703)),U703-V703,"")</f>
        <v/>
      </c>
      <c r="AL703" s="11" t="str">
        <f>IF(AND(ISNUMBER(AK703),ISNUMBER(V703)),IF(V703&lt;&gt;0,AK703/ABS(V703),""),"")</f>
        <v/>
      </c>
      <c r="AM703" s="8" t="str">
        <f>IF(ISNUMBER(AK703),IF(AK703&gt;1,1,0),"")</f>
        <v/>
      </c>
      <c r="AN703" s="8" t="str">
        <f>IF(ISNUMBER(AK703),IF(AK703&gt;0.05*ABS(V703),1,0),"")</f>
        <v/>
      </c>
      <c r="AO703" s="10"/>
      <c r="AP703" s="10"/>
      <c r="AQ703" s="8" t="s">
        <v>207</v>
      </c>
      <c r="AR703" s="8">
        <v>0</v>
      </c>
      <c r="AS703" s="10"/>
      <c r="AT703" s="10"/>
      <c r="AU703" s="8" t="s">
        <v>207</v>
      </c>
      <c r="AV703" s="10">
        <v>7.3730000000000002</v>
      </c>
      <c r="AW703" s="11" t="str">
        <f>IF(AND(ISNUMBER(AV703),ISNUMBER(AT703)),IF(AT703&lt;&gt;0,AV703/ABS(AT703),""),"")</f>
        <v/>
      </c>
      <c r="AX703" s="8">
        <v>0</v>
      </c>
      <c r="AY703" s="8">
        <v>0</v>
      </c>
      <c r="AZ703" s="10"/>
      <c r="BA703" s="8">
        <v>0</v>
      </c>
    </row>
    <row r="704" spans="1:53" x14ac:dyDescent="0.2">
      <c r="A704" s="8" t="s">
        <v>335</v>
      </c>
      <c r="B704" s="8" t="s">
        <v>83</v>
      </c>
      <c r="C704" s="8" t="s">
        <v>290</v>
      </c>
      <c r="D704" s="8">
        <v>1</v>
      </c>
      <c r="E704" s="8">
        <v>0</v>
      </c>
      <c r="F704" s="8">
        <f>SUM(G704:M704)</f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1</v>
      </c>
      <c r="Q704" s="8">
        <v>0</v>
      </c>
      <c r="R704" s="8">
        <v>0</v>
      </c>
      <c r="S704" s="8">
        <v>1</v>
      </c>
      <c r="T704" s="10">
        <v>-914.74099999999999</v>
      </c>
      <c r="U704" s="10"/>
      <c r="V704" s="10"/>
      <c r="W704" s="10">
        <f>IF(RIGHT(C704,2)="12",IF(ISNUMBER(T704),T704,""),IF(COUNT(T704,U704,V704)=3,T704+U704-V704,""))</f>
        <v>-914.74099999999999</v>
      </c>
      <c r="X704" s="10">
        <v>-914.74099999999999</v>
      </c>
      <c r="Y704" s="10">
        <v>-114.14</v>
      </c>
      <c r="Z704" s="10">
        <v>7.3730000000000002</v>
      </c>
      <c r="AA704" s="10"/>
      <c r="AB704" s="10"/>
      <c r="AC704" s="8">
        <v>0</v>
      </c>
      <c r="AD704" s="8">
        <v>0</v>
      </c>
      <c r="AE704" s="8">
        <v>0</v>
      </c>
      <c r="AF704" s="10">
        <v>0</v>
      </c>
      <c r="AG704" s="8">
        <f>COUNTIF(Y704:AB704,"&gt;0")</f>
        <v>1</v>
      </c>
      <c r="AH704" s="10">
        <v>7.3730000000000002</v>
      </c>
      <c r="AI704" s="10">
        <v>0</v>
      </c>
      <c r="AJ704" s="8" t="str">
        <f>IF(ISNUMBER(X704),IF(X704&gt;0,"+",IF(X704&lt;0,"−","0")),IF(ISNUMBER(W704),IF(W704&gt;0,"+",IF(W704&lt;0,"−","0")),"yok"))</f>
        <v>−</v>
      </c>
      <c r="AK704" s="10" t="str">
        <f>IF(AND(RIGHT(C704,2)&lt;&gt;"12",ISNUMBER(U704),ISNUMBER(V704)),U704-V704,"")</f>
        <v/>
      </c>
      <c r="AL704" s="11" t="str">
        <f>IF(AND(ISNUMBER(AK704),ISNUMBER(V704)),IF(V704&lt;&gt;0,AK704/ABS(V704),""),"")</f>
        <v/>
      </c>
      <c r="AM704" s="8" t="str">
        <f>IF(ISNUMBER(AK704),IF(AK704&gt;1,1,0),"")</f>
        <v/>
      </c>
      <c r="AN704" s="8" t="str">
        <f>IF(ISNUMBER(AK704),IF(AK704&gt;0.05*ABS(V704),1,0),"")</f>
        <v/>
      </c>
      <c r="AO704" s="10">
        <v>-914.74199999999996</v>
      </c>
      <c r="AP704" s="10">
        <v>914.74199999999996</v>
      </c>
      <c r="AQ704" s="8" t="s">
        <v>209</v>
      </c>
      <c r="AR704" s="8">
        <v>0</v>
      </c>
      <c r="AS704" s="10">
        <v>743.60699999999997</v>
      </c>
      <c r="AT704" s="10">
        <v>-171.13499999999999</v>
      </c>
      <c r="AU704" s="8" t="s">
        <v>209</v>
      </c>
      <c r="AV704" s="10">
        <v>7.3730000000000002</v>
      </c>
      <c r="AW704" s="11">
        <f>IF(AND(ISNUMBER(AV704),ISNUMBER(AT704)),IF(AT704&lt;&gt;0,AV704/ABS(AT704),""),"")</f>
        <v>4.3082946212054815E-2</v>
      </c>
      <c r="AX704" s="8">
        <v>0</v>
      </c>
      <c r="AY704" s="8">
        <v>0</v>
      </c>
      <c r="AZ704" s="10"/>
      <c r="BA704" s="8">
        <v>0</v>
      </c>
    </row>
    <row r="705" spans="1:53" x14ac:dyDescent="0.2">
      <c r="A705" s="8" t="s">
        <v>336</v>
      </c>
      <c r="B705" s="8" t="s">
        <v>83</v>
      </c>
      <c r="C705" s="8" t="s">
        <v>203</v>
      </c>
      <c r="D705" s="8">
        <v>1</v>
      </c>
      <c r="E705" s="8">
        <v>0</v>
      </c>
      <c r="F705" s="8">
        <f>SUM(G705:M705)</f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1</v>
      </c>
      <c r="P705" s="8">
        <v>1</v>
      </c>
      <c r="Q705" s="8">
        <v>0</v>
      </c>
      <c r="R705" s="8">
        <v>0</v>
      </c>
      <c r="S705" s="8">
        <v>0</v>
      </c>
      <c r="T705" s="10">
        <v>1501.326</v>
      </c>
      <c r="U705" s="10">
        <v>-11670.058999999999</v>
      </c>
      <c r="V705" s="10"/>
      <c r="W705" s="10" t="str">
        <f>IF(RIGHT(C705,2)="12",IF(ISNUMBER(T705),T705,""),IF(COUNT(T705,U705,V705)=3,T705+U705-V705,""))</f>
        <v/>
      </c>
      <c r="X705" s="10"/>
      <c r="Y705" s="10"/>
      <c r="Z705" s="10"/>
      <c r="AA705" s="10"/>
      <c r="AB705" s="10">
        <v>1501.326</v>
      </c>
      <c r="AC705" s="8">
        <v>1</v>
      </c>
      <c r="AD705" s="8">
        <v>0</v>
      </c>
      <c r="AE705" s="8">
        <v>0</v>
      </c>
      <c r="AF705" s="10">
        <v>1501.326</v>
      </c>
      <c r="AG705" s="8">
        <f>COUNTIF(Y705:AB705,"&gt;0")</f>
        <v>1</v>
      </c>
      <c r="AH705" s="10">
        <v>0</v>
      </c>
      <c r="AI705" s="10">
        <v>0</v>
      </c>
      <c r="AJ705" s="8" t="str">
        <f>IF(ISNUMBER(X705),IF(X705&gt;0,"+",IF(X705&lt;0,"−","0")),IF(ISNUMBER(W705),IF(W705&gt;0,"+",IF(W705&lt;0,"−","0")),"yok"))</f>
        <v>yok</v>
      </c>
      <c r="AK705" s="10" t="str">
        <f>IF(AND(RIGHT(C705,2)&lt;&gt;"12",ISNUMBER(U705),ISNUMBER(V705)),U705-V705,"")</f>
        <v/>
      </c>
      <c r="AL705" s="11" t="str">
        <f>IF(AND(ISNUMBER(AK705),ISNUMBER(V705)),IF(V705&lt;&gt;0,AK705/ABS(V705),""),"")</f>
        <v/>
      </c>
      <c r="AM705" s="8" t="str">
        <f>IF(ISNUMBER(AK705),IF(AK705&gt;1,1,0),"")</f>
        <v/>
      </c>
      <c r="AN705" s="8" t="str">
        <f>IF(ISNUMBER(AK705),IF(AK705&gt;0.05*ABS(V705),1,0),"")</f>
        <v/>
      </c>
      <c r="AO705" s="10"/>
      <c r="AP705" s="10"/>
      <c r="AQ705" s="8" t="s">
        <v>207</v>
      </c>
      <c r="AR705" s="8">
        <v>0</v>
      </c>
      <c r="AS705" s="10"/>
      <c r="AT705" s="10"/>
      <c r="AU705" s="8" t="s">
        <v>207</v>
      </c>
      <c r="AV705" s="10">
        <v>1501.326</v>
      </c>
      <c r="AW705" s="11" t="str">
        <f>IF(AND(ISNUMBER(AV705),ISNUMBER(AT705)),IF(AT705&lt;&gt;0,AV705/ABS(AT705),""),"")</f>
        <v/>
      </c>
      <c r="AX705" s="8">
        <v>1</v>
      </c>
      <c r="AY705" s="8">
        <v>0</v>
      </c>
      <c r="AZ705" s="8" t="s">
        <v>589</v>
      </c>
      <c r="BA705" s="8">
        <v>0</v>
      </c>
    </row>
    <row r="706" spans="1:53" x14ac:dyDescent="0.2">
      <c r="A706" s="8" t="s">
        <v>590</v>
      </c>
      <c r="B706" s="8" t="s">
        <v>82</v>
      </c>
      <c r="C706" s="8" t="s">
        <v>203</v>
      </c>
      <c r="D706" s="8">
        <v>1</v>
      </c>
      <c r="E706" s="8">
        <v>0</v>
      </c>
      <c r="F706" s="8">
        <f>SUM(G706:M706)</f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1</v>
      </c>
      <c r="Q706" s="8">
        <v>0</v>
      </c>
      <c r="R706" s="8">
        <v>1</v>
      </c>
      <c r="S706" s="8">
        <v>0</v>
      </c>
      <c r="T706" s="10">
        <v>-8.6769999999999996</v>
      </c>
      <c r="U706" s="10">
        <v>-51.551000000000002</v>
      </c>
      <c r="V706" s="10">
        <v>-27.416</v>
      </c>
      <c r="W706" s="10">
        <f>IF(RIGHT(C706,2)="12",IF(ISNUMBER(T706),T706,""),IF(COUNT(T706,U706,V706)=3,T706+U706-V706,""))</f>
        <v>-32.811999999999998</v>
      </c>
      <c r="X706" s="10">
        <v>-32.811999999999998</v>
      </c>
      <c r="Y706" s="10">
        <v>10.659000000000001</v>
      </c>
      <c r="Z706" s="10">
        <v>-20.649000000000001</v>
      </c>
      <c r="AA706" s="10">
        <v>-14.145</v>
      </c>
      <c r="AB706" s="10">
        <v>-8.6769999999999996</v>
      </c>
      <c r="AC706" s="8">
        <v>0</v>
      </c>
      <c r="AD706" s="8">
        <v>0</v>
      </c>
      <c r="AE706" s="8">
        <v>0</v>
      </c>
      <c r="AF706" s="10">
        <v>0</v>
      </c>
      <c r="AG706" s="8">
        <f>COUNTIF(Y706:AB706,"&gt;0")</f>
        <v>1</v>
      </c>
      <c r="AH706" s="10">
        <v>0</v>
      </c>
      <c r="AI706" s="10">
        <v>10.659000000000001</v>
      </c>
      <c r="AJ706" s="8" t="str">
        <f>IF(ISNUMBER(X706),IF(X706&gt;0,"+",IF(X706&lt;0,"−","0")),IF(ISNUMBER(W706),IF(W706&gt;0,"+",IF(W706&lt;0,"−","0")),"yok"))</f>
        <v>−</v>
      </c>
      <c r="AK706" s="10">
        <f>IF(AND(RIGHT(C706,2)&lt;&gt;"12",ISNUMBER(U706),ISNUMBER(V706)),U706-V706,"")</f>
        <v>-24.135000000000002</v>
      </c>
      <c r="AL706" s="11">
        <f>IF(AND(ISNUMBER(AK706),ISNUMBER(V706)),IF(V706&lt;&gt;0,AK706/ABS(V706),""),"")</f>
        <v>-0.88032535745550045</v>
      </c>
      <c r="AM706" s="8">
        <f>IF(ISNUMBER(AK706),IF(AK706&gt;1,1,0),"")</f>
        <v>0</v>
      </c>
      <c r="AN706" s="8">
        <f>IF(ISNUMBER(AK706),IF(AK706&gt;0.05*ABS(V706),1,0),"")</f>
        <v>0</v>
      </c>
      <c r="AO706" s="10">
        <v>-32.813000000000002</v>
      </c>
      <c r="AP706" s="10">
        <v>32.813000000000002</v>
      </c>
      <c r="AQ706" s="8" t="s">
        <v>204</v>
      </c>
      <c r="AR706" s="8">
        <v>0</v>
      </c>
      <c r="AS706" s="10">
        <v>-420.73399999999998</v>
      </c>
      <c r="AT706" s="10">
        <v>-896.34400000000005</v>
      </c>
      <c r="AU706" s="8" t="s">
        <v>204</v>
      </c>
      <c r="AV706" s="10">
        <v>10.659000000000001</v>
      </c>
      <c r="AW706" s="11">
        <f>IF(AND(ISNUMBER(AV706),ISNUMBER(AT706)),IF(AT706&lt;&gt;0,AV706/ABS(AT706),""),"")</f>
        <v>1.1891639816856028E-2</v>
      </c>
      <c r="AX706" s="8">
        <v>0</v>
      </c>
      <c r="AY706" s="8">
        <v>0</v>
      </c>
      <c r="AZ706" s="10"/>
      <c r="BA706" s="8">
        <v>0</v>
      </c>
    </row>
    <row r="707" spans="1:53" x14ac:dyDescent="0.2">
      <c r="A707" s="8" t="s">
        <v>341</v>
      </c>
      <c r="B707" s="8" t="s">
        <v>83</v>
      </c>
      <c r="C707" s="8" t="s">
        <v>290</v>
      </c>
      <c r="D707" s="8">
        <v>1</v>
      </c>
      <c r="E707" s="8">
        <v>0</v>
      </c>
      <c r="F707" s="8">
        <f>SUM(G707:M707)</f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1</v>
      </c>
      <c r="Q707" s="8">
        <v>0</v>
      </c>
      <c r="R707" s="8">
        <v>0</v>
      </c>
      <c r="S707" s="8">
        <v>1</v>
      </c>
      <c r="T707" s="10">
        <v>-56.96</v>
      </c>
      <c r="U707" s="10"/>
      <c r="V707" s="10"/>
      <c r="W707" s="10">
        <f>IF(RIGHT(C707,2)="12",IF(ISNUMBER(T707),T707,""),IF(COUNT(T707,U707,V707)=3,T707+U707-V707,""))</f>
        <v>-56.96</v>
      </c>
      <c r="X707" s="10">
        <v>-56.96</v>
      </c>
      <c r="Y707" s="10">
        <v>-11.18</v>
      </c>
      <c r="Z707" s="10">
        <v>-3.0760000000000001</v>
      </c>
      <c r="AA707" s="10">
        <v>-45.183999999999997</v>
      </c>
      <c r="AB707" s="10">
        <v>2.48</v>
      </c>
      <c r="AC707" s="8">
        <v>0</v>
      </c>
      <c r="AD707" s="8">
        <v>0</v>
      </c>
      <c r="AE707" s="8">
        <v>0</v>
      </c>
      <c r="AF707" s="10">
        <v>0</v>
      </c>
      <c r="AG707" s="8">
        <f>COUNTIF(Y707:AB707,"&gt;0")</f>
        <v>1</v>
      </c>
      <c r="AH707" s="10">
        <v>2.48</v>
      </c>
      <c r="AI707" s="10">
        <v>0</v>
      </c>
      <c r="AJ707" s="8" t="str">
        <f>IF(ISNUMBER(X707),IF(X707&gt;0,"+",IF(X707&lt;0,"−","0")),IF(ISNUMBER(W707),IF(W707&gt;0,"+",IF(W707&lt;0,"−","0")),"yok"))</f>
        <v>−</v>
      </c>
      <c r="AK707" s="10" t="str">
        <f>IF(AND(RIGHT(C707,2)&lt;&gt;"12",ISNUMBER(U707),ISNUMBER(V707)),U707-V707,"")</f>
        <v/>
      </c>
      <c r="AL707" s="11" t="str">
        <f>IF(AND(ISNUMBER(AK707),ISNUMBER(V707)),IF(V707&lt;&gt;0,AK707/ABS(V707),""),"")</f>
        <v/>
      </c>
      <c r="AM707" s="8" t="str">
        <f>IF(ISNUMBER(AK707),IF(AK707&gt;1,1,0),"")</f>
        <v/>
      </c>
      <c r="AN707" s="8" t="str">
        <f>IF(ISNUMBER(AK707),IF(AK707&gt;0.05*ABS(V707),1,0),"")</f>
        <v/>
      </c>
      <c r="AO707" s="10">
        <v>-56.960999999999999</v>
      </c>
      <c r="AP707" s="10">
        <v>56.960999999999999</v>
      </c>
      <c r="AQ707" s="8" t="s">
        <v>204</v>
      </c>
      <c r="AR707" s="8">
        <v>0</v>
      </c>
      <c r="AS707" s="10">
        <v>-103.027</v>
      </c>
      <c r="AT707" s="10">
        <v>-186.197</v>
      </c>
      <c r="AU707" s="8" t="s">
        <v>209</v>
      </c>
      <c r="AV707" s="10">
        <v>2.48</v>
      </c>
      <c r="AW707" s="11">
        <f>IF(AND(ISNUMBER(AV707),ISNUMBER(AT707)),IF(AT707&lt;&gt;0,AV707/ABS(AT707),""),"")</f>
        <v>1.3319226410737016E-2</v>
      </c>
      <c r="AX707" s="8">
        <v>0</v>
      </c>
      <c r="AY707" s="8">
        <v>0</v>
      </c>
      <c r="AZ707" s="10"/>
      <c r="BA707" s="8">
        <v>0</v>
      </c>
    </row>
    <row r="708" spans="1:53" x14ac:dyDescent="0.2">
      <c r="A708" s="8" t="s">
        <v>343</v>
      </c>
      <c r="B708" s="8" t="s">
        <v>82</v>
      </c>
      <c r="C708" s="8" t="s">
        <v>203</v>
      </c>
      <c r="D708" s="8">
        <v>1</v>
      </c>
      <c r="E708" s="8">
        <v>0</v>
      </c>
      <c r="F708" s="8">
        <f>SUM(G708:M708)</f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1</v>
      </c>
      <c r="Q708" s="8">
        <v>0</v>
      </c>
      <c r="R708" s="8">
        <v>1</v>
      </c>
      <c r="S708" s="8">
        <v>0</v>
      </c>
      <c r="T708" s="10">
        <v>-3.976</v>
      </c>
      <c r="U708" s="10">
        <v>-14.78</v>
      </c>
      <c r="V708" s="10">
        <v>-3.1890000000000001</v>
      </c>
      <c r="W708" s="10">
        <f>IF(RIGHT(C708,2)="12",IF(ISNUMBER(T708),T708,""),IF(COUNT(T708,U708,V708)=3,T708+U708-V708,""))</f>
        <v>-15.567</v>
      </c>
      <c r="X708" s="10">
        <v>-15.567</v>
      </c>
      <c r="Y708" s="10">
        <v>-6.4649999999999999</v>
      </c>
      <c r="Z708" s="10">
        <v>3.6669999999999998</v>
      </c>
      <c r="AA708" s="10">
        <v>-8.7919999999999998</v>
      </c>
      <c r="AB708" s="10">
        <v>-3.976</v>
      </c>
      <c r="AC708" s="8">
        <v>0</v>
      </c>
      <c r="AD708" s="8">
        <v>0</v>
      </c>
      <c r="AE708" s="8">
        <v>0</v>
      </c>
      <c r="AF708" s="10">
        <v>0</v>
      </c>
      <c r="AG708" s="8">
        <f>COUNTIF(Y708:AB708,"&gt;0")</f>
        <v>1</v>
      </c>
      <c r="AH708" s="10">
        <v>0</v>
      </c>
      <c r="AI708" s="10">
        <v>3.6669999999999998</v>
      </c>
      <c r="AJ708" s="8" t="str">
        <f>IF(ISNUMBER(X708),IF(X708&gt;0,"+",IF(X708&lt;0,"−","0")),IF(ISNUMBER(W708),IF(W708&gt;0,"+",IF(W708&lt;0,"−","0")),"yok"))</f>
        <v>−</v>
      </c>
      <c r="AK708" s="10">
        <f>IF(AND(RIGHT(C708,2)&lt;&gt;"12",ISNUMBER(U708),ISNUMBER(V708)),U708-V708,"")</f>
        <v>-11.590999999999999</v>
      </c>
      <c r="AL708" s="11">
        <f>IF(AND(ISNUMBER(AK708),ISNUMBER(V708)),IF(V708&lt;&gt;0,AK708/ABS(V708),""),"")</f>
        <v>-3.6346817184070237</v>
      </c>
      <c r="AM708" s="8">
        <f>IF(ISNUMBER(AK708),IF(AK708&gt;1,1,0),"")</f>
        <v>0</v>
      </c>
      <c r="AN708" s="8">
        <f>IF(ISNUMBER(AK708),IF(AK708&gt;0.05*ABS(V708),1,0),"")</f>
        <v>0</v>
      </c>
      <c r="AO708" s="10">
        <v>-15.568</v>
      </c>
      <c r="AP708" s="10">
        <v>15.568</v>
      </c>
      <c r="AQ708" s="8" t="s">
        <v>204</v>
      </c>
      <c r="AR708" s="8">
        <v>0</v>
      </c>
      <c r="AS708" s="10">
        <v>-0.38599999999995299</v>
      </c>
      <c r="AT708" s="10">
        <v>-77.019000000000005</v>
      </c>
      <c r="AU708" s="8" t="s">
        <v>212</v>
      </c>
      <c r="AV708" s="10">
        <v>3.6669999999999998</v>
      </c>
      <c r="AW708" s="11">
        <f>IF(AND(ISNUMBER(AV708),ISNUMBER(AT708)),IF(AT708&lt;&gt;0,AV708/ABS(AT708),""),"")</f>
        <v>4.7611628299510503E-2</v>
      </c>
      <c r="AX708" s="8">
        <v>0</v>
      </c>
      <c r="AY708" s="8">
        <v>0</v>
      </c>
      <c r="AZ708" s="10"/>
      <c r="BA708" s="8">
        <v>0</v>
      </c>
    </row>
    <row r="709" spans="1:53" x14ac:dyDescent="0.2">
      <c r="A709" s="8" t="s">
        <v>343</v>
      </c>
      <c r="B709" s="8" t="s">
        <v>82</v>
      </c>
      <c r="C709" s="8" t="s">
        <v>205</v>
      </c>
      <c r="D709" s="8">
        <v>1</v>
      </c>
      <c r="E709" s="8">
        <v>0</v>
      </c>
      <c r="F709" s="8">
        <f>SUM(G709:M709)</f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1</v>
      </c>
      <c r="Q709" s="8">
        <v>0</v>
      </c>
      <c r="R709" s="8">
        <v>1</v>
      </c>
      <c r="S709" s="8">
        <v>0</v>
      </c>
      <c r="T709" s="10">
        <v>-27.579000000000001</v>
      </c>
      <c r="U709" s="10">
        <v>-14.78</v>
      </c>
      <c r="V709" s="10">
        <v>-9.6549999999999994</v>
      </c>
      <c r="W709" s="10">
        <f>IF(RIGHT(C709,2)="12",IF(ISNUMBER(T709),T709,""),IF(COUNT(T709,U709,V709)=3,T709+U709-V709,""))</f>
        <v>-32.704000000000001</v>
      </c>
      <c r="X709" s="10">
        <v>-32.704000000000001</v>
      </c>
      <c r="Y709" s="10">
        <v>3.6669999999999998</v>
      </c>
      <c r="Z709" s="10">
        <v>-8.7919999999999998</v>
      </c>
      <c r="AA709" s="10">
        <v>-3.976</v>
      </c>
      <c r="AB709" s="10">
        <v>-23.602</v>
      </c>
      <c r="AC709" s="8">
        <v>0</v>
      </c>
      <c r="AD709" s="8">
        <v>0</v>
      </c>
      <c r="AE709" s="8">
        <v>0</v>
      </c>
      <c r="AF709" s="10">
        <v>0</v>
      </c>
      <c r="AG709" s="8">
        <f>COUNTIF(Y709:AB709,"&gt;0")</f>
        <v>1</v>
      </c>
      <c r="AH709" s="10">
        <v>0</v>
      </c>
      <c r="AI709" s="10">
        <v>3.6669999999999998</v>
      </c>
      <c r="AJ709" s="8" t="str">
        <f>IF(ISNUMBER(X709),IF(X709&gt;0,"+",IF(X709&lt;0,"−","0")),IF(ISNUMBER(W709),IF(W709&gt;0,"+",IF(W709&lt;0,"−","0")),"yok"))</f>
        <v>−</v>
      </c>
      <c r="AK709" s="10">
        <f>IF(AND(RIGHT(C709,2)&lt;&gt;"12",ISNUMBER(U709),ISNUMBER(V709)),U709-V709,"")</f>
        <v>-5.125</v>
      </c>
      <c r="AL709" s="11">
        <f>IF(AND(ISNUMBER(AK709),ISNUMBER(V709)),IF(V709&lt;&gt;0,AK709/ABS(V709),""),"")</f>
        <v>-0.53081305023303993</v>
      </c>
      <c r="AM709" s="8">
        <f>IF(ISNUMBER(AK709),IF(AK709&gt;1,1,0),"")</f>
        <v>0</v>
      </c>
      <c r="AN709" s="8">
        <f>IF(ISNUMBER(AK709),IF(AK709&gt;0.05*ABS(V709),1,0),"")</f>
        <v>0</v>
      </c>
      <c r="AO709" s="10">
        <v>-32.704999999999998</v>
      </c>
      <c r="AP709" s="10">
        <v>32.704999999999998</v>
      </c>
      <c r="AQ709" s="8" t="s">
        <v>204</v>
      </c>
      <c r="AR709" s="8">
        <v>0</v>
      </c>
      <c r="AS709" s="10">
        <v>-73.932000000000002</v>
      </c>
      <c r="AT709" s="10">
        <v>-471.05799999999999</v>
      </c>
      <c r="AU709" s="8" t="s">
        <v>204</v>
      </c>
      <c r="AV709" s="10">
        <v>3.6669999999999998</v>
      </c>
      <c r="AW709" s="11">
        <f>IF(AND(ISNUMBER(AV709),ISNUMBER(AT709)),IF(AT709&lt;&gt;0,AV709/ABS(AT709),""),"")</f>
        <v>7.7846040190379948E-3</v>
      </c>
      <c r="AX709" s="8">
        <v>0</v>
      </c>
      <c r="AY709" s="8">
        <v>0</v>
      </c>
      <c r="AZ709" s="10"/>
      <c r="BA709" s="8">
        <v>0</v>
      </c>
    </row>
    <row r="710" spans="1:53" x14ac:dyDescent="0.2">
      <c r="A710" s="8" t="s">
        <v>343</v>
      </c>
      <c r="B710" s="8" t="s">
        <v>82</v>
      </c>
      <c r="C710" s="8" t="s">
        <v>290</v>
      </c>
      <c r="D710" s="8">
        <v>1</v>
      </c>
      <c r="E710" s="8">
        <v>0</v>
      </c>
      <c r="F710" s="8">
        <f>SUM(G710:M710)</f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1</v>
      </c>
      <c r="Q710" s="8">
        <v>0</v>
      </c>
      <c r="R710" s="8">
        <v>0</v>
      </c>
      <c r="S710" s="8">
        <v>1</v>
      </c>
      <c r="T710" s="10">
        <v>-24.483000000000001</v>
      </c>
      <c r="U710" s="10"/>
      <c r="V710" s="10"/>
      <c r="W710" s="10">
        <f>IF(RIGHT(C710,2)="12",IF(ISNUMBER(T710),T710,""),IF(COUNT(T710,U710,V710)=3,T710+U710-V710,""))</f>
        <v>-24.483000000000001</v>
      </c>
      <c r="X710" s="10">
        <v>-24.483000000000001</v>
      </c>
      <c r="Y710" s="10">
        <v>-3.976</v>
      </c>
      <c r="Z710" s="10">
        <v>-23.602</v>
      </c>
      <c r="AA710" s="10">
        <v>-10.901</v>
      </c>
      <c r="AB710" s="10">
        <v>13.997</v>
      </c>
      <c r="AC710" s="8">
        <v>0</v>
      </c>
      <c r="AD710" s="8">
        <v>0</v>
      </c>
      <c r="AE710" s="8">
        <v>0</v>
      </c>
      <c r="AF710" s="10">
        <v>0</v>
      </c>
      <c r="AG710" s="8">
        <f>COUNTIF(Y710:AB710,"&gt;0")</f>
        <v>1</v>
      </c>
      <c r="AH710" s="10">
        <v>13.997</v>
      </c>
      <c r="AI710" s="10">
        <v>0</v>
      </c>
      <c r="AJ710" s="8" t="str">
        <f>IF(ISNUMBER(X710),IF(X710&gt;0,"+",IF(X710&lt;0,"−","0")),IF(ISNUMBER(W710),IF(W710&gt;0,"+",IF(W710&lt;0,"−","0")),"yok"))</f>
        <v>−</v>
      </c>
      <c r="AK710" s="10" t="str">
        <f>IF(AND(RIGHT(C710,2)&lt;&gt;"12",ISNUMBER(U710),ISNUMBER(V710)),U710-V710,"")</f>
        <v/>
      </c>
      <c r="AL710" s="11" t="str">
        <f>IF(AND(ISNUMBER(AK710),ISNUMBER(V710)),IF(V710&lt;&gt;0,AK710/ABS(V710),""),"")</f>
        <v/>
      </c>
      <c r="AM710" s="8" t="str">
        <f>IF(ISNUMBER(AK710),IF(AK710&gt;1,1,0),"")</f>
        <v/>
      </c>
      <c r="AN710" s="8" t="str">
        <f>IF(ISNUMBER(AK710),IF(AK710&gt;0.05*ABS(V710),1,0),"")</f>
        <v/>
      </c>
      <c r="AO710" s="10">
        <v>-24.484000000000002</v>
      </c>
      <c r="AP710" s="10">
        <v>24.484000000000002</v>
      </c>
      <c r="AQ710" s="8" t="s">
        <v>204</v>
      </c>
      <c r="AR710" s="8">
        <v>0</v>
      </c>
      <c r="AS710" s="10">
        <v>-342.2</v>
      </c>
      <c r="AT710" s="10">
        <v>-833.58100000000002</v>
      </c>
      <c r="AU710" s="8" t="s">
        <v>204</v>
      </c>
      <c r="AV710" s="10">
        <v>13.997</v>
      </c>
      <c r="AW710" s="11">
        <f>IF(AND(ISNUMBER(AV710),ISNUMBER(AT710)),IF(AT710&lt;&gt;0,AV710/ABS(AT710),""),"")</f>
        <v>1.6791409593068938E-2</v>
      </c>
      <c r="AX710" s="8">
        <v>0</v>
      </c>
      <c r="AY710" s="8">
        <v>0</v>
      </c>
      <c r="AZ710" s="10"/>
      <c r="BA710" s="8">
        <v>0</v>
      </c>
    </row>
    <row r="711" spans="1:53" x14ac:dyDescent="0.2">
      <c r="A711" s="8" t="s">
        <v>343</v>
      </c>
      <c r="B711" s="8" t="s">
        <v>82</v>
      </c>
      <c r="C711" s="8" t="s">
        <v>208</v>
      </c>
      <c r="D711" s="8">
        <v>1</v>
      </c>
      <c r="E711" s="8">
        <v>0</v>
      </c>
      <c r="F711" s="8">
        <f>SUM(G711:M711)</f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1</v>
      </c>
      <c r="Q711" s="8">
        <v>0</v>
      </c>
      <c r="R711" s="8">
        <v>1</v>
      </c>
      <c r="S711" s="8">
        <v>0</v>
      </c>
      <c r="T711" s="10">
        <v>-11.17</v>
      </c>
      <c r="U711" s="10">
        <v>-24.483000000000001</v>
      </c>
      <c r="V711" s="10">
        <v>-3.976</v>
      </c>
      <c r="W711" s="10">
        <f>IF(RIGHT(C711,2)="12",IF(ISNUMBER(T711),T711,""),IF(COUNT(T711,U711,V711)=3,T711+U711-V711,""))</f>
        <v>-31.677</v>
      </c>
      <c r="X711" s="10">
        <v>-31.677</v>
      </c>
      <c r="Y711" s="10">
        <v>-23.602</v>
      </c>
      <c r="Z711" s="10">
        <v>-10.901</v>
      </c>
      <c r="AA711" s="10">
        <v>13.997</v>
      </c>
      <c r="AB711" s="10">
        <v>-11.17</v>
      </c>
      <c r="AC711" s="8">
        <v>0</v>
      </c>
      <c r="AD711" s="8">
        <v>0</v>
      </c>
      <c r="AE711" s="8">
        <v>0</v>
      </c>
      <c r="AF711" s="10">
        <v>0</v>
      </c>
      <c r="AG711" s="8">
        <f>COUNTIF(Y711:AB711,"&gt;0")</f>
        <v>1</v>
      </c>
      <c r="AH711" s="10">
        <v>0</v>
      </c>
      <c r="AI711" s="10">
        <v>13.997</v>
      </c>
      <c r="AJ711" s="8" t="str">
        <f>IF(ISNUMBER(X711),IF(X711&gt;0,"+",IF(X711&lt;0,"−","0")),IF(ISNUMBER(W711),IF(W711&gt;0,"+",IF(W711&lt;0,"−","0")),"yok"))</f>
        <v>−</v>
      </c>
      <c r="AK711" s="10">
        <f>IF(AND(RIGHT(C711,2)&lt;&gt;"12",ISNUMBER(U711),ISNUMBER(V711)),U711-V711,"")</f>
        <v>-20.507000000000001</v>
      </c>
      <c r="AL711" s="11">
        <f>IF(AND(ISNUMBER(AK711),ISNUMBER(V711)),IF(V711&lt;&gt;0,AK711/ABS(V711),""),"")</f>
        <v>-5.157696177062375</v>
      </c>
      <c r="AM711" s="8">
        <f>IF(ISNUMBER(AK711),IF(AK711&gt;1,1,0),"")</f>
        <v>0</v>
      </c>
      <c r="AN711" s="8">
        <f>IF(ISNUMBER(AK711),IF(AK711&gt;0.05*ABS(V711),1,0),"")</f>
        <v>0</v>
      </c>
      <c r="AO711" s="10">
        <v>-31.677</v>
      </c>
      <c r="AP711" s="10">
        <v>31.677</v>
      </c>
      <c r="AQ711" s="8" t="s">
        <v>204</v>
      </c>
      <c r="AR711" s="8">
        <v>0</v>
      </c>
      <c r="AS711" s="10">
        <v>-467.13400000000001</v>
      </c>
      <c r="AT711" s="10">
        <v>-957.70600000000002</v>
      </c>
      <c r="AU711" s="8" t="s">
        <v>204</v>
      </c>
      <c r="AV711" s="10">
        <v>13.997</v>
      </c>
      <c r="AW711" s="11">
        <f>IF(AND(ISNUMBER(AV711),ISNUMBER(AT711)),IF(AT711&lt;&gt;0,AV711/ABS(AT711),""),"")</f>
        <v>1.4615132410155099E-2</v>
      </c>
      <c r="AX711" s="8">
        <v>0</v>
      </c>
      <c r="AY711" s="8">
        <v>0</v>
      </c>
      <c r="AZ711" s="10"/>
      <c r="BA711" s="8">
        <v>0</v>
      </c>
    </row>
    <row r="712" spans="1:53" x14ac:dyDescent="0.2">
      <c r="A712" s="8" t="s">
        <v>343</v>
      </c>
      <c r="B712" s="8" t="s">
        <v>83</v>
      </c>
      <c r="C712" s="8" t="s">
        <v>215</v>
      </c>
      <c r="D712" s="8">
        <v>1</v>
      </c>
      <c r="E712" s="8">
        <v>0</v>
      </c>
      <c r="F712" s="8">
        <f>SUM(G712:M712)</f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1</v>
      </c>
      <c r="Q712" s="8">
        <v>0</v>
      </c>
      <c r="R712" s="8">
        <v>0</v>
      </c>
      <c r="S712" s="8">
        <v>1</v>
      </c>
      <c r="T712" s="10">
        <v>-333.68400000000003</v>
      </c>
      <c r="U712" s="10">
        <v>-62.13</v>
      </c>
      <c r="V712" s="10">
        <v>-61.588999999999999</v>
      </c>
      <c r="W712" s="10">
        <f>IF(RIGHT(C712,2)="12",IF(ISNUMBER(T712),T712,""),IF(COUNT(T712,U712,V712)=3,T712+U712-V712,""))</f>
        <v>-334.22500000000002</v>
      </c>
      <c r="X712" s="10">
        <v>-334.22399999999999</v>
      </c>
      <c r="Y712" s="10">
        <v>-0.54</v>
      </c>
      <c r="Z712" s="10">
        <v>-8.7810000000000006</v>
      </c>
      <c r="AA712" s="10">
        <v>-353.49099999999999</v>
      </c>
      <c r="AB712" s="10">
        <v>28.588999999999999</v>
      </c>
      <c r="AC712" s="8">
        <v>0</v>
      </c>
      <c r="AD712" s="8">
        <v>0</v>
      </c>
      <c r="AE712" s="8">
        <v>0</v>
      </c>
      <c r="AF712" s="10">
        <v>0</v>
      </c>
      <c r="AG712" s="8">
        <f>COUNTIF(Y712:AB712,"&gt;0")</f>
        <v>1</v>
      </c>
      <c r="AH712" s="10">
        <v>28.588999999999999</v>
      </c>
      <c r="AI712" s="10">
        <v>0</v>
      </c>
      <c r="AJ712" s="8" t="str">
        <f>IF(ISNUMBER(X712),IF(X712&gt;0,"+",IF(X712&lt;0,"−","0")),IF(ISNUMBER(W712),IF(W712&gt;0,"+",IF(W712&lt;0,"−","0")),"yok"))</f>
        <v>−</v>
      </c>
      <c r="AK712" s="10">
        <f>IF(AND(RIGHT(C712,2)&lt;&gt;"12",ISNUMBER(U712),ISNUMBER(V712)),U712-V712,"")</f>
        <v>-0.54100000000000392</v>
      </c>
      <c r="AL712" s="11">
        <f>IF(AND(ISNUMBER(AK712),ISNUMBER(V712)),IF(V712&lt;&gt;0,AK712/ABS(V712),""),"")</f>
        <v>-8.7840361103444439E-3</v>
      </c>
      <c r="AM712" s="8">
        <f>IF(ISNUMBER(AK712),IF(AK712&gt;1,1,0),"")</f>
        <v>0</v>
      </c>
      <c r="AN712" s="8">
        <f>IF(ISNUMBER(AK712),IF(AK712&gt;0.05*ABS(V712),1,0),"")</f>
        <v>0</v>
      </c>
      <c r="AO712" s="10">
        <v>-334.22399999999999</v>
      </c>
      <c r="AP712" s="10">
        <v>334.22399999999999</v>
      </c>
      <c r="AQ712" s="8" t="s">
        <v>204</v>
      </c>
      <c r="AR712" s="8">
        <v>0</v>
      </c>
      <c r="AS712" s="10">
        <v>-660.31700000000001</v>
      </c>
      <c r="AT712" s="10">
        <v>-1041.8150000000001</v>
      </c>
      <c r="AU712" s="8" t="s">
        <v>204</v>
      </c>
      <c r="AV712" s="10">
        <v>28.588999999999999</v>
      </c>
      <c r="AW712" s="11">
        <f>IF(AND(ISNUMBER(AV712),ISNUMBER(AT712)),IF(AT712&lt;&gt;0,AV712/ABS(AT712),""),"")</f>
        <v>2.7441532325796804E-2</v>
      </c>
      <c r="AX712" s="8">
        <v>0</v>
      </c>
      <c r="AY712" s="8">
        <v>0</v>
      </c>
      <c r="AZ712" s="10"/>
      <c r="BA712" s="8">
        <v>0</v>
      </c>
    </row>
    <row r="713" spans="1:53" x14ac:dyDescent="0.2">
      <c r="A713" s="8" t="s">
        <v>343</v>
      </c>
      <c r="B713" s="8" t="s">
        <v>83</v>
      </c>
      <c r="C713" s="8" t="s">
        <v>290</v>
      </c>
      <c r="D713" s="8">
        <v>1</v>
      </c>
      <c r="E713" s="8">
        <v>0</v>
      </c>
      <c r="F713" s="8">
        <f>SUM(G713:M713)</f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1</v>
      </c>
      <c r="Q713" s="8">
        <v>0</v>
      </c>
      <c r="R713" s="8">
        <v>0</v>
      </c>
      <c r="S713" s="8">
        <v>1</v>
      </c>
      <c r="T713" s="10">
        <v>-466.89600000000002</v>
      </c>
      <c r="U713" s="10"/>
      <c r="V713" s="10"/>
      <c r="W713" s="10">
        <f>IF(RIGHT(C713,2)="12",IF(ISNUMBER(T713),T713,""),IF(COUNT(T713,U713,V713)=3,T713+U713-V713,""))</f>
        <v>-466.89600000000002</v>
      </c>
      <c r="X713" s="10">
        <v>-466.89600000000002</v>
      </c>
      <c r="Y713" s="10">
        <v>-8.7810000000000006</v>
      </c>
      <c r="Z713" s="10">
        <v>-353.49099999999999</v>
      </c>
      <c r="AA713" s="10">
        <v>28.588999999999999</v>
      </c>
      <c r="AB713" s="10">
        <v>-133.21199999999999</v>
      </c>
      <c r="AC713" s="8">
        <v>0</v>
      </c>
      <c r="AD713" s="8">
        <v>0</v>
      </c>
      <c r="AE713" s="8">
        <v>0</v>
      </c>
      <c r="AF713" s="10">
        <v>0</v>
      </c>
      <c r="AG713" s="8">
        <f>COUNTIF(Y713:AB713,"&gt;0")</f>
        <v>1</v>
      </c>
      <c r="AH713" s="10">
        <v>28.588999999999999</v>
      </c>
      <c r="AI713" s="10">
        <v>0</v>
      </c>
      <c r="AJ713" s="8" t="str">
        <f>IF(ISNUMBER(X713),IF(X713&gt;0,"+",IF(X713&lt;0,"−","0")),IF(ISNUMBER(W713),IF(W713&gt;0,"+",IF(W713&lt;0,"−","0")),"yok"))</f>
        <v>−</v>
      </c>
      <c r="AK713" s="10" t="str">
        <f>IF(AND(RIGHT(C713,2)&lt;&gt;"12",ISNUMBER(U713),ISNUMBER(V713)),U713-V713,"")</f>
        <v/>
      </c>
      <c r="AL713" s="11" t="str">
        <f>IF(AND(ISNUMBER(AK713),ISNUMBER(V713)),IF(V713&lt;&gt;0,AK713/ABS(V713),""),"")</f>
        <v/>
      </c>
      <c r="AM713" s="8" t="str">
        <f>IF(ISNUMBER(AK713),IF(AK713&gt;1,1,0),"")</f>
        <v/>
      </c>
      <c r="AN713" s="8" t="str">
        <f>IF(ISNUMBER(AK713),IF(AK713&gt;0.05*ABS(V713),1,0),"")</f>
        <v/>
      </c>
      <c r="AO713" s="10">
        <v>-466.89699999999999</v>
      </c>
      <c r="AP713" s="10">
        <v>466.89699999999999</v>
      </c>
      <c r="AQ713" s="8" t="s">
        <v>204</v>
      </c>
      <c r="AR713" s="8">
        <v>0</v>
      </c>
      <c r="AS713" s="10">
        <v>-342.2</v>
      </c>
      <c r="AT713" s="10">
        <v>-833.58100000000002</v>
      </c>
      <c r="AU713" s="8" t="s">
        <v>204</v>
      </c>
      <c r="AV713" s="10">
        <v>28.588999999999999</v>
      </c>
      <c r="AW713" s="11">
        <f>IF(AND(ISNUMBER(AV713),ISNUMBER(AT713)),IF(AT713&lt;&gt;0,AV713/ABS(AT713),""),"")</f>
        <v>3.4296607048385219E-2</v>
      </c>
      <c r="AX713" s="8">
        <v>0</v>
      </c>
      <c r="AY713" s="8">
        <v>0</v>
      </c>
      <c r="AZ713" s="10"/>
      <c r="BA713" s="8">
        <v>0</v>
      </c>
    </row>
    <row r="714" spans="1:53" x14ac:dyDescent="0.2">
      <c r="A714" s="8" t="s">
        <v>591</v>
      </c>
      <c r="B714" s="8" t="s">
        <v>83</v>
      </c>
      <c r="C714" s="8" t="s">
        <v>290</v>
      </c>
      <c r="D714" s="8">
        <v>1</v>
      </c>
      <c r="E714" s="8">
        <v>0</v>
      </c>
      <c r="F714" s="8">
        <f>SUM(G714:M714)</f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1</v>
      </c>
      <c r="Q714" s="8">
        <v>0</v>
      </c>
      <c r="R714" s="8">
        <v>0</v>
      </c>
      <c r="S714" s="8">
        <v>1</v>
      </c>
      <c r="T714" s="10">
        <v>-5528.8879999999999</v>
      </c>
      <c r="U714" s="10"/>
      <c r="V714" s="10"/>
      <c r="W714" s="10">
        <f>IF(RIGHT(C714,2)="12",IF(ISNUMBER(T714),T714,""),IF(COUNT(T714,U714,V714)=3,T714+U714-V714,""))</f>
        <v>-5528.8879999999999</v>
      </c>
      <c r="X714" s="10">
        <v>-5528.8879999999999</v>
      </c>
      <c r="Y714" s="10">
        <v>-1086.7619999999999</v>
      </c>
      <c r="Z714" s="10">
        <v>-2830.8209999999999</v>
      </c>
      <c r="AA714" s="10">
        <v>-1646.1590000000001</v>
      </c>
      <c r="AB714" s="10">
        <v>34.854999999999997</v>
      </c>
      <c r="AC714" s="8">
        <v>0</v>
      </c>
      <c r="AD714" s="8">
        <v>0</v>
      </c>
      <c r="AE714" s="8">
        <v>0</v>
      </c>
      <c r="AF714" s="10">
        <v>0</v>
      </c>
      <c r="AG714" s="8">
        <f>COUNTIF(Y714:AB714,"&gt;0")</f>
        <v>1</v>
      </c>
      <c r="AH714" s="10">
        <v>34.854999999999997</v>
      </c>
      <c r="AI714" s="10">
        <v>0</v>
      </c>
      <c r="AJ714" s="8" t="str">
        <f>IF(ISNUMBER(X714),IF(X714&gt;0,"+",IF(X714&lt;0,"−","0")),IF(ISNUMBER(W714),IF(W714&gt;0,"+",IF(W714&lt;0,"−","0")),"yok"))</f>
        <v>−</v>
      </c>
      <c r="AK714" s="10" t="str">
        <f>IF(AND(RIGHT(C714,2)&lt;&gt;"12",ISNUMBER(U714),ISNUMBER(V714)),U714-V714,"")</f>
        <v/>
      </c>
      <c r="AL714" s="11" t="str">
        <f>IF(AND(ISNUMBER(AK714),ISNUMBER(V714)),IF(V714&lt;&gt;0,AK714/ABS(V714),""),"")</f>
        <v/>
      </c>
      <c r="AM714" s="8" t="str">
        <f>IF(ISNUMBER(AK714),IF(AK714&gt;1,1,0),"")</f>
        <v/>
      </c>
      <c r="AN714" s="8" t="str">
        <f>IF(ISNUMBER(AK714),IF(AK714&gt;0.05*ABS(V714),1,0),"")</f>
        <v/>
      </c>
      <c r="AO714" s="10">
        <v>-5528.8890000000001</v>
      </c>
      <c r="AP714" s="10">
        <v>5528.8890000000001</v>
      </c>
      <c r="AQ714" s="8" t="s">
        <v>204</v>
      </c>
      <c r="AR714" s="8">
        <v>0</v>
      </c>
      <c r="AS714" s="10">
        <v>8333.6710000000003</v>
      </c>
      <c r="AT714" s="10">
        <v>2735.6880000000001</v>
      </c>
      <c r="AU714" s="8" t="s">
        <v>204</v>
      </c>
      <c r="AV714" s="10">
        <v>34.854999999999997</v>
      </c>
      <c r="AW714" s="11">
        <f>IF(AND(ISNUMBER(AV714),ISNUMBER(AT714)),IF(AT714&lt;&gt;0,AV714/ABS(AT714),""),"")</f>
        <v>1.2740853489140573E-2</v>
      </c>
      <c r="AX714" s="8">
        <v>0</v>
      </c>
      <c r="AY714" s="8">
        <v>0</v>
      </c>
      <c r="AZ714" s="10"/>
      <c r="BA714" s="8">
        <v>0</v>
      </c>
    </row>
    <row r="715" spans="1:53" x14ac:dyDescent="0.2">
      <c r="A715" s="8" t="s">
        <v>345</v>
      </c>
      <c r="B715" s="8" t="s">
        <v>82</v>
      </c>
      <c r="C715" s="8" t="s">
        <v>215</v>
      </c>
      <c r="D715" s="8">
        <v>1</v>
      </c>
      <c r="E715" s="8">
        <v>0</v>
      </c>
      <c r="F715" s="8">
        <f>SUM(G715:M715)</f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1</v>
      </c>
      <c r="Q715" s="8">
        <v>0</v>
      </c>
      <c r="R715" s="8">
        <v>0</v>
      </c>
      <c r="S715" s="8">
        <v>1</v>
      </c>
      <c r="T715" s="10">
        <v>-4.5209999999999999</v>
      </c>
      <c r="U715" s="10">
        <v>-13.186</v>
      </c>
      <c r="V715" s="10">
        <v>-4.4240000000000004</v>
      </c>
      <c r="W715" s="10">
        <f>IF(RIGHT(C715,2)="12",IF(ISNUMBER(T715),T715,""),IF(COUNT(T715,U715,V715)=3,T715+U715-V715,""))</f>
        <v>-13.283000000000001</v>
      </c>
      <c r="X715" s="10">
        <v>-13.282999999999999</v>
      </c>
      <c r="Y715" s="10">
        <v>-8.7620000000000005</v>
      </c>
      <c r="Z715" s="10">
        <v>-2.802</v>
      </c>
      <c r="AA715" s="10">
        <v>-3.5659999999999998</v>
      </c>
      <c r="AB715" s="10">
        <v>1.847</v>
      </c>
      <c r="AC715" s="8">
        <v>0</v>
      </c>
      <c r="AD715" s="8">
        <v>0</v>
      </c>
      <c r="AE715" s="8">
        <v>0</v>
      </c>
      <c r="AF715" s="10">
        <v>0</v>
      </c>
      <c r="AG715" s="8">
        <f>COUNTIF(Y715:AB715,"&gt;0")</f>
        <v>1</v>
      </c>
      <c r="AH715" s="10">
        <v>1.847</v>
      </c>
      <c r="AI715" s="10">
        <v>0</v>
      </c>
      <c r="AJ715" s="8" t="str">
        <f>IF(ISNUMBER(X715),IF(X715&gt;0,"+",IF(X715&lt;0,"−","0")),IF(ISNUMBER(W715),IF(W715&gt;0,"+",IF(W715&lt;0,"−","0")),"yok"))</f>
        <v>−</v>
      </c>
      <c r="AK715" s="10">
        <f>IF(AND(RIGHT(C715,2)&lt;&gt;"12",ISNUMBER(U715),ISNUMBER(V715)),U715-V715,"")</f>
        <v>-8.7620000000000005</v>
      </c>
      <c r="AL715" s="11">
        <f>IF(AND(ISNUMBER(AK715),ISNUMBER(V715)),IF(V715&lt;&gt;0,AK715/ABS(V715),""),"")</f>
        <v>-1.9805605786618443</v>
      </c>
      <c r="AM715" s="8">
        <f>IF(ISNUMBER(AK715),IF(AK715&gt;1,1,0),"")</f>
        <v>0</v>
      </c>
      <c r="AN715" s="8">
        <f>IF(ISNUMBER(AK715),IF(AK715&gt;0.05*ABS(V715),1,0),"")</f>
        <v>0</v>
      </c>
      <c r="AO715" s="10">
        <v>-13.284000000000001</v>
      </c>
      <c r="AP715" s="10">
        <v>13.284000000000001</v>
      </c>
      <c r="AQ715" s="8" t="s">
        <v>204</v>
      </c>
      <c r="AR715" s="8">
        <v>0</v>
      </c>
      <c r="AS715" s="10">
        <v>15.448</v>
      </c>
      <c r="AT715" s="10"/>
      <c r="AU715" s="8" t="s">
        <v>207</v>
      </c>
      <c r="AV715" s="10">
        <v>1.847</v>
      </c>
      <c r="AW715" s="11" t="str">
        <f>IF(AND(ISNUMBER(AV715),ISNUMBER(AT715)),IF(AT715&lt;&gt;0,AV715/ABS(AT715),""),"")</f>
        <v/>
      </c>
      <c r="AX715" s="8">
        <v>0</v>
      </c>
      <c r="AY715" s="8">
        <v>0</v>
      </c>
      <c r="AZ715" s="10"/>
      <c r="BA715" s="8">
        <v>0</v>
      </c>
    </row>
    <row r="716" spans="1:53" x14ac:dyDescent="0.2">
      <c r="A716" s="8" t="s">
        <v>345</v>
      </c>
      <c r="B716" s="8" t="s">
        <v>82</v>
      </c>
      <c r="C716" s="8" t="s">
        <v>290</v>
      </c>
      <c r="D716" s="8">
        <v>1</v>
      </c>
      <c r="E716" s="8">
        <v>0</v>
      </c>
      <c r="F716" s="8">
        <f>SUM(G716:M716)</f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1</v>
      </c>
      <c r="Q716" s="8">
        <v>0</v>
      </c>
      <c r="R716" s="8">
        <v>0</v>
      </c>
      <c r="S716" s="8">
        <v>1</v>
      </c>
      <c r="T716" s="10">
        <v>-5.7539999999999996</v>
      </c>
      <c r="U716" s="10"/>
      <c r="V716" s="10"/>
      <c r="W716" s="10">
        <f>IF(RIGHT(C716,2)="12",IF(ISNUMBER(T716),T716,""),IF(COUNT(T716,U716,V716)=3,T716+U716-V716,""))</f>
        <v>-5.7539999999999996</v>
      </c>
      <c r="X716" s="10">
        <v>-5.7539999999999996</v>
      </c>
      <c r="Y716" s="10">
        <v>-2.802</v>
      </c>
      <c r="Z716" s="10">
        <v>-3.5659999999999998</v>
      </c>
      <c r="AA716" s="10">
        <v>1.847</v>
      </c>
      <c r="AB716" s="10">
        <v>-1.2330000000000001</v>
      </c>
      <c r="AC716" s="8">
        <v>0</v>
      </c>
      <c r="AD716" s="8">
        <v>0</v>
      </c>
      <c r="AE716" s="8">
        <v>0</v>
      </c>
      <c r="AF716" s="10">
        <v>0</v>
      </c>
      <c r="AG716" s="8">
        <f>COUNTIF(Y716:AB716,"&gt;0")</f>
        <v>1</v>
      </c>
      <c r="AH716" s="10">
        <v>1.847</v>
      </c>
      <c r="AI716" s="10">
        <v>0</v>
      </c>
      <c r="AJ716" s="8" t="str">
        <f>IF(ISNUMBER(X716),IF(X716&gt;0,"+",IF(X716&lt;0,"−","0")),IF(ISNUMBER(W716),IF(W716&gt;0,"+",IF(W716&lt;0,"−","0")),"yok"))</f>
        <v>−</v>
      </c>
      <c r="AK716" s="10" t="str">
        <f>IF(AND(RIGHT(C716,2)&lt;&gt;"12",ISNUMBER(U716),ISNUMBER(V716)),U716-V716,"")</f>
        <v/>
      </c>
      <c r="AL716" s="11" t="str">
        <f>IF(AND(ISNUMBER(AK716),ISNUMBER(V716)),IF(V716&lt;&gt;0,AK716/ABS(V716),""),"")</f>
        <v/>
      </c>
      <c r="AM716" s="8" t="str">
        <f>IF(ISNUMBER(AK716),IF(AK716&gt;1,1,0),"")</f>
        <v/>
      </c>
      <c r="AN716" s="8" t="str">
        <f>IF(ISNUMBER(AK716),IF(AK716&gt;0.05*ABS(V716),1,0),"")</f>
        <v/>
      </c>
      <c r="AO716" s="10">
        <v>-5.7549999999999999</v>
      </c>
      <c r="AP716" s="10">
        <v>5.7549999999999999</v>
      </c>
      <c r="AQ716" s="8" t="s">
        <v>209</v>
      </c>
      <c r="AR716" s="8">
        <v>0</v>
      </c>
      <c r="AS716" s="10">
        <v>-51.564</v>
      </c>
      <c r="AT716" s="10">
        <v>-66.147999999999996</v>
      </c>
      <c r="AU716" s="8" t="s">
        <v>209</v>
      </c>
      <c r="AV716" s="10">
        <v>1.847</v>
      </c>
      <c r="AW716" s="11">
        <f>IF(AND(ISNUMBER(AV716),ISNUMBER(AT716)),IF(AT716&lt;&gt;0,AV716/ABS(AT716),""),"")</f>
        <v>2.7922234988208262E-2</v>
      </c>
      <c r="AX716" s="8">
        <v>0</v>
      </c>
      <c r="AY716" s="8">
        <v>0</v>
      </c>
      <c r="AZ716" s="10"/>
      <c r="BA716" s="8">
        <v>0</v>
      </c>
    </row>
    <row r="717" spans="1:53" x14ac:dyDescent="0.2">
      <c r="A717" s="8" t="s">
        <v>345</v>
      </c>
      <c r="B717" s="8" t="s">
        <v>82</v>
      </c>
      <c r="C717" s="8" t="s">
        <v>208</v>
      </c>
      <c r="D717" s="8">
        <v>1</v>
      </c>
      <c r="E717" s="8">
        <v>0</v>
      </c>
      <c r="F717" s="8">
        <f>SUM(G717:M717)</f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1</v>
      </c>
      <c r="Q717" s="8">
        <v>0</v>
      </c>
      <c r="R717" s="8">
        <v>1</v>
      </c>
      <c r="S717" s="8">
        <v>0</v>
      </c>
      <c r="T717" s="10">
        <v>-2.407</v>
      </c>
      <c r="U717" s="10">
        <v>-5.7539999999999996</v>
      </c>
      <c r="V717" s="10">
        <v>-2.802</v>
      </c>
      <c r="W717" s="10">
        <f>IF(RIGHT(C717,2)="12",IF(ISNUMBER(T717),T717,""),IF(COUNT(T717,U717,V717)=3,T717+U717-V717,""))</f>
        <v>-5.359</v>
      </c>
      <c r="X717" s="10">
        <v>-5.359</v>
      </c>
      <c r="Y717" s="10">
        <v>-3.5659999999999998</v>
      </c>
      <c r="Z717" s="10">
        <v>1.847</v>
      </c>
      <c r="AA717" s="10">
        <v>-1.2330000000000001</v>
      </c>
      <c r="AB717" s="10">
        <v>-2.407</v>
      </c>
      <c r="AC717" s="8">
        <v>0</v>
      </c>
      <c r="AD717" s="8">
        <v>0</v>
      </c>
      <c r="AE717" s="8">
        <v>0</v>
      </c>
      <c r="AF717" s="10">
        <v>0</v>
      </c>
      <c r="AG717" s="8">
        <f>COUNTIF(Y717:AB717,"&gt;0")</f>
        <v>1</v>
      </c>
      <c r="AH717" s="10">
        <v>0</v>
      </c>
      <c r="AI717" s="10">
        <v>1.847</v>
      </c>
      <c r="AJ717" s="8" t="str">
        <f>IF(ISNUMBER(X717),IF(X717&gt;0,"+",IF(X717&lt;0,"−","0")),IF(ISNUMBER(W717),IF(W717&gt;0,"+",IF(W717&lt;0,"−","0")),"yok"))</f>
        <v>−</v>
      </c>
      <c r="AK717" s="10">
        <f>IF(AND(RIGHT(C717,2)&lt;&gt;"12",ISNUMBER(U717),ISNUMBER(V717)),U717-V717,"")</f>
        <v>-2.9519999999999995</v>
      </c>
      <c r="AL717" s="11">
        <f>IF(AND(ISNUMBER(AK717),ISNUMBER(V717)),IF(V717&lt;&gt;0,AK717/ABS(V717),""),"")</f>
        <v>-1.0535331905781582</v>
      </c>
      <c r="AM717" s="8">
        <f>IF(ISNUMBER(AK717),IF(AK717&gt;1,1,0),"")</f>
        <v>0</v>
      </c>
      <c r="AN717" s="8">
        <f>IF(ISNUMBER(AK717),IF(AK717&gt;0.05*ABS(V717),1,0),"")</f>
        <v>0</v>
      </c>
      <c r="AO717" s="10">
        <v>-5.36</v>
      </c>
      <c r="AP717" s="10">
        <v>5.36</v>
      </c>
      <c r="AQ717" s="8" t="s">
        <v>204</v>
      </c>
      <c r="AR717" s="8">
        <v>0</v>
      </c>
      <c r="AS717" s="10">
        <v>-100.83199999999999</v>
      </c>
      <c r="AT717" s="10"/>
      <c r="AU717" s="8" t="s">
        <v>207</v>
      </c>
      <c r="AV717" s="10">
        <v>1.847</v>
      </c>
      <c r="AW717" s="11" t="str">
        <f>IF(AND(ISNUMBER(AV717),ISNUMBER(AT717)),IF(AT717&lt;&gt;0,AV717/ABS(AT717),""),"")</f>
        <v/>
      </c>
      <c r="AX717" s="8">
        <v>0</v>
      </c>
      <c r="AY717" s="8">
        <v>0</v>
      </c>
      <c r="AZ717" s="10"/>
      <c r="BA717" s="8">
        <v>0</v>
      </c>
    </row>
    <row r="718" spans="1:53" x14ac:dyDescent="0.2">
      <c r="A718" s="8" t="s">
        <v>345</v>
      </c>
      <c r="B718" s="8" t="s">
        <v>82</v>
      </c>
      <c r="C718" s="8" t="s">
        <v>210</v>
      </c>
      <c r="D718" s="8">
        <v>1</v>
      </c>
      <c r="E718" s="8">
        <v>0</v>
      </c>
      <c r="F718" s="8">
        <f>SUM(G718:M718)</f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1</v>
      </c>
      <c r="Q718" s="8">
        <v>0</v>
      </c>
      <c r="R718" s="8">
        <v>1</v>
      </c>
      <c r="S718" s="8">
        <v>0</v>
      </c>
      <c r="T718" s="10">
        <v>-4.5</v>
      </c>
      <c r="U718" s="10">
        <v>-5.7539999999999996</v>
      </c>
      <c r="V718" s="10">
        <v>-6.3689999999999998</v>
      </c>
      <c r="W718" s="10">
        <f>IF(RIGHT(C718,2)="12",IF(ISNUMBER(T718),T718,""),IF(COUNT(T718,U718,V718)=3,T718+U718-V718,""))</f>
        <v>-3.8849999999999998</v>
      </c>
      <c r="X718" s="10">
        <v>-3.8849999999999998</v>
      </c>
      <c r="Y718" s="10">
        <v>1.847</v>
      </c>
      <c r="Z718" s="10">
        <v>-1.2330000000000001</v>
      </c>
      <c r="AA718" s="10">
        <v>-2.407</v>
      </c>
      <c r="AB718" s="10">
        <v>-2.0920000000000001</v>
      </c>
      <c r="AC718" s="8">
        <v>0</v>
      </c>
      <c r="AD718" s="8">
        <v>0</v>
      </c>
      <c r="AE718" s="8">
        <v>0</v>
      </c>
      <c r="AF718" s="10">
        <v>0</v>
      </c>
      <c r="AG718" s="8">
        <f>COUNTIF(Y718:AB718,"&gt;0")</f>
        <v>1</v>
      </c>
      <c r="AH718" s="10">
        <v>0</v>
      </c>
      <c r="AI718" s="10">
        <v>1.847</v>
      </c>
      <c r="AJ718" s="8" t="str">
        <f>IF(ISNUMBER(X718),IF(X718&gt;0,"+",IF(X718&lt;0,"−","0")),IF(ISNUMBER(W718),IF(W718&gt;0,"+",IF(W718&lt;0,"−","0")),"yok"))</f>
        <v>−</v>
      </c>
      <c r="AK718" s="10">
        <f>IF(AND(RIGHT(C718,2)&lt;&gt;"12",ISNUMBER(U718),ISNUMBER(V718)),U718-V718,"")</f>
        <v>0.61500000000000021</v>
      </c>
      <c r="AL718" s="11">
        <f>IF(AND(ISNUMBER(AK718),ISNUMBER(V718)),IF(V718&lt;&gt;0,AK718/ABS(V718),""),"")</f>
        <v>9.6561469618464471E-2</v>
      </c>
      <c r="AM718" s="8">
        <f>IF(ISNUMBER(AK718),IF(AK718&gt;1,1,0),"")</f>
        <v>0</v>
      </c>
      <c r="AN718" s="8">
        <f>IF(ISNUMBER(AK718),IF(AK718&gt;0.05*ABS(V718),1,0),"")</f>
        <v>1</v>
      </c>
      <c r="AO718" s="10">
        <v>-3.8860000000000001</v>
      </c>
      <c r="AP718" s="10">
        <v>3.8860000000000001</v>
      </c>
      <c r="AQ718" s="8" t="s">
        <v>204</v>
      </c>
      <c r="AR718" s="8">
        <v>0</v>
      </c>
      <c r="AS718" s="10">
        <v>166.72800000000001</v>
      </c>
      <c r="AT718" s="10"/>
      <c r="AU718" s="8" t="s">
        <v>207</v>
      </c>
      <c r="AV718" s="10">
        <v>0.61499999999999999</v>
      </c>
      <c r="AW718" s="11" t="str">
        <f>IF(AND(ISNUMBER(AV718),ISNUMBER(AT718)),IF(AT718&lt;&gt;0,AV718/ABS(AT718),""),"")</f>
        <v/>
      </c>
      <c r="AX718" s="8">
        <v>0</v>
      </c>
      <c r="AY718" s="8">
        <v>0</v>
      </c>
      <c r="AZ718" s="10"/>
      <c r="BA718" s="8">
        <v>0</v>
      </c>
    </row>
    <row r="719" spans="1:53" x14ac:dyDescent="0.2">
      <c r="A719" s="8" t="s">
        <v>345</v>
      </c>
      <c r="B719" s="8" t="s">
        <v>84</v>
      </c>
      <c r="C719" s="8" t="s">
        <v>203</v>
      </c>
      <c r="D719" s="8">
        <v>1</v>
      </c>
      <c r="E719" s="8">
        <v>0</v>
      </c>
      <c r="F719" s="8">
        <f>SUM(G719:M719)</f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1</v>
      </c>
      <c r="P719" s="8">
        <v>1</v>
      </c>
      <c r="Q719" s="8">
        <v>0</v>
      </c>
      <c r="R719" s="8">
        <v>0</v>
      </c>
      <c r="S719" s="8">
        <v>0</v>
      </c>
      <c r="T719" s="10">
        <v>7.84</v>
      </c>
      <c r="U719" s="10"/>
      <c r="V719" s="10">
        <v>31.332000000000001</v>
      </c>
      <c r="W719" s="10" t="str">
        <f>IF(RIGHT(C719,2)="12",IF(ISNUMBER(T719),T719,""),IF(COUNT(T719,U719,V719)=3,T719+U719-V719,""))</f>
        <v/>
      </c>
      <c r="X719" s="10"/>
      <c r="Y719" s="10">
        <v>-1.988</v>
      </c>
      <c r="Z719" s="10">
        <v>0.32600000000000001</v>
      </c>
      <c r="AA719" s="10"/>
      <c r="AB719" s="10">
        <v>7.84</v>
      </c>
      <c r="AC719" s="8">
        <v>1</v>
      </c>
      <c r="AD719" s="8">
        <v>0</v>
      </c>
      <c r="AE719" s="8">
        <v>1</v>
      </c>
      <c r="AF719" s="10">
        <v>31.332000000000001</v>
      </c>
      <c r="AG719" s="8">
        <f>COUNTIF(Y719:AB719,"&gt;0")</f>
        <v>2</v>
      </c>
      <c r="AH719" s="10">
        <v>0</v>
      </c>
      <c r="AI719" s="10">
        <v>0.32600000000000001</v>
      </c>
      <c r="AJ719" s="8" t="str">
        <f>IF(ISNUMBER(X719),IF(X719&gt;0,"+",IF(X719&lt;0,"−","0")),IF(ISNUMBER(W719),IF(W719&gt;0,"+",IF(W719&lt;0,"−","0")),"yok"))</f>
        <v>yok</v>
      </c>
      <c r="AK719" s="10" t="str">
        <f>IF(AND(RIGHT(C719,2)&lt;&gt;"12",ISNUMBER(U719),ISNUMBER(V719)),U719-V719,"")</f>
        <v/>
      </c>
      <c r="AL719" s="11" t="str">
        <f>IF(AND(ISNUMBER(AK719),ISNUMBER(V719)),IF(V719&lt;&gt;0,AK719/ABS(V719),""),"")</f>
        <v/>
      </c>
      <c r="AM719" s="8" t="str">
        <f>IF(ISNUMBER(AK719),IF(AK719&gt;1,1,0),"")</f>
        <v/>
      </c>
      <c r="AN719" s="8" t="str">
        <f>IF(ISNUMBER(AK719),IF(AK719&gt;0.05*ABS(V719),1,0),"")</f>
        <v/>
      </c>
      <c r="AO719" s="10"/>
      <c r="AP719" s="10"/>
      <c r="AQ719" s="8" t="s">
        <v>207</v>
      </c>
      <c r="AR719" s="8">
        <v>0</v>
      </c>
      <c r="AS719" s="10">
        <v>56.011000000000003</v>
      </c>
      <c r="AT719" s="10"/>
      <c r="AU719" s="8" t="s">
        <v>207</v>
      </c>
      <c r="AV719" s="10">
        <v>31.332000000000001</v>
      </c>
      <c r="AW719" s="11" t="str">
        <f>IF(AND(ISNUMBER(AV719),ISNUMBER(AT719)),IF(AT719&lt;&gt;0,AV719/ABS(AT719),""),"")</f>
        <v/>
      </c>
      <c r="AX719" s="8">
        <v>1</v>
      </c>
      <c r="AY719" s="8">
        <v>0</v>
      </c>
      <c r="AZ719" s="8" t="s">
        <v>592</v>
      </c>
      <c r="BA719" s="8">
        <v>0</v>
      </c>
    </row>
    <row r="720" spans="1:53" x14ac:dyDescent="0.2">
      <c r="A720" s="8" t="s">
        <v>345</v>
      </c>
      <c r="B720" s="8" t="s">
        <v>84</v>
      </c>
      <c r="C720" s="8" t="s">
        <v>205</v>
      </c>
      <c r="D720" s="8">
        <v>1</v>
      </c>
      <c r="E720" s="8">
        <v>0</v>
      </c>
      <c r="F720" s="8">
        <f>SUM(G720:M720)</f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1</v>
      </c>
      <c r="P720" s="8">
        <v>1</v>
      </c>
      <c r="Q720" s="8">
        <v>0</v>
      </c>
      <c r="R720" s="8">
        <v>0</v>
      </c>
      <c r="S720" s="8">
        <v>1</v>
      </c>
      <c r="T720" s="10">
        <v>40.075000000000003</v>
      </c>
      <c r="U720" s="10"/>
      <c r="V720" s="10">
        <v>29.343</v>
      </c>
      <c r="W720" s="10" t="str">
        <f>IF(RIGHT(C720,2)="12",IF(ISNUMBER(T720),T720,""),IF(COUNT(T720,U720,V720)=3,T720+U720-V720,""))</f>
        <v/>
      </c>
      <c r="X720" s="10"/>
      <c r="Y720" s="10">
        <v>0.32600000000000001</v>
      </c>
      <c r="Z720" s="10"/>
      <c r="AA720" s="10">
        <v>7.84</v>
      </c>
      <c r="AB720" s="10">
        <v>32.234999999999999</v>
      </c>
      <c r="AC720" s="8">
        <v>1</v>
      </c>
      <c r="AD720" s="8">
        <v>0</v>
      </c>
      <c r="AE720" s="8">
        <v>1</v>
      </c>
      <c r="AF720" s="10">
        <v>40.075000000000003</v>
      </c>
      <c r="AG720" s="8">
        <f>COUNTIF(Y720:AB720,"&gt;0")</f>
        <v>3</v>
      </c>
      <c r="AH720" s="10">
        <v>32.234999999999999</v>
      </c>
      <c r="AI720" s="10">
        <v>0.32600000000000001</v>
      </c>
      <c r="AJ720" s="8" t="str">
        <f>IF(ISNUMBER(X720),IF(X720&gt;0,"+",IF(X720&lt;0,"−","0")),IF(ISNUMBER(W720),IF(W720&gt;0,"+",IF(W720&lt;0,"−","0")),"yok"))</f>
        <v>yok</v>
      </c>
      <c r="AK720" s="10" t="str">
        <f>IF(AND(RIGHT(C720,2)&lt;&gt;"12",ISNUMBER(U720),ISNUMBER(V720)),U720-V720,"")</f>
        <v/>
      </c>
      <c r="AL720" s="11" t="str">
        <f>IF(AND(ISNUMBER(AK720),ISNUMBER(V720)),IF(V720&lt;&gt;0,AK720/ABS(V720),""),"")</f>
        <v/>
      </c>
      <c r="AM720" s="8" t="str">
        <f>IF(ISNUMBER(AK720),IF(AK720&gt;1,1,0),"")</f>
        <v/>
      </c>
      <c r="AN720" s="8" t="str">
        <f>IF(ISNUMBER(AK720),IF(AK720&gt;0.05*ABS(V720),1,0),"")</f>
        <v/>
      </c>
      <c r="AO720" s="10"/>
      <c r="AP720" s="10"/>
      <c r="AQ720" s="8" t="s">
        <v>207</v>
      </c>
      <c r="AR720" s="8">
        <v>0</v>
      </c>
      <c r="AS720" s="10">
        <v>-222.821</v>
      </c>
      <c r="AT720" s="10"/>
      <c r="AU720" s="8" t="s">
        <v>207</v>
      </c>
      <c r="AV720" s="10">
        <v>40.075000000000003</v>
      </c>
      <c r="AW720" s="11" t="str">
        <f>IF(AND(ISNUMBER(AV720),ISNUMBER(AT720)),IF(AT720&lt;&gt;0,AV720/ABS(AT720),""),"")</f>
        <v/>
      </c>
      <c r="AX720" s="8">
        <v>1</v>
      </c>
      <c r="AY720" s="8">
        <v>0</v>
      </c>
      <c r="AZ720" s="8" t="s">
        <v>593</v>
      </c>
      <c r="BA720" s="8">
        <v>0</v>
      </c>
    </row>
    <row r="721" spans="1:53" x14ac:dyDescent="0.2">
      <c r="A721" s="8" t="s">
        <v>345</v>
      </c>
      <c r="B721" s="8" t="s">
        <v>84</v>
      </c>
      <c r="C721" s="8" t="s">
        <v>215</v>
      </c>
      <c r="D721" s="8">
        <v>1</v>
      </c>
      <c r="E721" s="8">
        <v>0</v>
      </c>
      <c r="F721" s="8">
        <f>SUM(G721:M721)</f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1</v>
      </c>
      <c r="P721" s="8">
        <v>1</v>
      </c>
      <c r="Q721" s="8">
        <v>0</v>
      </c>
      <c r="R721" s="8">
        <v>0</v>
      </c>
      <c r="S721" s="8">
        <v>1</v>
      </c>
      <c r="T721" s="10">
        <v>40.076000000000001</v>
      </c>
      <c r="U721" s="10"/>
      <c r="V721" s="10">
        <v>29.67</v>
      </c>
      <c r="W721" s="10" t="str">
        <f>IF(RIGHT(C721,2)="12",IF(ISNUMBER(T721),T721,""),IF(COUNT(T721,U721,V721)=3,T721+U721-V721,""))</f>
        <v/>
      </c>
      <c r="X721" s="10"/>
      <c r="Y721" s="10"/>
      <c r="Z721" s="10">
        <v>7.84</v>
      </c>
      <c r="AA721" s="10">
        <v>32.234999999999999</v>
      </c>
      <c r="AB721" s="10">
        <v>0</v>
      </c>
      <c r="AC721" s="8">
        <v>1</v>
      </c>
      <c r="AD721" s="8">
        <v>0</v>
      </c>
      <c r="AE721" s="8">
        <v>1</v>
      </c>
      <c r="AF721" s="10">
        <v>40.076000000000001</v>
      </c>
      <c r="AG721" s="8">
        <f>COUNTIF(Y721:AB721,"&gt;0")</f>
        <v>2</v>
      </c>
      <c r="AH721" s="10">
        <v>32.234999999999999</v>
      </c>
      <c r="AI721" s="10">
        <v>0</v>
      </c>
      <c r="AJ721" s="8" t="str">
        <f>IF(ISNUMBER(X721),IF(X721&gt;0,"+",IF(X721&lt;0,"−","0")),IF(ISNUMBER(W721),IF(W721&gt;0,"+",IF(W721&lt;0,"−","0")),"yok"))</f>
        <v>yok</v>
      </c>
      <c r="AK721" s="10" t="str">
        <f>IF(AND(RIGHT(C721,2)&lt;&gt;"12",ISNUMBER(U721),ISNUMBER(V721)),U721-V721,"")</f>
        <v/>
      </c>
      <c r="AL721" s="11" t="str">
        <f>IF(AND(ISNUMBER(AK721),ISNUMBER(V721)),IF(V721&lt;&gt;0,AK721/ABS(V721),""),"")</f>
        <v/>
      </c>
      <c r="AM721" s="8" t="str">
        <f>IF(ISNUMBER(AK721),IF(AK721&gt;1,1,0),"")</f>
        <v/>
      </c>
      <c r="AN721" s="8" t="str">
        <f>IF(ISNUMBER(AK721),IF(AK721&gt;0.05*ABS(V721),1,0),"")</f>
        <v/>
      </c>
      <c r="AO721" s="10"/>
      <c r="AP721" s="10"/>
      <c r="AQ721" s="8" t="s">
        <v>207</v>
      </c>
      <c r="AR721" s="8">
        <v>0</v>
      </c>
      <c r="AS721" s="10">
        <v>15.448</v>
      </c>
      <c r="AT721" s="10"/>
      <c r="AU721" s="8" t="s">
        <v>207</v>
      </c>
      <c r="AV721" s="10">
        <v>40.076000000000001</v>
      </c>
      <c r="AW721" s="11" t="str">
        <f>IF(AND(ISNUMBER(AV721),ISNUMBER(AT721)),IF(AT721&lt;&gt;0,AV721/ABS(AT721),""),"")</f>
        <v/>
      </c>
      <c r="AX721" s="8">
        <v>1</v>
      </c>
      <c r="AY721" s="8">
        <v>0</v>
      </c>
      <c r="AZ721" s="8" t="s">
        <v>594</v>
      </c>
      <c r="BA721" s="8">
        <v>0</v>
      </c>
    </row>
    <row r="722" spans="1:53" x14ac:dyDescent="0.2">
      <c r="A722" s="8" t="s">
        <v>345</v>
      </c>
      <c r="B722" s="8" t="s">
        <v>84</v>
      </c>
      <c r="C722" s="8" t="s">
        <v>210</v>
      </c>
      <c r="D722" s="8">
        <v>1</v>
      </c>
      <c r="E722" s="8">
        <v>0</v>
      </c>
      <c r="F722" s="8">
        <f>SUM(G722:M722)</f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1</v>
      </c>
      <c r="P722" s="8">
        <v>0</v>
      </c>
      <c r="Q722" s="8">
        <v>0</v>
      </c>
      <c r="R722" s="8">
        <v>0</v>
      </c>
      <c r="S722" s="8">
        <v>0</v>
      </c>
      <c r="T722" s="10">
        <v>0</v>
      </c>
      <c r="U722" s="10"/>
      <c r="V722" s="10">
        <v>40.075000000000003</v>
      </c>
      <c r="W722" s="10" t="str">
        <f>IF(RIGHT(C722,2)="12",IF(ISNUMBER(T722),T722,""),IF(COUNT(T722,U722,V722)=3,T722+U722-V722,""))</f>
        <v/>
      </c>
      <c r="X722" s="10"/>
      <c r="Y722" s="10">
        <v>0</v>
      </c>
      <c r="Z722" s="10"/>
      <c r="AA722" s="10">
        <v>0</v>
      </c>
      <c r="AB722" s="10">
        <v>0</v>
      </c>
      <c r="AC722" s="8">
        <v>0</v>
      </c>
      <c r="AD722" s="8">
        <v>0</v>
      </c>
      <c r="AE722" s="8">
        <v>1</v>
      </c>
      <c r="AF722" s="10">
        <v>40.075000000000003</v>
      </c>
      <c r="AG722" s="8">
        <f>COUNTIF(Y722:AB722,"&gt;0")</f>
        <v>0</v>
      </c>
      <c r="AH722" s="10">
        <v>0</v>
      </c>
      <c r="AI722" s="10">
        <v>0</v>
      </c>
      <c r="AJ722" s="8" t="str">
        <f>IF(ISNUMBER(X722),IF(X722&gt;0,"+",IF(X722&lt;0,"−","0")),IF(ISNUMBER(W722),IF(W722&gt;0,"+",IF(W722&lt;0,"−","0")),"yok"))</f>
        <v>yok</v>
      </c>
      <c r="AK722" s="10" t="str">
        <f>IF(AND(RIGHT(C722,2)&lt;&gt;"12",ISNUMBER(U722),ISNUMBER(V722)),U722-V722,"")</f>
        <v/>
      </c>
      <c r="AL722" s="11" t="str">
        <f>IF(AND(ISNUMBER(AK722),ISNUMBER(V722)),IF(V722&lt;&gt;0,AK722/ABS(V722),""),"")</f>
        <v/>
      </c>
      <c r="AM722" s="8" t="str">
        <f>IF(ISNUMBER(AK722),IF(AK722&gt;1,1,0),"")</f>
        <v/>
      </c>
      <c r="AN722" s="8" t="str">
        <f>IF(ISNUMBER(AK722),IF(AK722&gt;0.05*ABS(V722),1,0),"")</f>
        <v/>
      </c>
      <c r="AO722" s="10"/>
      <c r="AP722" s="10"/>
      <c r="AQ722" s="8" t="s">
        <v>207</v>
      </c>
      <c r="AR722" s="8">
        <v>0</v>
      </c>
      <c r="AS722" s="10">
        <v>166.72800000000001</v>
      </c>
      <c r="AT722" s="10"/>
      <c r="AU722" s="8" t="s">
        <v>207</v>
      </c>
      <c r="AV722" s="10">
        <v>40.075000000000003</v>
      </c>
      <c r="AW722" s="11" t="str">
        <f>IF(AND(ISNUMBER(AV722),ISNUMBER(AT722)),IF(AT722&lt;&gt;0,AV722/ABS(AT722),""),"")</f>
        <v/>
      </c>
      <c r="AX722" s="8">
        <v>1</v>
      </c>
      <c r="AY722" s="8">
        <v>0</v>
      </c>
      <c r="AZ722" s="8" t="s">
        <v>595</v>
      </c>
      <c r="BA722" s="8">
        <v>0</v>
      </c>
    </row>
    <row r="723" spans="1:53" x14ac:dyDescent="0.2">
      <c r="A723" s="8" t="s">
        <v>348</v>
      </c>
      <c r="B723" s="8" t="s">
        <v>83</v>
      </c>
      <c r="C723" s="8" t="s">
        <v>205</v>
      </c>
      <c r="D723" s="8">
        <v>1</v>
      </c>
      <c r="E723" s="8">
        <v>0</v>
      </c>
      <c r="F723" s="8">
        <f>SUM(G723:M723)</f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1</v>
      </c>
      <c r="Q723" s="8">
        <v>0</v>
      </c>
      <c r="R723" s="8">
        <v>0</v>
      </c>
      <c r="S723" s="8">
        <v>1</v>
      </c>
      <c r="T723" s="10">
        <v>-7688.384</v>
      </c>
      <c r="U723" s="10">
        <v>-35082.667000000001</v>
      </c>
      <c r="V723" s="10">
        <v>-13287.597</v>
      </c>
      <c r="W723" s="10">
        <f>IF(RIGHT(C723,2)="12",IF(ISNUMBER(T723),T723,""),IF(COUNT(T723,U723,V723)=3,T723+U723-V723,""))</f>
        <v>-29483.453999999998</v>
      </c>
      <c r="X723" s="10">
        <v>-29483.454000000002</v>
      </c>
      <c r="Y723" s="10">
        <v>-8630.0239999999994</v>
      </c>
      <c r="Z723" s="10">
        <v>-13165.046</v>
      </c>
      <c r="AA723" s="10">
        <v>-11233.376</v>
      </c>
      <c r="AB723" s="10">
        <v>3544.9920000000002</v>
      </c>
      <c r="AC723" s="8">
        <v>0</v>
      </c>
      <c r="AD723" s="8">
        <v>0</v>
      </c>
      <c r="AE723" s="8">
        <v>0</v>
      </c>
      <c r="AF723" s="10">
        <v>0</v>
      </c>
      <c r="AG723" s="8">
        <f>COUNTIF(Y723:AB723,"&gt;0")</f>
        <v>1</v>
      </c>
      <c r="AH723" s="10">
        <v>3544.9920000000002</v>
      </c>
      <c r="AI723" s="10">
        <v>0</v>
      </c>
      <c r="AJ723" s="8" t="str">
        <f>IF(ISNUMBER(X723),IF(X723&gt;0,"+",IF(X723&lt;0,"−","0")),IF(ISNUMBER(W723),IF(W723&gt;0,"+",IF(W723&lt;0,"−","0")),"yok"))</f>
        <v>−</v>
      </c>
      <c r="AK723" s="10">
        <f>IF(AND(RIGHT(C723,2)&lt;&gt;"12",ISNUMBER(U723),ISNUMBER(V723)),U723-V723,"")</f>
        <v>-21795.07</v>
      </c>
      <c r="AL723" s="11">
        <f>IF(AND(ISNUMBER(AK723),ISNUMBER(V723)),IF(V723&lt;&gt;0,AK723/ABS(V723),""),"")</f>
        <v>-1.6402566995371699</v>
      </c>
      <c r="AM723" s="8">
        <f>IF(ISNUMBER(AK723),IF(AK723&gt;1,1,0),"")</f>
        <v>0</v>
      </c>
      <c r="AN723" s="8">
        <f>IF(ISNUMBER(AK723),IF(AK723&gt;0.05*ABS(V723),1,0),"")</f>
        <v>0</v>
      </c>
      <c r="AO723" s="10">
        <v>-29483.454000000002</v>
      </c>
      <c r="AP723" s="10">
        <v>29483.454000000002</v>
      </c>
      <c r="AQ723" s="8" t="s">
        <v>204</v>
      </c>
      <c r="AR723" s="8">
        <v>0</v>
      </c>
      <c r="AS723" s="10">
        <v>57478.930999999997</v>
      </c>
      <c r="AT723" s="10">
        <v>27585.576000000001</v>
      </c>
      <c r="AU723" s="8" t="s">
        <v>204</v>
      </c>
      <c r="AV723" s="10">
        <v>3544.9920000000002</v>
      </c>
      <c r="AW723" s="11">
        <f>IF(AND(ISNUMBER(AV723),ISNUMBER(AT723)),IF(AT723&lt;&gt;0,AV723/ABS(AT723),""),"")</f>
        <v>0.12850889899852011</v>
      </c>
      <c r="AX723" s="8">
        <v>0</v>
      </c>
      <c r="AY723" s="8">
        <v>0</v>
      </c>
      <c r="AZ723" s="10"/>
      <c r="BA723" s="8">
        <v>0</v>
      </c>
    </row>
    <row r="724" spans="1:53" x14ac:dyDescent="0.2">
      <c r="A724" s="8" t="s">
        <v>348</v>
      </c>
      <c r="B724" s="8" t="s">
        <v>83</v>
      </c>
      <c r="C724" s="8" t="s">
        <v>215</v>
      </c>
      <c r="D724" s="8">
        <v>1</v>
      </c>
      <c r="E724" s="8">
        <v>0</v>
      </c>
      <c r="F724" s="8">
        <f>SUM(G724:M724)</f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1</v>
      </c>
      <c r="Q724" s="8">
        <v>0</v>
      </c>
      <c r="R724" s="8">
        <v>0</v>
      </c>
      <c r="S724" s="8">
        <v>1</v>
      </c>
      <c r="T724" s="10">
        <v>-10977.582</v>
      </c>
      <c r="U724" s="10">
        <v>-35082.667000000001</v>
      </c>
      <c r="V724" s="10">
        <v>-21917.620999999999</v>
      </c>
      <c r="W724" s="10">
        <f>IF(RIGHT(C724,2)="12",IF(ISNUMBER(T724),T724,""),IF(COUNT(T724,U724,V724)=3,T724+U724-V724,""))</f>
        <v>-24142.628000000004</v>
      </c>
      <c r="X724" s="10">
        <v>-24142.628000000001</v>
      </c>
      <c r="Y724" s="10">
        <v>-13165.046</v>
      </c>
      <c r="Z724" s="10">
        <v>-11233.376</v>
      </c>
      <c r="AA724" s="10">
        <v>3544.9920000000002</v>
      </c>
      <c r="AB724" s="10">
        <v>-3289.1979999999999</v>
      </c>
      <c r="AC724" s="8">
        <v>0</v>
      </c>
      <c r="AD724" s="8">
        <v>0</v>
      </c>
      <c r="AE724" s="8">
        <v>0</v>
      </c>
      <c r="AF724" s="10">
        <v>0</v>
      </c>
      <c r="AG724" s="8">
        <f>COUNTIF(Y724:AB724,"&gt;0")</f>
        <v>1</v>
      </c>
      <c r="AH724" s="10">
        <v>3544.9920000000002</v>
      </c>
      <c r="AI724" s="10">
        <v>0</v>
      </c>
      <c r="AJ724" s="8" t="str">
        <f>IF(ISNUMBER(X724),IF(X724&gt;0,"+",IF(X724&lt;0,"−","0")),IF(ISNUMBER(W724),IF(W724&gt;0,"+",IF(W724&lt;0,"−","0")),"yok"))</f>
        <v>−</v>
      </c>
      <c r="AK724" s="10">
        <f>IF(AND(RIGHT(C724,2)&lt;&gt;"12",ISNUMBER(U724),ISNUMBER(V724)),U724-V724,"")</f>
        <v>-13165.046000000002</v>
      </c>
      <c r="AL724" s="11">
        <f>IF(AND(ISNUMBER(AK724),ISNUMBER(V724)),IF(V724&lt;&gt;0,AK724/ABS(V724),""),"")</f>
        <v>-0.6006603545156658</v>
      </c>
      <c r="AM724" s="8">
        <f>IF(ISNUMBER(AK724),IF(AK724&gt;1,1,0),"")</f>
        <v>0</v>
      </c>
      <c r="AN724" s="8">
        <f>IF(ISNUMBER(AK724),IF(AK724&gt;0.05*ABS(V724),1,0),"")</f>
        <v>0</v>
      </c>
      <c r="AO724" s="10">
        <v>-24142.628000000001</v>
      </c>
      <c r="AP724" s="10">
        <v>24142.628000000001</v>
      </c>
      <c r="AQ724" s="8" t="s">
        <v>204</v>
      </c>
      <c r="AR724" s="8">
        <v>0</v>
      </c>
      <c r="AS724" s="10">
        <v>65727.495999999999</v>
      </c>
      <c r="AT724" s="10">
        <v>41132.440999999999</v>
      </c>
      <c r="AU724" s="8" t="s">
        <v>204</v>
      </c>
      <c r="AV724" s="10">
        <v>3544.9920000000002</v>
      </c>
      <c r="AW724" s="11">
        <f>IF(AND(ISNUMBER(AV724),ISNUMBER(AT724)),IF(AT724&lt;&gt;0,AV724/ABS(AT724),""),"")</f>
        <v>8.6184819422703368E-2</v>
      </c>
      <c r="AX724" s="8">
        <v>0</v>
      </c>
      <c r="AY724" s="8">
        <v>0</v>
      </c>
      <c r="AZ724" s="10"/>
      <c r="BA724" s="8">
        <v>0</v>
      </c>
    </row>
    <row r="725" spans="1:53" x14ac:dyDescent="0.2">
      <c r="A725" s="8" t="s">
        <v>348</v>
      </c>
      <c r="B725" s="8" t="s">
        <v>83</v>
      </c>
      <c r="C725" s="8" t="s">
        <v>290</v>
      </c>
      <c r="D725" s="8">
        <v>1</v>
      </c>
      <c r="E725" s="8">
        <v>0</v>
      </c>
      <c r="F725" s="8">
        <f>SUM(G725:M725)</f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1</v>
      </c>
      <c r="Q725" s="8">
        <v>0</v>
      </c>
      <c r="R725" s="8">
        <v>0</v>
      </c>
      <c r="S725" s="8">
        <v>1</v>
      </c>
      <c r="T725" s="10">
        <v>-15338.376</v>
      </c>
      <c r="U725" s="10"/>
      <c r="V725" s="10"/>
      <c r="W725" s="10">
        <f>IF(RIGHT(C725,2)="12",IF(ISNUMBER(T725),T725,""),IF(COUNT(T725,U725,V725)=3,T725+U725-V725,""))</f>
        <v>-15338.376</v>
      </c>
      <c r="X725" s="10">
        <v>-15338.376</v>
      </c>
      <c r="Y725" s="10">
        <v>-11233.376</v>
      </c>
      <c r="Z725" s="10">
        <v>3544.9920000000002</v>
      </c>
      <c r="AA725" s="10">
        <v>-3289.1979999999999</v>
      </c>
      <c r="AB725" s="10">
        <v>-4360.7939999999999</v>
      </c>
      <c r="AC725" s="8">
        <v>0</v>
      </c>
      <c r="AD725" s="8">
        <v>0</v>
      </c>
      <c r="AE725" s="8">
        <v>0</v>
      </c>
      <c r="AF725" s="10">
        <v>0</v>
      </c>
      <c r="AG725" s="8">
        <f>COUNTIF(Y725:AB725,"&gt;0")</f>
        <v>1</v>
      </c>
      <c r="AH725" s="10">
        <v>3544.9920000000002</v>
      </c>
      <c r="AI725" s="10">
        <v>0</v>
      </c>
      <c r="AJ725" s="8" t="str">
        <f>IF(ISNUMBER(X725),IF(X725&gt;0,"+",IF(X725&lt;0,"−","0")),IF(ISNUMBER(W725),IF(W725&gt;0,"+",IF(W725&lt;0,"−","0")),"yok"))</f>
        <v>−</v>
      </c>
      <c r="AK725" s="10" t="str">
        <f>IF(AND(RIGHT(C725,2)&lt;&gt;"12",ISNUMBER(U725),ISNUMBER(V725)),U725-V725,"")</f>
        <v/>
      </c>
      <c r="AL725" s="11" t="str">
        <f>IF(AND(ISNUMBER(AK725),ISNUMBER(V725)),IF(V725&lt;&gt;0,AK725/ABS(V725),""),"")</f>
        <v/>
      </c>
      <c r="AM725" s="8" t="str">
        <f>IF(ISNUMBER(AK725),IF(AK725&gt;1,1,0),"")</f>
        <v/>
      </c>
      <c r="AN725" s="8" t="str">
        <f>IF(ISNUMBER(AK725),IF(AK725&gt;0.05*ABS(V725),1,0),"")</f>
        <v/>
      </c>
      <c r="AO725" s="10">
        <v>-15338.376</v>
      </c>
      <c r="AP725" s="10">
        <v>15338.376</v>
      </c>
      <c r="AQ725" s="8" t="s">
        <v>204</v>
      </c>
      <c r="AR725" s="8">
        <v>0</v>
      </c>
      <c r="AS725" s="10">
        <v>65055.563000000002</v>
      </c>
      <c r="AT725" s="10">
        <v>49241.548000000003</v>
      </c>
      <c r="AU725" s="8" t="s">
        <v>209</v>
      </c>
      <c r="AV725" s="10">
        <v>3544.9920000000002</v>
      </c>
      <c r="AW725" s="11">
        <f>IF(AND(ISNUMBER(AV725),ISNUMBER(AT725)),IF(AT725&lt;&gt;0,AV725/ABS(AT725),""),"")</f>
        <v>7.1991887826109768E-2</v>
      </c>
      <c r="AX725" s="8">
        <v>0</v>
      </c>
      <c r="AY725" s="8">
        <v>0</v>
      </c>
      <c r="AZ725" s="10"/>
      <c r="BA725" s="8">
        <v>0</v>
      </c>
    </row>
    <row r="726" spans="1:53" x14ac:dyDescent="0.2">
      <c r="A726" s="8" t="s">
        <v>349</v>
      </c>
      <c r="B726" s="8" t="s">
        <v>83</v>
      </c>
      <c r="C726" s="8" t="s">
        <v>205</v>
      </c>
      <c r="D726" s="8">
        <v>1</v>
      </c>
      <c r="E726" s="8">
        <v>0</v>
      </c>
      <c r="F726" s="8">
        <f>SUM(G726:M726)</f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1</v>
      </c>
      <c r="Q726" s="8">
        <v>0</v>
      </c>
      <c r="R726" s="8">
        <v>0</v>
      </c>
      <c r="S726" s="8">
        <v>1</v>
      </c>
      <c r="T726" s="10">
        <v>-19.831</v>
      </c>
      <c r="U726" s="10">
        <v>-88.221999999999994</v>
      </c>
      <c r="V726" s="10">
        <v>-26.420999999999999</v>
      </c>
      <c r="W726" s="10">
        <f>IF(RIGHT(C726,2)="12",IF(ISNUMBER(T726),T726,""),IF(COUNT(T726,U726,V726)=3,T726+U726-V726,""))</f>
        <v>-81.632000000000005</v>
      </c>
      <c r="X726" s="10">
        <v>-81.632000000000005</v>
      </c>
      <c r="Y726" s="10">
        <v>-34.113999999999997</v>
      </c>
      <c r="Z726" s="10">
        <v>-27.686</v>
      </c>
      <c r="AA726" s="10">
        <v>-24.754000000000001</v>
      </c>
      <c r="AB726" s="10">
        <v>4.923</v>
      </c>
      <c r="AC726" s="8">
        <v>0</v>
      </c>
      <c r="AD726" s="8">
        <v>0</v>
      </c>
      <c r="AE726" s="8">
        <v>0</v>
      </c>
      <c r="AF726" s="10">
        <v>0</v>
      </c>
      <c r="AG726" s="8">
        <f>COUNTIF(Y726:AB726,"&gt;0")</f>
        <v>1</v>
      </c>
      <c r="AH726" s="10">
        <v>4.923</v>
      </c>
      <c r="AI726" s="10">
        <v>0</v>
      </c>
      <c r="AJ726" s="8" t="str">
        <f>IF(ISNUMBER(X726),IF(X726&gt;0,"+",IF(X726&lt;0,"−","0")),IF(ISNUMBER(W726),IF(W726&gt;0,"+",IF(W726&lt;0,"−","0")),"yok"))</f>
        <v>−</v>
      </c>
      <c r="AK726" s="10">
        <f>IF(AND(RIGHT(C726,2)&lt;&gt;"12",ISNUMBER(U726),ISNUMBER(V726)),U726-V726,"")</f>
        <v>-61.800999999999995</v>
      </c>
      <c r="AL726" s="11">
        <f>IF(AND(ISNUMBER(AK726),ISNUMBER(V726)),IF(V726&lt;&gt;0,AK726/ABS(V726),""),"")</f>
        <v>-2.3390863328413003</v>
      </c>
      <c r="AM726" s="8">
        <f>IF(ISNUMBER(AK726),IF(AK726&gt;1,1,0),"")</f>
        <v>0</v>
      </c>
      <c r="AN726" s="8">
        <f>IF(ISNUMBER(AK726),IF(AK726&gt;0.05*ABS(V726),1,0),"")</f>
        <v>0</v>
      </c>
      <c r="AO726" s="10">
        <v>-81.632000000000005</v>
      </c>
      <c r="AP726" s="10">
        <v>81.632000000000005</v>
      </c>
      <c r="AQ726" s="8" t="s">
        <v>204</v>
      </c>
      <c r="AR726" s="8">
        <v>0</v>
      </c>
      <c r="AS726" s="10">
        <v>2149.7420000000002</v>
      </c>
      <c r="AT726" s="10">
        <v>2068.11</v>
      </c>
      <c r="AU726" s="8" t="s">
        <v>204</v>
      </c>
      <c r="AV726" s="10">
        <v>4.923</v>
      </c>
      <c r="AW726" s="11">
        <f>IF(AND(ISNUMBER(AV726),ISNUMBER(AT726)),IF(AT726&lt;&gt;0,AV726/ABS(AT726),""),"")</f>
        <v>2.3804343095870143E-3</v>
      </c>
      <c r="AX726" s="8">
        <v>0</v>
      </c>
      <c r="AY726" s="8">
        <v>0</v>
      </c>
      <c r="AZ726" s="10"/>
      <c r="BA726" s="8">
        <v>0</v>
      </c>
    </row>
    <row r="727" spans="1:53" x14ac:dyDescent="0.2">
      <c r="A727" s="8" t="s">
        <v>349</v>
      </c>
      <c r="B727" s="8" t="s">
        <v>83</v>
      </c>
      <c r="C727" s="8" t="s">
        <v>215</v>
      </c>
      <c r="D727" s="8">
        <v>1</v>
      </c>
      <c r="E727" s="8">
        <v>0</v>
      </c>
      <c r="F727" s="8">
        <f>SUM(G727:M727)</f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1</v>
      </c>
      <c r="Q727" s="8">
        <v>0</v>
      </c>
      <c r="R727" s="8">
        <v>0</v>
      </c>
      <c r="S727" s="8">
        <v>1</v>
      </c>
      <c r="T727" s="10">
        <v>-35.570999999999998</v>
      </c>
      <c r="U727" s="10">
        <v>-88.221999999999994</v>
      </c>
      <c r="V727" s="10">
        <v>-60.536000000000001</v>
      </c>
      <c r="W727" s="10">
        <f>IF(RIGHT(C727,2)="12",IF(ISNUMBER(T727),T727,""),IF(COUNT(T727,U727,V727)=3,T727+U727-V727,""))</f>
        <v>-63.256999999999991</v>
      </c>
      <c r="X727" s="10">
        <v>-63.258000000000003</v>
      </c>
      <c r="Y727" s="10">
        <v>-27.686</v>
      </c>
      <c r="Z727" s="10">
        <v>-24.754000000000001</v>
      </c>
      <c r="AA727" s="10">
        <v>4.923</v>
      </c>
      <c r="AB727" s="10">
        <v>-15.74</v>
      </c>
      <c r="AC727" s="8">
        <v>0</v>
      </c>
      <c r="AD727" s="8">
        <v>0</v>
      </c>
      <c r="AE727" s="8">
        <v>0</v>
      </c>
      <c r="AF727" s="10">
        <v>0</v>
      </c>
      <c r="AG727" s="8">
        <f>COUNTIF(Y727:AB727,"&gt;0")</f>
        <v>1</v>
      </c>
      <c r="AH727" s="10">
        <v>4.923</v>
      </c>
      <c r="AI727" s="10">
        <v>0</v>
      </c>
      <c r="AJ727" s="8" t="str">
        <f>IF(ISNUMBER(X727),IF(X727&gt;0,"+",IF(X727&lt;0,"−","0")),IF(ISNUMBER(W727),IF(W727&gt;0,"+",IF(W727&lt;0,"−","0")),"yok"))</f>
        <v>−</v>
      </c>
      <c r="AK727" s="10">
        <f>IF(AND(RIGHT(C727,2)&lt;&gt;"12",ISNUMBER(U727),ISNUMBER(V727)),U727-V727,"")</f>
        <v>-27.685999999999993</v>
      </c>
      <c r="AL727" s="11">
        <f>IF(AND(ISNUMBER(AK727),ISNUMBER(V727)),IF(V727&lt;&gt;0,AK727/ABS(V727),""),"")</f>
        <v>-0.45734769393418778</v>
      </c>
      <c r="AM727" s="8">
        <f>IF(ISNUMBER(AK727),IF(AK727&gt;1,1,0),"")</f>
        <v>0</v>
      </c>
      <c r="AN727" s="8">
        <f>IF(ISNUMBER(AK727),IF(AK727&gt;0.05*ABS(V727),1,0),"")</f>
        <v>0</v>
      </c>
      <c r="AO727" s="10">
        <v>-63.259</v>
      </c>
      <c r="AP727" s="10">
        <v>63.259</v>
      </c>
      <c r="AQ727" s="8" t="s">
        <v>204</v>
      </c>
      <c r="AR727" s="8">
        <v>0</v>
      </c>
      <c r="AS727" s="10">
        <v>2519.3760000000002</v>
      </c>
      <c r="AT727" s="10">
        <v>2456.1170000000002</v>
      </c>
      <c r="AU727" s="8" t="s">
        <v>204</v>
      </c>
      <c r="AV727" s="10">
        <v>4.923</v>
      </c>
      <c r="AW727" s="11">
        <f>IF(AND(ISNUMBER(AV727),ISNUMBER(AT727)),IF(AT727&lt;&gt;0,AV727/ABS(AT727),""),"")</f>
        <v>2.0043833416730555E-3</v>
      </c>
      <c r="AX727" s="8">
        <v>0</v>
      </c>
      <c r="AY727" s="8">
        <v>0</v>
      </c>
      <c r="AZ727" s="10"/>
      <c r="BA727" s="8">
        <v>0</v>
      </c>
    </row>
    <row r="728" spans="1:53" x14ac:dyDescent="0.2">
      <c r="A728" s="8" t="s">
        <v>349</v>
      </c>
      <c r="B728" s="8" t="s">
        <v>83</v>
      </c>
      <c r="C728" s="8" t="s">
        <v>290</v>
      </c>
      <c r="D728" s="8">
        <v>1</v>
      </c>
      <c r="E728" s="8">
        <v>0</v>
      </c>
      <c r="F728" s="8">
        <f>SUM(G728:M728)</f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1</v>
      </c>
      <c r="Q728" s="8">
        <v>0</v>
      </c>
      <c r="R728" s="8">
        <v>0</v>
      </c>
      <c r="S728" s="8">
        <v>1</v>
      </c>
      <c r="T728" s="10">
        <v>-60.887999999999998</v>
      </c>
      <c r="U728" s="10"/>
      <c r="V728" s="10"/>
      <c r="W728" s="10">
        <f>IF(RIGHT(C728,2)="12",IF(ISNUMBER(T728),T728,""),IF(COUNT(T728,U728,V728)=3,T728+U728-V728,""))</f>
        <v>-60.887999999999998</v>
      </c>
      <c r="X728" s="10">
        <v>-60.887999999999998</v>
      </c>
      <c r="Y728" s="10">
        <v>-24.754000000000001</v>
      </c>
      <c r="Z728" s="10">
        <v>4.923</v>
      </c>
      <c r="AA728" s="10">
        <v>-15.74</v>
      </c>
      <c r="AB728" s="10">
        <v>-25.317</v>
      </c>
      <c r="AC728" s="8">
        <v>0</v>
      </c>
      <c r="AD728" s="8">
        <v>0</v>
      </c>
      <c r="AE728" s="8">
        <v>0</v>
      </c>
      <c r="AF728" s="10">
        <v>0</v>
      </c>
      <c r="AG728" s="8">
        <f>COUNTIF(Y728:AB728,"&gt;0")</f>
        <v>1</v>
      </c>
      <c r="AH728" s="10">
        <v>4.923</v>
      </c>
      <c r="AI728" s="10">
        <v>0</v>
      </c>
      <c r="AJ728" s="8" t="str">
        <f>IF(ISNUMBER(X728),IF(X728&gt;0,"+",IF(X728&lt;0,"−","0")),IF(ISNUMBER(W728),IF(W728&gt;0,"+",IF(W728&lt;0,"−","0")),"yok"))</f>
        <v>−</v>
      </c>
      <c r="AK728" s="10" t="str">
        <f>IF(AND(RIGHT(C728,2)&lt;&gt;"12",ISNUMBER(U728),ISNUMBER(V728)),U728-V728,"")</f>
        <v/>
      </c>
      <c r="AL728" s="11" t="str">
        <f>IF(AND(ISNUMBER(AK728),ISNUMBER(V728)),IF(V728&lt;&gt;0,AK728/ABS(V728),""),"")</f>
        <v/>
      </c>
      <c r="AM728" s="8" t="str">
        <f>IF(ISNUMBER(AK728),IF(AK728&gt;1,1,0),"")</f>
        <v/>
      </c>
      <c r="AN728" s="8" t="str">
        <f>IF(ISNUMBER(AK728),IF(AK728&gt;0.05*ABS(V728),1,0),"")</f>
        <v/>
      </c>
      <c r="AO728" s="10">
        <v>-60.889000000000003</v>
      </c>
      <c r="AP728" s="10">
        <v>60.889000000000003</v>
      </c>
      <c r="AQ728" s="8" t="s">
        <v>204</v>
      </c>
      <c r="AR728" s="8">
        <v>0</v>
      </c>
      <c r="AS728" s="10">
        <v>71.492000000000004</v>
      </c>
      <c r="AT728" s="10">
        <v>10.603</v>
      </c>
      <c r="AU728" s="8" t="s">
        <v>204</v>
      </c>
      <c r="AV728" s="10">
        <v>4.923</v>
      </c>
      <c r="AW728" s="11">
        <f>IF(AND(ISNUMBER(AV728),ISNUMBER(AT728)),IF(AT728&lt;&gt;0,AV728/ABS(AT728),""),"")</f>
        <v>0.46430255588041119</v>
      </c>
      <c r="AX728" s="8">
        <v>0</v>
      </c>
      <c r="AY728" s="8">
        <v>0</v>
      </c>
      <c r="AZ728" s="10"/>
      <c r="BA728" s="8">
        <v>0</v>
      </c>
    </row>
    <row r="729" spans="1:53" x14ac:dyDescent="0.2">
      <c r="A729" s="8" t="s">
        <v>354</v>
      </c>
      <c r="B729" s="8" t="s">
        <v>83</v>
      </c>
      <c r="C729" s="8" t="s">
        <v>290</v>
      </c>
      <c r="D729" s="8">
        <v>1</v>
      </c>
      <c r="E729" s="8">
        <v>0</v>
      </c>
      <c r="F729" s="8">
        <f>SUM(G729:M729)</f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1</v>
      </c>
      <c r="Q729" s="8">
        <v>0</v>
      </c>
      <c r="R729" s="8">
        <v>0</v>
      </c>
      <c r="S729" s="8">
        <v>1</v>
      </c>
      <c r="T729" s="10">
        <v>-923.16300000000001</v>
      </c>
      <c r="U729" s="10"/>
      <c r="V729" s="10"/>
      <c r="W729" s="10">
        <f>IF(RIGHT(C729,2)="12",IF(ISNUMBER(T729),T729,""),IF(COUNT(T729,U729,V729)=3,T729+U729-V729,""))</f>
        <v>-923.16300000000001</v>
      </c>
      <c r="X729" s="10">
        <v>-923.16300000000001</v>
      </c>
      <c r="Y729" s="10">
        <v>-460.27800000000002</v>
      </c>
      <c r="Z729" s="10">
        <v>-418.18900000000002</v>
      </c>
      <c r="AA729" s="10">
        <v>-138.298</v>
      </c>
      <c r="AB729" s="10">
        <v>93.602000000000004</v>
      </c>
      <c r="AC729" s="8">
        <v>0</v>
      </c>
      <c r="AD729" s="8">
        <v>0</v>
      </c>
      <c r="AE729" s="8">
        <v>0</v>
      </c>
      <c r="AF729" s="10">
        <v>0</v>
      </c>
      <c r="AG729" s="8">
        <f>COUNTIF(Y729:AB729,"&gt;0")</f>
        <v>1</v>
      </c>
      <c r="AH729" s="10">
        <v>93.602000000000004</v>
      </c>
      <c r="AI729" s="10">
        <v>0</v>
      </c>
      <c r="AJ729" s="8" t="str">
        <f>IF(ISNUMBER(X729),IF(X729&gt;0,"+",IF(X729&lt;0,"−","0")),IF(ISNUMBER(W729),IF(W729&gt;0,"+",IF(W729&lt;0,"−","0")),"yok"))</f>
        <v>−</v>
      </c>
      <c r="AK729" s="10" t="str">
        <f>IF(AND(RIGHT(C729,2)&lt;&gt;"12",ISNUMBER(U729),ISNUMBER(V729)),U729-V729,"")</f>
        <v/>
      </c>
      <c r="AL729" s="11" t="str">
        <f>IF(AND(ISNUMBER(AK729),ISNUMBER(V729)),IF(V729&lt;&gt;0,AK729/ABS(V729),""),"")</f>
        <v/>
      </c>
      <c r="AM729" s="8" t="str">
        <f>IF(ISNUMBER(AK729),IF(AK729&gt;1,1,0),"")</f>
        <v/>
      </c>
      <c r="AN729" s="8" t="str">
        <f>IF(ISNUMBER(AK729),IF(AK729&gt;0.05*ABS(V729),1,0),"")</f>
        <v/>
      </c>
      <c r="AO729" s="10">
        <v>-923.16399999999999</v>
      </c>
      <c r="AP729" s="10">
        <v>923.16399999999999</v>
      </c>
      <c r="AQ729" s="8" t="s">
        <v>209</v>
      </c>
      <c r="AR729" s="8">
        <v>0</v>
      </c>
      <c r="AS729" s="10">
        <v>43.386000000000003</v>
      </c>
      <c r="AT729" s="10">
        <v>-1296.559</v>
      </c>
      <c r="AU729" s="8" t="s">
        <v>209</v>
      </c>
      <c r="AV729" s="10">
        <v>93.602000000000004</v>
      </c>
      <c r="AW729" s="11">
        <f>IF(AND(ISNUMBER(AV729),ISNUMBER(AT729)),IF(AT729&lt;&gt;0,AV729/ABS(AT729),""),"")</f>
        <v>7.2192626791376252E-2</v>
      </c>
      <c r="AX729" s="8">
        <v>0</v>
      </c>
      <c r="AY729" s="8">
        <v>0</v>
      </c>
      <c r="AZ729" s="10"/>
      <c r="BA729" s="8">
        <v>0</v>
      </c>
    </row>
    <row r="730" spans="1:53" x14ac:dyDescent="0.2">
      <c r="A730" s="8" t="s">
        <v>596</v>
      </c>
      <c r="B730" s="8" t="s">
        <v>83</v>
      </c>
      <c r="C730" s="8" t="s">
        <v>210</v>
      </c>
      <c r="D730" s="8">
        <v>1</v>
      </c>
      <c r="E730" s="8">
        <v>0</v>
      </c>
      <c r="F730" s="8">
        <f>SUM(G730:M730)</f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1</v>
      </c>
      <c r="Q730" s="8">
        <v>0</v>
      </c>
      <c r="R730" s="8">
        <v>0</v>
      </c>
      <c r="S730" s="8">
        <v>1</v>
      </c>
      <c r="T730" s="10">
        <v>-1.262</v>
      </c>
      <c r="U730" s="10">
        <v>-2.2970000000000002</v>
      </c>
      <c r="V730" s="10">
        <v>-1.276</v>
      </c>
      <c r="W730" s="10">
        <f>IF(RIGHT(C730,2)="12",IF(ISNUMBER(T730),T730,""),IF(COUNT(T730,U730,V730)=3,T730+U730-V730,""))</f>
        <v>-2.2830000000000004</v>
      </c>
      <c r="X730" s="10">
        <v>-2.282</v>
      </c>
      <c r="Y730" s="10">
        <v>-0.68899999999999995</v>
      </c>
      <c r="Z730" s="10">
        <v>-0.33100000000000002</v>
      </c>
      <c r="AA730" s="10">
        <v>-97.061999999999998</v>
      </c>
      <c r="AB730" s="10">
        <v>95.799000000000007</v>
      </c>
      <c r="AC730" s="8">
        <v>0</v>
      </c>
      <c r="AD730" s="8">
        <v>0</v>
      </c>
      <c r="AE730" s="8">
        <v>0</v>
      </c>
      <c r="AF730" s="10">
        <v>0</v>
      </c>
      <c r="AG730" s="8">
        <f>COUNTIF(Y730:AB730,"&gt;0")</f>
        <v>1</v>
      </c>
      <c r="AH730" s="10">
        <v>95.799000000000007</v>
      </c>
      <c r="AI730" s="10">
        <v>0</v>
      </c>
      <c r="AJ730" s="8" t="str">
        <f>IF(ISNUMBER(X730),IF(X730&gt;0,"+",IF(X730&lt;0,"−","0")),IF(ISNUMBER(W730),IF(W730&gt;0,"+",IF(W730&lt;0,"−","0")),"yok"))</f>
        <v>−</v>
      </c>
      <c r="AK730" s="10">
        <f>IF(AND(RIGHT(C730,2)&lt;&gt;"12",ISNUMBER(U730),ISNUMBER(V730)),U730-V730,"")</f>
        <v>-1.0210000000000001</v>
      </c>
      <c r="AL730" s="11">
        <f>IF(AND(ISNUMBER(AK730),ISNUMBER(V730)),IF(V730&lt;&gt;0,AK730/ABS(V730),""),"")</f>
        <v>-0.80015673981191227</v>
      </c>
      <c r="AM730" s="8">
        <f>IF(ISNUMBER(AK730),IF(AK730&gt;1,1,0),"")</f>
        <v>0</v>
      </c>
      <c r="AN730" s="8">
        <f>IF(ISNUMBER(AK730),IF(AK730&gt;0.05*ABS(V730),1,0),"")</f>
        <v>0</v>
      </c>
      <c r="AO730" s="10">
        <v>-2.282</v>
      </c>
      <c r="AP730" s="10">
        <v>2.282</v>
      </c>
      <c r="AQ730" s="8" t="s">
        <v>204</v>
      </c>
      <c r="AR730" s="8">
        <v>0</v>
      </c>
      <c r="AS730" s="10">
        <v>106.77500000000001</v>
      </c>
      <c r="AT730" s="10"/>
      <c r="AU730" s="8" t="s">
        <v>207</v>
      </c>
      <c r="AV730" s="10">
        <v>95.799000000000007</v>
      </c>
      <c r="AW730" s="11" t="str">
        <f>IF(AND(ISNUMBER(AV730),ISNUMBER(AT730)),IF(AT730&lt;&gt;0,AV730/ABS(AT730),""),"")</f>
        <v/>
      </c>
      <c r="AX730" s="8">
        <v>0</v>
      </c>
      <c r="AY730" s="8">
        <v>0</v>
      </c>
      <c r="AZ730" s="10"/>
      <c r="BA730" s="8">
        <v>0</v>
      </c>
    </row>
    <row r="731" spans="1:53" x14ac:dyDescent="0.2">
      <c r="A731" s="8" t="s">
        <v>355</v>
      </c>
      <c r="B731" s="8" t="s">
        <v>82</v>
      </c>
      <c r="C731" s="8" t="s">
        <v>203</v>
      </c>
      <c r="D731" s="8">
        <v>1</v>
      </c>
      <c r="E731" s="8">
        <v>0</v>
      </c>
      <c r="F731" s="8">
        <f>SUM(G731:M731)</f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8">
        <v>1</v>
      </c>
      <c r="O731" s="8">
        <v>0</v>
      </c>
      <c r="P731" s="8">
        <v>1</v>
      </c>
      <c r="Q731" s="8">
        <v>0</v>
      </c>
      <c r="R731" s="8">
        <v>0</v>
      </c>
      <c r="S731" s="8">
        <v>0</v>
      </c>
      <c r="T731" s="10">
        <v>-0.376</v>
      </c>
      <c r="U731" s="10">
        <v>-0.72699999999999998</v>
      </c>
      <c r="V731" s="10">
        <v>-0.28899999999999998</v>
      </c>
      <c r="W731" s="10">
        <f>IF(RIGHT(C731,2)="12",IF(ISNUMBER(T731),T731,""),IF(COUNT(T731,U731,V731)=3,T731+U731-V731,""))</f>
        <v>-0.81400000000000006</v>
      </c>
      <c r="X731" s="10">
        <v>1.6890000000000001</v>
      </c>
      <c r="Y731" s="10"/>
      <c r="Z731" s="10"/>
      <c r="AA731" s="10">
        <v>0.44</v>
      </c>
      <c r="AB731" s="10">
        <v>-0.376</v>
      </c>
      <c r="AC731" s="8">
        <v>0</v>
      </c>
      <c r="AD731" s="8">
        <v>0</v>
      </c>
      <c r="AE731" s="8">
        <v>0</v>
      </c>
      <c r="AF731" s="10">
        <v>0</v>
      </c>
      <c r="AG731" s="8">
        <f>COUNTIF(Y731:AB731,"&gt;0")</f>
        <v>1</v>
      </c>
      <c r="AH731" s="10">
        <v>0</v>
      </c>
      <c r="AI731" s="10">
        <v>0.44</v>
      </c>
      <c r="AJ731" s="8" t="str">
        <f>IF(ISNUMBER(X731),IF(X731&gt;0,"+",IF(X731&lt;0,"−","0")),IF(ISNUMBER(W731),IF(W731&gt;0,"+",IF(W731&lt;0,"−","0")),"yok"))</f>
        <v>+</v>
      </c>
      <c r="AK731" s="10">
        <f>IF(AND(RIGHT(C731,2)&lt;&gt;"12",ISNUMBER(U731),ISNUMBER(V731)),U731-V731,"")</f>
        <v>-0.438</v>
      </c>
      <c r="AL731" s="11">
        <f>IF(AND(ISNUMBER(AK731),ISNUMBER(V731)),IF(V731&lt;&gt;0,AK731/ABS(V731),""),"")</f>
        <v>-1.5155709342560555</v>
      </c>
      <c r="AM731" s="8">
        <f>IF(ISNUMBER(AK731),IF(AK731&gt;1,1,0),"")</f>
        <v>0</v>
      </c>
      <c r="AN731" s="8">
        <f>IF(ISNUMBER(AK731),IF(AK731&gt;0.05*ABS(V731),1,0),"")</f>
        <v>0</v>
      </c>
      <c r="AO731" s="10"/>
      <c r="AP731" s="10"/>
      <c r="AQ731" s="8" t="s">
        <v>207</v>
      </c>
      <c r="AR731" s="8">
        <v>0</v>
      </c>
      <c r="AS731" s="10"/>
      <c r="AT731" s="10"/>
      <c r="AU731" s="8" t="s">
        <v>207</v>
      </c>
      <c r="AV731" s="10">
        <v>0.44</v>
      </c>
      <c r="AW731" s="11" t="str">
        <f>IF(AND(ISNUMBER(AV731),ISNUMBER(AT731)),IF(AT731&lt;&gt;0,AV731/ABS(AT731),""),"")</f>
        <v/>
      </c>
      <c r="AX731" s="8">
        <v>0</v>
      </c>
      <c r="AY731" s="8">
        <v>0</v>
      </c>
      <c r="AZ731" s="10"/>
      <c r="BA731" s="8">
        <v>0</v>
      </c>
    </row>
    <row r="732" spans="1:53" x14ac:dyDescent="0.2">
      <c r="A732" s="8" t="s">
        <v>358</v>
      </c>
      <c r="B732" s="8" t="s">
        <v>83</v>
      </c>
      <c r="C732" s="8" t="s">
        <v>290</v>
      </c>
      <c r="D732" s="8">
        <v>1</v>
      </c>
      <c r="E732" s="8">
        <v>0</v>
      </c>
      <c r="F732" s="8">
        <f>SUM(G732:M732)</f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1</v>
      </c>
      <c r="Q732" s="8">
        <v>0</v>
      </c>
      <c r="R732" s="8">
        <v>0</v>
      </c>
      <c r="S732" s="8">
        <v>1</v>
      </c>
      <c r="T732" s="10">
        <v>-293.21300000000002</v>
      </c>
      <c r="U732" s="10"/>
      <c r="V732" s="10"/>
      <c r="W732" s="10">
        <f>IF(RIGHT(C732,2)="12",IF(ISNUMBER(T732),T732,""),IF(COUNT(T732,U732,V732)=3,T732+U732-V732,""))</f>
        <v>-293.21300000000002</v>
      </c>
      <c r="X732" s="10">
        <v>-293.21300000000002</v>
      </c>
      <c r="Y732" s="10">
        <v>-77.566000000000003</v>
      </c>
      <c r="Z732" s="10">
        <v>-131.089</v>
      </c>
      <c r="AA732" s="10">
        <v>-118.892</v>
      </c>
      <c r="AB732" s="10">
        <v>34.334000000000003</v>
      </c>
      <c r="AC732" s="8">
        <v>0</v>
      </c>
      <c r="AD732" s="8">
        <v>0</v>
      </c>
      <c r="AE732" s="8">
        <v>0</v>
      </c>
      <c r="AF732" s="10">
        <v>0</v>
      </c>
      <c r="AG732" s="8">
        <f>COUNTIF(Y732:AB732,"&gt;0")</f>
        <v>1</v>
      </c>
      <c r="AH732" s="10">
        <v>34.334000000000003</v>
      </c>
      <c r="AI732" s="10">
        <v>0</v>
      </c>
      <c r="AJ732" s="8" t="str">
        <f>IF(ISNUMBER(X732),IF(X732&gt;0,"+",IF(X732&lt;0,"−","0")),IF(ISNUMBER(W732),IF(W732&gt;0,"+",IF(W732&lt;0,"−","0")),"yok"))</f>
        <v>−</v>
      </c>
      <c r="AK732" s="10" t="str">
        <f>IF(AND(RIGHT(C732,2)&lt;&gt;"12",ISNUMBER(U732),ISNUMBER(V732)),U732-V732,"")</f>
        <v/>
      </c>
      <c r="AL732" s="11" t="str">
        <f>IF(AND(ISNUMBER(AK732),ISNUMBER(V732)),IF(V732&lt;&gt;0,AK732/ABS(V732),""),"")</f>
        <v/>
      </c>
      <c r="AM732" s="8" t="str">
        <f>IF(ISNUMBER(AK732),IF(AK732&gt;1,1,0),"")</f>
        <v/>
      </c>
      <c r="AN732" s="8" t="str">
        <f>IF(ISNUMBER(AK732),IF(AK732&gt;0.05*ABS(V732),1,0),"")</f>
        <v/>
      </c>
      <c r="AO732" s="10">
        <v>-293.214</v>
      </c>
      <c r="AP732" s="10">
        <v>293.214</v>
      </c>
      <c r="AQ732" s="8" t="s">
        <v>204</v>
      </c>
      <c r="AR732" s="8">
        <v>0</v>
      </c>
      <c r="AS732" s="10">
        <v>3384.4879999999998</v>
      </c>
      <c r="AT732" s="10">
        <v>3076.2739999999999</v>
      </c>
      <c r="AU732" s="8" t="s">
        <v>209</v>
      </c>
      <c r="AV732" s="10">
        <v>34.334000000000003</v>
      </c>
      <c r="AW732" s="11">
        <f>IF(AND(ISNUMBER(AV732),ISNUMBER(AT732)),IF(AT732&lt;&gt;0,AV732/ABS(AT732),""),"")</f>
        <v>1.1160904392781659E-2</v>
      </c>
      <c r="AX732" s="8">
        <v>0</v>
      </c>
      <c r="AY732" s="8">
        <v>0</v>
      </c>
      <c r="AZ732" s="10"/>
      <c r="BA732" s="8">
        <v>0</v>
      </c>
    </row>
    <row r="733" spans="1:53" x14ac:dyDescent="0.2">
      <c r="A733" s="8" t="s">
        <v>359</v>
      </c>
      <c r="B733" s="8" t="s">
        <v>83</v>
      </c>
      <c r="C733" s="8" t="s">
        <v>215</v>
      </c>
      <c r="D733" s="8">
        <v>1</v>
      </c>
      <c r="E733" s="8">
        <v>0</v>
      </c>
      <c r="F733" s="8">
        <f>SUM(G733:M733)</f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1</v>
      </c>
      <c r="P733" s="8">
        <v>1</v>
      </c>
      <c r="Q733" s="8">
        <v>0</v>
      </c>
      <c r="R733" s="8">
        <v>0</v>
      </c>
      <c r="S733" s="8">
        <v>1</v>
      </c>
      <c r="T733" s="10">
        <v>1.0660000000000001</v>
      </c>
      <c r="U733" s="10">
        <v>-220.11199999999999</v>
      </c>
      <c r="V733" s="10"/>
      <c r="W733" s="10" t="str">
        <f>IF(RIGHT(C733,2)="12",IF(ISNUMBER(T733),T733,""),IF(COUNT(T733,U733,V733)=3,T733+U733-V733,""))</f>
        <v/>
      </c>
      <c r="X733" s="10"/>
      <c r="Y733" s="10"/>
      <c r="Z733" s="10">
        <v>-15.683999999999999</v>
      </c>
      <c r="AA733" s="10">
        <v>-22.617999999999999</v>
      </c>
      <c r="AB733" s="10">
        <v>39.369999999999997</v>
      </c>
      <c r="AC733" s="8">
        <v>1</v>
      </c>
      <c r="AD733" s="8">
        <v>0</v>
      </c>
      <c r="AE733" s="8">
        <v>0</v>
      </c>
      <c r="AF733" s="10">
        <v>1.0660000000000001</v>
      </c>
      <c r="AG733" s="8">
        <f>COUNTIF(Y733:AB733,"&gt;0")</f>
        <v>1</v>
      </c>
      <c r="AH733" s="10">
        <v>39.369999999999997</v>
      </c>
      <c r="AI733" s="10">
        <v>0</v>
      </c>
      <c r="AJ733" s="8" t="str">
        <f>IF(ISNUMBER(X733),IF(X733&gt;0,"+",IF(X733&lt;0,"−","0")),IF(ISNUMBER(W733),IF(W733&gt;0,"+",IF(W733&lt;0,"−","0")),"yok"))</f>
        <v>yok</v>
      </c>
      <c r="AK733" s="10" t="str">
        <f>IF(AND(RIGHT(C733,2)&lt;&gt;"12",ISNUMBER(U733),ISNUMBER(V733)),U733-V733,"")</f>
        <v/>
      </c>
      <c r="AL733" s="11" t="str">
        <f>IF(AND(ISNUMBER(AK733),ISNUMBER(V733)),IF(V733&lt;&gt;0,AK733/ABS(V733),""),"")</f>
        <v/>
      </c>
      <c r="AM733" s="8" t="str">
        <f>IF(ISNUMBER(AK733),IF(AK733&gt;1,1,0),"")</f>
        <v/>
      </c>
      <c r="AN733" s="8" t="str">
        <f>IF(ISNUMBER(AK733),IF(AK733&gt;0.05*ABS(V733),1,0),"")</f>
        <v/>
      </c>
      <c r="AO733" s="10"/>
      <c r="AP733" s="10"/>
      <c r="AQ733" s="8" t="s">
        <v>207</v>
      </c>
      <c r="AR733" s="8">
        <v>0</v>
      </c>
      <c r="AS733" s="10">
        <v>380.71899999999999</v>
      </c>
      <c r="AT733" s="10"/>
      <c r="AU733" s="8" t="s">
        <v>207</v>
      </c>
      <c r="AV733" s="10">
        <v>1.0660000000000001</v>
      </c>
      <c r="AW733" s="11" t="str">
        <f>IF(AND(ISNUMBER(AV733),ISNUMBER(AT733)),IF(AT733&lt;&gt;0,AV733/ABS(AT733),""),"")</f>
        <v/>
      </c>
      <c r="AX733" s="8">
        <v>1</v>
      </c>
      <c r="AY733" s="8">
        <v>0</v>
      </c>
      <c r="AZ733" s="8" t="s">
        <v>597</v>
      </c>
      <c r="BA733" s="8">
        <v>0</v>
      </c>
    </row>
    <row r="734" spans="1:53" x14ac:dyDescent="0.2">
      <c r="A734" s="8" t="s">
        <v>359</v>
      </c>
      <c r="B734" s="8" t="s">
        <v>83</v>
      </c>
      <c r="C734" s="8" t="s">
        <v>290</v>
      </c>
      <c r="D734" s="8">
        <v>1</v>
      </c>
      <c r="E734" s="8">
        <v>0</v>
      </c>
      <c r="F734" s="8">
        <f>SUM(G734:M734)</f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1</v>
      </c>
      <c r="Q734" s="8">
        <v>0</v>
      </c>
      <c r="R734" s="8">
        <v>0</v>
      </c>
      <c r="S734" s="8">
        <v>1</v>
      </c>
      <c r="T734" s="10">
        <v>-125.919</v>
      </c>
      <c r="U734" s="10"/>
      <c r="V734" s="10"/>
      <c r="W734" s="10">
        <f>IF(RIGHT(C734,2)="12",IF(ISNUMBER(T734),T734,""),IF(COUNT(T734,U734,V734)=3,T734+U734-V734,""))</f>
        <v>-125.919</v>
      </c>
      <c r="X734" s="10">
        <v>-125.919</v>
      </c>
      <c r="Y734" s="10">
        <v>-15.683999999999999</v>
      </c>
      <c r="Z734" s="10">
        <v>-22.617999999999999</v>
      </c>
      <c r="AA734" s="10">
        <v>39.369999999999997</v>
      </c>
      <c r="AB734" s="10">
        <v>-126.986</v>
      </c>
      <c r="AC734" s="8">
        <v>0</v>
      </c>
      <c r="AD734" s="8">
        <v>0</v>
      </c>
      <c r="AE734" s="8">
        <v>0</v>
      </c>
      <c r="AF734" s="10">
        <v>0</v>
      </c>
      <c r="AG734" s="8">
        <f>COUNTIF(Y734:AB734,"&gt;0")</f>
        <v>1</v>
      </c>
      <c r="AH734" s="10">
        <v>39.369999999999997</v>
      </c>
      <c r="AI734" s="10">
        <v>0</v>
      </c>
      <c r="AJ734" s="8" t="str">
        <f>IF(ISNUMBER(X734),IF(X734&gt;0,"+",IF(X734&lt;0,"−","0")),IF(ISNUMBER(W734),IF(W734&gt;0,"+",IF(W734&lt;0,"−","0")),"yok"))</f>
        <v>−</v>
      </c>
      <c r="AK734" s="10" t="str">
        <f>IF(AND(RIGHT(C734,2)&lt;&gt;"12",ISNUMBER(U734),ISNUMBER(V734)),U734-V734,"")</f>
        <v/>
      </c>
      <c r="AL734" s="11" t="str">
        <f>IF(AND(ISNUMBER(AK734),ISNUMBER(V734)),IF(V734&lt;&gt;0,AK734/ABS(V734),""),"")</f>
        <v/>
      </c>
      <c r="AM734" s="8" t="str">
        <f>IF(ISNUMBER(AK734),IF(AK734&gt;1,1,0),"")</f>
        <v/>
      </c>
      <c r="AN734" s="8" t="str">
        <f>IF(ISNUMBER(AK734),IF(AK734&gt;0.05*ABS(V734),1,0),"")</f>
        <v/>
      </c>
      <c r="AO734" s="10">
        <v>-125.919</v>
      </c>
      <c r="AP734" s="10">
        <v>125.919</v>
      </c>
      <c r="AQ734" s="8" t="s">
        <v>204</v>
      </c>
      <c r="AR734" s="8">
        <v>0</v>
      </c>
      <c r="AS734" s="10">
        <v>560.16499999999996</v>
      </c>
      <c r="AT734" s="10">
        <v>434.24599999999998</v>
      </c>
      <c r="AU734" s="8" t="s">
        <v>204</v>
      </c>
      <c r="AV734" s="10">
        <v>39.369999999999997</v>
      </c>
      <c r="AW734" s="11">
        <f>IF(AND(ISNUMBER(AV734),ISNUMBER(AT734)),IF(AT734&lt;&gt;0,AV734/ABS(AT734),""),"")</f>
        <v>9.0662896146423921E-2</v>
      </c>
      <c r="AX734" s="8">
        <v>0</v>
      </c>
      <c r="AY734" s="8">
        <v>0</v>
      </c>
      <c r="AZ734" s="10"/>
      <c r="BA734" s="8">
        <v>0</v>
      </c>
    </row>
    <row r="735" spans="1:53" x14ac:dyDescent="0.2">
      <c r="A735" s="8" t="s">
        <v>598</v>
      </c>
      <c r="B735" s="8" t="s">
        <v>82</v>
      </c>
      <c r="C735" s="8" t="s">
        <v>210</v>
      </c>
      <c r="D735" s="8">
        <v>1</v>
      </c>
      <c r="E735" s="8">
        <v>0</v>
      </c>
      <c r="F735" s="8">
        <f>SUM(G735:M735)</f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1</v>
      </c>
      <c r="Q735" s="8">
        <v>0</v>
      </c>
      <c r="R735" s="8">
        <v>0</v>
      </c>
      <c r="S735" s="8">
        <v>1</v>
      </c>
      <c r="T735" s="10">
        <v>-246.62799999999999</v>
      </c>
      <c r="U735" s="10">
        <v>-701.89400000000001</v>
      </c>
      <c r="V735" s="10">
        <v>-492.267</v>
      </c>
      <c r="W735" s="10">
        <f>IF(RIGHT(C735,2)="12",IF(ISNUMBER(T735),T735,""),IF(COUNT(T735,U735,V735)=3,T735+U735-V735,""))</f>
        <v>-456.25499999999994</v>
      </c>
      <c r="X735" s="10">
        <v>-456.25400000000002</v>
      </c>
      <c r="Y735" s="10">
        <v>-69.076999999999998</v>
      </c>
      <c r="Z735" s="10">
        <v>-140.548</v>
      </c>
      <c r="AA735" s="10">
        <v>-656.05</v>
      </c>
      <c r="AB735" s="10">
        <v>409.42200000000003</v>
      </c>
      <c r="AC735" s="8">
        <v>0</v>
      </c>
      <c r="AD735" s="8">
        <v>0</v>
      </c>
      <c r="AE735" s="8">
        <v>0</v>
      </c>
      <c r="AF735" s="10">
        <v>0</v>
      </c>
      <c r="AG735" s="8">
        <f>COUNTIF(Y735:AB735,"&gt;0")</f>
        <v>1</v>
      </c>
      <c r="AH735" s="10">
        <v>409.42200000000003</v>
      </c>
      <c r="AI735" s="10">
        <v>0</v>
      </c>
      <c r="AJ735" s="8" t="str">
        <f>IF(ISNUMBER(X735),IF(X735&gt;0,"+",IF(X735&lt;0,"−","0")),IF(ISNUMBER(W735),IF(W735&gt;0,"+",IF(W735&lt;0,"−","0")),"yok"))</f>
        <v>−</v>
      </c>
      <c r="AK735" s="10">
        <f>IF(AND(RIGHT(C735,2)&lt;&gt;"12",ISNUMBER(U735),ISNUMBER(V735)),U735-V735,"")</f>
        <v>-209.62700000000001</v>
      </c>
      <c r="AL735" s="11">
        <f>IF(AND(ISNUMBER(AK735),ISNUMBER(V735)),IF(V735&lt;&gt;0,AK735/ABS(V735),""),"")</f>
        <v>-0.42584004209097909</v>
      </c>
      <c r="AM735" s="8">
        <f>IF(ISNUMBER(AK735),IF(AK735&gt;1,1,0),"")</f>
        <v>0</v>
      </c>
      <c r="AN735" s="8">
        <f>IF(ISNUMBER(AK735),IF(AK735&gt;0.05*ABS(V735),1,0),"")</f>
        <v>0</v>
      </c>
      <c r="AO735" s="10">
        <v>-456.25400000000002</v>
      </c>
      <c r="AP735" s="10">
        <v>456.25400000000002</v>
      </c>
      <c r="AQ735" s="8" t="s">
        <v>204</v>
      </c>
      <c r="AR735" s="8">
        <v>0</v>
      </c>
      <c r="AS735" s="10">
        <v>11294.582</v>
      </c>
      <c r="AT735" s="10">
        <v>-2212.886</v>
      </c>
      <c r="AU735" s="8" t="s">
        <v>204</v>
      </c>
      <c r="AV735" s="10">
        <v>409.42200000000003</v>
      </c>
      <c r="AW735" s="11">
        <f>IF(AND(ISNUMBER(AV735),ISNUMBER(AT735)),IF(AT735&lt;&gt;0,AV735/ABS(AT735),""),"")</f>
        <v>0.18501721281620473</v>
      </c>
      <c r="AX735" s="8">
        <v>0</v>
      </c>
      <c r="AY735" s="8">
        <v>0</v>
      </c>
      <c r="AZ735" s="10"/>
      <c r="BA735" s="8">
        <v>0</v>
      </c>
    </row>
    <row r="736" spans="1:53" x14ac:dyDescent="0.2">
      <c r="A736" s="8" t="s">
        <v>372</v>
      </c>
      <c r="B736" s="8" t="s">
        <v>83</v>
      </c>
      <c r="C736" s="8" t="s">
        <v>205</v>
      </c>
      <c r="D736" s="8">
        <v>1</v>
      </c>
      <c r="E736" s="8">
        <v>0</v>
      </c>
      <c r="F736" s="8">
        <f>SUM(G736:M736)</f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1</v>
      </c>
      <c r="Q736" s="8">
        <v>0</v>
      </c>
      <c r="R736" s="8">
        <v>0</v>
      </c>
      <c r="S736" s="8">
        <v>1</v>
      </c>
      <c r="T736" s="10">
        <v>-61.417000000000002</v>
      </c>
      <c r="U736" s="10">
        <v>-536.16</v>
      </c>
      <c r="V736" s="10"/>
      <c r="W736" s="10" t="str">
        <f>IF(RIGHT(C736,2)="12",IF(ISNUMBER(T736),T736,""),IF(COUNT(T736,U736,V736)=3,T736+U736-V736,""))</f>
        <v/>
      </c>
      <c r="X736" s="10"/>
      <c r="Y736" s="10"/>
      <c r="Z736" s="10">
        <v>-56.807000000000002</v>
      </c>
      <c r="AA736" s="10">
        <v>-110.598</v>
      </c>
      <c r="AB736" s="10">
        <v>49.18</v>
      </c>
      <c r="AC736" s="8">
        <v>0</v>
      </c>
      <c r="AD736" s="8">
        <v>0</v>
      </c>
      <c r="AE736" s="8">
        <v>0</v>
      </c>
      <c r="AF736" s="10">
        <v>0</v>
      </c>
      <c r="AG736" s="8">
        <f>COUNTIF(Y736:AB736,"&gt;0")</f>
        <v>1</v>
      </c>
      <c r="AH736" s="10">
        <v>49.18</v>
      </c>
      <c r="AI736" s="10">
        <v>0</v>
      </c>
      <c r="AJ736" s="8" t="str">
        <f>IF(ISNUMBER(X736),IF(X736&gt;0,"+",IF(X736&lt;0,"−","0")),IF(ISNUMBER(W736),IF(W736&gt;0,"+",IF(W736&lt;0,"−","0")),"yok"))</f>
        <v>yok</v>
      </c>
      <c r="AK736" s="10" t="str">
        <f>IF(AND(RIGHT(C736,2)&lt;&gt;"12",ISNUMBER(U736),ISNUMBER(V736)),U736-V736,"")</f>
        <v/>
      </c>
      <c r="AL736" s="11" t="str">
        <f>IF(AND(ISNUMBER(AK736),ISNUMBER(V736)),IF(V736&lt;&gt;0,AK736/ABS(V736),""),"")</f>
        <v/>
      </c>
      <c r="AM736" s="8" t="str">
        <f>IF(ISNUMBER(AK736),IF(AK736&gt;1,1,0),"")</f>
        <v/>
      </c>
      <c r="AN736" s="8" t="str">
        <f>IF(ISNUMBER(AK736),IF(AK736&gt;0.05*ABS(V736),1,0),"")</f>
        <v/>
      </c>
      <c r="AO736" s="10">
        <v>-416.05328200000002</v>
      </c>
      <c r="AP736" s="10">
        <v>416.05328200000002</v>
      </c>
      <c r="AQ736" s="8" t="s">
        <v>209</v>
      </c>
      <c r="AR736" s="8">
        <v>0</v>
      </c>
      <c r="AS736" s="10">
        <v>604.98599999999999</v>
      </c>
      <c r="AT736" s="10">
        <v>188.93271799999999</v>
      </c>
      <c r="AU736" s="8" t="s">
        <v>212</v>
      </c>
      <c r="AV736" s="10">
        <v>49.18</v>
      </c>
      <c r="AW736" s="11">
        <f>IF(AND(ISNUMBER(AV736),ISNUMBER(AT736)),IF(AT736&lt;&gt;0,AV736/ABS(AT736),""),"")</f>
        <v>0.2603043057899585</v>
      </c>
      <c r="AX736" s="8">
        <v>0</v>
      </c>
      <c r="AY736" s="8">
        <v>0</v>
      </c>
      <c r="AZ736" s="10"/>
      <c r="BA736" s="8">
        <v>0</v>
      </c>
    </row>
    <row r="737" spans="1:53" x14ac:dyDescent="0.2">
      <c r="A737" s="8" t="s">
        <v>372</v>
      </c>
      <c r="B737" s="8" t="s">
        <v>83</v>
      </c>
      <c r="C737" s="8" t="s">
        <v>215</v>
      </c>
      <c r="D737" s="8">
        <v>1</v>
      </c>
      <c r="E737" s="8">
        <v>0</v>
      </c>
      <c r="F737" s="8">
        <f>SUM(G737:M737)</f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1</v>
      </c>
      <c r="Q737" s="8">
        <v>0</v>
      </c>
      <c r="R737" s="8">
        <v>0</v>
      </c>
      <c r="S737" s="8">
        <v>1</v>
      </c>
      <c r="T737" s="10">
        <v>-326.88799999999998</v>
      </c>
      <c r="U737" s="10">
        <v>-536.16</v>
      </c>
      <c r="V737" s="10">
        <v>-479.35300000000001</v>
      </c>
      <c r="W737" s="10">
        <f>IF(RIGHT(C737,2)="12",IF(ISNUMBER(T737),T737,""),IF(COUNT(T737,U737,V737)=3,T737+U737-V737,""))</f>
        <v>-383.69499999999999</v>
      </c>
      <c r="X737" s="10">
        <v>-383.69600000000003</v>
      </c>
      <c r="Y737" s="10">
        <v>-56.807000000000002</v>
      </c>
      <c r="Z737" s="10">
        <v>-110.598</v>
      </c>
      <c r="AA737" s="10">
        <v>49.18</v>
      </c>
      <c r="AB737" s="10">
        <v>-265.471</v>
      </c>
      <c r="AC737" s="8">
        <v>0</v>
      </c>
      <c r="AD737" s="8">
        <v>0</v>
      </c>
      <c r="AE737" s="8">
        <v>0</v>
      </c>
      <c r="AF737" s="10">
        <v>0</v>
      </c>
      <c r="AG737" s="8">
        <f>COUNTIF(Y737:AB737,"&gt;0")</f>
        <v>1</v>
      </c>
      <c r="AH737" s="10">
        <v>49.18</v>
      </c>
      <c r="AI737" s="10">
        <v>0</v>
      </c>
      <c r="AJ737" s="8" t="str">
        <f>IF(ISNUMBER(X737),IF(X737&gt;0,"+",IF(X737&lt;0,"−","0")),IF(ISNUMBER(W737),IF(W737&gt;0,"+",IF(W737&lt;0,"−","0")),"yok"))</f>
        <v>−</v>
      </c>
      <c r="AK737" s="10">
        <f>IF(AND(RIGHT(C737,2)&lt;&gt;"12",ISNUMBER(U737),ISNUMBER(V737)),U737-V737,"")</f>
        <v>-56.80699999999996</v>
      </c>
      <c r="AL737" s="11">
        <f>IF(AND(ISNUMBER(AK737),ISNUMBER(V737)),IF(V737&lt;&gt;0,AK737/ABS(V737),""),"")</f>
        <v>-0.11850765511011709</v>
      </c>
      <c r="AM737" s="8">
        <f>IF(ISNUMBER(AK737),IF(AK737&gt;1,1,0),"")</f>
        <v>0</v>
      </c>
      <c r="AN737" s="8">
        <f>IF(ISNUMBER(AK737),IF(AK737&gt;0.05*ABS(V737),1,0),"")</f>
        <v>0</v>
      </c>
      <c r="AO737" s="10">
        <v>-383.697</v>
      </c>
      <c r="AP737" s="10">
        <v>383.697</v>
      </c>
      <c r="AQ737" s="8" t="s">
        <v>204</v>
      </c>
      <c r="AR737" s="8">
        <v>0</v>
      </c>
      <c r="AS737" s="10">
        <v>1021.598</v>
      </c>
      <c r="AT737" s="10">
        <v>637.90099999999995</v>
      </c>
      <c r="AU737" s="8" t="s">
        <v>212</v>
      </c>
      <c r="AV737" s="10">
        <v>49.18</v>
      </c>
      <c r="AW737" s="11">
        <f>IF(AND(ISNUMBER(AV737),ISNUMBER(AT737)),IF(AT737&lt;&gt;0,AV737/ABS(AT737),""),"")</f>
        <v>7.709660276437881E-2</v>
      </c>
      <c r="AX737" s="8">
        <v>0</v>
      </c>
      <c r="AY737" s="8">
        <v>0</v>
      </c>
      <c r="AZ737" s="10"/>
      <c r="BA737" s="8">
        <v>0</v>
      </c>
    </row>
    <row r="738" spans="1:53" x14ac:dyDescent="0.2">
      <c r="A738" s="8" t="s">
        <v>372</v>
      </c>
      <c r="B738" s="8" t="s">
        <v>83</v>
      </c>
      <c r="C738" s="8" t="s">
        <v>290</v>
      </c>
      <c r="D738" s="8">
        <v>1</v>
      </c>
      <c r="E738" s="8">
        <v>0</v>
      </c>
      <c r="F738" s="8">
        <f>SUM(G738:M738)</f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1</v>
      </c>
      <c r="Q738" s="8">
        <v>0</v>
      </c>
      <c r="R738" s="8">
        <v>0</v>
      </c>
      <c r="S738" s="8">
        <v>1</v>
      </c>
      <c r="T738" s="10">
        <v>-545.63400000000001</v>
      </c>
      <c r="U738" s="10"/>
      <c r="V738" s="10"/>
      <c r="W738" s="10">
        <f>IF(RIGHT(C738,2)="12",IF(ISNUMBER(T738),T738,""),IF(COUNT(T738,U738,V738)=3,T738+U738-V738,""))</f>
        <v>-545.63400000000001</v>
      </c>
      <c r="X738" s="10">
        <v>-545.63400000000001</v>
      </c>
      <c r="Y738" s="10">
        <v>-110.598</v>
      </c>
      <c r="Z738" s="10">
        <v>49.18</v>
      </c>
      <c r="AA738" s="10">
        <v>-265.471</v>
      </c>
      <c r="AB738" s="10">
        <v>-218.74600000000001</v>
      </c>
      <c r="AC738" s="8">
        <v>0</v>
      </c>
      <c r="AD738" s="8">
        <v>0</v>
      </c>
      <c r="AE738" s="8">
        <v>0</v>
      </c>
      <c r="AF738" s="10">
        <v>0</v>
      </c>
      <c r="AG738" s="8">
        <f>COUNTIF(Y738:AB738,"&gt;0")</f>
        <v>1</v>
      </c>
      <c r="AH738" s="10">
        <v>49.18</v>
      </c>
      <c r="AI738" s="10">
        <v>0</v>
      </c>
      <c r="AJ738" s="8" t="str">
        <f>IF(ISNUMBER(X738),IF(X738&gt;0,"+",IF(X738&lt;0,"−","0")),IF(ISNUMBER(W738),IF(W738&gt;0,"+",IF(W738&lt;0,"−","0")),"yok"))</f>
        <v>−</v>
      </c>
      <c r="AK738" s="10" t="str">
        <f>IF(AND(RIGHT(C738,2)&lt;&gt;"12",ISNUMBER(U738),ISNUMBER(V738)),U738-V738,"")</f>
        <v/>
      </c>
      <c r="AL738" s="11" t="str">
        <f>IF(AND(ISNUMBER(AK738),ISNUMBER(V738)),IF(V738&lt;&gt;0,AK738/ABS(V738),""),"")</f>
        <v/>
      </c>
      <c r="AM738" s="8" t="str">
        <f>IF(ISNUMBER(AK738),IF(AK738&gt;1,1,0),"")</f>
        <v/>
      </c>
      <c r="AN738" s="8" t="str">
        <f>IF(ISNUMBER(AK738),IF(AK738&gt;0.05*ABS(V738),1,0),"")</f>
        <v/>
      </c>
      <c r="AO738" s="10">
        <v>-545.63499999999999</v>
      </c>
      <c r="AP738" s="10">
        <v>545.63499999999999</v>
      </c>
      <c r="AQ738" s="8" t="s">
        <v>204</v>
      </c>
      <c r="AR738" s="8">
        <v>0</v>
      </c>
      <c r="AS738" s="10">
        <v>2406.2359999999999</v>
      </c>
      <c r="AT738" s="10">
        <v>1860.6010000000001</v>
      </c>
      <c r="AU738" s="8" t="s">
        <v>204</v>
      </c>
      <c r="AV738" s="10">
        <v>49.18</v>
      </c>
      <c r="AW738" s="11">
        <f>IF(AND(ISNUMBER(AV738),ISNUMBER(AT738)),IF(AT738&lt;&gt;0,AV738/ABS(AT738),""),"")</f>
        <v>2.6432319449468208E-2</v>
      </c>
      <c r="AX738" s="8">
        <v>0</v>
      </c>
      <c r="AY738" s="8">
        <v>0</v>
      </c>
      <c r="AZ738" s="10"/>
      <c r="BA738" s="8">
        <v>0</v>
      </c>
    </row>
    <row r="739" spans="1:53" x14ac:dyDescent="0.2">
      <c r="A739" s="8" t="s">
        <v>373</v>
      </c>
      <c r="B739" s="8" t="s">
        <v>82</v>
      </c>
      <c r="C739" s="8" t="s">
        <v>203</v>
      </c>
      <c r="D739" s="8">
        <v>1</v>
      </c>
      <c r="E739" s="8">
        <v>0</v>
      </c>
      <c r="F739" s="8">
        <f>SUM(G739:M739)</f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1</v>
      </c>
      <c r="S739" s="8">
        <v>0</v>
      </c>
      <c r="T739" s="10">
        <v>-0.249</v>
      </c>
      <c r="U739" s="10">
        <v>-0.53700000000000003</v>
      </c>
      <c r="V739" s="10">
        <v>-0.75600000000000001</v>
      </c>
      <c r="W739" s="10">
        <f>IF(RIGHT(C739,2)="12",IF(ISNUMBER(T739),T739,""),IF(COUNT(T739,U739,V739)=3,T739+U739-V739,""))</f>
        <v>-3.0000000000000027E-2</v>
      </c>
      <c r="X739" s="10">
        <v>-0.03</v>
      </c>
      <c r="Y739" s="10">
        <v>-250.71600000000001</v>
      </c>
      <c r="Z739" s="10"/>
      <c r="AA739" s="10"/>
      <c r="AB739" s="10">
        <v>-0.249</v>
      </c>
      <c r="AC739" s="8">
        <v>0</v>
      </c>
      <c r="AD739" s="8">
        <v>0</v>
      </c>
      <c r="AE739" s="8">
        <v>0</v>
      </c>
      <c r="AF739" s="10">
        <v>0</v>
      </c>
      <c r="AG739" s="8">
        <f>COUNTIF(Y739:AB739,"&gt;0")</f>
        <v>0</v>
      </c>
      <c r="AH739" s="10">
        <v>0</v>
      </c>
      <c r="AI739" s="10">
        <v>0</v>
      </c>
      <c r="AJ739" s="8" t="str">
        <f>IF(ISNUMBER(X739),IF(X739&gt;0,"+",IF(X739&lt;0,"−","0")),IF(ISNUMBER(W739),IF(W739&gt;0,"+",IF(W739&lt;0,"−","0")),"yok"))</f>
        <v>−</v>
      </c>
      <c r="AK739" s="10">
        <f>IF(AND(RIGHT(C739,2)&lt;&gt;"12",ISNUMBER(U739),ISNUMBER(V739)),U739-V739,"")</f>
        <v>0.21899999999999997</v>
      </c>
      <c r="AL739" s="11">
        <f>IF(AND(ISNUMBER(AK739),ISNUMBER(V739)),IF(V739&lt;&gt;0,AK739/ABS(V739),""),"")</f>
        <v>0.28968253968253965</v>
      </c>
      <c r="AM739" s="8">
        <f>IF(ISNUMBER(AK739),IF(AK739&gt;1,1,0),"")</f>
        <v>0</v>
      </c>
      <c r="AN739" s="8">
        <f>IF(ISNUMBER(AK739),IF(AK739&gt;0.05*ABS(V739),1,0),"")</f>
        <v>1</v>
      </c>
      <c r="AO739" s="10"/>
      <c r="AP739" s="10"/>
      <c r="AQ739" s="8" t="s">
        <v>207</v>
      </c>
      <c r="AR739" s="8">
        <v>0</v>
      </c>
      <c r="AS739" s="10">
        <v>-468.35199999999998</v>
      </c>
      <c r="AT739" s="10"/>
      <c r="AU739" s="8" t="s">
        <v>207</v>
      </c>
      <c r="AV739" s="10">
        <v>0.219</v>
      </c>
      <c r="AW739" s="11" t="str">
        <f>IF(AND(ISNUMBER(AV739),ISNUMBER(AT739)),IF(AT739&lt;&gt;0,AV739/ABS(AT739),""),"")</f>
        <v/>
      </c>
      <c r="AX739" s="8">
        <v>0</v>
      </c>
      <c r="AY739" s="8">
        <v>0</v>
      </c>
      <c r="AZ739" s="10"/>
      <c r="BA739" s="8">
        <v>0</v>
      </c>
    </row>
    <row r="740" spans="1:53" x14ac:dyDescent="0.2">
      <c r="A740" s="8" t="s">
        <v>373</v>
      </c>
      <c r="B740" s="8" t="s">
        <v>82</v>
      </c>
      <c r="C740" s="8" t="s">
        <v>205</v>
      </c>
      <c r="D740" s="8">
        <v>1</v>
      </c>
      <c r="E740" s="8">
        <v>0</v>
      </c>
      <c r="F740" s="8">
        <f>SUM(G740:M740)</f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1</v>
      </c>
      <c r="S740" s="8">
        <v>0</v>
      </c>
      <c r="T740" s="10"/>
      <c r="U740" s="10">
        <v>-0.53700000000000003</v>
      </c>
      <c r="V740" s="10">
        <v>-251.47200000000001</v>
      </c>
      <c r="W740" s="10" t="str">
        <f>IF(RIGHT(C740,2)="12",IF(ISNUMBER(T740),T740,""),IF(COUNT(T740,U740,V740)=3,T740+U740-V740,""))</f>
        <v/>
      </c>
      <c r="X740" s="10"/>
      <c r="Y740" s="10"/>
      <c r="Z740" s="10"/>
      <c r="AA740" s="10">
        <v>-0.249</v>
      </c>
      <c r="AB740" s="10"/>
      <c r="AC740" s="8">
        <v>0</v>
      </c>
      <c r="AD740" s="8">
        <v>0</v>
      </c>
      <c r="AE740" s="8">
        <v>0</v>
      </c>
      <c r="AF740" s="10">
        <v>0</v>
      </c>
      <c r="AG740" s="8">
        <f>COUNTIF(Y740:AB740,"&gt;0")</f>
        <v>0</v>
      </c>
      <c r="AH740" s="10">
        <v>0</v>
      </c>
      <c r="AI740" s="10">
        <v>0</v>
      </c>
      <c r="AJ740" s="8" t="str">
        <f>IF(ISNUMBER(X740),IF(X740&gt;0,"+",IF(X740&lt;0,"−","0")),IF(ISNUMBER(W740),IF(W740&gt;0,"+",IF(W740&lt;0,"−","0")),"yok"))</f>
        <v>yok</v>
      </c>
      <c r="AK740" s="10">
        <f>IF(AND(RIGHT(C740,2)&lt;&gt;"12",ISNUMBER(U740),ISNUMBER(V740)),U740-V740,"")</f>
        <v>250.935</v>
      </c>
      <c r="AL740" s="11">
        <f>IF(AND(ISNUMBER(AK740),ISNUMBER(V740)),IF(V740&lt;&gt;0,AK740/ABS(V740),""),"")</f>
        <v>0.99786457339186863</v>
      </c>
      <c r="AM740" s="8">
        <f>IF(ISNUMBER(AK740),IF(AK740&gt;1,1,0),"")</f>
        <v>1</v>
      </c>
      <c r="AN740" s="8">
        <f>IF(ISNUMBER(AK740),IF(AK740&gt;0.05*ABS(V740),1,0),"")</f>
        <v>1</v>
      </c>
      <c r="AO740" s="10"/>
      <c r="AP740" s="10"/>
      <c r="AQ740" s="8" t="s">
        <v>207</v>
      </c>
      <c r="AR740" s="8">
        <v>0</v>
      </c>
      <c r="AS740" s="10">
        <v>474.625</v>
      </c>
      <c r="AT740" s="10"/>
      <c r="AU740" s="8" t="s">
        <v>207</v>
      </c>
      <c r="AV740" s="10">
        <v>0</v>
      </c>
      <c r="AW740" s="11" t="str">
        <f>IF(AND(ISNUMBER(AV740),ISNUMBER(AT740)),IF(AT740&lt;&gt;0,AV740/ABS(AT740),""),"")</f>
        <v/>
      </c>
      <c r="AX740" s="8">
        <v>0</v>
      </c>
      <c r="AY740" s="8">
        <v>0</v>
      </c>
      <c r="AZ740" s="10"/>
      <c r="BA740" s="8">
        <v>0</v>
      </c>
    </row>
    <row r="741" spans="1:53" x14ac:dyDescent="0.2">
      <c r="A741" s="8" t="s">
        <v>373</v>
      </c>
      <c r="B741" s="8" t="s">
        <v>83</v>
      </c>
      <c r="C741" s="8" t="s">
        <v>290</v>
      </c>
      <c r="D741" s="8">
        <v>1</v>
      </c>
      <c r="E741" s="8">
        <v>0</v>
      </c>
      <c r="F741" s="8">
        <f>SUM(G741:M741)</f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1</v>
      </c>
      <c r="Q741" s="8">
        <v>0</v>
      </c>
      <c r="R741" s="8">
        <v>0</v>
      </c>
      <c r="S741" s="8">
        <v>1</v>
      </c>
      <c r="T741" s="10">
        <v>-1509.18</v>
      </c>
      <c r="U741" s="10"/>
      <c r="V741" s="10"/>
      <c r="W741" s="10">
        <f>IF(RIGHT(C741,2)="12",IF(ISNUMBER(T741),T741,""),IF(COUNT(T741,U741,V741)=3,T741+U741-V741,""))</f>
        <v>-1509.18</v>
      </c>
      <c r="X741" s="10">
        <v>-1509.18</v>
      </c>
      <c r="Y741" s="10">
        <v>-10.255000000000001</v>
      </c>
      <c r="Z741" s="10">
        <v>1.621</v>
      </c>
      <c r="AA741" s="10">
        <v>-4.1980000000000004</v>
      </c>
      <c r="AB741" s="10">
        <v>-1496.348</v>
      </c>
      <c r="AC741" s="8">
        <v>0</v>
      </c>
      <c r="AD741" s="8">
        <v>0</v>
      </c>
      <c r="AE741" s="8">
        <v>0</v>
      </c>
      <c r="AF741" s="10">
        <v>0</v>
      </c>
      <c r="AG741" s="8">
        <f>COUNTIF(Y741:AB741,"&gt;0")</f>
        <v>1</v>
      </c>
      <c r="AH741" s="10">
        <v>1.621</v>
      </c>
      <c r="AI741" s="10">
        <v>0</v>
      </c>
      <c r="AJ741" s="8" t="str">
        <f>IF(ISNUMBER(X741),IF(X741&gt;0,"+",IF(X741&lt;0,"−","0")),IF(ISNUMBER(W741),IF(W741&gt;0,"+",IF(W741&lt;0,"−","0")),"yok"))</f>
        <v>−</v>
      </c>
      <c r="AK741" s="10" t="str">
        <f>IF(AND(RIGHT(C741,2)&lt;&gt;"12",ISNUMBER(U741),ISNUMBER(V741)),U741-V741,"")</f>
        <v/>
      </c>
      <c r="AL741" s="11" t="str">
        <f>IF(AND(ISNUMBER(AK741),ISNUMBER(V741)),IF(V741&lt;&gt;0,AK741/ABS(V741),""),"")</f>
        <v/>
      </c>
      <c r="AM741" s="8" t="str">
        <f>IF(ISNUMBER(AK741),IF(AK741&gt;1,1,0),"")</f>
        <v/>
      </c>
      <c r="AN741" s="8" t="str">
        <f>IF(ISNUMBER(AK741),IF(AK741&gt;0.05*ABS(V741),1,0),"")</f>
        <v/>
      </c>
      <c r="AO741" s="10">
        <v>-1509.181</v>
      </c>
      <c r="AP741" s="10">
        <v>1509.181</v>
      </c>
      <c r="AQ741" s="8" t="s">
        <v>204</v>
      </c>
      <c r="AR741" s="8">
        <v>0</v>
      </c>
      <c r="AS741" s="10">
        <v>2968.0259999999998</v>
      </c>
      <c r="AT741" s="10">
        <v>1457.5319999999999</v>
      </c>
      <c r="AU741" s="8" t="s">
        <v>209</v>
      </c>
      <c r="AV741" s="10">
        <v>1.621</v>
      </c>
      <c r="AW741" s="11">
        <f>IF(AND(ISNUMBER(AV741),ISNUMBER(AT741)),IF(AT741&lt;&gt;0,AV741/ABS(AT741),""),"")</f>
        <v>1.1121539698613822E-3</v>
      </c>
      <c r="AX741" s="8">
        <v>0</v>
      </c>
      <c r="AY741" s="8">
        <v>0</v>
      </c>
      <c r="AZ741" s="10"/>
      <c r="BA741" s="8">
        <v>0</v>
      </c>
    </row>
    <row r="742" spans="1:53" x14ac:dyDescent="0.2">
      <c r="A742" s="8" t="s">
        <v>374</v>
      </c>
      <c r="B742" s="8" t="s">
        <v>82</v>
      </c>
      <c r="C742" s="8" t="s">
        <v>290</v>
      </c>
      <c r="D742" s="8">
        <v>1</v>
      </c>
      <c r="E742" s="8">
        <v>0</v>
      </c>
      <c r="F742" s="8">
        <f>SUM(G742:M742)</f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1</v>
      </c>
      <c r="Q742" s="8">
        <v>0</v>
      </c>
      <c r="R742" s="8">
        <v>0</v>
      </c>
      <c r="S742" s="8">
        <v>1</v>
      </c>
      <c r="T742" s="10">
        <v>-4.2000000000000003E-2</v>
      </c>
      <c r="U742" s="10"/>
      <c r="V742" s="10"/>
      <c r="W742" s="10">
        <f>IF(RIGHT(C742,2)="12",IF(ISNUMBER(T742),T742,""),IF(COUNT(T742,U742,V742)=3,T742+U742-V742,""))</f>
        <v>-4.2000000000000003E-2</v>
      </c>
      <c r="X742" s="10">
        <v>-4.2000000000000003E-2</v>
      </c>
      <c r="Y742" s="10">
        <v>-1.1080000000000001</v>
      </c>
      <c r="Z742" s="10">
        <v>-1.1140000000000001</v>
      </c>
      <c r="AA742" s="10">
        <v>-0.66800000000000004</v>
      </c>
      <c r="AB742" s="10">
        <v>2.8490000000000002</v>
      </c>
      <c r="AC742" s="8">
        <v>0</v>
      </c>
      <c r="AD742" s="8">
        <v>0</v>
      </c>
      <c r="AE742" s="8">
        <v>0</v>
      </c>
      <c r="AF742" s="10">
        <v>0</v>
      </c>
      <c r="AG742" s="8">
        <f>COUNTIF(Y742:AB742,"&gt;0")</f>
        <v>1</v>
      </c>
      <c r="AH742" s="10">
        <v>2.8490000000000002</v>
      </c>
      <c r="AI742" s="10">
        <v>0</v>
      </c>
      <c r="AJ742" s="8" t="str">
        <f>IF(ISNUMBER(X742),IF(X742&gt;0,"+",IF(X742&lt;0,"−","0")),IF(ISNUMBER(W742),IF(W742&gt;0,"+",IF(W742&lt;0,"−","0")),"yok"))</f>
        <v>−</v>
      </c>
      <c r="AK742" s="10" t="str">
        <f>IF(AND(RIGHT(C742,2)&lt;&gt;"12",ISNUMBER(U742),ISNUMBER(V742)),U742-V742,"")</f>
        <v/>
      </c>
      <c r="AL742" s="11" t="str">
        <f>IF(AND(ISNUMBER(AK742),ISNUMBER(V742)),IF(V742&lt;&gt;0,AK742/ABS(V742),""),"")</f>
        <v/>
      </c>
      <c r="AM742" s="8" t="str">
        <f>IF(ISNUMBER(AK742),IF(AK742&gt;1,1,0),"")</f>
        <v/>
      </c>
      <c r="AN742" s="8" t="str">
        <f>IF(ISNUMBER(AK742),IF(AK742&gt;0.05*ABS(V742),1,0),"")</f>
        <v/>
      </c>
      <c r="AO742" s="10">
        <v>-4.2000000000000003E-2</v>
      </c>
      <c r="AP742" s="10">
        <v>4.2000000000000003E-2</v>
      </c>
      <c r="AQ742" s="8" t="s">
        <v>204</v>
      </c>
      <c r="AR742" s="8">
        <v>0</v>
      </c>
      <c r="AS742" s="10">
        <v>461.64699999999999</v>
      </c>
      <c r="AT742" s="10">
        <v>151.209</v>
      </c>
      <c r="AU742" s="8" t="s">
        <v>204</v>
      </c>
      <c r="AV742" s="10">
        <v>2.8490000000000002</v>
      </c>
      <c r="AW742" s="11">
        <f>IF(AND(ISNUMBER(AV742),ISNUMBER(AT742)),IF(AT742&lt;&gt;0,AV742/ABS(AT742),""),"")</f>
        <v>1.8841471076457089E-2</v>
      </c>
      <c r="AX742" s="8">
        <v>0</v>
      </c>
      <c r="AY742" s="8">
        <v>0</v>
      </c>
      <c r="AZ742" s="10"/>
      <c r="BA742" s="8">
        <v>0</v>
      </c>
    </row>
    <row r="743" spans="1:53" x14ac:dyDescent="0.2">
      <c r="A743" s="8" t="s">
        <v>374</v>
      </c>
      <c r="B743" s="8" t="s">
        <v>83</v>
      </c>
      <c r="C743" s="8" t="s">
        <v>290</v>
      </c>
      <c r="D743" s="8">
        <v>1</v>
      </c>
      <c r="E743" s="8">
        <v>0</v>
      </c>
      <c r="F743" s="8">
        <f>SUM(G743:M743)</f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1</v>
      </c>
      <c r="Q743" s="8">
        <v>0</v>
      </c>
      <c r="R743" s="8">
        <v>0</v>
      </c>
      <c r="S743" s="8">
        <v>1</v>
      </c>
      <c r="T743" s="10">
        <v>-310.39600000000002</v>
      </c>
      <c r="U743" s="10"/>
      <c r="V743" s="10"/>
      <c r="W743" s="10">
        <f>IF(RIGHT(C743,2)="12",IF(ISNUMBER(T743),T743,""),IF(COUNT(T743,U743,V743)=3,T743+U743-V743,""))</f>
        <v>-310.39600000000002</v>
      </c>
      <c r="X743" s="10">
        <v>-310.39600000000002</v>
      </c>
      <c r="Y743" s="10">
        <v>-5.7169999999999996</v>
      </c>
      <c r="Z743" s="10">
        <v>2.38</v>
      </c>
      <c r="AA743" s="10">
        <v>-300.851</v>
      </c>
      <c r="AB743" s="10">
        <v>-6.2069999999999999</v>
      </c>
      <c r="AC743" s="8">
        <v>0</v>
      </c>
      <c r="AD743" s="8">
        <v>0</v>
      </c>
      <c r="AE743" s="8">
        <v>0</v>
      </c>
      <c r="AF743" s="10">
        <v>0</v>
      </c>
      <c r="AG743" s="8">
        <f>COUNTIF(Y743:AB743,"&gt;0")</f>
        <v>1</v>
      </c>
      <c r="AH743" s="10">
        <v>2.38</v>
      </c>
      <c r="AI743" s="10">
        <v>0</v>
      </c>
      <c r="AJ743" s="8" t="str">
        <f>IF(ISNUMBER(X743),IF(X743&gt;0,"+",IF(X743&lt;0,"−","0")),IF(ISNUMBER(W743),IF(W743&gt;0,"+",IF(W743&lt;0,"−","0")),"yok"))</f>
        <v>−</v>
      </c>
      <c r="AK743" s="10" t="str">
        <f>IF(AND(RIGHT(C743,2)&lt;&gt;"12",ISNUMBER(U743),ISNUMBER(V743)),U743-V743,"")</f>
        <v/>
      </c>
      <c r="AL743" s="11" t="str">
        <f>IF(AND(ISNUMBER(AK743),ISNUMBER(V743)),IF(V743&lt;&gt;0,AK743/ABS(V743),""),"")</f>
        <v/>
      </c>
      <c r="AM743" s="8" t="str">
        <f>IF(ISNUMBER(AK743),IF(AK743&gt;1,1,0),"")</f>
        <v/>
      </c>
      <c r="AN743" s="8" t="str">
        <f>IF(ISNUMBER(AK743),IF(AK743&gt;0.05*ABS(V743),1,0),"")</f>
        <v/>
      </c>
      <c r="AO743" s="10">
        <v>-310.39600000000002</v>
      </c>
      <c r="AP743" s="10">
        <v>310.39600000000002</v>
      </c>
      <c r="AQ743" s="8" t="s">
        <v>204</v>
      </c>
      <c r="AR743" s="8">
        <v>0</v>
      </c>
      <c r="AS743" s="10">
        <v>461.64699999999999</v>
      </c>
      <c r="AT743" s="10">
        <v>151.209</v>
      </c>
      <c r="AU743" s="8" t="s">
        <v>204</v>
      </c>
      <c r="AV743" s="10">
        <v>2.38</v>
      </c>
      <c r="AW743" s="11">
        <f>IF(AND(ISNUMBER(AV743),ISNUMBER(AT743)),IF(AT743&lt;&gt;0,AV743/ABS(AT743),""),"")</f>
        <v>1.5739803847654568E-2</v>
      </c>
      <c r="AX743" s="8">
        <v>0</v>
      </c>
      <c r="AY743" s="8">
        <v>0</v>
      </c>
      <c r="AZ743" s="10"/>
      <c r="BA743" s="8">
        <v>0</v>
      </c>
    </row>
    <row r="744" spans="1:53" x14ac:dyDescent="0.2">
      <c r="A744" s="8" t="s">
        <v>375</v>
      </c>
      <c r="B744" s="8" t="s">
        <v>82</v>
      </c>
      <c r="C744" s="8" t="s">
        <v>205</v>
      </c>
      <c r="D744" s="8">
        <v>1</v>
      </c>
      <c r="E744" s="8">
        <v>0</v>
      </c>
      <c r="F744" s="8">
        <f>SUM(G744:M744)</f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1</v>
      </c>
      <c r="Q744" s="8">
        <v>0</v>
      </c>
      <c r="R744" s="8">
        <v>0</v>
      </c>
      <c r="S744" s="8">
        <v>1</v>
      </c>
      <c r="T744" s="10">
        <v>-40.225999999999999</v>
      </c>
      <c r="U744" s="10">
        <v>-52.509</v>
      </c>
      <c r="V744" s="10">
        <v>-22.798999999999999</v>
      </c>
      <c r="W744" s="10">
        <f>IF(RIGHT(C744,2)="12",IF(ISNUMBER(T744),T744,""),IF(COUNT(T744,U744,V744)=3,T744+U744-V744,""))</f>
        <v>-69.936000000000007</v>
      </c>
      <c r="X744" s="10">
        <v>-69.935000000000002</v>
      </c>
      <c r="Y744" s="10">
        <v>-20.635999999999999</v>
      </c>
      <c r="Z744" s="10">
        <v>-9.0719999999999992</v>
      </c>
      <c r="AA744" s="10">
        <v>-45.762999999999998</v>
      </c>
      <c r="AB744" s="10">
        <v>5.5369999999999999</v>
      </c>
      <c r="AC744" s="8">
        <v>0</v>
      </c>
      <c r="AD744" s="8">
        <v>0</v>
      </c>
      <c r="AE744" s="8">
        <v>0</v>
      </c>
      <c r="AF744" s="10">
        <v>0</v>
      </c>
      <c r="AG744" s="8">
        <f>COUNTIF(Y744:AB744,"&gt;0")</f>
        <v>1</v>
      </c>
      <c r="AH744" s="10">
        <v>5.5369999999999999</v>
      </c>
      <c r="AI744" s="10">
        <v>0</v>
      </c>
      <c r="AJ744" s="8" t="str">
        <f>IF(ISNUMBER(X744),IF(X744&gt;0,"+",IF(X744&lt;0,"−","0")),IF(ISNUMBER(W744),IF(W744&gt;0,"+",IF(W744&lt;0,"−","0")),"yok"))</f>
        <v>−</v>
      </c>
      <c r="AK744" s="10">
        <f>IF(AND(RIGHT(C744,2)&lt;&gt;"12",ISNUMBER(U744),ISNUMBER(V744)),U744-V744,"")</f>
        <v>-29.71</v>
      </c>
      <c r="AL744" s="11">
        <f>IF(AND(ISNUMBER(AK744),ISNUMBER(V744)),IF(V744&lt;&gt;0,AK744/ABS(V744),""),"")</f>
        <v>-1.3031273301460591</v>
      </c>
      <c r="AM744" s="8">
        <f>IF(ISNUMBER(AK744),IF(AK744&gt;1,1,0),"")</f>
        <v>0</v>
      </c>
      <c r="AN744" s="8">
        <f>IF(ISNUMBER(AK744),IF(AK744&gt;0.05*ABS(V744),1,0),"")</f>
        <v>0</v>
      </c>
      <c r="AO744" s="10">
        <v>-69.935000000000002</v>
      </c>
      <c r="AP744" s="10">
        <v>69.935000000000002</v>
      </c>
      <c r="AQ744" s="8" t="s">
        <v>204</v>
      </c>
      <c r="AR744" s="8">
        <v>0</v>
      </c>
      <c r="AS744" s="10">
        <v>1383.3409999999999</v>
      </c>
      <c r="AT744" s="10">
        <v>-816.68600000000004</v>
      </c>
      <c r="AU744" s="8" t="s">
        <v>204</v>
      </c>
      <c r="AV744" s="10">
        <v>5.5369999999999999</v>
      </c>
      <c r="AW744" s="11">
        <f>IF(AND(ISNUMBER(AV744),ISNUMBER(AT744)),IF(AT744&lt;&gt;0,AV744/ABS(AT744),""),"")</f>
        <v>6.7798394976771974E-3</v>
      </c>
      <c r="AX744" s="8">
        <v>0</v>
      </c>
      <c r="AY744" s="8">
        <v>0</v>
      </c>
      <c r="AZ744" s="10"/>
      <c r="BA744" s="8">
        <v>0</v>
      </c>
    </row>
    <row r="745" spans="1:53" x14ac:dyDescent="0.2">
      <c r="A745" s="8" t="s">
        <v>375</v>
      </c>
      <c r="B745" s="8" t="s">
        <v>82</v>
      </c>
      <c r="C745" s="8" t="s">
        <v>215</v>
      </c>
      <c r="D745" s="8">
        <v>1</v>
      </c>
      <c r="E745" s="8">
        <v>0</v>
      </c>
      <c r="F745" s="8">
        <f>SUM(G745:M745)</f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1</v>
      </c>
      <c r="Q745" s="8">
        <v>0</v>
      </c>
      <c r="R745" s="8">
        <v>0</v>
      </c>
      <c r="S745" s="8">
        <v>1</v>
      </c>
      <c r="T745" s="10">
        <v>-55.963999999999999</v>
      </c>
      <c r="U745" s="10">
        <v>-52.509</v>
      </c>
      <c r="V745" s="10">
        <v>-43.436</v>
      </c>
      <c r="W745" s="10">
        <f>IF(RIGHT(C745,2)="12",IF(ISNUMBER(T745),T745,""),IF(COUNT(T745,U745,V745)=3,T745+U745-V745,""))</f>
        <v>-65.037000000000006</v>
      </c>
      <c r="X745" s="10">
        <v>-65.037000000000006</v>
      </c>
      <c r="Y745" s="10">
        <v>-9.0719999999999992</v>
      </c>
      <c r="Z745" s="10">
        <v>-45.762999999999998</v>
      </c>
      <c r="AA745" s="10">
        <v>5.5369999999999999</v>
      </c>
      <c r="AB745" s="10">
        <v>-15.738</v>
      </c>
      <c r="AC745" s="8">
        <v>0</v>
      </c>
      <c r="AD745" s="8">
        <v>0</v>
      </c>
      <c r="AE745" s="8">
        <v>0</v>
      </c>
      <c r="AF745" s="10">
        <v>0</v>
      </c>
      <c r="AG745" s="8">
        <f>COUNTIF(Y745:AB745,"&gt;0")</f>
        <v>1</v>
      </c>
      <c r="AH745" s="10">
        <v>5.5369999999999999</v>
      </c>
      <c r="AI745" s="10">
        <v>0</v>
      </c>
      <c r="AJ745" s="8" t="str">
        <f>IF(ISNUMBER(X745),IF(X745&gt;0,"+",IF(X745&lt;0,"−","0")),IF(ISNUMBER(W745),IF(W745&gt;0,"+",IF(W745&lt;0,"−","0")),"yok"))</f>
        <v>−</v>
      </c>
      <c r="AK745" s="10">
        <f>IF(AND(RIGHT(C745,2)&lt;&gt;"12",ISNUMBER(U745),ISNUMBER(V745)),U745-V745,"")</f>
        <v>-9.0730000000000004</v>
      </c>
      <c r="AL745" s="11">
        <f>IF(AND(ISNUMBER(AK745),ISNUMBER(V745)),IF(V745&lt;&gt;0,AK745/ABS(V745),""),"")</f>
        <v>-0.20888203333640298</v>
      </c>
      <c r="AM745" s="8">
        <f>IF(ISNUMBER(AK745),IF(AK745&gt;1,1,0),"")</f>
        <v>0</v>
      </c>
      <c r="AN745" s="8">
        <f>IF(ISNUMBER(AK745),IF(AK745&gt;0.05*ABS(V745),1,0),"")</f>
        <v>0</v>
      </c>
      <c r="AO745" s="10">
        <v>-65.037999999999997</v>
      </c>
      <c r="AP745" s="10">
        <v>65.037999999999997</v>
      </c>
      <c r="AQ745" s="8" t="s">
        <v>204</v>
      </c>
      <c r="AR745" s="8">
        <v>0</v>
      </c>
      <c r="AS745" s="10">
        <v>1774.568</v>
      </c>
      <c r="AT745" s="10">
        <v>-345.32799999999997</v>
      </c>
      <c r="AU745" s="8" t="s">
        <v>209</v>
      </c>
      <c r="AV745" s="10">
        <v>5.5369999999999999</v>
      </c>
      <c r="AW745" s="11">
        <f>IF(AND(ISNUMBER(AV745),ISNUMBER(AT745)),IF(AT745&lt;&gt;0,AV745/ABS(AT745),""),"")</f>
        <v>1.6034031413612565E-2</v>
      </c>
      <c r="AX745" s="8">
        <v>0</v>
      </c>
      <c r="AY745" s="8">
        <v>0</v>
      </c>
      <c r="AZ745" s="10"/>
      <c r="BA745" s="8">
        <v>0</v>
      </c>
    </row>
    <row r="746" spans="1:53" x14ac:dyDescent="0.2">
      <c r="A746" s="8" t="s">
        <v>375</v>
      </c>
      <c r="B746" s="8" t="s">
        <v>82</v>
      </c>
      <c r="C746" s="8" t="s">
        <v>290</v>
      </c>
      <c r="D746" s="8">
        <v>1</v>
      </c>
      <c r="E746" s="8">
        <v>0</v>
      </c>
      <c r="F746" s="8">
        <f>SUM(G746:M746)</f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1</v>
      </c>
      <c r="Q746" s="8">
        <v>0</v>
      </c>
      <c r="R746" s="8">
        <v>0</v>
      </c>
      <c r="S746" s="8">
        <v>1</v>
      </c>
      <c r="T746" s="10">
        <v>-80.168000000000006</v>
      </c>
      <c r="U746" s="10"/>
      <c r="V746" s="10"/>
      <c r="W746" s="10">
        <f>IF(RIGHT(C746,2)="12",IF(ISNUMBER(T746),T746,""),IF(COUNT(T746,U746,V746)=3,T746+U746-V746,""))</f>
        <v>-80.168000000000006</v>
      </c>
      <c r="X746" s="10">
        <v>-80.168000000000006</v>
      </c>
      <c r="Y746" s="10">
        <v>-45.762999999999998</v>
      </c>
      <c r="Z746" s="10">
        <v>5.5369999999999999</v>
      </c>
      <c r="AA746" s="10">
        <v>-15.738</v>
      </c>
      <c r="AB746" s="10">
        <v>-24.202999999999999</v>
      </c>
      <c r="AC746" s="8">
        <v>0</v>
      </c>
      <c r="AD746" s="8">
        <v>0</v>
      </c>
      <c r="AE746" s="8">
        <v>0</v>
      </c>
      <c r="AF746" s="10">
        <v>0</v>
      </c>
      <c r="AG746" s="8">
        <f>COUNTIF(Y746:AB746,"&gt;0")</f>
        <v>1</v>
      </c>
      <c r="AH746" s="10">
        <v>5.5369999999999999</v>
      </c>
      <c r="AI746" s="10">
        <v>0</v>
      </c>
      <c r="AJ746" s="8" t="str">
        <f>IF(ISNUMBER(X746),IF(X746&gt;0,"+",IF(X746&lt;0,"−","0")),IF(ISNUMBER(W746),IF(W746&gt;0,"+",IF(W746&lt;0,"−","0")),"yok"))</f>
        <v>−</v>
      </c>
      <c r="AK746" s="10" t="str">
        <f>IF(AND(RIGHT(C746,2)&lt;&gt;"12",ISNUMBER(U746),ISNUMBER(V746)),U746-V746,"")</f>
        <v/>
      </c>
      <c r="AL746" s="11" t="str">
        <f>IF(AND(ISNUMBER(AK746),ISNUMBER(V746)),IF(V746&lt;&gt;0,AK746/ABS(V746),""),"")</f>
        <v/>
      </c>
      <c r="AM746" s="8" t="str">
        <f>IF(ISNUMBER(AK746),IF(AK746&gt;1,1,0),"")</f>
        <v/>
      </c>
      <c r="AN746" s="8" t="str">
        <f>IF(ISNUMBER(AK746),IF(AK746&gt;0.05*ABS(V746),1,0),"")</f>
        <v/>
      </c>
      <c r="AO746" s="10">
        <v>-80.168999999999997</v>
      </c>
      <c r="AP746" s="10">
        <v>80.168999999999997</v>
      </c>
      <c r="AQ746" s="8" t="s">
        <v>204</v>
      </c>
      <c r="AR746" s="8">
        <v>0</v>
      </c>
      <c r="AS746" s="10">
        <v>2770.41</v>
      </c>
      <c r="AT746" s="10">
        <v>264.20600000000002</v>
      </c>
      <c r="AU746" s="8" t="s">
        <v>209</v>
      </c>
      <c r="AV746" s="10">
        <v>5.5369999999999999</v>
      </c>
      <c r="AW746" s="11">
        <f>IF(AND(ISNUMBER(AV746),ISNUMBER(AT746)),IF(AT746&lt;&gt;0,AV746/ABS(AT746),""),"")</f>
        <v>2.0957131934929561E-2</v>
      </c>
      <c r="AX746" s="8">
        <v>0</v>
      </c>
      <c r="AY746" s="8">
        <v>0</v>
      </c>
      <c r="AZ746" s="10"/>
      <c r="BA746" s="8">
        <v>0</v>
      </c>
    </row>
    <row r="747" spans="1:53" x14ac:dyDescent="0.2">
      <c r="A747" s="8" t="s">
        <v>375</v>
      </c>
      <c r="B747" s="8" t="s">
        <v>82</v>
      </c>
      <c r="C747" s="8" t="s">
        <v>208</v>
      </c>
      <c r="D747" s="8">
        <v>1</v>
      </c>
      <c r="E747" s="8">
        <v>0</v>
      </c>
      <c r="F747" s="8">
        <f>SUM(G747:M747)</f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1</v>
      </c>
      <c r="Q747" s="8">
        <v>0</v>
      </c>
      <c r="R747" s="8">
        <v>1</v>
      </c>
      <c r="S747" s="8">
        <v>0</v>
      </c>
      <c r="T747" s="10">
        <v>-20.981999999999999</v>
      </c>
      <c r="U747" s="10">
        <v>-80.168000000000006</v>
      </c>
      <c r="V747" s="10">
        <v>-45.762999999999998</v>
      </c>
      <c r="W747" s="10">
        <f>IF(RIGHT(C747,2)="12",IF(ISNUMBER(T747),T747,""),IF(COUNT(T747,U747,V747)=3,T747+U747-V747,""))</f>
        <v>-55.387000000000008</v>
      </c>
      <c r="X747" s="10">
        <v>-55.387</v>
      </c>
      <c r="Y747" s="10">
        <v>5.5369999999999999</v>
      </c>
      <c r="Z747" s="10">
        <v>-15.738</v>
      </c>
      <c r="AA747" s="10">
        <v>-24.202999999999999</v>
      </c>
      <c r="AB747" s="10">
        <v>-20.981999999999999</v>
      </c>
      <c r="AC747" s="8">
        <v>0</v>
      </c>
      <c r="AD747" s="8">
        <v>0</v>
      </c>
      <c r="AE747" s="8">
        <v>0</v>
      </c>
      <c r="AF747" s="10">
        <v>0</v>
      </c>
      <c r="AG747" s="8">
        <f>COUNTIF(Y747:AB747,"&gt;0")</f>
        <v>1</v>
      </c>
      <c r="AH747" s="10">
        <v>0</v>
      </c>
      <c r="AI747" s="10">
        <v>5.5369999999999999</v>
      </c>
      <c r="AJ747" s="8" t="str">
        <f>IF(ISNUMBER(X747),IF(X747&gt;0,"+",IF(X747&lt;0,"−","0")),IF(ISNUMBER(W747),IF(W747&gt;0,"+",IF(W747&lt;0,"−","0")),"yok"))</f>
        <v>−</v>
      </c>
      <c r="AK747" s="10">
        <f>IF(AND(RIGHT(C747,2)&lt;&gt;"12",ISNUMBER(U747),ISNUMBER(V747)),U747-V747,"")</f>
        <v>-34.405000000000008</v>
      </c>
      <c r="AL747" s="11">
        <f>IF(AND(ISNUMBER(AK747),ISNUMBER(V747)),IF(V747&lt;&gt;0,AK747/ABS(V747),""),"")</f>
        <v>-0.75180822935559311</v>
      </c>
      <c r="AM747" s="8">
        <f>IF(ISNUMBER(AK747),IF(AK747&gt;1,1,0),"")</f>
        <v>0</v>
      </c>
      <c r="AN747" s="8">
        <f>IF(ISNUMBER(AK747),IF(AK747&gt;0.05*ABS(V747),1,0),"")</f>
        <v>0</v>
      </c>
      <c r="AO747" s="10">
        <v>-55.387999999999998</v>
      </c>
      <c r="AP747" s="10">
        <v>55.387999999999998</v>
      </c>
      <c r="AQ747" s="8" t="s">
        <v>204</v>
      </c>
      <c r="AR747" s="8">
        <v>0</v>
      </c>
      <c r="AS747" s="10">
        <v>2996.8</v>
      </c>
      <c r="AT747" s="10">
        <v>909.11699999999996</v>
      </c>
      <c r="AU747" s="8" t="s">
        <v>209</v>
      </c>
      <c r="AV747" s="10">
        <v>5.5369999999999999</v>
      </c>
      <c r="AW747" s="11">
        <f>IF(AND(ISNUMBER(AV747),ISNUMBER(AT747)),IF(AT747&lt;&gt;0,AV747/ABS(AT747),""),"")</f>
        <v>6.0905252019267048E-3</v>
      </c>
      <c r="AX747" s="8">
        <v>0</v>
      </c>
      <c r="AY747" s="8">
        <v>0</v>
      </c>
      <c r="AZ747" s="10"/>
      <c r="BA747" s="8">
        <v>0</v>
      </c>
    </row>
    <row r="748" spans="1:53" x14ac:dyDescent="0.2">
      <c r="A748" s="8" t="s">
        <v>375</v>
      </c>
      <c r="B748" s="8" t="s">
        <v>83</v>
      </c>
      <c r="C748" s="8" t="s">
        <v>205</v>
      </c>
      <c r="D748" s="8">
        <v>1</v>
      </c>
      <c r="E748" s="8">
        <v>0</v>
      </c>
      <c r="F748" s="8">
        <f>SUM(G748:M748)</f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1</v>
      </c>
      <c r="Q748" s="8">
        <v>0</v>
      </c>
      <c r="R748" s="8">
        <v>0</v>
      </c>
      <c r="S748" s="8">
        <v>1</v>
      </c>
      <c r="T748" s="10">
        <v>-1208.1030000000001</v>
      </c>
      <c r="U748" s="10">
        <v>-2532.2840000000001</v>
      </c>
      <c r="V748" s="10">
        <v>-1610.2950000000001</v>
      </c>
      <c r="W748" s="10">
        <f>IF(RIGHT(C748,2)="12",IF(ISNUMBER(T748),T748,""),IF(COUNT(T748,U748,V748)=3,T748+U748-V748,""))</f>
        <v>-2130.0920000000001</v>
      </c>
      <c r="X748" s="10">
        <v>-2130.0909999999999</v>
      </c>
      <c r="Y748" s="10">
        <v>-1039.675</v>
      </c>
      <c r="Z748" s="10">
        <v>117.687</v>
      </c>
      <c r="AA748" s="10">
        <v>-1408.9480000000001</v>
      </c>
      <c r="AB748" s="10">
        <v>200.845</v>
      </c>
      <c r="AC748" s="8">
        <v>0</v>
      </c>
      <c r="AD748" s="8">
        <v>0</v>
      </c>
      <c r="AE748" s="8">
        <v>0</v>
      </c>
      <c r="AF748" s="10">
        <v>0</v>
      </c>
      <c r="AG748" s="8">
        <f>COUNTIF(Y748:AB748,"&gt;0")</f>
        <v>2</v>
      </c>
      <c r="AH748" s="10">
        <v>200.845</v>
      </c>
      <c r="AI748" s="10">
        <v>117.687</v>
      </c>
      <c r="AJ748" s="8" t="str">
        <f>IF(ISNUMBER(X748),IF(X748&gt;0,"+",IF(X748&lt;0,"−","0")),IF(ISNUMBER(W748),IF(W748&gt;0,"+",IF(W748&lt;0,"−","0")),"yok"))</f>
        <v>−</v>
      </c>
      <c r="AK748" s="10">
        <f>IF(AND(RIGHT(C748,2)&lt;&gt;"12",ISNUMBER(U748),ISNUMBER(V748)),U748-V748,"")</f>
        <v>-921.98900000000003</v>
      </c>
      <c r="AL748" s="11">
        <f>IF(AND(ISNUMBER(AK748),ISNUMBER(V748)),IF(V748&lt;&gt;0,AK748/ABS(V748),""),"")</f>
        <v>-0.57255906526443912</v>
      </c>
      <c r="AM748" s="8">
        <f>IF(ISNUMBER(AK748),IF(AK748&gt;1,1,0),"")</f>
        <v>0</v>
      </c>
      <c r="AN748" s="8">
        <f>IF(ISNUMBER(AK748),IF(AK748&gt;0.05*ABS(V748),1,0),"")</f>
        <v>0</v>
      </c>
      <c r="AO748" s="10">
        <v>-2130.0920000000001</v>
      </c>
      <c r="AP748" s="10">
        <v>2130.0920000000001</v>
      </c>
      <c r="AQ748" s="8" t="s">
        <v>204</v>
      </c>
      <c r="AR748" s="8">
        <v>0</v>
      </c>
      <c r="AS748" s="10">
        <v>1383.3409999999999</v>
      </c>
      <c r="AT748" s="10">
        <v>-816.68600000000004</v>
      </c>
      <c r="AU748" s="8" t="s">
        <v>204</v>
      </c>
      <c r="AV748" s="10">
        <v>200.845</v>
      </c>
      <c r="AW748" s="11">
        <f>IF(AND(ISNUMBER(AV748),ISNUMBER(AT748)),IF(AT748&lt;&gt;0,AV748/ABS(AT748),""),"")</f>
        <v>0.24592683111991634</v>
      </c>
      <c r="AX748" s="8">
        <v>0</v>
      </c>
      <c r="AY748" s="8">
        <v>0</v>
      </c>
      <c r="AZ748" s="10"/>
      <c r="BA748" s="8">
        <v>0</v>
      </c>
    </row>
    <row r="749" spans="1:53" x14ac:dyDescent="0.2">
      <c r="A749" s="8" t="s">
        <v>375</v>
      </c>
      <c r="B749" s="8" t="s">
        <v>83</v>
      </c>
      <c r="C749" s="8" t="s">
        <v>215</v>
      </c>
      <c r="D749" s="8">
        <v>1</v>
      </c>
      <c r="E749" s="8">
        <v>0</v>
      </c>
      <c r="F749" s="8">
        <f>SUM(G749:M749)</f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1</v>
      </c>
      <c r="Q749" s="8">
        <v>0</v>
      </c>
      <c r="R749" s="8">
        <v>0</v>
      </c>
      <c r="S749" s="8">
        <v>1</v>
      </c>
      <c r="T749" s="10">
        <v>-2172.5450000000001</v>
      </c>
      <c r="U749" s="10">
        <v>-2532.2840000000001</v>
      </c>
      <c r="V749" s="10">
        <v>-2649.971</v>
      </c>
      <c r="W749" s="10">
        <f>IF(RIGHT(C749,2)="12",IF(ISNUMBER(T749),T749,""),IF(COUNT(T749,U749,V749)=3,T749+U749-V749,""))</f>
        <v>-2054.8579999999997</v>
      </c>
      <c r="X749" s="10">
        <v>-2054.8580000000002</v>
      </c>
      <c r="Y749" s="10">
        <v>117.687</v>
      </c>
      <c r="Z749" s="10">
        <v>-1408.9480000000001</v>
      </c>
      <c r="AA749" s="10">
        <v>200.845</v>
      </c>
      <c r="AB749" s="10">
        <v>-964.44200000000001</v>
      </c>
      <c r="AC749" s="8">
        <v>0</v>
      </c>
      <c r="AD749" s="8">
        <v>0</v>
      </c>
      <c r="AE749" s="8">
        <v>0</v>
      </c>
      <c r="AF749" s="10">
        <v>0</v>
      </c>
      <c r="AG749" s="8">
        <f>COUNTIF(Y749:AB749,"&gt;0")</f>
        <v>2</v>
      </c>
      <c r="AH749" s="10">
        <v>200.845</v>
      </c>
      <c r="AI749" s="10">
        <v>117.687</v>
      </c>
      <c r="AJ749" s="8" t="str">
        <f>IF(ISNUMBER(X749),IF(X749&gt;0,"+",IF(X749&lt;0,"−","0")),IF(ISNUMBER(W749),IF(W749&gt;0,"+",IF(W749&lt;0,"−","0")),"yok"))</f>
        <v>−</v>
      </c>
      <c r="AK749" s="10">
        <f>IF(AND(RIGHT(C749,2)&lt;&gt;"12",ISNUMBER(U749),ISNUMBER(V749)),U749-V749,"")</f>
        <v>117.6869999999999</v>
      </c>
      <c r="AL749" s="11">
        <f>IF(AND(ISNUMBER(AK749),ISNUMBER(V749)),IF(V749&lt;&gt;0,AK749/ABS(V749),""),"")</f>
        <v>4.4410674682854978E-2</v>
      </c>
      <c r="AM749" s="8">
        <f>IF(ISNUMBER(AK749),IF(AK749&gt;1,1,0),"")</f>
        <v>1</v>
      </c>
      <c r="AN749" s="8">
        <f>IF(ISNUMBER(AK749),IF(AK749&gt;0.05*ABS(V749),1,0),"")</f>
        <v>0</v>
      </c>
      <c r="AO749" s="10">
        <v>-2054.8580000000002</v>
      </c>
      <c r="AP749" s="10">
        <v>2054.8580000000002</v>
      </c>
      <c r="AQ749" s="8" t="s">
        <v>204</v>
      </c>
      <c r="AR749" s="8">
        <v>0</v>
      </c>
      <c r="AS749" s="10">
        <v>1774.568</v>
      </c>
      <c r="AT749" s="10">
        <v>-345.32799999999997</v>
      </c>
      <c r="AU749" s="8" t="s">
        <v>209</v>
      </c>
      <c r="AV749" s="10">
        <v>117.687</v>
      </c>
      <c r="AW749" s="11">
        <f>IF(AND(ISNUMBER(AV749),ISNUMBER(AT749)),IF(AT749&lt;&gt;0,AV749/ABS(AT749),""),"")</f>
        <v>0.3407977343279433</v>
      </c>
      <c r="AX749" s="8">
        <v>0</v>
      </c>
      <c r="AY749" s="8">
        <v>0</v>
      </c>
      <c r="AZ749" s="10"/>
      <c r="BA749" s="8">
        <v>0</v>
      </c>
    </row>
    <row r="750" spans="1:53" x14ac:dyDescent="0.2">
      <c r="A750" s="8" t="s">
        <v>375</v>
      </c>
      <c r="B750" s="8" t="s">
        <v>83</v>
      </c>
      <c r="C750" s="8" t="s">
        <v>290</v>
      </c>
      <c r="D750" s="8">
        <v>1</v>
      </c>
      <c r="E750" s="8">
        <v>0</v>
      </c>
      <c r="F750" s="8">
        <f>SUM(G750:M750)</f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1</v>
      </c>
      <c r="Q750" s="8">
        <v>0</v>
      </c>
      <c r="R750" s="8">
        <v>0</v>
      </c>
      <c r="S750" s="8">
        <v>1</v>
      </c>
      <c r="T750" s="10">
        <v>-2426.0349999999999</v>
      </c>
      <c r="U750" s="10"/>
      <c r="V750" s="10"/>
      <c r="W750" s="10">
        <f>IF(RIGHT(C750,2)="12",IF(ISNUMBER(T750),T750,""),IF(COUNT(T750,U750,V750)=3,T750+U750-V750,""))</f>
        <v>-2426.0349999999999</v>
      </c>
      <c r="X750" s="10">
        <v>-2426.0349999999999</v>
      </c>
      <c r="Y750" s="10">
        <v>-1408.9480000000001</v>
      </c>
      <c r="Z750" s="10">
        <v>200.845</v>
      </c>
      <c r="AA750" s="10">
        <v>-964.44200000000001</v>
      </c>
      <c r="AB750" s="10">
        <v>-253.49</v>
      </c>
      <c r="AC750" s="8">
        <v>0</v>
      </c>
      <c r="AD750" s="8">
        <v>0</v>
      </c>
      <c r="AE750" s="8">
        <v>0</v>
      </c>
      <c r="AF750" s="10">
        <v>0</v>
      </c>
      <c r="AG750" s="8">
        <f>COUNTIF(Y750:AB750,"&gt;0")</f>
        <v>1</v>
      </c>
      <c r="AH750" s="10">
        <v>200.845</v>
      </c>
      <c r="AI750" s="10">
        <v>0</v>
      </c>
      <c r="AJ750" s="8" t="str">
        <f>IF(ISNUMBER(X750),IF(X750&gt;0,"+",IF(X750&lt;0,"−","0")),IF(ISNUMBER(W750),IF(W750&gt;0,"+",IF(W750&lt;0,"−","0")),"yok"))</f>
        <v>−</v>
      </c>
      <c r="AK750" s="10" t="str">
        <f>IF(AND(RIGHT(C750,2)&lt;&gt;"12",ISNUMBER(U750),ISNUMBER(V750)),U750-V750,"")</f>
        <v/>
      </c>
      <c r="AL750" s="11" t="str">
        <f>IF(AND(ISNUMBER(AK750),ISNUMBER(V750)),IF(V750&lt;&gt;0,AK750/ABS(V750),""),"")</f>
        <v/>
      </c>
      <c r="AM750" s="8" t="str">
        <f>IF(ISNUMBER(AK750),IF(AK750&gt;1,1,0),"")</f>
        <v/>
      </c>
      <c r="AN750" s="8" t="str">
        <f>IF(ISNUMBER(AK750),IF(AK750&gt;0.05*ABS(V750),1,0),"")</f>
        <v/>
      </c>
      <c r="AO750" s="10">
        <v>-2426.0349999999999</v>
      </c>
      <c r="AP750" s="10">
        <v>2426.0349999999999</v>
      </c>
      <c r="AQ750" s="8" t="s">
        <v>204</v>
      </c>
      <c r="AR750" s="8">
        <v>0</v>
      </c>
      <c r="AS750" s="10">
        <v>2770.41</v>
      </c>
      <c r="AT750" s="10">
        <v>264.20600000000002</v>
      </c>
      <c r="AU750" s="8" t="s">
        <v>209</v>
      </c>
      <c r="AV750" s="10">
        <v>200.845</v>
      </c>
      <c r="AW750" s="11">
        <f>IF(AND(ISNUMBER(AV750),ISNUMBER(AT750)),IF(AT750&lt;&gt;0,AV750/ABS(AT750),""),"")</f>
        <v>0.76018334178633329</v>
      </c>
      <c r="AX750" s="8">
        <v>0</v>
      </c>
      <c r="AY750" s="8">
        <v>0</v>
      </c>
      <c r="AZ750" s="10"/>
      <c r="BA750" s="8">
        <v>0</v>
      </c>
    </row>
    <row r="751" spans="1:53" x14ac:dyDescent="0.2">
      <c r="A751" s="8" t="s">
        <v>376</v>
      </c>
      <c r="B751" s="8" t="s">
        <v>82</v>
      </c>
      <c r="C751" s="8" t="s">
        <v>203</v>
      </c>
      <c r="D751" s="8">
        <v>1</v>
      </c>
      <c r="E751" s="8">
        <v>0</v>
      </c>
      <c r="F751" s="8">
        <f>SUM(G751:M751)</f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1</v>
      </c>
      <c r="Q751" s="8">
        <v>0</v>
      </c>
      <c r="R751" s="8">
        <v>1</v>
      </c>
      <c r="S751" s="8">
        <v>0</v>
      </c>
      <c r="T751" s="10">
        <v>-20.428999999999998</v>
      </c>
      <c r="U751" s="10">
        <v>-84.558000000000007</v>
      </c>
      <c r="V751" s="10">
        <v>-9.1530000000000005</v>
      </c>
      <c r="W751" s="10">
        <f>IF(RIGHT(C751,2)="12",IF(ISNUMBER(T751),T751,""),IF(COUNT(T751,U751,V751)=3,T751+U751-V751,""))</f>
        <v>-95.834000000000003</v>
      </c>
      <c r="X751" s="10">
        <v>-95.834000000000003</v>
      </c>
      <c r="Y751" s="10">
        <v>5.9180000000000001</v>
      </c>
      <c r="Z751" s="10">
        <v>23.045000000000002</v>
      </c>
      <c r="AA751" s="10">
        <v>-104.36799999999999</v>
      </c>
      <c r="AB751" s="10">
        <v>-20.428999999999998</v>
      </c>
      <c r="AC751" s="8">
        <v>0</v>
      </c>
      <c r="AD751" s="8">
        <v>0</v>
      </c>
      <c r="AE751" s="8">
        <v>0</v>
      </c>
      <c r="AF751" s="10">
        <v>0</v>
      </c>
      <c r="AG751" s="8">
        <f>COUNTIF(Y751:AB751,"&gt;0")</f>
        <v>2</v>
      </c>
      <c r="AH751" s="10">
        <v>0</v>
      </c>
      <c r="AI751" s="10">
        <v>28.963000000000001</v>
      </c>
      <c r="AJ751" s="8" t="str">
        <f>IF(ISNUMBER(X751),IF(X751&gt;0,"+",IF(X751&lt;0,"−","0")),IF(ISNUMBER(W751),IF(W751&gt;0,"+",IF(W751&lt;0,"−","0")),"yok"))</f>
        <v>−</v>
      </c>
      <c r="AK751" s="10">
        <f>IF(AND(RIGHT(C751,2)&lt;&gt;"12",ISNUMBER(U751),ISNUMBER(V751)),U751-V751,"")</f>
        <v>-75.405000000000001</v>
      </c>
      <c r="AL751" s="11">
        <f>IF(AND(ISNUMBER(AK751),ISNUMBER(V751)),IF(V751&lt;&gt;0,AK751/ABS(V751),""),"")</f>
        <v>-8.2382825303179281</v>
      </c>
      <c r="AM751" s="8">
        <f>IF(ISNUMBER(AK751),IF(AK751&gt;1,1,0),"")</f>
        <v>0</v>
      </c>
      <c r="AN751" s="8">
        <f>IF(ISNUMBER(AK751),IF(AK751&gt;0.05*ABS(V751),1,0),"")</f>
        <v>0</v>
      </c>
      <c r="AO751" s="10"/>
      <c r="AP751" s="10"/>
      <c r="AQ751" s="8" t="s">
        <v>207</v>
      </c>
      <c r="AR751" s="8">
        <v>0</v>
      </c>
      <c r="AS751" s="10"/>
      <c r="AT751" s="10"/>
      <c r="AU751" s="8" t="s">
        <v>207</v>
      </c>
      <c r="AV751" s="10">
        <v>23.045000000000002</v>
      </c>
      <c r="AW751" s="11" t="str">
        <f>IF(AND(ISNUMBER(AV751),ISNUMBER(AT751)),IF(AT751&lt;&gt;0,AV751/ABS(AT751),""),"")</f>
        <v/>
      </c>
      <c r="AX751" s="8">
        <v>0</v>
      </c>
      <c r="AY751" s="8">
        <v>0</v>
      </c>
      <c r="AZ751" s="10"/>
      <c r="BA751" s="8">
        <v>0</v>
      </c>
    </row>
    <row r="752" spans="1:53" x14ac:dyDescent="0.2">
      <c r="A752" s="8" t="s">
        <v>376</v>
      </c>
      <c r="B752" s="8" t="s">
        <v>82</v>
      </c>
      <c r="C752" s="8" t="s">
        <v>205</v>
      </c>
      <c r="D752" s="8">
        <v>1</v>
      </c>
      <c r="E752" s="8">
        <v>0</v>
      </c>
      <c r="F752" s="8">
        <f>SUM(G752:M752)</f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1</v>
      </c>
      <c r="Q752" s="8">
        <v>0</v>
      </c>
      <c r="R752" s="8">
        <v>1</v>
      </c>
      <c r="S752" s="8">
        <v>0</v>
      </c>
      <c r="T752" s="10">
        <v>-32.256999999999998</v>
      </c>
      <c r="U752" s="10">
        <v>-84.558000000000007</v>
      </c>
      <c r="V752" s="10">
        <v>-3.2349999999999999</v>
      </c>
      <c r="W752" s="10">
        <f>IF(RIGHT(C752,2)="12",IF(ISNUMBER(T752),T752,""),IF(COUNT(T752,U752,V752)=3,T752+U752-V752,""))</f>
        <v>-113.58</v>
      </c>
      <c r="X752" s="10">
        <v>-113.58</v>
      </c>
      <c r="Y752" s="10">
        <v>23.045000000000002</v>
      </c>
      <c r="Z752" s="10">
        <v>-104.36799999999999</v>
      </c>
      <c r="AA752" s="10">
        <v>-20.428999999999998</v>
      </c>
      <c r="AB752" s="10">
        <v>-11.827</v>
      </c>
      <c r="AC752" s="8">
        <v>0</v>
      </c>
      <c r="AD752" s="8">
        <v>0</v>
      </c>
      <c r="AE752" s="8">
        <v>0</v>
      </c>
      <c r="AF752" s="10">
        <v>0</v>
      </c>
      <c r="AG752" s="8">
        <f>COUNTIF(Y752:AB752,"&gt;0")</f>
        <v>1</v>
      </c>
      <c r="AH752" s="10">
        <v>0</v>
      </c>
      <c r="AI752" s="10">
        <v>23.045000000000002</v>
      </c>
      <c r="AJ752" s="8" t="str">
        <f>IF(ISNUMBER(X752),IF(X752&gt;0,"+",IF(X752&lt;0,"−","0")),IF(ISNUMBER(W752),IF(W752&gt;0,"+",IF(W752&lt;0,"−","0")),"yok"))</f>
        <v>−</v>
      </c>
      <c r="AK752" s="10">
        <f>IF(AND(RIGHT(C752,2)&lt;&gt;"12",ISNUMBER(U752),ISNUMBER(V752)),U752-V752,"")</f>
        <v>-81.323000000000008</v>
      </c>
      <c r="AL752" s="11">
        <f>IF(AND(ISNUMBER(AK752),ISNUMBER(V752)),IF(V752&lt;&gt;0,AK752/ABS(V752),""),"")</f>
        <v>-25.138485316846989</v>
      </c>
      <c r="AM752" s="8">
        <f>IF(ISNUMBER(AK752),IF(AK752&gt;1,1,0),"")</f>
        <v>0</v>
      </c>
      <c r="AN752" s="8">
        <f>IF(ISNUMBER(AK752),IF(AK752&gt;0.05*ABS(V752),1,0),"")</f>
        <v>0</v>
      </c>
      <c r="AO752" s="10"/>
      <c r="AP752" s="10"/>
      <c r="AQ752" s="8" t="s">
        <v>207</v>
      </c>
      <c r="AR752" s="8">
        <v>0</v>
      </c>
      <c r="AS752" s="10"/>
      <c r="AT752" s="10"/>
      <c r="AU752" s="8" t="s">
        <v>207</v>
      </c>
      <c r="AV752" s="10">
        <v>23.045000000000002</v>
      </c>
      <c r="AW752" s="11" t="str">
        <f>IF(AND(ISNUMBER(AV752),ISNUMBER(AT752)),IF(AT752&lt;&gt;0,AV752/ABS(AT752),""),"")</f>
        <v/>
      </c>
      <c r="AX752" s="8">
        <v>0</v>
      </c>
      <c r="AY752" s="8">
        <v>0</v>
      </c>
      <c r="AZ752" s="10"/>
      <c r="BA752" s="8">
        <v>0</v>
      </c>
    </row>
    <row r="753" spans="1:53" x14ac:dyDescent="0.2">
      <c r="A753" s="8" t="s">
        <v>376</v>
      </c>
      <c r="B753" s="8" t="s">
        <v>83</v>
      </c>
      <c r="C753" s="8" t="s">
        <v>290</v>
      </c>
      <c r="D753" s="8">
        <v>1</v>
      </c>
      <c r="E753" s="8">
        <v>0</v>
      </c>
      <c r="F753" s="8">
        <f>SUM(G753:M753)</f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1</v>
      </c>
      <c r="Q753" s="8">
        <v>0</v>
      </c>
      <c r="R753" s="8">
        <v>0</v>
      </c>
      <c r="S753" s="8">
        <v>1</v>
      </c>
      <c r="T753" s="10">
        <v>-5038.268</v>
      </c>
      <c r="U753" s="10"/>
      <c r="V753" s="10"/>
      <c r="W753" s="10">
        <f>IF(RIGHT(C753,2)="12",IF(ISNUMBER(T753),T753,""),IF(COUNT(T753,U753,V753)=3,T753+U753-V753,""))</f>
        <v>-5038.268</v>
      </c>
      <c r="X753" s="10">
        <v>-5038.268</v>
      </c>
      <c r="Y753" s="10">
        <v>-2457.3969999999999</v>
      </c>
      <c r="Z753" s="10">
        <v>-1397.7829999999999</v>
      </c>
      <c r="AA753" s="10">
        <v>4447.1379999999999</v>
      </c>
      <c r="AB753" s="10">
        <v>-5630.2259999999997</v>
      </c>
      <c r="AC753" s="8">
        <v>0</v>
      </c>
      <c r="AD753" s="8">
        <v>0</v>
      </c>
      <c r="AE753" s="8">
        <v>0</v>
      </c>
      <c r="AF753" s="10">
        <v>0</v>
      </c>
      <c r="AG753" s="8">
        <f>COUNTIF(Y753:AB753,"&gt;0")</f>
        <v>1</v>
      </c>
      <c r="AH753" s="10">
        <v>4447.1379999999999</v>
      </c>
      <c r="AI753" s="10">
        <v>0</v>
      </c>
      <c r="AJ753" s="8" t="str">
        <f>IF(ISNUMBER(X753),IF(X753&gt;0,"+",IF(X753&lt;0,"−","0")),IF(ISNUMBER(W753),IF(W753&gt;0,"+",IF(W753&lt;0,"−","0")),"yok"))</f>
        <v>−</v>
      </c>
      <c r="AK753" s="10" t="str">
        <f>IF(AND(RIGHT(C753,2)&lt;&gt;"12",ISNUMBER(U753),ISNUMBER(V753)),U753-V753,"")</f>
        <v/>
      </c>
      <c r="AL753" s="11" t="str">
        <f>IF(AND(ISNUMBER(AK753),ISNUMBER(V753)),IF(V753&lt;&gt;0,AK753/ABS(V753),""),"")</f>
        <v/>
      </c>
      <c r="AM753" s="8" t="str">
        <f>IF(ISNUMBER(AK753),IF(AK753&gt;1,1,0),"")</f>
        <v/>
      </c>
      <c r="AN753" s="8" t="str">
        <f>IF(ISNUMBER(AK753),IF(AK753&gt;0.05*ABS(V753),1,0),"")</f>
        <v/>
      </c>
      <c r="AO753" s="10"/>
      <c r="AP753" s="10"/>
      <c r="AQ753" s="8" t="s">
        <v>207</v>
      </c>
      <c r="AR753" s="8">
        <v>0</v>
      </c>
      <c r="AS753" s="10"/>
      <c r="AT753" s="10"/>
      <c r="AU753" s="8" t="s">
        <v>207</v>
      </c>
      <c r="AV753" s="10">
        <v>4447.1379999999999</v>
      </c>
      <c r="AW753" s="11" t="str">
        <f>IF(AND(ISNUMBER(AV753),ISNUMBER(AT753)),IF(AT753&lt;&gt;0,AV753/ABS(AT753),""),"")</f>
        <v/>
      </c>
      <c r="AX753" s="8">
        <v>0</v>
      </c>
      <c r="AY753" s="8">
        <v>0</v>
      </c>
      <c r="AZ753" s="10"/>
      <c r="BA753" s="8">
        <v>0</v>
      </c>
    </row>
    <row r="754" spans="1:53" x14ac:dyDescent="0.2">
      <c r="A754" s="8" t="s">
        <v>379</v>
      </c>
      <c r="B754" s="8" t="s">
        <v>83</v>
      </c>
      <c r="C754" s="8" t="s">
        <v>290</v>
      </c>
      <c r="D754" s="8">
        <v>1</v>
      </c>
      <c r="E754" s="8">
        <v>0</v>
      </c>
      <c r="F754" s="8">
        <f>SUM(G754:M754)</f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1</v>
      </c>
      <c r="Q754" s="8">
        <v>0</v>
      </c>
      <c r="R754" s="8">
        <v>0</v>
      </c>
      <c r="S754" s="8">
        <v>1</v>
      </c>
      <c r="T754" s="10">
        <v>-73.941999999999993</v>
      </c>
      <c r="U754" s="10"/>
      <c r="V754" s="10"/>
      <c r="W754" s="10">
        <f>IF(RIGHT(C754,2)="12",IF(ISNUMBER(T754),T754,""),IF(COUNT(T754,U754,V754)=3,T754+U754-V754,""))</f>
        <v>-73.941999999999993</v>
      </c>
      <c r="X754" s="10">
        <v>-73.941999999999993</v>
      </c>
      <c r="Y754" s="10">
        <v>-15.375</v>
      </c>
      <c r="Z754" s="10">
        <v>-56.558</v>
      </c>
      <c r="AA754" s="10">
        <v>-6.9889999999999999</v>
      </c>
      <c r="AB754" s="10">
        <v>4.9790000000000001</v>
      </c>
      <c r="AC754" s="8">
        <v>0</v>
      </c>
      <c r="AD754" s="8">
        <v>0</v>
      </c>
      <c r="AE754" s="8">
        <v>0</v>
      </c>
      <c r="AF754" s="10">
        <v>0</v>
      </c>
      <c r="AG754" s="8">
        <f>COUNTIF(Y754:AB754,"&gt;0")</f>
        <v>1</v>
      </c>
      <c r="AH754" s="10">
        <v>4.9790000000000001</v>
      </c>
      <c r="AI754" s="10">
        <v>0</v>
      </c>
      <c r="AJ754" s="8" t="str">
        <f>IF(ISNUMBER(X754),IF(X754&gt;0,"+",IF(X754&lt;0,"−","0")),IF(ISNUMBER(W754),IF(W754&gt;0,"+",IF(W754&lt;0,"−","0")),"yok"))</f>
        <v>−</v>
      </c>
      <c r="AK754" s="10" t="str">
        <f>IF(AND(RIGHT(C754,2)&lt;&gt;"12",ISNUMBER(U754),ISNUMBER(V754)),U754-V754,"")</f>
        <v/>
      </c>
      <c r="AL754" s="11" t="str">
        <f>IF(AND(ISNUMBER(AK754),ISNUMBER(V754)),IF(V754&lt;&gt;0,AK754/ABS(V754),""),"")</f>
        <v/>
      </c>
      <c r="AM754" s="8" t="str">
        <f>IF(ISNUMBER(AK754),IF(AK754&gt;1,1,0),"")</f>
        <v/>
      </c>
      <c r="AN754" s="8" t="str">
        <f>IF(ISNUMBER(AK754),IF(AK754&gt;0.05*ABS(V754),1,0),"")</f>
        <v/>
      </c>
      <c r="AO754" s="10">
        <v>-73.942999999999998</v>
      </c>
      <c r="AP754" s="10">
        <v>73.942999999999998</v>
      </c>
      <c r="AQ754" s="8" t="s">
        <v>204</v>
      </c>
      <c r="AR754" s="8">
        <v>0</v>
      </c>
      <c r="AS754" s="10">
        <v>-87.328000000000003</v>
      </c>
      <c r="AT754" s="10">
        <v>-161.27099999999999</v>
      </c>
      <c r="AU754" s="8" t="s">
        <v>204</v>
      </c>
      <c r="AV754" s="10">
        <v>4.9790000000000001</v>
      </c>
      <c r="AW754" s="11">
        <f>IF(AND(ISNUMBER(AV754),ISNUMBER(AT754)),IF(AT754&lt;&gt;0,AV754/ABS(AT754),""),"")</f>
        <v>3.0873498645137689E-2</v>
      </c>
      <c r="AX754" s="8">
        <v>0</v>
      </c>
      <c r="AY754" s="8">
        <v>0</v>
      </c>
      <c r="AZ754" s="10"/>
      <c r="BA754" s="8">
        <v>0</v>
      </c>
    </row>
    <row r="755" spans="1:53" x14ac:dyDescent="0.2">
      <c r="A755" s="8" t="s">
        <v>599</v>
      </c>
      <c r="B755" s="8" t="s">
        <v>82</v>
      </c>
      <c r="C755" s="8" t="s">
        <v>203</v>
      </c>
      <c r="D755" s="8">
        <v>1</v>
      </c>
      <c r="E755" s="8">
        <v>0</v>
      </c>
      <c r="F755" s="8">
        <f>SUM(G755:M755)</f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1</v>
      </c>
      <c r="Q755" s="8">
        <v>0</v>
      </c>
      <c r="R755" s="8">
        <v>1</v>
      </c>
      <c r="S755" s="8">
        <v>0</v>
      </c>
      <c r="T755" s="10">
        <v>-30.579000000000001</v>
      </c>
      <c r="U755" s="10">
        <v>-33.034999999999997</v>
      </c>
      <c r="V755" s="10">
        <v>-33.034999999999997</v>
      </c>
      <c r="W755" s="10">
        <f>IF(RIGHT(C755,2)="12",IF(ISNUMBER(T755),T755,""),IF(COUNT(T755,U755,V755)=3,T755+U755-V755,""))</f>
        <v>-30.579000000000001</v>
      </c>
      <c r="X755" s="10">
        <v>-30.579000000000001</v>
      </c>
      <c r="Y755" s="10">
        <v>11.711</v>
      </c>
      <c r="Z755" s="10">
        <v>-4.9279999999999999</v>
      </c>
      <c r="AA755" s="10">
        <v>-6.782</v>
      </c>
      <c r="AB755" s="10">
        <v>-30.579000000000001</v>
      </c>
      <c r="AC755" s="8">
        <v>0</v>
      </c>
      <c r="AD755" s="8">
        <v>0</v>
      </c>
      <c r="AE755" s="8">
        <v>0</v>
      </c>
      <c r="AF755" s="10">
        <v>0</v>
      </c>
      <c r="AG755" s="8">
        <f>COUNTIF(Y755:AB755,"&gt;0")</f>
        <v>1</v>
      </c>
      <c r="AH755" s="10">
        <v>0</v>
      </c>
      <c r="AI755" s="10">
        <v>11.711</v>
      </c>
      <c r="AJ755" s="8" t="str">
        <f>IF(ISNUMBER(X755),IF(X755&gt;0,"+",IF(X755&lt;0,"−","0")),IF(ISNUMBER(W755),IF(W755&gt;0,"+",IF(W755&lt;0,"−","0")),"yok"))</f>
        <v>−</v>
      </c>
      <c r="AK755" s="10">
        <f>IF(AND(RIGHT(C755,2)&lt;&gt;"12",ISNUMBER(U755),ISNUMBER(V755)),U755-V755,"")</f>
        <v>0</v>
      </c>
      <c r="AL755" s="11">
        <f>IF(AND(ISNUMBER(AK755),ISNUMBER(V755)),IF(V755&lt;&gt;0,AK755/ABS(V755),""),"")</f>
        <v>0</v>
      </c>
      <c r="AM755" s="8">
        <f>IF(ISNUMBER(AK755),IF(AK755&gt;1,1,0),"")</f>
        <v>0</v>
      </c>
      <c r="AN755" s="8">
        <f>IF(ISNUMBER(AK755),IF(AK755&gt;0.05*ABS(V755),1,0),"")</f>
        <v>0</v>
      </c>
      <c r="AO755" s="10">
        <v>-30.579000000000001</v>
      </c>
      <c r="AP755" s="10">
        <v>30.579000000000001</v>
      </c>
      <c r="AQ755" s="8" t="s">
        <v>204</v>
      </c>
      <c r="AR755" s="8">
        <v>0</v>
      </c>
      <c r="AS755" s="10">
        <v>2440.7600000000002</v>
      </c>
      <c r="AT755" s="10">
        <v>104.11799999999999</v>
      </c>
      <c r="AU755" s="8" t="s">
        <v>204</v>
      </c>
      <c r="AV755" s="10">
        <v>11.711</v>
      </c>
      <c r="AW755" s="11">
        <f>IF(AND(ISNUMBER(AV755),ISNUMBER(AT755)),IF(AT755&lt;&gt;0,AV755/ABS(AT755),""),"")</f>
        <v>0.11247814979158263</v>
      </c>
      <c r="AX755" s="8">
        <v>0</v>
      </c>
      <c r="AY755" s="8">
        <v>0</v>
      </c>
      <c r="AZ755" s="10"/>
      <c r="BA755" s="8">
        <v>0</v>
      </c>
    </row>
    <row r="756" spans="1:53" x14ac:dyDescent="0.2">
      <c r="A756" s="8" t="s">
        <v>599</v>
      </c>
      <c r="B756" s="8" t="s">
        <v>82</v>
      </c>
      <c r="C756" s="8" t="s">
        <v>215</v>
      </c>
      <c r="D756" s="8">
        <v>1</v>
      </c>
      <c r="E756" s="8">
        <v>0</v>
      </c>
      <c r="F756" s="8">
        <f>SUM(G756:M756)</f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1</v>
      </c>
      <c r="Q756" s="8">
        <v>0</v>
      </c>
      <c r="R756" s="8">
        <v>0</v>
      </c>
      <c r="S756" s="8">
        <v>1</v>
      </c>
      <c r="T756" s="10">
        <v>-32.901000000000003</v>
      </c>
      <c r="U756" s="10">
        <v>-33.034999999999997</v>
      </c>
      <c r="V756" s="10">
        <v>-26.251999999999999</v>
      </c>
      <c r="W756" s="10">
        <f>IF(RIGHT(C756,2)="12",IF(ISNUMBER(T756),T756,""),IF(COUNT(T756,U756,V756)=3,T756+U756-V756,""))</f>
        <v>-39.684000000000012</v>
      </c>
      <c r="X756" s="10">
        <v>-39.683999999999997</v>
      </c>
      <c r="Y756" s="10">
        <v>-6.782</v>
      </c>
      <c r="Z756" s="10">
        <v>-30.579000000000001</v>
      </c>
      <c r="AA756" s="10">
        <v>-11.746</v>
      </c>
      <c r="AB756" s="10">
        <v>9.4239999999999995</v>
      </c>
      <c r="AC756" s="8">
        <v>0</v>
      </c>
      <c r="AD756" s="8">
        <v>0</v>
      </c>
      <c r="AE756" s="8">
        <v>0</v>
      </c>
      <c r="AF756" s="10">
        <v>0</v>
      </c>
      <c r="AG756" s="8">
        <f>COUNTIF(Y756:AB756,"&gt;0")</f>
        <v>1</v>
      </c>
      <c r="AH756" s="10">
        <v>9.4239999999999995</v>
      </c>
      <c r="AI756" s="10">
        <v>0</v>
      </c>
      <c r="AJ756" s="8" t="str">
        <f>IF(ISNUMBER(X756),IF(X756&gt;0,"+",IF(X756&lt;0,"−","0")),IF(ISNUMBER(W756),IF(W756&gt;0,"+",IF(W756&lt;0,"−","0")),"yok"))</f>
        <v>−</v>
      </c>
      <c r="AK756" s="10">
        <f>IF(AND(RIGHT(C756,2)&lt;&gt;"12",ISNUMBER(U756),ISNUMBER(V756)),U756-V756,"")</f>
        <v>-6.7829999999999977</v>
      </c>
      <c r="AL756" s="11">
        <f>IF(AND(ISNUMBER(AK756),ISNUMBER(V756)),IF(V756&lt;&gt;0,AK756/ABS(V756),""),"")</f>
        <v>-0.25838031388084709</v>
      </c>
      <c r="AM756" s="8">
        <f>IF(ISNUMBER(AK756),IF(AK756&gt;1,1,0),"")</f>
        <v>0</v>
      </c>
      <c r="AN756" s="8">
        <f>IF(ISNUMBER(AK756),IF(AK756&gt;0.05*ABS(V756),1,0),"")</f>
        <v>0</v>
      </c>
      <c r="AO756" s="10">
        <v>-39.683999999999997</v>
      </c>
      <c r="AP756" s="10">
        <v>39.683999999999997</v>
      </c>
      <c r="AQ756" s="8" t="s">
        <v>204</v>
      </c>
      <c r="AR756" s="8">
        <v>0</v>
      </c>
      <c r="AS756" s="10">
        <v>2183.7800000000002</v>
      </c>
      <c r="AT756" s="10"/>
      <c r="AU756" s="8" t="s">
        <v>207</v>
      </c>
      <c r="AV756" s="10">
        <v>9.4239999999999995</v>
      </c>
      <c r="AW756" s="11" t="str">
        <f>IF(AND(ISNUMBER(AV756),ISNUMBER(AT756)),IF(AT756&lt;&gt;0,AV756/ABS(AT756),""),"")</f>
        <v/>
      </c>
      <c r="AX756" s="8">
        <v>0</v>
      </c>
      <c r="AY756" s="8">
        <v>0</v>
      </c>
      <c r="AZ756" s="10"/>
      <c r="BA756" s="8">
        <v>0</v>
      </c>
    </row>
    <row r="757" spans="1:53" x14ac:dyDescent="0.2">
      <c r="A757" s="8" t="s">
        <v>599</v>
      </c>
      <c r="B757" s="8" t="s">
        <v>82</v>
      </c>
      <c r="C757" s="8" t="s">
        <v>290</v>
      </c>
      <c r="D757" s="8">
        <v>1</v>
      </c>
      <c r="E757" s="8">
        <v>0</v>
      </c>
      <c r="F757" s="8">
        <f>SUM(G757:M757)</f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1</v>
      </c>
      <c r="Q757" s="8">
        <v>0</v>
      </c>
      <c r="R757" s="8">
        <v>0</v>
      </c>
      <c r="S757" s="8">
        <v>1</v>
      </c>
      <c r="T757" s="10">
        <v>-49.048999999999999</v>
      </c>
      <c r="U757" s="10"/>
      <c r="V757" s="10"/>
      <c r="W757" s="10">
        <f>IF(RIGHT(C757,2)="12",IF(ISNUMBER(T757),T757,""),IF(COUNT(T757,U757,V757)=3,T757+U757-V757,""))</f>
        <v>-49.048999999999999</v>
      </c>
      <c r="X757" s="10">
        <v>-49.048999999999999</v>
      </c>
      <c r="Y757" s="10">
        <v>-30.579000000000001</v>
      </c>
      <c r="Z757" s="10">
        <v>-11.746</v>
      </c>
      <c r="AA757" s="10">
        <v>9.4239999999999995</v>
      </c>
      <c r="AB757" s="10">
        <v>-16.146999999999998</v>
      </c>
      <c r="AC757" s="8">
        <v>0</v>
      </c>
      <c r="AD757" s="8">
        <v>0</v>
      </c>
      <c r="AE757" s="8">
        <v>0</v>
      </c>
      <c r="AF757" s="10">
        <v>0</v>
      </c>
      <c r="AG757" s="8">
        <f>COUNTIF(Y757:AB757,"&gt;0")</f>
        <v>1</v>
      </c>
      <c r="AH757" s="10">
        <v>9.4239999999999995</v>
      </c>
      <c r="AI757" s="10">
        <v>0</v>
      </c>
      <c r="AJ757" s="8" t="str">
        <f>IF(ISNUMBER(X757),IF(X757&gt;0,"+",IF(X757&lt;0,"−","0")),IF(ISNUMBER(W757),IF(W757&gt;0,"+",IF(W757&lt;0,"−","0")),"yok"))</f>
        <v>−</v>
      </c>
      <c r="AK757" s="10" t="str">
        <f>IF(AND(RIGHT(C757,2)&lt;&gt;"12",ISNUMBER(U757),ISNUMBER(V757)),U757-V757,"")</f>
        <v/>
      </c>
      <c r="AL757" s="11" t="str">
        <f>IF(AND(ISNUMBER(AK757),ISNUMBER(V757)),IF(V757&lt;&gt;0,AK757/ABS(V757),""),"")</f>
        <v/>
      </c>
      <c r="AM757" s="8" t="str">
        <f>IF(ISNUMBER(AK757),IF(AK757&gt;1,1,0),"")</f>
        <v/>
      </c>
      <c r="AN757" s="8" t="str">
        <f>IF(ISNUMBER(AK757),IF(AK757&gt;0.05*ABS(V757),1,0),"")</f>
        <v/>
      </c>
      <c r="AO757" s="10">
        <v>-49.048999999999999</v>
      </c>
      <c r="AP757" s="10">
        <v>49.048999999999999</v>
      </c>
      <c r="AQ757" s="8" t="s">
        <v>209</v>
      </c>
      <c r="AR757" s="8">
        <v>0</v>
      </c>
      <c r="AS757" s="10">
        <v>1940.3489999999999</v>
      </c>
      <c r="AT757" s="10">
        <v>-8.9800000000000395</v>
      </c>
      <c r="AU757" s="8" t="s">
        <v>209</v>
      </c>
      <c r="AV757" s="10">
        <v>9.4239999999999995</v>
      </c>
      <c r="AW757" s="11">
        <f>IF(AND(ISNUMBER(AV757),ISNUMBER(AT757)),IF(AT757&lt;&gt;0,AV757/ABS(AT757),""),"")</f>
        <v>1.0494432071269442</v>
      </c>
      <c r="AX757" s="8">
        <v>0</v>
      </c>
      <c r="AY757" s="8">
        <v>0</v>
      </c>
      <c r="AZ757" s="10"/>
      <c r="BA757" s="8">
        <v>0</v>
      </c>
    </row>
    <row r="758" spans="1:53" x14ac:dyDescent="0.2">
      <c r="A758" s="8" t="s">
        <v>599</v>
      </c>
      <c r="B758" s="8" t="s">
        <v>82</v>
      </c>
      <c r="C758" s="8" t="s">
        <v>208</v>
      </c>
      <c r="D758" s="8">
        <v>1</v>
      </c>
      <c r="E758" s="8">
        <v>0</v>
      </c>
      <c r="F758" s="8">
        <f>SUM(G758:M758)</f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1</v>
      </c>
      <c r="Q758" s="8">
        <v>0</v>
      </c>
      <c r="R758" s="8">
        <v>1</v>
      </c>
      <c r="S758" s="8">
        <v>0</v>
      </c>
      <c r="T758" s="10">
        <v>-35.868000000000002</v>
      </c>
      <c r="U758" s="10">
        <v>-49.048999999999999</v>
      </c>
      <c r="V758" s="10">
        <v>-30.579000000000001</v>
      </c>
      <c r="W758" s="10">
        <f>IF(RIGHT(C758,2)="12",IF(ISNUMBER(T758),T758,""),IF(COUNT(T758,U758,V758)=3,T758+U758-V758,""))</f>
        <v>-54.338000000000001</v>
      </c>
      <c r="X758" s="10">
        <v>-54.338000000000001</v>
      </c>
      <c r="Y758" s="10">
        <v>-11.746</v>
      </c>
      <c r="Z758" s="10">
        <v>9.4239999999999995</v>
      </c>
      <c r="AA758" s="10">
        <v>-16.146999999999998</v>
      </c>
      <c r="AB758" s="10">
        <v>-35.868000000000002</v>
      </c>
      <c r="AC758" s="8">
        <v>0</v>
      </c>
      <c r="AD758" s="8">
        <v>0</v>
      </c>
      <c r="AE758" s="8">
        <v>0</v>
      </c>
      <c r="AF758" s="10">
        <v>0</v>
      </c>
      <c r="AG758" s="8">
        <f>COUNTIF(Y758:AB758,"&gt;0")</f>
        <v>1</v>
      </c>
      <c r="AH758" s="10">
        <v>0</v>
      </c>
      <c r="AI758" s="10">
        <v>9.4239999999999995</v>
      </c>
      <c r="AJ758" s="8" t="str">
        <f>IF(ISNUMBER(X758),IF(X758&gt;0,"+",IF(X758&lt;0,"−","0")),IF(ISNUMBER(W758),IF(W758&gt;0,"+",IF(W758&lt;0,"−","0")),"yok"))</f>
        <v>−</v>
      </c>
      <c r="AK758" s="10">
        <f>IF(AND(RIGHT(C758,2)&lt;&gt;"12",ISNUMBER(U758),ISNUMBER(V758)),U758-V758,"")</f>
        <v>-18.47</v>
      </c>
      <c r="AL758" s="11">
        <f>IF(AND(ISNUMBER(AK758),ISNUMBER(V758)),IF(V758&lt;&gt;0,AK758/ABS(V758),""),"")</f>
        <v>-0.6040092874194708</v>
      </c>
      <c r="AM758" s="8">
        <f>IF(ISNUMBER(AK758),IF(AK758&gt;1,1,0),"")</f>
        <v>0</v>
      </c>
      <c r="AN758" s="8">
        <f>IF(ISNUMBER(AK758),IF(AK758&gt;0.05*ABS(V758),1,0),"")</f>
        <v>0</v>
      </c>
      <c r="AO758" s="10">
        <v>-54.338000000000001</v>
      </c>
      <c r="AP758" s="10">
        <v>54.338000000000001</v>
      </c>
      <c r="AQ758" s="8" t="s">
        <v>204</v>
      </c>
      <c r="AR758" s="8">
        <v>0</v>
      </c>
      <c r="AS758" s="10">
        <v>1859.403</v>
      </c>
      <c r="AT758" s="10"/>
      <c r="AU758" s="8" t="s">
        <v>207</v>
      </c>
      <c r="AV758" s="10">
        <v>9.4239999999999995</v>
      </c>
      <c r="AW758" s="11" t="str">
        <f>IF(AND(ISNUMBER(AV758),ISNUMBER(AT758)),IF(AT758&lt;&gt;0,AV758/ABS(AT758),""),"")</f>
        <v/>
      </c>
      <c r="AX758" s="8">
        <v>0</v>
      </c>
      <c r="AY758" s="8">
        <v>0</v>
      </c>
      <c r="AZ758" s="10"/>
      <c r="BA758" s="8">
        <v>0</v>
      </c>
    </row>
    <row r="759" spans="1:53" x14ac:dyDescent="0.2">
      <c r="A759" s="8" t="s">
        <v>599</v>
      </c>
      <c r="B759" s="8" t="s">
        <v>82</v>
      </c>
      <c r="C759" s="8" t="s">
        <v>210</v>
      </c>
      <c r="D759" s="8">
        <v>1</v>
      </c>
      <c r="E759" s="8">
        <v>0</v>
      </c>
      <c r="F759" s="8">
        <f>SUM(G759:M759)</f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1</v>
      </c>
      <c r="Q759" s="8">
        <v>0</v>
      </c>
      <c r="R759" s="8">
        <v>1</v>
      </c>
      <c r="S759" s="8">
        <v>0</v>
      </c>
      <c r="T759" s="10">
        <v>-51.634999999999998</v>
      </c>
      <c r="U759" s="10">
        <v>-49.048999999999999</v>
      </c>
      <c r="V759" s="10">
        <v>-42.326000000000001</v>
      </c>
      <c r="W759" s="10">
        <f>IF(RIGHT(C759,2)="12",IF(ISNUMBER(T759),T759,""),IF(COUNT(T759,U759,V759)=3,T759+U759-V759,""))</f>
        <v>-58.357999999999997</v>
      </c>
      <c r="X759" s="10">
        <v>-58.359000000000002</v>
      </c>
      <c r="Y759" s="10">
        <v>9.4239999999999995</v>
      </c>
      <c r="Z759" s="10">
        <v>-16.146999999999998</v>
      </c>
      <c r="AA759" s="10">
        <v>-35.868000000000002</v>
      </c>
      <c r="AB759" s="10">
        <v>-15.766999999999999</v>
      </c>
      <c r="AC759" s="8">
        <v>0</v>
      </c>
      <c r="AD759" s="8">
        <v>0</v>
      </c>
      <c r="AE759" s="8">
        <v>0</v>
      </c>
      <c r="AF759" s="10">
        <v>0</v>
      </c>
      <c r="AG759" s="8">
        <f>COUNTIF(Y759:AB759,"&gt;0")</f>
        <v>1</v>
      </c>
      <c r="AH759" s="10">
        <v>0</v>
      </c>
      <c r="AI759" s="10">
        <v>9.4239999999999995</v>
      </c>
      <c r="AJ759" s="8" t="str">
        <f>IF(ISNUMBER(X759),IF(X759&gt;0,"+",IF(X759&lt;0,"−","0")),IF(ISNUMBER(W759),IF(W759&gt;0,"+",IF(W759&lt;0,"−","0")),"yok"))</f>
        <v>−</v>
      </c>
      <c r="AK759" s="10">
        <f>IF(AND(RIGHT(C759,2)&lt;&gt;"12",ISNUMBER(U759),ISNUMBER(V759)),U759-V759,"")</f>
        <v>-6.722999999999999</v>
      </c>
      <c r="AL759" s="11">
        <f>IF(AND(ISNUMBER(AK759),ISNUMBER(V759)),IF(V759&lt;&gt;0,AK759/ABS(V759),""),"")</f>
        <v>-0.15883853895950478</v>
      </c>
      <c r="AM759" s="8">
        <f>IF(ISNUMBER(AK759),IF(AK759&gt;1,1,0),"")</f>
        <v>0</v>
      </c>
      <c r="AN759" s="8">
        <f>IF(ISNUMBER(AK759),IF(AK759&gt;0.05*ABS(V759),1,0),"")</f>
        <v>0</v>
      </c>
      <c r="AO759" s="10">
        <v>-58.359000000000002</v>
      </c>
      <c r="AP759" s="10">
        <v>58.359000000000002</v>
      </c>
      <c r="AQ759" s="8" t="s">
        <v>204</v>
      </c>
      <c r="AR759" s="8">
        <v>0</v>
      </c>
      <c r="AS759" s="10">
        <v>1237.231</v>
      </c>
      <c r="AT759" s="10"/>
      <c r="AU759" s="8" t="s">
        <v>207</v>
      </c>
      <c r="AV759" s="10">
        <v>9.4239999999999995</v>
      </c>
      <c r="AW759" s="11" t="str">
        <f>IF(AND(ISNUMBER(AV759),ISNUMBER(AT759)),IF(AT759&lt;&gt;0,AV759/ABS(AT759),""),"")</f>
        <v/>
      </c>
      <c r="AX759" s="8">
        <v>0</v>
      </c>
      <c r="AY759" s="8">
        <v>0</v>
      </c>
      <c r="AZ759" s="10"/>
      <c r="BA759" s="8">
        <v>0</v>
      </c>
    </row>
    <row r="760" spans="1:53" x14ac:dyDescent="0.2">
      <c r="A760" s="8" t="s">
        <v>600</v>
      </c>
      <c r="B760" s="8" t="s">
        <v>82</v>
      </c>
      <c r="C760" s="8" t="s">
        <v>203</v>
      </c>
      <c r="D760" s="8">
        <v>1</v>
      </c>
      <c r="E760" s="8">
        <v>0</v>
      </c>
      <c r="F760" s="8">
        <f>SUM(G760:M760)</f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1</v>
      </c>
      <c r="Q760" s="8">
        <v>0</v>
      </c>
      <c r="R760" s="8">
        <v>1</v>
      </c>
      <c r="S760" s="8">
        <v>0</v>
      </c>
      <c r="T760" s="10">
        <v>-23.553999999999998</v>
      </c>
      <c r="U760" s="10">
        <v>-999.09400000000005</v>
      </c>
      <c r="V760" s="10">
        <v>-1.3220000000000001</v>
      </c>
      <c r="W760" s="10">
        <f>IF(RIGHT(C760,2)="12",IF(ISNUMBER(T760),T760,""),IF(COUNT(T760,U760,V760)=3,T760+U760-V760,""))</f>
        <v>-1021.326</v>
      </c>
      <c r="X760" s="10">
        <v>-1021.326</v>
      </c>
      <c r="Y760" s="10">
        <v>-950.44399999999996</v>
      </c>
      <c r="Z760" s="10">
        <v>144.10900000000001</v>
      </c>
      <c r="AA760" s="10">
        <v>-191.43600000000001</v>
      </c>
      <c r="AB760" s="10">
        <v>-23.553999999999998</v>
      </c>
      <c r="AC760" s="8">
        <v>0</v>
      </c>
      <c r="AD760" s="8">
        <v>0</v>
      </c>
      <c r="AE760" s="8">
        <v>0</v>
      </c>
      <c r="AF760" s="10">
        <v>0</v>
      </c>
      <c r="AG760" s="8">
        <f>COUNTIF(Y760:AB760,"&gt;0")</f>
        <v>1</v>
      </c>
      <c r="AH760" s="10">
        <v>0</v>
      </c>
      <c r="AI760" s="10">
        <v>144.10900000000001</v>
      </c>
      <c r="AJ760" s="8" t="str">
        <f>IF(ISNUMBER(X760),IF(X760&gt;0,"+",IF(X760&lt;0,"−","0")),IF(ISNUMBER(W760),IF(W760&gt;0,"+",IF(W760&lt;0,"−","0")),"yok"))</f>
        <v>−</v>
      </c>
      <c r="AK760" s="10">
        <f>IF(AND(RIGHT(C760,2)&lt;&gt;"12",ISNUMBER(U760),ISNUMBER(V760)),U760-V760,"")</f>
        <v>-997.77200000000005</v>
      </c>
      <c r="AL760" s="11">
        <f>IF(AND(ISNUMBER(AK760),ISNUMBER(V760)),IF(V760&lt;&gt;0,AK760/ABS(V760),""),"")</f>
        <v>-754.74432677760967</v>
      </c>
      <c r="AM760" s="8">
        <f>IF(ISNUMBER(AK760),IF(AK760&gt;1,1,0),"")</f>
        <v>0</v>
      </c>
      <c r="AN760" s="8">
        <f>IF(ISNUMBER(AK760),IF(AK760&gt;0.05*ABS(V760),1,0),"")</f>
        <v>0</v>
      </c>
      <c r="AO760" s="10">
        <v>-1021.326</v>
      </c>
      <c r="AP760" s="10">
        <v>1021.326</v>
      </c>
      <c r="AQ760" s="8" t="s">
        <v>204</v>
      </c>
      <c r="AR760" s="8">
        <v>0</v>
      </c>
      <c r="AS760" s="10">
        <v>170.626</v>
      </c>
      <c r="AT760" s="10">
        <v>-890.25400000000002</v>
      </c>
      <c r="AU760" s="8" t="s">
        <v>212</v>
      </c>
      <c r="AV760" s="10">
        <v>144.10900000000001</v>
      </c>
      <c r="AW760" s="11">
        <f>IF(AND(ISNUMBER(AV760),ISNUMBER(AT760)),IF(AT760&lt;&gt;0,AV760/ABS(AT760),""),"")</f>
        <v>0.16187402696309144</v>
      </c>
      <c r="AX760" s="8">
        <v>0</v>
      </c>
      <c r="AY760" s="8">
        <v>0</v>
      </c>
      <c r="AZ760" s="10"/>
      <c r="BA760" s="8">
        <v>0</v>
      </c>
    </row>
    <row r="761" spans="1:53" x14ac:dyDescent="0.2">
      <c r="A761" s="8" t="s">
        <v>600</v>
      </c>
      <c r="B761" s="8" t="s">
        <v>82</v>
      </c>
      <c r="C761" s="8" t="s">
        <v>205</v>
      </c>
      <c r="D761" s="8">
        <v>1</v>
      </c>
      <c r="E761" s="8">
        <v>0</v>
      </c>
      <c r="F761" s="8">
        <f>SUM(G761:M761)</f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1</v>
      </c>
      <c r="Q761" s="8">
        <v>0</v>
      </c>
      <c r="R761" s="8">
        <v>1</v>
      </c>
      <c r="S761" s="8">
        <v>0</v>
      </c>
      <c r="T761" s="10">
        <v>-213.934</v>
      </c>
      <c r="U761" s="10">
        <v>-999.09400000000005</v>
      </c>
      <c r="V761" s="10">
        <v>-951.76599999999996</v>
      </c>
      <c r="W761" s="10">
        <f>IF(RIGHT(C761,2)="12",IF(ISNUMBER(T761),T761,""),IF(COUNT(T761,U761,V761)=3,T761+U761-V761,""))</f>
        <v>-261.26200000000006</v>
      </c>
      <c r="X761" s="10">
        <v>-261.262</v>
      </c>
      <c r="Y761" s="10">
        <v>144.10900000000001</v>
      </c>
      <c r="Z761" s="10">
        <v>-191.43600000000001</v>
      </c>
      <c r="AA761" s="10">
        <v>-23.553999999999998</v>
      </c>
      <c r="AB761" s="10">
        <v>-190.38</v>
      </c>
      <c r="AC761" s="8">
        <v>0</v>
      </c>
      <c r="AD761" s="8">
        <v>0</v>
      </c>
      <c r="AE761" s="8">
        <v>0</v>
      </c>
      <c r="AF761" s="10">
        <v>0</v>
      </c>
      <c r="AG761" s="8">
        <f>COUNTIF(Y761:AB761,"&gt;0")</f>
        <v>1</v>
      </c>
      <c r="AH761" s="10">
        <v>0</v>
      </c>
      <c r="AI761" s="10">
        <v>144.10900000000001</v>
      </c>
      <c r="AJ761" s="8" t="str">
        <f>IF(ISNUMBER(X761),IF(X761&gt;0,"+",IF(X761&lt;0,"−","0")),IF(ISNUMBER(W761),IF(W761&gt;0,"+",IF(W761&lt;0,"−","0")),"yok"))</f>
        <v>−</v>
      </c>
      <c r="AK761" s="10">
        <f>IF(AND(RIGHT(C761,2)&lt;&gt;"12",ISNUMBER(U761),ISNUMBER(V761)),U761-V761,"")</f>
        <v>-47.328000000000088</v>
      </c>
      <c r="AL761" s="11">
        <f>IF(AND(ISNUMBER(AK761),ISNUMBER(V761)),IF(V761&lt;&gt;0,AK761/ABS(V761),""),"")</f>
        <v>-4.9726508406478159E-2</v>
      </c>
      <c r="AM761" s="8">
        <f>IF(ISNUMBER(AK761),IF(AK761&gt;1,1,0),"")</f>
        <v>0</v>
      </c>
      <c r="AN761" s="8">
        <f>IF(ISNUMBER(AK761),IF(AK761&gt;0.05*ABS(V761),1,0),"")</f>
        <v>0</v>
      </c>
      <c r="AO761" s="10">
        <v>-261.262</v>
      </c>
      <c r="AP761" s="10">
        <v>261.262</v>
      </c>
      <c r="AQ761" s="8" t="s">
        <v>204</v>
      </c>
      <c r="AR761" s="8">
        <v>0</v>
      </c>
      <c r="AS761" s="10">
        <v>-55.796999999999997</v>
      </c>
      <c r="AT761" s="10">
        <v>-585.41499999999996</v>
      </c>
      <c r="AU761" s="8" t="s">
        <v>204</v>
      </c>
      <c r="AV761" s="10">
        <v>144.10900000000001</v>
      </c>
      <c r="AW761" s="11">
        <f>IF(AND(ISNUMBER(AV761),ISNUMBER(AT761)),IF(AT761&lt;&gt;0,AV761/ABS(AT761),""),"")</f>
        <v>0.24616554068481336</v>
      </c>
      <c r="AX761" s="8">
        <v>0</v>
      </c>
      <c r="AY761" s="8">
        <v>0</v>
      </c>
      <c r="AZ761" s="10"/>
      <c r="BA761" s="8">
        <v>0</v>
      </c>
    </row>
    <row r="762" spans="1:53" x14ac:dyDescent="0.2">
      <c r="A762" s="8" t="s">
        <v>600</v>
      </c>
      <c r="B762" s="8" t="s">
        <v>82</v>
      </c>
      <c r="C762" s="8" t="s">
        <v>290</v>
      </c>
      <c r="D762" s="8">
        <v>1</v>
      </c>
      <c r="E762" s="8">
        <v>0</v>
      </c>
      <c r="F762" s="8">
        <f>SUM(G762:M762)</f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1</v>
      </c>
      <c r="Q762" s="8">
        <v>0</v>
      </c>
      <c r="R762" s="8">
        <v>0</v>
      </c>
      <c r="S762" s="8">
        <v>1</v>
      </c>
      <c r="T762" s="10">
        <v>-317.87799999999999</v>
      </c>
      <c r="U762" s="10"/>
      <c r="V762" s="10"/>
      <c r="W762" s="10">
        <f>IF(RIGHT(C762,2)="12",IF(ISNUMBER(T762),T762,""),IF(COUNT(T762,U762,V762)=3,T762+U762-V762,""))</f>
        <v>-317.87799999999999</v>
      </c>
      <c r="X762" s="10">
        <v>-317.87799999999999</v>
      </c>
      <c r="Y762" s="10">
        <v>-23.553999999999998</v>
      </c>
      <c r="Z762" s="10">
        <v>-190.38</v>
      </c>
      <c r="AA762" s="10">
        <v>-184.03200000000001</v>
      </c>
      <c r="AB762" s="10">
        <v>80.088999999999999</v>
      </c>
      <c r="AC762" s="8">
        <v>0</v>
      </c>
      <c r="AD762" s="8">
        <v>0</v>
      </c>
      <c r="AE762" s="8">
        <v>0</v>
      </c>
      <c r="AF762" s="10">
        <v>0</v>
      </c>
      <c r="AG762" s="8">
        <f>COUNTIF(Y762:AB762,"&gt;0")</f>
        <v>1</v>
      </c>
      <c r="AH762" s="10">
        <v>80.088999999999999</v>
      </c>
      <c r="AI762" s="10">
        <v>0</v>
      </c>
      <c r="AJ762" s="8" t="str">
        <f>IF(ISNUMBER(X762),IF(X762&gt;0,"+",IF(X762&lt;0,"−","0")),IF(ISNUMBER(W762),IF(W762&gt;0,"+",IF(W762&lt;0,"−","0")),"yok"))</f>
        <v>−</v>
      </c>
      <c r="AK762" s="10" t="str">
        <f>IF(AND(RIGHT(C762,2)&lt;&gt;"12",ISNUMBER(U762),ISNUMBER(V762)),U762-V762,"")</f>
        <v/>
      </c>
      <c r="AL762" s="11" t="str">
        <f>IF(AND(ISNUMBER(AK762),ISNUMBER(V762)),IF(V762&lt;&gt;0,AK762/ABS(V762),""),"")</f>
        <v/>
      </c>
      <c r="AM762" s="8" t="str">
        <f>IF(ISNUMBER(AK762),IF(AK762&gt;1,1,0),"")</f>
        <v/>
      </c>
      <c r="AN762" s="8" t="str">
        <f>IF(ISNUMBER(AK762),IF(AK762&gt;0.05*ABS(V762),1,0),"")</f>
        <v/>
      </c>
      <c r="AO762" s="10">
        <v>-317.87799999999999</v>
      </c>
      <c r="AP762" s="10">
        <v>317.87799999999999</v>
      </c>
      <c r="AQ762" s="8" t="s">
        <v>204</v>
      </c>
      <c r="AR762" s="8">
        <v>0</v>
      </c>
      <c r="AS762" s="10">
        <v>174.45699999999999</v>
      </c>
      <c r="AT762" s="10">
        <v>-858.46500000000003</v>
      </c>
      <c r="AU762" s="8" t="s">
        <v>204</v>
      </c>
      <c r="AV762" s="10">
        <v>80.088999999999999</v>
      </c>
      <c r="AW762" s="11">
        <f>IF(AND(ISNUMBER(AV762),ISNUMBER(AT762)),IF(AT762&lt;&gt;0,AV762/ABS(AT762),""),"")</f>
        <v>9.3293261810324241E-2</v>
      </c>
      <c r="AX762" s="8">
        <v>0</v>
      </c>
      <c r="AY762" s="8">
        <v>0</v>
      </c>
      <c r="AZ762" s="10"/>
      <c r="BA762" s="8">
        <v>0</v>
      </c>
    </row>
    <row r="763" spans="1:53" x14ac:dyDescent="0.2">
      <c r="A763" s="8" t="s">
        <v>600</v>
      </c>
      <c r="B763" s="8" t="s">
        <v>82</v>
      </c>
      <c r="C763" s="8" t="s">
        <v>208</v>
      </c>
      <c r="D763" s="8">
        <v>1</v>
      </c>
      <c r="E763" s="8">
        <v>0</v>
      </c>
      <c r="F763" s="8">
        <f>SUM(G763:M763)</f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1</v>
      </c>
      <c r="Q763" s="8">
        <v>0</v>
      </c>
      <c r="R763" s="8">
        <v>1</v>
      </c>
      <c r="S763" s="8">
        <v>0</v>
      </c>
      <c r="T763" s="10">
        <v>-48.12</v>
      </c>
      <c r="U763" s="10">
        <v>-317.87799999999999</v>
      </c>
      <c r="V763" s="10">
        <v>-23.553999999999998</v>
      </c>
      <c r="W763" s="10">
        <f>IF(RIGHT(C763,2)="12",IF(ISNUMBER(T763),T763,""),IF(COUNT(T763,U763,V763)=3,T763+U763-V763,""))</f>
        <v>-342.44400000000002</v>
      </c>
      <c r="X763" s="10">
        <v>-342.44400000000002</v>
      </c>
      <c r="Y763" s="10">
        <v>-190.38</v>
      </c>
      <c r="Z763" s="10">
        <v>-184.03200000000001</v>
      </c>
      <c r="AA763" s="10">
        <v>80.088999999999999</v>
      </c>
      <c r="AB763" s="10">
        <v>-48.12</v>
      </c>
      <c r="AC763" s="8">
        <v>0</v>
      </c>
      <c r="AD763" s="8">
        <v>0</v>
      </c>
      <c r="AE763" s="8">
        <v>0</v>
      </c>
      <c r="AF763" s="10">
        <v>0</v>
      </c>
      <c r="AG763" s="8">
        <f>COUNTIF(Y763:AB763,"&gt;0")</f>
        <v>1</v>
      </c>
      <c r="AH763" s="10">
        <v>0</v>
      </c>
      <c r="AI763" s="10">
        <v>80.088999999999999</v>
      </c>
      <c r="AJ763" s="8" t="str">
        <f>IF(ISNUMBER(X763),IF(X763&gt;0,"+",IF(X763&lt;0,"−","0")),IF(ISNUMBER(W763),IF(W763&gt;0,"+",IF(W763&lt;0,"−","0")),"yok"))</f>
        <v>−</v>
      </c>
      <c r="AK763" s="10">
        <f>IF(AND(RIGHT(C763,2)&lt;&gt;"12",ISNUMBER(U763),ISNUMBER(V763)),U763-V763,"")</f>
        <v>-294.32400000000001</v>
      </c>
      <c r="AL763" s="11">
        <f>IF(AND(ISNUMBER(AK763),ISNUMBER(V763)),IF(V763&lt;&gt;0,AK763/ABS(V763),""),"")</f>
        <v>-12.495711980979877</v>
      </c>
      <c r="AM763" s="8">
        <f>IF(ISNUMBER(AK763),IF(AK763&gt;1,1,0),"")</f>
        <v>0</v>
      </c>
      <c r="AN763" s="8">
        <f>IF(ISNUMBER(AK763),IF(AK763&gt;0.05*ABS(V763),1,0),"")</f>
        <v>0</v>
      </c>
      <c r="AO763" s="10">
        <v>-342.44499999999999</v>
      </c>
      <c r="AP763" s="10">
        <v>342.44499999999999</v>
      </c>
      <c r="AQ763" s="8" t="s">
        <v>204</v>
      </c>
      <c r="AR763" s="8">
        <v>0</v>
      </c>
      <c r="AS763" s="10">
        <v>612.47400000000005</v>
      </c>
      <c r="AT763" s="10">
        <v>-438.87599999999998</v>
      </c>
      <c r="AU763" s="8" t="s">
        <v>204</v>
      </c>
      <c r="AV763" s="10">
        <v>80.088999999999999</v>
      </c>
      <c r="AW763" s="11">
        <f>IF(AND(ISNUMBER(AV763),ISNUMBER(AT763)),IF(AT763&lt;&gt;0,AV763/ABS(AT763),""),"")</f>
        <v>0.18248662492366866</v>
      </c>
      <c r="AX763" s="8">
        <v>0</v>
      </c>
      <c r="AY763" s="8">
        <v>0</v>
      </c>
      <c r="AZ763" s="10"/>
      <c r="BA763" s="8">
        <v>0</v>
      </c>
    </row>
    <row r="764" spans="1:53" x14ac:dyDescent="0.2">
      <c r="A764" s="8" t="s">
        <v>600</v>
      </c>
      <c r="B764" s="8" t="s">
        <v>82</v>
      </c>
      <c r="C764" s="8" t="s">
        <v>210</v>
      </c>
      <c r="D764" s="8">
        <v>1</v>
      </c>
      <c r="E764" s="8">
        <v>0</v>
      </c>
      <c r="F764" s="8">
        <f>SUM(G764:M764)</f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1</v>
      </c>
      <c r="Q764" s="8">
        <v>0</v>
      </c>
      <c r="R764" s="8">
        <v>1</v>
      </c>
      <c r="S764" s="8">
        <v>0</v>
      </c>
      <c r="T764" s="10">
        <v>-67.069000000000003</v>
      </c>
      <c r="U764" s="10">
        <v>-317.87799999999999</v>
      </c>
      <c r="V764" s="10">
        <v>-213.934</v>
      </c>
      <c r="W764" s="10">
        <f>IF(RIGHT(C764,2)="12",IF(ISNUMBER(T764),T764,""),IF(COUNT(T764,U764,V764)=3,T764+U764-V764,""))</f>
        <v>-171.01300000000001</v>
      </c>
      <c r="X764" s="10">
        <v>-171.01300000000001</v>
      </c>
      <c r="Y764" s="10">
        <v>-184.03200000000001</v>
      </c>
      <c r="Z764" s="10">
        <v>80.088999999999999</v>
      </c>
      <c r="AA764" s="10">
        <v>-48.12</v>
      </c>
      <c r="AB764" s="10">
        <v>-18.949000000000002</v>
      </c>
      <c r="AC764" s="8">
        <v>0</v>
      </c>
      <c r="AD764" s="8">
        <v>0</v>
      </c>
      <c r="AE764" s="8">
        <v>0</v>
      </c>
      <c r="AF764" s="10">
        <v>0</v>
      </c>
      <c r="AG764" s="8">
        <f>COUNTIF(Y764:AB764,"&gt;0")</f>
        <v>1</v>
      </c>
      <c r="AH764" s="10">
        <v>0</v>
      </c>
      <c r="AI764" s="10">
        <v>80.088999999999999</v>
      </c>
      <c r="AJ764" s="8" t="str">
        <f>IF(ISNUMBER(X764),IF(X764&gt;0,"+",IF(X764&lt;0,"−","0")),IF(ISNUMBER(W764),IF(W764&gt;0,"+",IF(W764&lt;0,"−","0")),"yok"))</f>
        <v>−</v>
      </c>
      <c r="AK764" s="10">
        <f>IF(AND(RIGHT(C764,2)&lt;&gt;"12",ISNUMBER(U764),ISNUMBER(V764)),U764-V764,"")</f>
        <v>-103.94399999999999</v>
      </c>
      <c r="AL764" s="11">
        <f>IF(AND(ISNUMBER(AK764),ISNUMBER(V764)),IF(V764&lt;&gt;0,AK764/ABS(V764),""),"")</f>
        <v>-0.48586947376293621</v>
      </c>
      <c r="AM764" s="8">
        <f>IF(ISNUMBER(AK764),IF(AK764&gt;1,1,0),"")</f>
        <v>0</v>
      </c>
      <c r="AN764" s="8">
        <f>IF(ISNUMBER(AK764),IF(AK764&gt;0.05*ABS(V764),1,0),"")</f>
        <v>0</v>
      </c>
      <c r="AO764" s="10">
        <v>-171.01300000000001</v>
      </c>
      <c r="AP764" s="10">
        <v>171.01300000000001</v>
      </c>
      <c r="AQ764" s="8" t="s">
        <v>204</v>
      </c>
      <c r="AR764" s="8">
        <v>0</v>
      </c>
      <c r="AS764" s="10">
        <v>82.195999999999998</v>
      </c>
      <c r="AT764" s="10">
        <v>-582.55899999999997</v>
      </c>
      <c r="AU764" s="8" t="s">
        <v>204</v>
      </c>
      <c r="AV764" s="10">
        <v>80.088999999999999</v>
      </c>
      <c r="AW764" s="11">
        <f>IF(AND(ISNUMBER(AV764),ISNUMBER(AT764)),IF(AT764&lt;&gt;0,AV764/ABS(AT764),""),"")</f>
        <v>0.1374779206912948</v>
      </c>
      <c r="AX764" s="8">
        <v>0</v>
      </c>
      <c r="AY764" s="8">
        <v>0</v>
      </c>
      <c r="AZ764" s="10"/>
      <c r="BA764" s="8">
        <v>0</v>
      </c>
    </row>
    <row r="765" spans="1:53" x14ac:dyDescent="0.2">
      <c r="A765" s="8" t="s">
        <v>380</v>
      </c>
      <c r="B765" s="8" t="s">
        <v>83</v>
      </c>
      <c r="C765" s="8" t="s">
        <v>290</v>
      </c>
      <c r="D765" s="8">
        <v>1</v>
      </c>
      <c r="E765" s="8">
        <v>0</v>
      </c>
      <c r="F765" s="8">
        <f>SUM(G765:M765)</f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1</v>
      </c>
      <c r="Q765" s="8">
        <v>0</v>
      </c>
      <c r="R765" s="8">
        <v>0</v>
      </c>
      <c r="S765" s="8">
        <v>1</v>
      </c>
      <c r="T765" s="10">
        <v>-189.50299999999999</v>
      </c>
      <c r="U765" s="10"/>
      <c r="V765" s="10"/>
      <c r="W765" s="10">
        <f>IF(RIGHT(C765,2)="12",IF(ISNUMBER(T765),T765,""),IF(COUNT(T765,U765,V765)=3,T765+U765-V765,""))</f>
        <v>-189.50299999999999</v>
      </c>
      <c r="X765" s="10">
        <v>-189.50299999999999</v>
      </c>
      <c r="Y765" s="10">
        <v>-24.677</v>
      </c>
      <c r="Z765" s="10">
        <v>2.4049999999999998</v>
      </c>
      <c r="AA765" s="10">
        <v>1.5529999999999999</v>
      </c>
      <c r="AB765" s="10">
        <v>-168.785</v>
      </c>
      <c r="AC765" s="8">
        <v>0</v>
      </c>
      <c r="AD765" s="8">
        <v>0</v>
      </c>
      <c r="AE765" s="8">
        <v>0</v>
      </c>
      <c r="AF765" s="10">
        <v>0</v>
      </c>
      <c r="AG765" s="8">
        <f>COUNTIF(Y765:AB765,"&gt;0")</f>
        <v>2</v>
      </c>
      <c r="AH765" s="10">
        <v>3.9580000000000002</v>
      </c>
      <c r="AI765" s="10">
        <v>0</v>
      </c>
      <c r="AJ765" s="8" t="str">
        <f>IF(ISNUMBER(X765),IF(X765&gt;0,"+",IF(X765&lt;0,"−","0")),IF(ISNUMBER(W765),IF(W765&gt;0,"+",IF(W765&lt;0,"−","0")),"yok"))</f>
        <v>−</v>
      </c>
      <c r="AK765" s="10" t="str">
        <f>IF(AND(RIGHT(C765,2)&lt;&gt;"12",ISNUMBER(U765),ISNUMBER(V765)),U765-V765,"")</f>
        <v/>
      </c>
      <c r="AL765" s="11" t="str">
        <f>IF(AND(ISNUMBER(AK765),ISNUMBER(V765)),IF(V765&lt;&gt;0,AK765/ABS(V765),""),"")</f>
        <v/>
      </c>
      <c r="AM765" s="8" t="str">
        <f>IF(ISNUMBER(AK765),IF(AK765&gt;1,1,0),"")</f>
        <v/>
      </c>
      <c r="AN765" s="8" t="str">
        <f>IF(ISNUMBER(AK765),IF(AK765&gt;0.05*ABS(V765),1,0),"")</f>
        <v/>
      </c>
      <c r="AO765" s="10">
        <v>-189.50299999999999</v>
      </c>
      <c r="AP765" s="10">
        <v>189.50299999999999</v>
      </c>
      <c r="AQ765" s="8" t="s">
        <v>204</v>
      </c>
      <c r="AR765" s="8">
        <v>0</v>
      </c>
      <c r="AS765" s="10">
        <v>-47.866999999999997</v>
      </c>
      <c r="AT765" s="10">
        <v>-237.37</v>
      </c>
      <c r="AU765" s="8" t="s">
        <v>204</v>
      </c>
      <c r="AV765" s="10">
        <v>2.4049999999999998</v>
      </c>
      <c r="AW765" s="11">
        <f>IF(AND(ISNUMBER(AV765),ISNUMBER(AT765)),IF(AT765&lt;&gt;0,AV765/ABS(AT765),""),"")</f>
        <v>1.0131861650587689E-2</v>
      </c>
      <c r="AX765" s="8">
        <v>0</v>
      </c>
      <c r="AY765" s="8">
        <v>0</v>
      </c>
      <c r="AZ765" s="10"/>
      <c r="BA765" s="8">
        <v>0</v>
      </c>
    </row>
    <row r="766" spans="1:53" x14ac:dyDescent="0.2">
      <c r="A766" s="8" t="s">
        <v>381</v>
      </c>
      <c r="B766" s="8" t="s">
        <v>82</v>
      </c>
      <c r="C766" s="8" t="s">
        <v>203</v>
      </c>
      <c r="D766" s="8">
        <v>1</v>
      </c>
      <c r="E766" s="8">
        <v>0</v>
      </c>
      <c r="F766" s="8">
        <f>SUM(G766:M766)</f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1</v>
      </c>
      <c r="Q766" s="8">
        <v>0</v>
      </c>
      <c r="R766" s="8">
        <v>1</v>
      </c>
      <c r="S766" s="8">
        <v>0</v>
      </c>
      <c r="T766" s="10">
        <v>-305.97500000000002</v>
      </c>
      <c r="U766" s="10">
        <v>-918.01099999999997</v>
      </c>
      <c r="V766" s="10">
        <v>-244.85599999999999</v>
      </c>
      <c r="W766" s="10">
        <f>IF(RIGHT(C766,2)="12",IF(ISNUMBER(T766),T766,""),IF(COUNT(T766,U766,V766)=3,T766+U766-V766,""))</f>
        <v>-979.12999999999988</v>
      </c>
      <c r="X766" s="10">
        <v>-979.13</v>
      </c>
      <c r="Y766" s="10">
        <v>-597.65899999999999</v>
      </c>
      <c r="Z766" s="10">
        <v>-334.58300000000003</v>
      </c>
      <c r="AA766" s="10">
        <v>259.08699999999999</v>
      </c>
      <c r="AB766" s="10">
        <v>-305.97500000000002</v>
      </c>
      <c r="AC766" s="8">
        <v>0</v>
      </c>
      <c r="AD766" s="8">
        <v>0</v>
      </c>
      <c r="AE766" s="8">
        <v>0</v>
      </c>
      <c r="AF766" s="10">
        <v>0</v>
      </c>
      <c r="AG766" s="8">
        <f>COUNTIF(Y766:AB766,"&gt;0")</f>
        <v>1</v>
      </c>
      <c r="AH766" s="10">
        <v>0</v>
      </c>
      <c r="AI766" s="10">
        <v>259.08699999999999</v>
      </c>
      <c r="AJ766" s="8" t="str">
        <f>IF(ISNUMBER(X766),IF(X766&gt;0,"+",IF(X766&lt;0,"−","0")),IF(ISNUMBER(W766),IF(W766&gt;0,"+",IF(W766&lt;0,"−","0")),"yok"))</f>
        <v>−</v>
      </c>
      <c r="AK766" s="10">
        <f>IF(AND(RIGHT(C766,2)&lt;&gt;"12",ISNUMBER(U766),ISNUMBER(V766)),U766-V766,"")</f>
        <v>-673.15499999999997</v>
      </c>
      <c r="AL766" s="11">
        <f>IF(AND(ISNUMBER(AK766),ISNUMBER(V766)),IF(V766&lt;&gt;0,AK766/ABS(V766),""),"")</f>
        <v>-2.749187277420198</v>
      </c>
      <c r="AM766" s="8">
        <f>IF(ISNUMBER(AK766),IF(AK766&gt;1,1,0),"")</f>
        <v>0</v>
      </c>
      <c r="AN766" s="8">
        <f>IF(ISNUMBER(AK766),IF(AK766&gt;0.05*ABS(V766),1,0),"")</f>
        <v>0</v>
      </c>
      <c r="AO766" s="10">
        <v>-979.13099999999997</v>
      </c>
      <c r="AP766" s="10">
        <v>979.13099999999997</v>
      </c>
      <c r="AQ766" s="8" t="s">
        <v>204</v>
      </c>
      <c r="AR766" s="8">
        <v>0</v>
      </c>
      <c r="AS766" s="10">
        <v>2140.9140000000002</v>
      </c>
      <c r="AT766" s="10">
        <v>758.86140399999999</v>
      </c>
      <c r="AU766" s="8" t="s">
        <v>209</v>
      </c>
      <c r="AV766" s="10">
        <v>259.08699999999999</v>
      </c>
      <c r="AW766" s="11">
        <f>IF(AND(ISNUMBER(AV766),ISNUMBER(AT766)),IF(AT766&lt;&gt;0,AV766/ABS(AT766),""),"")</f>
        <v>0.34141543980803113</v>
      </c>
      <c r="AX766" s="8">
        <v>0</v>
      </c>
      <c r="AY766" s="8">
        <v>0</v>
      </c>
      <c r="AZ766" s="10"/>
      <c r="BA766" s="8">
        <v>0</v>
      </c>
    </row>
    <row r="767" spans="1:53" x14ac:dyDescent="0.2">
      <c r="A767" s="8" t="s">
        <v>381</v>
      </c>
      <c r="B767" s="8" t="s">
        <v>82</v>
      </c>
      <c r="C767" s="8" t="s">
        <v>205</v>
      </c>
      <c r="D767" s="8">
        <v>1</v>
      </c>
      <c r="E767" s="8">
        <v>0</v>
      </c>
      <c r="F767" s="8">
        <f>SUM(G767:M767)</f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1</v>
      </c>
      <c r="Q767" s="8">
        <v>0</v>
      </c>
      <c r="R767" s="8">
        <v>1</v>
      </c>
      <c r="S767" s="8">
        <v>0</v>
      </c>
      <c r="T767" s="10">
        <v>-630.29100000000005</v>
      </c>
      <c r="U767" s="10">
        <v>-918.01099999999997</v>
      </c>
      <c r="V767" s="10">
        <v>-842.51599999999996</v>
      </c>
      <c r="W767" s="10">
        <f>IF(RIGHT(C767,2)="12",IF(ISNUMBER(T767),T767,""),IF(COUNT(T767,U767,V767)=3,T767+U767-V767,""))</f>
        <v>-705.78600000000017</v>
      </c>
      <c r="X767" s="10">
        <v>-705.78700000000003</v>
      </c>
      <c r="Y767" s="10">
        <v>-334.58300000000003</v>
      </c>
      <c r="Z767" s="10">
        <v>259.08699999999999</v>
      </c>
      <c r="AA767" s="10">
        <v>-305.97500000000002</v>
      </c>
      <c r="AB767" s="10">
        <v>-324.31599999999997</v>
      </c>
      <c r="AC767" s="8">
        <v>0</v>
      </c>
      <c r="AD767" s="8">
        <v>0</v>
      </c>
      <c r="AE767" s="8">
        <v>0</v>
      </c>
      <c r="AF767" s="10">
        <v>0</v>
      </c>
      <c r="AG767" s="8">
        <f>COUNTIF(Y767:AB767,"&gt;0")</f>
        <v>1</v>
      </c>
      <c r="AH767" s="10">
        <v>0</v>
      </c>
      <c r="AI767" s="10">
        <v>259.08699999999999</v>
      </c>
      <c r="AJ767" s="8" t="str">
        <f>IF(ISNUMBER(X767),IF(X767&gt;0,"+",IF(X767&lt;0,"−","0")),IF(ISNUMBER(W767),IF(W767&gt;0,"+",IF(W767&lt;0,"−","0")),"yok"))</f>
        <v>−</v>
      </c>
      <c r="AK767" s="10">
        <f>IF(AND(RIGHT(C767,2)&lt;&gt;"12",ISNUMBER(U767),ISNUMBER(V767)),U767-V767,"")</f>
        <v>-75.495000000000005</v>
      </c>
      <c r="AL767" s="11">
        <f>IF(AND(ISNUMBER(AK767),ISNUMBER(V767)),IF(V767&lt;&gt;0,AK767/ABS(V767),""),"")</f>
        <v>-8.9606606877495512E-2</v>
      </c>
      <c r="AM767" s="8">
        <f>IF(ISNUMBER(AK767),IF(AK767&gt;1,1,0),"")</f>
        <v>0</v>
      </c>
      <c r="AN767" s="8">
        <f>IF(ISNUMBER(AK767),IF(AK767&gt;0.05*ABS(V767),1,0),"")</f>
        <v>0</v>
      </c>
      <c r="AO767" s="10">
        <v>-705.78800000000001</v>
      </c>
      <c r="AP767" s="10">
        <v>705.78800000000001</v>
      </c>
      <c r="AQ767" s="8" t="s">
        <v>204</v>
      </c>
      <c r="AR767" s="8">
        <v>0</v>
      </c>
      <c r="AS767" s="10">
        <v>1213.3389999999999</v>
      </c>
      <c r="AT767" s="10">
        <v>-17.288999999999799</v>
      </c>
      <c r="AU767" s="8" t="s">
        <v>204</v>
      </c>
      <c r="AV767" s="10">
        <v>259.08699999999999</v>
      </c>
      <c r="AW767" s="11">
        <f>IF(AND(ISNUMBER(AV767),ISNUMBER(AT767)),IF(AT767&lt;&gt;0,AV767/ABS(AT767),""),"")</f>
        <v>14.985655619179999</v>
      </c>
      <c r="AX767" s="8">
        <v>0</v>
      </c>
      <c r="AY767" s="8">
        <v>0</v>
      </c>
      <c r="AZ767" s="10"/>
      <c r="BA767" s="8">
        <v>0</v>
      </c>
    </row>
    <row r="768" spans="1:53" x14ac:dyDescent="0.2">
      <c r="A768" s="8" t="s">
        <v>381</v>
      </c>
      <c r="B768" s="8" t="s">
        <v>83</v>
      </c>
      <c r="C768" s="8" t="s">
        <v>205</v>
      </c>
      <c r="D768" s="8">
        <v>1</v>
      </c>
      <c r="E768" s="8">
        <v>0</v>
      </c>
      <c r="F768" s="8">
        <f>SUM(G768:M768)</f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1</v>
      </c>
      <c r="Q768" s="8">
        <v>0</v>
      </c>
      <c r="R768" s="8">
        <v>0</v>
      </c>
      <c r="S768" s="8">
        <v>1</v>
      </c>
      <c r="T768" s="10">
        <v>-95.932000000000002</v>
      </c>
      <c r="U768" s="10">
        <v>-616.952</v>
      </c>
      <c r="V768" s="10">
        <v>-188.04499999999999</v>
      </c>
      <c r="W768" s="10">
        <f>IF(RIGHT(C768,2)="12",IF(ISNUMBER(T768),T768,""),IF(COUNT(T768,U768,V768)=3,T768+U768-V768,""))</f>
        <v>-524.83900000000006</v>
      </c>
      <c r="X768" s="10">
        <v>-524.83900000000006</v>
      </c>
      <c r="Y768" s="10">
        <v>-233.59299999999999</v>
      </c>
      <c r="Z768" s="10">
        <v>-195.31299999999999</v>
      </c>
      <c r="AA768" s="10">
        <v>-116.747</v>
      </c>
      <c r="AB768" s="10">
        <v>20.814</v>
      </c>
      <c r="AC768" s="8">
        <v>0</v>
      </c>
      <c r="AD768" s="8">
        <v>0</v>
      </c>
      <c r="AE768" s="8">
        <v>0</v>
      </c>
      <c r="AF768" s="10">
        <v>0</v>
      </c>
      <c r="AG768" s="8">
        <f>COUNTIF(Y768:AB768,"&gt;0")</f>
        <v>1</v>
      </c>
      <c r="AH768" s="10">
        <v>20.814</v>
      </c>
      <c r="AI768" s="10">
        <v>0</v>
      </c>
      <c r="AJ768" s="8" t="str">
        <f>IF(ISNUMBER(X768),IF(X768&gt;0,"+",IF(X768&lt;0,"−","0")),IF(ISNUMBER(W768),IF(W768&gt;0,"+",IF(W768&lt;0,"−","0")),"yok"))</f>
        <v>−</v>
      </c>
      <c r="AK768" s="10">
        <f>IF(AND(RIGHT(C768,2)&lt;&gt;"12",ISNUMBER(U768),ISNUMBER(V768)),U768-V768,"")</f>
        <v>-428.90700000000004</v>
      </c>
      <c r="AL768" s="11">
        <f>IF(AND(ISNUMBER(AK768),ISNUMBER(V768)),IF(V768&lt;&gt;0,AK768/ABS(V768),""),"")</f>
        <v>-2.2808742588210271</v>
      </c>
      <c r="AM768" s="8">
        <f>IF(ISNUMBER(AK768),IF(AK768&gt;1,1,0),"")</f>
        <v>0</v>
      </c>
      <c r="AN768" s="8">
        <f>IF(ISNUMBER(AK768),IF(AK768&gt;0.05*ABS(V768),1,0),"")</f>
        <v>0</v>
      </c>
      <c r="AO768" s="10">
        <v>-524.84</v>
      </c>
      <c r="AP768" s="10">
        <v>524.84</v>
      </c>
      <c r="AQ768" s="8" t="s">
        <v>204</v>
      </c>
      <c r="AR768" s="8">
        <v>0</v>
      </c>
      <c r="AS768" s="10">
        <v>1213.3389999999999</v>
      </c>
      <c r="AT768" s="10">
        <v>-17.288999999999799</v>
      </c>
      <c r="AU768" s="8" t="s">
        <v>204</v>
      </c>
      <c r="AV768" s="10">
        <v>20.814</v>
      </c>
      <c r="AW768" s="11">
        <f>IF(AND(ISNUMBER(AV768),ISNUMBER(AT768)),IF(AT768&lt;&gt;0,AV768/ABS(AT768),""),"")</f>
        <v>1.2038868644803193</v>
      </c>
      <c r="AX768" s="8">
        <v>0</v>
      </c>
      <c r="AY768" s="8">
        <v>0</v>
      </c>
      <c r="AZ768" s="10"/>
      <c r="BA768" s="8">
        <v>0</v>
      </c>
    </row>
    <row r="769" spans="1:53" x14ac:dyDescent="0.2">
      <c r="A769" s="8" t="s">
        <v>381</v>
      </c>
      <c r="B769" s="8" t="s">
        <v>83</v>
      </c>
      <c r="C769" s="8" t="s">
        <v>215</v>
      </c>
      <c r="D769" s="8">
        <v>1</v>
      </c>
      <c r="E769" s="8">
        <v>0</v>
      </c>
      <c r="F769" s="8">
        <f>SUM(G769:M769)</f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1</v>
      </c>
      <c r="Q769" s="8">
        <v>0</v>
      </c>
      <c r="R769" s="8">
        <v>0</v>
      </c>
      <c r="S769" s="8">
        <v>1</v>
      </c>
      <c r="T769" s="10">
        <v>-314.178</v>
      </c>
      <c r="U769" s="10">
        <v>-616.952</v>
      </c>
      <c r="V769" s="10">
        <v>-421.63900000000001</v>
      </c>
      <c r="W769" s="10">
        <f>IF(RIGHT(C769,2)="12",IF(ISNUMBER(T769),T769,""),IF(COUNT(T769,U769,V769)=3,T769+U769-V769,""))</f>
        <v>-509.49099999999999</v>
      </c>
      <c r="X769" s="10">
        <v>-509.49200000000002</v>
      </c>
      <c r="Y769" s="10">
        <v>-195.31299999999999</v>
      </c>
      <c r="Z769" s="10">
        <v>-116.747</v>
      </c>
      <c r="AA769" s="10">
        <v>20.814</v>
      </c>
      <c r="AB769" s="10">
        <v>-218.24600000000001</v>
      </c>
      <c r="AC769" s="8">
        <v>0</v>
      </c>
      <c r="AD769" s="8">
        <v>0</v>
      </c>
      <c r="AE769" s="8">
        <v>0</v>
      </c>
      <c r="AF769" s="10">
        <v>0</v>
      </c>
      <c r="AG769" s="8">
        <f>COUNTIF(Y769:AB769,"&gt;0")</f>
        <v>1</v>
      </c>
      <c r="AH769" s="10">
        <v>20.814</v>
      </c>
      <c r="AI769" s="10">
        <v>0</v>
      </c>
      <c r="AJ769" s="8" t="str">
        <f>IF(ISNUMBER(X769),IF(X769&gt;0,"+",IF(X769&lt;0,"−","0")),IF(ISNUMBER(W769),IF(W769&gt;0,"+",IF(W769&lt;0,"−","0")),"yok"))</f>
        <v>−</v>
      </c>
      <c r="AK769" s="10">
        <f>IF(AND(RIGHT(C769,2)&lt;&gt;"12",ISNUMBER(U769),ISNUMBER(V769)),U769-V769,"")</f>
        <v>-195.31299999999999</v>
      </c>
      <c r="AL769" s="11">
        <f>IF(AND(ISNUMBER(AK769),ISNUMBER(V769)),IF(V769&lt;&gt;0,AK769/ABS(V769),""),"")</f>
        <v>-0.46322327868152607</v>
      </c>
      <c r="AM769" s="8">
        <f>IF(ISNUMBER(AK769),IF(AK769&gt;1,1,0),"")</f>
        <v>0</v>
      </c>
      <c r="AN769" s="8">
        <f>IF(ISNUMBER(AK769),IF(AK769&gt;0.05*ABS(V769),1,0),"")</f>
        <v>0</v>
      </c>
      <c r="AO769" s="10">
        <v>-509.49299999999999</v>
      </c>
      <c r="AP769" s="10">
        <v>509.49299999999999</v>
      </c>
      <c r="AQ769" s="8" t="s">
        <v>204</v>
      </c>
      <c r="AR769" s="8">
        <v>0</v>
      </c>
      <c r="AS769" s="10">
        <v>1895.3879999999999</v>
      </c>
      <c r="AT769" s="10">
        <v>767.8</v>
      </c>
      <c r="AU769" s="8" t="s">
        <v>204</v>
      </c>
      <c r="AV769" s="10">
        <v>20.814</v>
      </c>
      <c r="AW769" s="11">
        <f>IF(AND(ISNUMBER(AV769),ISNUMBER(AT769)),IF(AT769&lt;&gt;0,AV769/ABS(AT769),""),"")</f>
        <v>2.71086220369888E-2</v>
      </c>
      <c r="AX769" s="8">
        <v>0</v>
      </c>
      <c r="AY769" s="8">
        <v>0</v>
      </c>
      <c r="AZ769" s="10"/>
      <c r="BA769" s="8">
        <v>0</v>
      </c>
    </row>
    <row r="770" spans="1:53" x14ac:dyDescent="0.2">
      <c r="A770" s="8" t="s">
        <v>381</v>
      </c>
      <c r="B770" s="8" t="s">
        <v>83</v>
      </c>
      <c r="C770" s="8" t="s">
        <v>290</v>
      </c>
      <c r="D770" s="8">
        <v>1</v>
      </c>
      <c r="E770" s="8">
        <v>0</v>
      </c>
      <c r="F770" s="8">
        <f>SUM(G770:M770)</f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1</v>
      </c>
      <c r="Q770" s="8">
        <v>0</v>
      </c>
      <c r="R770" s="8">
        <v>0</v>
      </c>
      <c r="S770" s="8">
        <v>1</v>
      </c>
      <c r="T770" s="10">
        <v>-457.02100000000002</v>
      </c>
      <c r="U770" s="10"/>
      <c r="V770" s="10"/>
      <c r="W770" s="10">
        <f>IF(RIGHT(C770,2)="12",IF(ISNUMBER(T770),T770,""),IF(COUNT(T770,U770,V770)=3,T770+U770-V770,""))</f>
        <v>-457.02100000000002</v>
      </c>
      <c r="X770" s="10">
        <v>-457.02100000000002</v>
      </c>
      <c r="Y770" s="10">
        <v>-116.747</v>
      </c>
      <c r="Z770" s="10">
        <v>20.814</v>
      </c>
      <c r="AA770" s="10">
        <v>-218.24600000000001</v>
      </c>
      <c r="AB770" s="10">
        <v>-142.84200000000001</v>
      </c>
      <c r="AC770" s="8">
        <v>0</v>
      </c>
      <c r="AD770" s="8">
        <v>0</v>
      </c>
      <c r="AE770" s="8">
        <v>0</v>
      </c>
      <c r="AF770" s="10">
        <v>0</v>
      </c>
      <c r="AG770" s="8">
        <f>COUNTIF(Y770:AB770,"&gt;0")</f>
        <v>1</v>
      </c>
      <c r="AH770" s="10">
        <v>20.814</v>
      </c>
      <c r="AI770" s="10">
        <v>0</v>
      </c>
      <c r="AJ770" s="8" t="str">
        <f>IF(ISNUMBER(X770),IF(X770&gt;0,"+",IF(X770&lt;0,"−","0")),IF(ISNUMBER(W770),IF(W770&gt;0,"+",IF(W770&lt;0,"−","0")),"yok"))</f>
        <v>−</v>
      </c>
      <c r="AK770" s="10" t="str">
        <f>IF(AND(RIGHT(C770,2)&lt;&gt;"12",ISNUMBER(U770),ISNUMBER(V770)),U770-V770,"")</f>
        <v/>
      </c>
      <c r="AL770" s="11" t="str">
        <f>IF(AND(ISNUMBER(AK770),ISNUMBER(V770)),IF(V770&lt;&gt;0,AK770/ABS(V770),""),"")</f>
        <v/>
      </c>
      <c r="AM770" s="8" t="str">
        <f>IF(ISNUMBER(AK770),IF(AK770&gt;1,1,0),"")</f>
        <v/>
      </c>
      <c r="AN770" s="8" t="str">
        <f>IF(ISNUMBER(AK770),IF(AK770&gt;0.05*ABS(V770),1,0),"")</f>
        <v/>
      </c>
      <c r="AO770" s="10">
        <v>-457.02100000000002</v>
      </c>
      <c r="AP770" s="10">
        <v>457.02100000000002</v>
      </c>
      <c r="AQ770" s="8" t="s">
        <v>204</v>
      </c>
      <c r="AR770" s="8">
        <v>0</v>
      </c>
      <c r="AS770" s="10">
        <v>904.42100000000005</v>
      </c>
      <c r="AT770" s="10">
        <v>-652.23599999999999</v>
      </c>
      <c r="AU770" s="8" t="s">
        <v>204</v>
      </c>
      <c r="AV770" s="10">
        <v>20.814</v>
      </c>
      <c r="AW770" s="11">
        <f>IF(AND(ISNUMBER(AV770),ISNUMBER(AT770)),IF(AT770&lt;&gt;0,AV770/ABS(AT770),""),"")</f>
        <v>3.1911762000257575E-2</v>
      </c>
      <c r="AX770" s="8">
        <v>0</v>
      </c>
      <c r="AY770" s="8">
        <v>0</v>
      </c>
      <c r="AZ770" s="10"/>
      <c r="BA770" s="8">
        <v>0</v>
      </c>
    </row>
    <row r="771" spans="1:53" x14ac:dyDescent="0.2">
      <c r="A771" s="8" t="s">
        <v>601</v>
      </c>
      <c r="B771" s="8" t="s">
        <v>83</v>
      </c>
      <c r="C771" s="8" t="s">
        <v>290</v>
      </c>
      <c r="D771" s="8">
        <v>1</v>
      </c>
      <c r="E771" s="8">
        <v>0</v>
      </c>
      <c r="F771" s="8">
        <f>SUM(G771:M771)</f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1</v>
      </c>
      <c r="Q771" s="8">
        <v>0</v>
      </c>
      <c r="R771" s="8">
        <v>0</v>
      </c>
      <c r="S771" s="8">
        <v>1</v>
      </c>
      <c r="T771" s="10">
        <v>-3977.5120000000002</v>
      </c>
      <c r="U771" s="10"/>
      <c r="V771" s="10"/>
      <c r="W771" s="10">
        <f>IF(RIGHT(C771,2)="12",IF(ISNUMBER(T771),T771,""),IF(COUNT(T771,U771,V771)=3,T771+U771-V771,""))</f>
        <v>-3977.5120000000002</v>
      </c>
      <c r="X771" s="10">
        <v>-3977.5120000000002</v>
      </c>
      <c r="Y771" s="10">
        <v>-601.58399999999995</v>
      </c>
      <c r="Z771" s="10">
        <v>-1025.538</v>
      </c>
      <c r="AA771" s="10">
        <v>-2352.739</v>
      </c>
      <c r="AB771" s="10">
        <v>2.3490000000000002</v>
      </c>
      <c r="AC771" s="8">
        <v>0</v>
      </c>
      <c r="AD771" s="8">
        <v>0</v>
      </c>
      <c r="AE771" s="8">
        <v>0</v>
      </c>
      <c r="AF771" s="10">
        <v>0</v>
      </c>
      <c r="AG771" s="8">
        <f>COUNTIF(Y771:AB771,"&gt;0")</f>
        <v>1</v>
      </c>
      <c r="AH771" s="10">
        <v>2.3490000000000002</v>
      </c>
      <c r="AI771" s="10">
        <v>0</v>
      </c>
      <c r="AJ771" s="8" t="str">
        <f>IF(ISNUMBER(X771),IF(X771&gt;0,"+",IF(X771&lt;0,"−","0")),IF(ISNUMBER(W771),IF(W771&gt;0,"+",IF(W771&lt;0,"−","0")),"yok"))</f>
        <v>−</v>
      </c>
      <c r="AK771" s="10" t="str">
        <f>IF(AND(RIGHT(C771,2)&lt;&gt;"12",ISNUMBER(U771),ISNUMBER(V771)),U771-V771,"")</f>
        <v/>
      </c>
      <c r="AL771" s="11" t="str">
        <f>IF(AND(ISNUMBER(AK771),ISNUMBER(V771)),IF(V771&lt;&gt;0,AK771/ABS(V771),""),"")</f>
        <v/>
      </c>
      <c r="AM771" s="8" t="str">
        <f>IF(ISNUMBER(AK771),IF(AK771&gt;1,1,0),"")</f>
        <v/>
      </c>
      <c r="AN771" s="8" t="str">
        <f>IF(ISNUMBER(AK771),IF(AK771&gt;0.05*ABS(V771),1,0),"")</f>
        <v/>
      </c>
      <c r="AO771" s="10">
        <v>-3977.5120000000002</v>
      </c>
      <c r="AP771" s="10">
        <v>3977.5120000000002</v>
      </c>
      <c r="AQ771" s="8" t="s">
        <v>204</v>
      </c>
      <c r="AR771" s="8">
        <v>0</v>
      </c>
      <c r="AS771" s="10">
        <v>372.26799999999997</v>
      </c>
      <c r="AT771" s="10">
        <v>-3605.2440000000001</v>
      </c>
      <c r="AU771" s="8" t="s">
        <v>204</v>
      </c>
      <c r="AV771" s="10">
        <v>2.3490000000000002</v>
      </c>
      <c r="AW771" s="11">
        <f>IF(AND(ISNUMBER(AV771),ISNUMBER(AT771)),IF(AT771&lt;&gt;0,AV771/ABS(AT771),""),"")</f>
        <v>6.5155090751139175E-4</v>
      </c>
      <c r="AX771" s="8">
        <v>0</v>
      </c>
      <c r="AY771" s="8">
        <v>0</v>
      </c>
      <c r="AZ771" s="10"/>
      <c r="BA771" s="8">
        <v>0</v>
      </c>
    </row>
    <row r="772" spans="1:53" x14ac:dyDescent="0.2">
      <c r="A772" s="8" t="s">
        <v>602</v>
      </c>
      <c r="B772" s="8" t="s">
        <v>82</v>
      </c>
      <c r="C772" s="8" t="s">
        <v>203</v>
      </c>
      <c r="D772" s="8">
        <v>1</v>
      </c>
      <c r="E772" s="8">
        <v>0</v>
      </c>
      <c r="F772" s="8">
        <f>SUM(G772:M772)</f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1</v>
      </c>
      <c r="Q772" s="8">
        <v>0</v>
      </c>
      <c r="R772" s="8">
        <v>1</v>
      </c>
      <c r="S772" s="8">
        <v>0</v>
      </c>
      <c r="T772" s="10">
        <v>-25.399000000000001</v>
      </c>
      <c r="U772" s="10">
        <v>-44.956000000000003</v>
      </c>
      <c r="V772" s="10">
        <v>-23.934999999999999</v>
      </c>
      <c r="W772" s="10">
        <f>IF(RIGHT(C772,2)="12",IF(ISNUMBER(T772),T772,""),IF(COUNT(T772,U772,V772)=3,T772+U772-V772,""))</f>
        <v>-46.42</v>
      </c>
      <c r="X772" s="10">
        <v>-46.418999999999997</v>
      </c>
      <c r="Y772" s="10">
        <v>3.335</v>
      </c>
      <c r="Z772" s="10">
        <v>-7.4109999999999996</v>
      </c>
      <c r="AA772" s="10">
        <v>-16.943999999999999</v>
      </c>
      <c r="AB772" s="10">
        <v>-25.399000000000001</v>
      </c>
      <c r="AC772" s="8">
        <v>0</v>
      </c>
      <c r="AD772" s="8">
        <v>0</v>
      </c>
      <c r="AE772" s="8">
        <v>0</v>
      </c>
      <c r="AF772" s="10">
        <v>0</v>
      </c>
      <c r="AG772" s="8">
        <f>COUNTIF(Y772:AB772,"&gt;0")</f>
        <v>1</v>
      </c>
      <c r="AH772" s="10">
        <v>0</v>
      </c>
      <c r="AI772" s="10">
        <v>3.335</v>
      </c>
      <c r="AJ772" s="8" t="str">
        <f>IF(ISNUMBER(X772),IF(X772&gt;0,"+",IF(X772&lt;0,"−","0")),IF(ISNUMBER(W772),IF(W772&gt;0,"+",IF(W772&lt;0,"−","0")),"yok"))</f>
        <v>−</v>
      </c>
      <c r="AK772" s="10">
        <f>IF(AND(RIGHT(C772,2)&lt;&gt;"12",ISNUMBER(U772),ISNUMBER(V772)),U772-V772,"")</f>
        <v>-21.021000000000004</v>
      </c>
      <c r="AL772" s="11">
        <f>IF(AND(ISNUMBER(AK772),ISNUMBER(V772)),IF(V772&lt;&gt;0,AK772/ABS(V772),""),"")</f>
        <v>-0.8782536035095051</v>
      </c>
      <c r="AM772" s="8">
        <f>IF(ISNUMBER(AK772),IF(AK772&gt;1,1,0),"")</f>
        <v>0</v>
      </c>
      <c r="AN772" s="8">
        <f>IF(ISNUMBER(AK772),IF(AK772&gt;0.05*ABS(V772),1,0),"")</f>
        <v>0</v>
      </c>
      <c r="AO772" s="10">
        <v>-46.418999999999997</v>
      </c>
      <c r="AP772" s="10">
        <v>46.418999999999997</v>
      </c>
      <c r="AQ772" s="8" t="s">
        <v>204</v>
      </c>
      <c r="AR772" s="8">
        <v>0</v>
      </c>
      <c r="AS772" s="10">
        <v>-2122.3890000000001</v>
      </c>
      <c r="AT772" s="10">
        <v>-2373.683</v>
      </c>
      <c r="AU772" s="8" t="s">
        <v>204</v>
      </c>
      <c r="AV772" s="10">
        <v>3.335</v>
      </c>
      <c r="AW772" s="11">
        <f>IF(AND(ISNUMBER(AV772),ISNUMBER(AT772)),IF(AT772&lt;&gt;0,AV772/ABS(AT772),""),"")</f>
        <v>1.4049896300390575E-3</v>
      </c>
      <c r="AX772" s="8">
        <v>0</v>
      </c>
      <c r="AY772" s="8">
        <v>0</v>
      </c>
      <c r="AZ772" s="10"/>
      <c r="BA772" s="8">
        <v>0</v>
      </c>
    </row>
    <row r="773" spans="1:53" x14ac:dyDescent="0.2">
      <c r="A773" s="8" t="s">
        <v>602</v>
      </c>
      <c r="B773" s="8" t="s">
        <v>82</v>
      </c>
      <c r="C773" s="8" t="s">
        <v>205</v>
      </c>
      <c r="D773" s="8">
        <v>1</v>
      </c>
      <c r="E773" s="8">
        <v>0</v>
      </c>
      <c r="F773" s="8">
        <f>SUM(G773:M773)</f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1</v>
      </c>
      <c r="Q773" s="8">
        <v>0</v>
      </c>
      <c r="R773" s="8">
        <v>0</v>
      </c>
      <c r="S773" s="8">
        <v>1</v>
      </c>
      <c r="T773" s="10">
        <v>-23.96</v>
      </c>
      <c r="U773" s="10">
        <v>-44.956000000000003</v>
      </c>
      <c r="V773" s="10">
        <v>-20.6</v>
      </c>
      <c r="W773" s="10">
        <f>IF(RIGHT(C773,2)="12",IF(ISNUMBER(T773),T773,""),IF(COUNT(T773,U773,V773)=3,T773+U773-V773,""))</f>
        <v>-48.315999999999995</v>
      </c>
      <c r="X773" s="10">
        <v>-48.316000000000003</v>
      </c>
      <c r="Y773" s="10">
        <v>-7.4109999999999996</v>
      </c>
      <c r="Z773" s="10">
        <v>-16.943999999999999</v>
      </c>
      <c r="AA773" s="10">
        <v>-25.399000000000001</v>
      </c>
      <c r="AB773" s="10">
        <v>1.4390000000000001</v>
      </c>
      <c r="AC773" s="8">
        <v>0</v>
      </c>
      <c r="AD773" s="8">
        <v>0</v>
      </c>
      <c r="AE773" s="8">
        <v>0</v>
      </c>
      <c r="AF773" s="10">
        <v>0</v>
      </c>
      <c r="AG773" s="8">
        <f>COUNTIF(Y773:AB773,"&gt;0")</f>
        <v>1</v>
      </c>
      <c r="AH773" s="10">
        <v>1.4390000000000001</v>
      </c>
      <c r="AI773" s="10">
        <v>0</v>
      </c>
      <c r="AJ773" s="8" t="str">
        <f>IF(ISNUMBER(X773),IF(X773&gt;0,"+",IF(X773&lt;0,"−","0")),IF(ISNUMBER(W773),IF(W773&gt;0,"+",IF(W773&lt;0,"−","0")),"yok"))</f>
        <v>−</v>
      </c>
      <c r="AK773" s="10">
        <f>IF(AND(RIGHT(C773,2)&lt;&gt;"12",ISNUMBER(U773),ISNUMBER(V773)),U773-V773,"")</f>
        <v>-24.356000000000002</v>
      </c>
      <c r="AL773" s="11">
        <f>IF(AND(ISNUMBER(AK773),ISNUMBER(V773)),IF(V773&lt;&gt;0,AK773/ABS(V773),""),"")</f>
        <v>-1.1823300970873787</v>
      </c>
      <c r="AM773" s="8">
        <f>IF(ISNUMBER(AK773),IF(AK773&gt;1,1,0),"")</f>
        <v>0</v>
      </c>
      <c r="AN773" s="8">
        <f>IF(ISNUMBER(AK773),IF(AK773&gt;0.05*ABS(V773),1,0),"")</f>
        <v>0</v>
      </c>
      <c r="AO773" s="10">
        <v>-48.316000000000003</v>
      </c>
      <c r="AP773" s="10">
        <v>48.316000000000003</v>
      </c>
      <c r="AQ773" s="8" t="s">
        <v>204</v>
      </c>
      <c r="AR773" s="8">
        <v>0</v>
      </c>
      <c r="AS773" s="10">
        <v>403.22399999999999</v>
      </c>
      <c r="AT773" s="10">
        <v>131.19</v>
      </c>
      <c r="AU773" s="8" t="s">
        <v>204</v>
      </c>
      <c r="AV773" s="10">
        <v>1.4390000000000001</v>
      </c>
      <c r="AW773" s="11">
        <f>IF(AND(ISNUMBER(AV773),ISNUMBER(AT773)),IF(AT773&lt;&gt;0,AV773/ABS(AT773),""),"")</f>
        <v>1.0968823843280738E-2</v>
      </c>
      <c r="AX773" s="8">
        <v>0</v>
      </c>
      <c r="AY773" s="8">
        <v>0</v>
      </c>
      <c r="AZ773" s="10"/>
      <c r="BA773" s="8">
        <v>0</v>
      </c>
    </row>
    <row r="774" spans="1:53" x14ac:dyDescent="0.2">
      <c r="A774" s="8" t="s">
        <v>602</v>
      </c>
      <c r="B774" s="8" t="s">
        <v>82</v>
      </c>
      <c r="C774" s="8" t="s">
        <v>215</v>
      </c>
      <c r="D774" s="8">
        <v>1</v>
      </c>
      <c r="E774" s="8">
        <v>0</v>
      </c>
      <c r="F774" s="8">
        <f>SUM(G774:M774)</f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1</v>
      </c>
      <c r="Q774" s="8">
        <v>0</v>
      </c>
      <c r="R774" s="8">
        <v>0</v>
      </c>
      <c r="S774" s="8">
        <v>1</v>
      </c>
      <c r="T774" s="10">
        <v>-22.286999999999999</v>
      </c>
      <c r="U774" s="10">
        <v>-44.956000000000003</v>
      </c>
      <c r="V774" s="10">
        <v>-28.010999999999999</v>
      </c>
      <c r="W774" s="10">
        <f>IF(RIGHT(C774,2)="12",IF(ISNUMBER(T774),T774,""),IF(COUNT(T774,U774,V774)=3,T774+U774-V774,""))</f>
        <v>-39.231999999999999</v>
      </c>
      <c r="X774" s="10">
        <v>-39.231999999999999</v>
      </c>
      <c r="Y774" s="10">
        <v>-16.943999999999999</v>
      </c>
      <c r="Z774" s="10">
        <v>-25.399000000000001</v>
      </c>
      <c r="AA774" s="10">
        <v>1.4390000000000001</v>
      </c>
      <c r="AB774" s="10">
        <v>1.6719999999999999</v>
      </c>
      <c r="AC774" s="8">
        <v>0</v>
      </c>
      <c r="AD774" s="8">
        <v>0</v>
      </c>
      <c r="AE774" s="8">
        <v>0</v>
      </c>
      <c r="AF774" s="10">
        <v>0</v>
      </c>
      <c r="AG774" s="8">
        <f>COUNTIF(Y774:AB774,"&gt;0")</f>
        <v>2</v>
      </c>
      <c r="AH774" s="10">
        <v>3.1110000000000002</v>
      </c>
      <c r="AI774" s="10">
        <v>0</v>
      </c>
      <c r="AJ774" s="8" t="str">
        <f>IF(ISNUMBER(X774),IF(X774&gt;0,"+",IF(X774&lt;0,"−","0")),IF(ISNUMBER(W774),IF(W774&gt;0,"+",IF(W774&lt;0,"−","0")),"yok"))</f>
        <v>−</v>
      </c>
      <c r="AK774" s="10">
        <f>IF(AND(RIGHT(C774,2)&lt;&gt;"12",ISNUMBER(U774),ISNUMBER(V774)),U774-V774,"")</f>
        <v>-16.945000000000004</v>
      </c>
      <c r="AL774" s="11">
        <f>IF(AND(ISNUMBER(AK774),ISNUMBER(V774)),IF(V774&lt;&gt;0,AK774/ABS(V774),""),"")</f>
        <v>-0.6049409160686875</v>
      </c>
      <c r="AM774" s="8">
        <f>IF(ISNUMBER(AK774),IF(AK774&gt;1,1,0),"")</f>
        <v>0</v>
      </c>
      <c r="AN774" s="8">
        <f>IF(ISNUMBER(AK774),IF(AK774&gt;0.05*ABS(V774),1,0),"")</f>
        <v>0</v>
      </c>
      <c r="AO774" s="10">
        <v>-39.231999999999999</v>
      </c>
      <c r="AP774" s="10">
        <v>39.231999999999999</v>
      </c>
      <c r="AQ774" s="8" t="s">
        <v>204</v>
      </c>
      <c r="AR774" s="8">
        <v>0</v>
      </c>
      <c r="AS774" s="10">
        <v>-878.98900000000003</v>
      </c>
      <c r="AT774" s="10">
        <v>-1161.6400000000001</v>
      </c>
      <c r="AU774" s="8" t="s">
        <v>204</v>
      </c>
      <c r="AV774" s="10">
        <v>1.6719999999999999</v>
      </c>
      <c r="AW774" s="11">
        <f>IF(AND(ISNUMBER(AV774),ISNUMBER(AT774)),IF(AT774&lt;&gt;0,AV774/ABS(AT774),""),"")</f>
        <v>1.4393443751936914E-3</v>
      </c>
      <c r="AX774" s="8">
        <v>0</v>
      </c>
      <c r="AY774" s="8">
        <v>0</v>
      </c>
      <c r="AZ774" s="10"/>
      <c r="BA774" s="8">
        <v>0</v>
      </c>
    </row>
    <row r="775" spans="1:53" x14ac:dyDescent="0.2">
      <c r="A775" s="8" t="s">
        <v>602</v>
      </c>
      <c r="B775" s="8" t="s">
        <v>82</v>
      </c>
      <c r="C775" s="8" t="s">
        <v>290</v>
      </c>
      <c r="D775" s="8">
        <v>1</v>
      </c>
      <c r="E775" s="8">
        <v>0</v>
      </c>
      <c r="F775" s="8">
        <f>SUM(G775:M775)</f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1</v>
      </c>
      <c r="Q775" s="8">
        <v>0</v>
      </c>
      <c r="R775" s="8">
        <v>0</v>
      </c>
      <c r="S775" s="8">
        <v>1</v>
      </c>
      <c r="T775" s="10">
        <v>-34.344999999999999</v>
      </c>
      <c r="U775" s="10"/>
      <c r="V775" s="10"/>
      <c r="W775" s="10">
        <f>IF(RIGHT(C775,2)="12",IF(ISNUMBER(T775),T775,""),IF(COUNT(T775,U775,V775)=3,T775+U775-V775,""))</f>
        <v>-34.344999999999999</v>
      </c>
      <c r="X775" s="10">
        <v>-34.344999999999999</v>
      </c>
      <c r="Y775" s="10">
        <v>-25.399000000000001</v>
      </c>
      <c r="Z775" s="10">
        <v>1.4390000000000001</v>
      </c>
      <c r="AA775" s="10">
        <v>1.6719999999999999</v>
      </c>
      <c r="AB775" s="10">
        <v>-12.058</v>
      </c>
      <c r="AC775" s="8">
        <v>0</v>
      </c>
      <c r="AD775" s="8">
        <v>0</v>
      </c>
      <c r="AE775" s="8">
        <v>0</v>
      </c>
      <c r="AF775" s="10">
        <v>0</v>
      </c>
      <c r="AG775" s="8">
        <f>COUNTIF(Y775:AB775,"&gt;0")</f>
        <v>2</v>
      </c>
      <c r="AH775" s="10">
        <v>3.1110000000000002</v>
      </c>
      <c r="AI775" s="10">
        <v>0</v>
      </c>
      <c r="AJ775" s="8" t="str">
        <f>IF(ISNUMBER(X775),IF(X775&gt;0,"+",IF(X775&lt;0,"−","0")),IF(ISNUMBER(W775),IF(W775&gt;0,"+",IF(W775&lt;0,"−","0")),"yok"))</f>
        <v>−</v>
      </c>
      <c r="AK775" s="10" t="str">
        <f>IF(AND(RIGHT(C775,2)&lt;&gt;"12",ISNUMBER(U775),ISNUMBER(V775)),U775-V775,"")</f>
        <v/>
      </c>
      <c r="AL775" s="11" t="str">
        <f>IF(AND(ISNUMBER(AK775),ISNUMBER(V775)),IF(V775&lt;&gt;0,AK775/ABS(V775),""),"")</f>
        <v/>
      </c>
      <c r="AM775" s="8" t="str">
        <f>IF(ISNUMBER(AK775),IF(AK775&gt;1,1,0),"")</f>
        <v/>
      </c>
      <c r="AN775" s="8" t="str">
        <f>IF(ISNUMBER(AK775),IF(AK775&gt;0.05*ABS(V775),1,0),"")</f>
        <v/>
      </c>
      <c r="AO775" s="10">
        <v>-34.345999999999997</v>
      </c>
      <c r="AP775" s="10">
        <v>34.345999999999997</v>
      </c>
      <c r="AQ775" s="8" t="s">
        <v>204</v>
      </c>
      <c r="AR775" s="8">
        <v>0</v>
      </c>
      <c r="AS775" s="10">
        <v>-926.73800000000006</v>
      </c>
      <c r="AT775" s="10">
        <v>-1140.1189999999999</v>
      </c>
      <c r="AU775" s="8" t="s">
        <v>204</v>
      </c>
      <c r="AV775" s="10">
        <v>1.6719999999999999</v>
      </c>
      <c r="AW775" s="11">
        <f>IF(AND(ISNUMBER(AV775),ISNUMBER(AT775)),IF(AT775&lt;&gt;0,AV775/ABS(AT775),""),"")</f>
        <v>1.4665135832312242E-3</v>
      </c>
      <c r="AX775" s="8">
        <v>0</v>
      </c>
      <c r="AY775" s="8">
        <v>0</v>
      </c>
      <c r="AZ775" s="10"/>
      <c r="BA775" s="8">
        <v>0</v>
      </c>
    </row>
    <row r="776" spans="1:53" x14ac:dyDescent="0.2">
      <c r="A776" s="8" t="s">
        <v>602</v>
      </c>
      <c r="B776" s="8" t="s">
        <v>82</v>
      </c>
      <c r="C776" s="8" t="s">
        <v>208</v>
      </c>
      <c r="D776" s="8">
        <v>1</v>
      </c>
      <c r="E776" s="8">
        <v>0</v>
      </c>
      <c r="F776" s="8">
        <f>SUM(G776:M776)</f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1</v>
      </c>
      <c r="Q776" s="8">
        <v>0</v>
      </c>
      <c r="R776" s="8">
        <v>1</v>
      </c>
      <c r="S776" s="8">
        <v>0</v>
      </c>
      <c r="T776" s="10">
        <v>-31.210999999999999</v>
      </c>
      <c r="U776" s="10">
        <v>-34.344999999999999</v>
      </c>
      <c r="V776" s="10">
        <v>-25.399000000000001</v>
      </c>
      <c r="W776" s="10">
        <f>IF(RIGHT(C776,2)="12",IF(ISNUMBER(T776),T776,""),IF(COUNT(T776,U776,V776)=3,T776+U776-V776,""))</f>
        <v>-40.156999999999996</v>
      </c>
      <c r="X776" s="10">
        <v>-40.158000000000001</v>
      </c>
      <c r="Y776" s="10">
        <v>1.4390000000000001</v>
      </c>
      <c r="Z776" s="10">
        <v>1.6719999999999999</v>
      </c>
      <c r="AA776" s="10">
        <v>-12.058</v>
      </c>
      <c r="AB776" s="10">
        <v>-31.210999999999999</v>
      </c>
      <c r="AC776" s="8">
        <v>0</v>
      </c>
      <c r="AD776" s="8">
        <v>0</v>
      </c>
      <c r="AE776" s="8">
        <v>0</v>
      </c>
      <c r="AF776" s="10">
        <v>0</v>
      </c>
      <c r="AG776" s="8">
        <f>COUNTIF(Y776:AB776,"&gt;0")</f>
        <v>2</v>
      </c>
      <c r="AH776" s="10">
        <v>0</v>
      </c>
      <c r="AI776" s="10">
        <v>3.1110000000000002</v>
      </c>
      <c r="AJ776" s="8" t="str">
        <f>IF(ISNUMBER(X776),IF(X776&gt;0,"+",IF(X776&lt;0,"−","0")),IF(ISNUMBER(W776),IF(W776&gt;0,"+",IF(W776&lt;0,"−","0")),"yok"))</f>
        <v>−</v>
      </c>
      <c r="AK776" s="10">
        <f>IF(AND(RIGHT(C776,2)&lt;&gt;"12",ISNUMBER(U776),ISNUMBER(V776)),U776-V776,"")</f>
        <v>-8.945999999999998</v>
      </c>
      <c r="AL776" s="11">
        <f>IF(AND(ISNUMBER(AK776),ISNUMBER(V776)),IF(V776&lt;&gt;0,AK776/ABS(V776),""),"")</f>
        <v>-0.35221859128312127</v>
      </c>
      <c r="AM776" s="8">
        <f>IF(ISNUMBER(AK776),IF(AK776&gt;1,1,0),"")</f>
        <v>0</v>
      </c>
      <c r="AN776" s="8">
        <f>IF(ISNUMBER(AK776),IF(AK776&gt;0.05*ABS(V776),1,0),"")</f>
        <v>0</v>
      </c>
      <c r="AO776" s="10">
        <v>-40.158999999999999</v>
      </c>
      <c r="AP776" s="10">
        <v>40.158999999999999</v>
      </c>
      <c r="AQ776" s="8" t="s">
        <v>204</v>
      </c>
      <c r="AR776" s="8">
        <v>0</v>
      </c>
      <c r="AS776" s="10">
        <v>-1145.643</v>
      </c>
      <c r="AT776" s="10">
        <v>-1327.45</v>
      </c>
      <c r="AU776" s="8" t="s">
        <v>204</v>
      </c>
      <c r="AV776" s="10">
        <v>1.6719999999999999</v>
      </c>
      <c r="AW776" s="11">
        <f>IF(AND(ISNUMBER(AV776),ISNUMBER(AT776)),IF(AT776&lt;&gt;0,AV776/ABS(AT776),""),"")</f>
        <v>1.2595577987871481E-3</v>
      </c>
      <c r="AX776" s="8">
        <v>0</v>
      </c>
      <c r="AY776" s="8">
        <v>0</v>
      </c>
      <c r="AZ776" s="10"/>
      <c r="BA776" s="8">
        <v>0</v>
      </c>
    </row>
    <row r="777" spans="1:53" x14ac:dyDescent="0.2">
      <c r="A777" s="8" t="s">
        <v>602</v>
      </c>
      <c r="B777" s="8" t="s">
        <v>82</v>
      </c>
      <c r="C777" s="8" t="s">
        <v>210</v>
      </c>
      <c r="D777" s="8">
        <v>1</v>
      </c>
      <c r="E777" s="8">
        <v>0</v>
      </c>
      <c r="F777" s="8">
        <f>SUM(G777:M777)</f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1</v>
      </c>
      <c r="Q777" s="8">
        <v>0</v>
      </c>
      <c r="R777" s="8">
        <v>1</v>
      </c>
      <c r="S777" s="8">
        <v>1</v>
      </c>
      <c r="T777" s="10">
        <v>-17.916</v>
      </c>
      <c r="U777" s="10">
        <v>-34.344999999999999</v>
      </c>
      <c r="V777" s="10">
        <v>-23.96</v>
      </c>
      <c r="W777" s="10">
        <f>IF(RIGHT(C777,2)="12",IF(ISNUMBER(T777),T777,""),IF(COUNT(T777,U777,V777)=3,T777+U777-V777,""))</f>
        <v>-28.300999999999995</v>
      </c>
      <c r="X777" s="10">
        <v>-28.300999999999998</v>
      </c>
      <c r="Y777" s="10">
        <v>1.6719999999999999</v>
      </c>
      <c r="Z777" s="10">
        <v>-12.058</v>
      </c>
      <c r="AA777" s="10">
        <v>-31.210999999999999</v>
      </c>
      <c r="AB777" s="10">
        <v>13.295</v>
      </c>
      <c r="AC777" s="8">
        <v>0</v>
      </c>
      <c r="AD777" s="8">
        <v>0</v>
      </c>
      <c r="AE777" s="8">
        <v>0</v>
      </c>
      <c r="AF777" s="10">
        <v>0</v>
      </c>
      <c r="AG777" s="8">
        <f>COUNTIF(Y777:AB777,"&gt;0")</f>
        <v>2</v>
      </c>
      <c r="AH777" s="10">
        <v>13.295</v>
      </c>
      <c r="AI777" s="10">
        <v>1.6719999999999999</v>
      </c>
      <c r="AJ777" s="8" t="str">
        <f>IF(ISNUMBER(X777),IF(X777&gt;0,"+",IF(X777&lt;0,"−","0")),IF(ISNUMBER(W777),IF(W777&gt;0,"+",IF(W777&lt;0,"−","0")),"yok"))</f>
        <v>−</v>
      </c>
      <c r="AK777" s="10">
        <f>IF(AND(RIGHT(C777,2)&lt;&gt;"12",ISNUMBER(U777),ISNUMBER(V777)),U777-V777,"")</f>
        <v>-10.384999999999998</v>
      </c>
      <c r="AL777" s="11">
        <f>IF(AND(ISNUMBER(AK777),ISNUMBER(V777)),IF(V777&lt;&gt;0,AK777/ABS(V777),""),"")</f>
        <v>-0.43343071786310505</v>
      </c>
      <c r="AM777" s="8">
        <f>IF(ISNUMBER(AK777),IF(AK777&gt;1,1,0),"")</f>
        <v>0</v>
      </c>
      <c r="AN777" s="8">
        <f>IF(ISNUMBER(AK777),IF(AK777&gt;0.05*ABS(V777),1,0),"")</f>
        <v>0</v>
      </c>
      <c r="AO777" s="10">
        <v>-28.302</v>
      </c>
      <c r="AP777" s="10">
        <v>28.302</v>
      </c>
      <c r="AQ777" s="8" t="s">
        <v>204</v>
      </c>
      <c r="AR777" s="8">
        <v>0</v>
      </c>
      <c r="AS777" s="10">
        <v>-938.726</v>
      </c>
      <c r="AT777" s="10">
        <v>-1111.5039999999999</v>
      </c>
      <c r="AU777" s="8" t="s">
        <v>204</v>
      </c>
      <c r="AV777" s="10">
        <v>13.295</v>
      </c>
      <c r="AW777" s="11">
        <f>IF(AND(ISNUMBER(AV777),ISNUMBER(AT777)),IF(AT777&lt;&gt;0,AV777/ABS(AT777),""),"")</f>
        <v>1.1961270494753056E-2</v>
      </c>
      <c r="AX777" s="8">
        <v>0</v>
      </c>
      <c r="AY777" s="8">
        <v>0</v>
      </c>
      <c r="AZ777" s="10"/>
      <c r="BA777" s="8">
        <v>0</v>
      </c>
    </row>
    <row r="778" spans="1:53" x14ac:dyDescent="0.2">
      <c r="A778" s="8" t="s">
        <v>385</v>
      </c>
      <c r="B778" s="8" t="s">
        <v>83</v>
      </c>
      <c r="C778" s="8" t="s">
        <v>290</v>
      </c>
      <c r="D778" s="8">
        <v>1</v>
      </c>
      <c r="E778" s="8">
        <v>0</v>
      </c>
      <c r="F778" s="8">
        <f>SUM(G778:M778)</f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1</v>
      </c>
      <c r="Q778" s="8">
        <v>0</v>
      </c>
      <c r="R778" s="8">
        <v>0</v>
      </c>
      <c r="S778" s="8">
        <v>1</v>
      </c>
      <c r="T778" s="10">
        <v>-76.73</v>
      </c>
      <c r="U778" s="10"/>
      <c r="V778" s="10"/>
      <c r="W778" s="10">
        <f>IF(RIGHT(C778,2)="12",IF(ISNUMBER(T778),T778,""),IF(COUNT(T778,U778,V778)=3,T778+U778-V778,""))</f>
        <v>-76.73</v>
      </c>
      <c r="X778" s="10">
        <v>-76.73</v>
      </c>
      <c r="Y778" s="10">
        <v>-55.146000000000001</v>
      </c>
      <c r="Z778" s="10">
        <v>-132.98699999999999</v>
      </c>
      <c r="AA778" s="10">
        <v>-13.175000000000001</v>
      </c>
      <c r="AB778" s="10">
        <v>124.578</v>
      </c>
      <c r="AC778" s="8">
        <v>0</v>
      </c>
      <c r="AD778" s="8">
        <v>0</v>
      </c>
      <c r="AE778" s="8">
        <v>0</v>
      </c>
      <c r="AF778" s="10">
        <v>0</v>
      </c>
      <c r="AG778" s="8">
        <f>COUNTIF(Y778:AB778,"&gt;0")</f>
        <v>1</v>
      </c>
      <c r="AH778" s="10">
        <v>124.578</v>
      </c>
      <c r="AI778" s="10">
        <v>0</v>
      </c>
      <c r="AJ778" s="8" t="str">
        <f>IF(ISNUMBER(X778),IF(X778&gt;0,"+",IF(X778&lt;0,"−","0")),IF(ISNUMBER(W778),IF(W778&gt;0,"+",IF(W778&lt;0,"−","0")),"yok"))</f>
        <v>−</v>
      </c>
      <c r="AK778" s="10" t="str">
        <f>IF(AND(RIGHT(C778,2)&lt;&gt;"12",ISNUMBER(U778),ISNUMBER(V778)),U778-V778,"")</f>
        <v/>
      </c>
      <c r="AL778" s="11" t="str">
        <f>IF(AND(ISNUMBER(AK778),ISNUMBER(V778)),IF(V778&lt;&gt;0,AK778/ABS(V778),""),"")</f>
        <v/>
      </c>
      <c r="AM778" s="8" t="str">
        <f>IF(ISNUMBER(AK778),IF(AK778&gt;1,1,0),"")</f>
        <v/>
      </c>
      <c r="AN778" s="8" t="str">
        <f>IF(ISNUMBER(AK778),IF(AK778&gt;0.05*ABS(V778),1,0),"")</f>
        <v/>
      </c>
      <c r="AO778" s="10">
        <v>-76.730999999999995</v>
      </c>
      <c r="AP778" s="10">
        <v>76.730999999999995</v>
      </c>
      <c r="AQ778" s="8" t="s">
        <v>204</v>
      </c>
      <c r="AR778" s="8">
        <v>0</v>
      </c>
      <c r="AS778" s="10">
        <v>455.55900000000003</v>
      </c>
      <c r="AT778" s="10">
        <v>378.82799999999997</v>
      </c>
      <c r="AU778" s="8" t="s">
        <v>204</v>
      </c>
      <c r="AV778" s="10">
        <v>124.578</v>
      </c>
      <c r="AW778" s="11">
        <f>IF(AND(ISNUMBER(AV778),ISNUMBER(AT778)),IF(AT778&lt;&gt;0,AV778/ABS(AT778),""),"")</f>
        <v>0.32885108809274927</v>
      </c>
      <c r="AX778" s="8">
        <v>0</v>
      </c>
      <c r="AY778" s="8">
        <v>0</v>
      </c>
      <c r="AZ778" s="10"/>
      <c r="BA778" s="8">
        <v>0</v>
      </c>
    </row>
    <row r="779" spans="1:53" x14ac:dyDescent="0.2">
      <c r="A779" s="8" t="s">
        <v>386</v>
      </c>
      <c r="B779" s="8" t="s">
        <v>82</v>
      </c>
      <c r="C779" s="8" t="s">
        <v>203</v>
      </c>
      <c r="D779" s="8">
        <v>1</v>
      </c>
      <c r="E779" s="8">
        <v>0</v>
      </c>
      <c r="F779" s="8">
        <f>SUM(G779:M779)</f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1</v>
      </c>
      <c r="Q779" s="8">
        <v>0</v>
      </c>
      <c r="R779" s="8">
        <v>1</v>
      </c>
      <c r="S779" s="8">
        <v>0</v>
      </c>
      <c r="T779" s="10">
        <v>-170.49299999999999</v>
      </c>
      <c r="U779" s="10">
        <v>-34.540999999999997</v>
      </c>
      <c r="V779" s="10">
        <v>0</v>
      </c>
      <c r="W779" s="10">
        <f>IF(RIGHT(C779,2)="12",IF(ISNUMBER(T779),T779,""),IF(COUNT(T779,U779,V779)=3,T779+U779-V779,""))</f>
        <v>-205.03399999999999</v>
      </c>
      <c r="X779" s="10">
        <v>-205.035</v>
      </c>
      <c r="Y779" s="10">
        <v>-38.375</v>
      </c>
      <c r="Z779" s="10">
        <v>-12.666</v>
      </c>
      <c r="AA779" s="10">
        <v>16.5</v>
      </c>
      <c r="AB779" s="10">
        <v>-170.49299999999999</v>
      </c>
      <c r="AC779" s="8">
        <v>0</v>
      </c>
      <c r="AD779" s="8">
        <v>0</v>
      </c>
      <c r="AE779" s="8">
        <v>0</v>
      </c>
      <c r="AF779" s="10">
        <v>0</v>
      </c>
      <c r="AG779" s="8">
        <f>COUNTIF(Y779:AB779,"&gt;0")</f>
        <v>1</v>
      </c>
      <c r="AH779" s="10">
        <v>0</v>
      </c>
      <c r="AI779" s="10">
        <v>16.5</v>
      </c>
      <c r="AJ779" s="8" t="str">
        <f>IF(ISNUMBER(X779),IF(X779&gt;0,"+",IF(X779&lt;0,"−","0")),IF(ISNUMBER(W779),IF(W779&gt;0,"+",IF(W779&lt;0,"−","0")),"yok"))</f>
        <v>−</v>
      </c>
      <c r="AK779" s="10">
        <f>IF(AND(RIGHT(C779,2)&lt;&gt;"12",ISNUMBER(U779),ISNUMBER(V779)),U779-V779,"")</f>
        <v>-34.540999999999997</v>
      </c>
      <c r="AL779" s="11" t="str">
        <f>IF(AND(ISNUMBER(AK779),ISNUMBER(V779)),IF(V779&lt;&gt;0,AK779/ABS(V779),""),"")</f>
        <v/>
      </c>
      <c r="AM779" s="8">
        <f>IF(ISNUMBER(AK779),IF(AK779&gt;1,1,0),"")</f>
        <v>0</v>
      </c>
      <c r="AN779" s="8">
        <f>IF(ISNUMBER(AK779),IF(AK779&gt;0.05*ABS(V779),1,0),"")</f>
        <v>0</v>
      </c>
      <c r="AO779" s="10">
        <v>-205.035</v>
      </c>
      <c r="AP779" s="10">
        <v>205.035</v>
      </c>
      <c r="AQ779" s="8" t="s">
        <v>204</v>
      </c>
      <c r="AR779" s="8">
        <v>0</v>
      </c>
      <c r="AS779" s="10">
        <v>465.59199999999998</v>
      </c>
      <c r="AT779" s="10">
        <v>-359.74099999999999</v>
      </c>
      <c r="AU779" s="8" t="s">
        <v>204</v>
      </c>
      <c r="AV779" s="10">
        <v>16.5</v>
      </c>
      <c r="AW779" s="11">
        <f>IF(AND(ISNUMBER(AV779),ISNUMBER(AT779)),IF(AT779&lt;&gt;0,AV779/ABS(AT779),""),"")</f>
        <v>4.586633161079777E-2</v>
      </c>
      <c r="AX779" s="8">
        <v>0</v>
      </c>
      <c r="AY779" s="8">
        <v>0</v>
      </c>
      <c r="AZ779" s="10"/>
      <c r="BA779" s="8">
        <v>0</v>
      </c>
    </row>
    <row r="780" spans="1:53" x14ac:dyDescent="0.2">
      <c r="A780" s="8" t="s">
        <v>386</v>
      </c>
      <c r="B780" s="8" t="s">
        <v>82</v>
      </c>
      <c r="C780" s="8" t="s">
        <v>290</v>
      </c>
      <c r="D780" s="8">
        <v>1</v>
      </c>
      <c r="E780" s="8">
        <v>0</v>
      </c>
      <c r="F780" s="8">
        <f>SUM(G780:M780)</f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1</v>
      </c>
      <c r="Q780" s="8">
        <v>0</v>
      </c>
      <c r="R780" s="8">
        <v>0</v>
      </c>
      <c r="S780" s="8">
        <v>1</v>
      </c>
      <c r="T780" s="10">
        <v>-55.703000000000003</v>
      </c>
      <c r="U780" s="10"/>
      <c r="V780" s="10"/>
      <c r="W780" s="10">
        <f>IF(RIGHT(C780,2)="12",IF(ISNUMBER(T780),T780,""),IF(COUNT(T780,U780,V780)=3,T780+U780-V780,""))</f>
        <v>-55.703000000000003</v>
      </c>
      <c r="X780" s="10">
        <v>-55.703000000000003</v>
      </c>
      <c r="Y780" s="10">
        <v>-170.49299999999999</v>
      </c>
      <c r="Z780" s="10">
        <v>-21.466999999999999</v>
      </c>
      <c r="AA780" s="10">
        <v>-126.28100000000001</v>
      </c>
      <c r="AB780" s="10">
        <v>262.53800000000001</v>
      </c>
      <c r="AC780" s="8">
        <v>0</v>
      </c>
      <c r="AD780" s="8">
        <v>0</v>
      </c>
      <c r="AE780" s="8">
        <v>0</v>
      </c>
      <c r="AF780" s="10">
        <v>0</v>
      </c>
      <c r="AG780" s="8">
        <f>COUNTIF(Y780:AB780,"&gt;0")</f>
        <v>1</v>
      </c>
      <c r="AH780" s="10">
        <v>262.53800000000001</v>
      </c>
      <c r="AI780" s="10">
        <v>0</v>
      </c>
      <c r="AJ780" s="8" t="str">
        <f>IF(ISNUMBER(X780),IF(X780&gt;0,"+",IF(X780&lt;0,"−","0")),IF(ISNUMBER(W780),IF(W780&gt;0,"+",IF(W780&lt;0,"−","0")),"yok"))</f>
        <v>−</v>
      </c>
      <c r="AK780" s="10" t="str">
        <f>IF(AND(RIGHT(C780,2)&lt;&gt;"12",ISNUMBER(U780),ISNUMBER(V780)),U780-V780,"")</f>
        <v/>
      </c>
      <c r="AL780" s="11" t="str">
        <f>IF(AND(ISNUMBER(AK780),ISNUMBER(V780)),IF(V780&lt;&gt;0,AK780/ABS(V780),""),"")</f>
        <v/>
      </c>
      <c r="AM780" s="8" t="str">
        <f>IF(ISNUMBER(AK780),IF(AK780&gt;1,1,0),"")</f>
        <v/>
      </c>
      <c r="AN780" s="8" t="str">
        <f>IF(ISNUMBER(AK780),IF(AK780&gt;0.05*ABS(V780),1,0),"")</f>
        <v/>
      </c>
      <c r="AO780" s="10">
        <v>-55.704000000000001</v>
      </c>
      <c r="AP780" s="10">
        <v>55.704000000000001</v>
      </c>
      <c r="AQ780" s="8" t="s">
        <v>204</v>
      </c>
      <c r="AR780" s="8">
        <v>0</v>
      </c>
      <c r="AS780" s="10">
        <v>59.71</v>
      </c>
      <c r="AT780" s="10">
        <v>-135.90199999999999</v>
      </c>
      <c r="AU780" s="8" t="s">
        <v>204</v>
      </c>
      <c r="AV780" s="10">
        <v>262.53800000000001</v>
      </c>
      <c r="AW780" s="11">
        <f>IF(AND(ISNUMBER(AV780),ISNUMBER(AT780)),IF(AT780&lt;&gt;0,AV780/ABS(AT780),""),"")</f>
        <v>1.9318185162837931</v>
      </c>
      <c r="AX780" s="8">
        <v>0</v>
      </c>
      <c r="AY780" s="8">
        <v>0</v>
      </c>
      <c r="AZ780" s="10"/>
      <c r="BA780" s="8">
        <v>0</v>
      </c>
    </row>
    <row r="781" spans="1:53" x14ac:dyDescent="0.2">
      <c r="A781" s="8" t="s">
        <v>386</v>
      </c>
      <c r="B781" s="8" t="s">
        <v>83</v>
      </c>
      <c r="C781" s="8" t="s">
        <v>205</v>
      </c>
      <c r="D781" s="8">
        <v>1</v>
      </c>
      <c r="E781" s="8">
        <v>0</v>
      </c>
      <c r="F781" s="8">
        <f>SUM(G781:M781)</f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1</v>
      </c>
      <c r="Q781" s="8">
        <v>0</v>
      </c>
      <c r="R781" s="8">
        <v>0</v>
      </c>
      <c r="S781" s="8">
        <v>1</v>
      </c>
      <c r="T781" s="10">
        <v>-82.100999999999999</v>
      </c>
      <c r="U781" s="10">
        <v>-571.64700000000005</v>
      </c>
      <c r="V781" s="10">
        <v>-41.485999999999997</v>
      </c>
      <c r="W781" s="10">
        <f>IF(RIGHT(C781,2)="12",IF(ISNUMBER(T781),T781,""),IF(COUNT(T781,U781,V781)=3,T781+U781-V781,""))</f>
        <v>-612.26200000000006</v>
      </c>
      <c r="X781" s="10">
        <v>-612.26199999999994</v>
      </c>
      <c r="Y781" s="10">
        <v>-19.067</v>
      </c>
      <c r="Z781" s="10">
        <v>-511.09300000000002</v>
      </c>
      <c r="AA781" s="10">
        <v>-93.905000000000001</v>
      </c>
      <c r="AB781" s="10">
        <v>11.804</v>
      </c>
      <c r="AC781" s="8">
        <v>0</v>
      </c>
      <c r="AD781" s="8">
        <v>0</v>
      </c>
      <c r="AE781" s="8">
        <v>0</v>
      </c>
      <c r="AF781" s="10">
        <v>0</v>
      </c>
      <c r="AG781" s="8">
        <f>COUNTIF(Y781:AB781,"&gt;0")</f>
        <v>1</v>
      </c>
      <c r="AH781" s="10">
        <v>11.804</v>
      </c>
      <c r="AI781" s="10">
        <v>0</v>
      </c>
      <c r="AJ781" s="8" t="str">
        <f>IF(ISNUMBER(X781),IF(X781&gt;0,"+",IF(X781&lt;0,"−","0")),IF(ISNUMBER(W781),IF(W781&gt;0,"+",IF(W781&lt;0,"−","0")),"yok"))</f>
        <v>−</v>
      </c>
      <c r="AK781" s="10">
        <f>IF(AND(RIGHT(C781,2)&lt;&gt;"12",ISNUMBER(U781),ISNUMBER(V781)),U781-V781,"")</f>
        <v>-530.16100000000006</v>
      </c>
      <c r="AL781" s="11">
        <f>IF(AND(ISNUMBER(AK781),ISNUMBER(V781)),IF(V781&lt;&gt;0,AK781/ABS(V781),""),"")</f>
        <v>-12.779274936123032</v>
      </c>
      <c r="AM781" s="8">
        <f>IF(ISNUMBER(AK781),IF(AK781&gt;1,1,0),"")</f>
        <v>0</v>
      </c>
      <c r="AN781" s="8">
        <f>IF(ISNUMBER(AK781),IF(AK781&gt;0.05*ABS(V781),1,0),"")</f>
        <v>0</v>
      </c>
      <c r="AO781" s="10">
        <v>-612.26199999999994</v>
      </c>
      <c r="AP781" s="10">
        <v>612.26199999999994</v>
      </c>
      <c r="AQ781" s="8" t="s">
        <v>204</v>
      </c>
      <c r="AR781" s="8">
        <v>0</v>
      </c>
      <c r="AS781" s="10">
        <v>531.625</v>
      </c>
      <c r="AT781" s="10">
        <v>-268.76299999999998</v>
      </c>
      <c r="AU781" s="8" t="s">
        <v>204</v>
      </c>
      <c r="AV781" s="10">
        <v>11.804</v>
      </c>
      <c r="AW781" s="11">
        <f>IF(AND(ISNUMBER(AV781),ISNUMBER(AT781)),IF(AT781&lt;&gt;0,AV781/ABS(AT781),""),"")</f>
        <v>4.3919735975562119E-2</v>
      </c>
      <c r="AX781" s="8">
        <v>0</v>
      </c>
      <c r="AY781" s="8">
        <v>0</v>
      </c>
      <c r="AZ781" s="10"/>
      <c r="BA781" s="8">
        <v>0</v>
      </c>
    </row>
    <row r="782" spans="1:53" x14ac:dyDescent="0.2">
      <c r="A782" s="8" t="s">
        <v>386</v>
      </c>
      <c r="B782" s="8" t="s">
        <v>83</v>
      </c>
      <c r="C782" s="8" t="s">
        <v>215</v>
      </c>
      <c r="D782" s="8">
        <v>1</v>
      </c>
      <c r="E782" s="8">
        <v>0</v>
      </c>
      <c r="F782" s="8">
        <f>SUM(G782:M782)</f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1</v>
      </c>
      <c r="Q782" s="8">
        <v>0</v>
      </c>
      <c r="R782" s="8">
        <v>0</v>
      </c>
      <c r="S782" s="8">
        <v>1</v>
      </c>
      <c r="T782" s="10">
        <v>-269.50400000000002</v>
      </c>
      <c r="U782" s="10">
        <v>-571.64700000000005</v>
      </c>
      <c r="V782" s="10">
        <v>-60.554000000000002</v>
      </c>
      <c r="W782" s="10">
        <f>IF(RIGHT(C782,2)="12",IF(ISNUMBER(T782),T782,""),IF(COUNT(T782,U782,V782)=3,T782+U782-V782,""))</f>
        <v>-780.59700000000009</v>
      </c>
      <c r="X782" s="10">
        <v>-780.59699999999998</v>
      </c>
      <c r="Y782" s="10">
        <v>-511.09300000000002</v>
      </c>
      <c r="Z782" s="10">
        <v>-93.905000000000001</v>
      </c>
      <c r="AA782" s="10">
        <v>11.804</v>
      </c>
      <c r="AB782" s="10">
        <v>-187.40299999999999</v>
      </c>
      <c r="AC782" s="8">
        <v>0</v>
      </c>
      <c r="AD782" s="8">
        <v>0</v>
      </c>
      <c r="AE782" s="8">
        <v>0</v>
      </c>
      <c r="AF782" s="10">
        <v>0</v>
      </c>
      <c r="AG782" s="8">
        <f>COUNTIF(Y782:AB782,"&gt;0")</f>
        <v>1</v>
      </c>
      <c r="AH782" s="10">
        <v>11.804</v>
      </c>
      <c r="AI782" s="10">
        <v>0</v>
      </c>
      <c r="AJ782" s="8" t="str">
        <f>IF(ISNUMBER(X782),IF(X782&gt;0,"+",IF(X782&lt;0,"−","0")),IF(ISNUMBER(W782),IF(W782&gt;0,"+",IF(W782&lt;0,"−","0")),"yok"))</f>
        <v>−</v>
      </c>
      <c r="AK782" s="10">
        <f>IF(AND(RIGHT(C782,2)&lt;&gt;"12",ISNUMBER(U782),ISNUMBER(V782)),U782-V782,"")</f>
        <v>-511.09300000000007</v>
      </c>
      <c r="AL782" s="11">
        <f>IF(AND(ISNUMBER(AK782),ISNUMBER(V782)),IF(V782&lt;&gt;0,AK782/ABS(V782),""),"")</f>
        <v>-8.4402847045612184</v>
      </c>
      <c r="AM782" s="8">
        <f>IF(ISNUMBER(AK782),IF(AK782&gt;1,1,0),"")</f>
        <v>0</v>
      </c>
      <c r="AN782" s="8">
        <f>IF(ISNUMBER(AK782),IF(AK782&gt;0.05*ABS(V782),1,0),"")</f>
        <v>0</v>
      </c>
      <c r="AO782" s="10">
        <v>-780.59799999999996</v>
      </c>
      <c r="AP782" s="10">
        <v>780.59799999999996</v>
      </c>
      <c r="AQ782" s="8" t="s">
        <v>204</v>
      </c>
      <c r="AR782" s="8">
        <v>0</v>
      </c>
      <c r="AS782" s="10">
        <v>577.86099999999999</v>
      </c>
      <c r="AT782" s="10">
        <v>-504.47800000000001</v>
      </c>
      <c r="AU782" s="8" t="s">
        <v>204</v>
      </c>
      <c r="AV782" s="10">
        <v>11.804</v>
      </c>
      <c r="AW782" s="11">
        <f>IF(AND(ISNUMBER(AV782),ISNUMBER(AT782)),IF(AT782&lt;&gt;0,AV782/ABS(AT782),""),"")</f>
        <v>2.3398443539658816E-2</v>
      </c>
      <c r="AX782" s="8">
        <v>0</v>
      </c>
      <c r="AY782" s="8">
        <v>0</v>
      </c>
      <c r="AZ782" s="10"/>
      <c r="BA782" s="8">
        <v>0</v>
      </c>
    </row>
    <row r="783" spans="1:53" x14ac:dyDescent="0.2">
      <c r="A783" s="8" t="s">
        <v>386</v>
      </c>
      <c r="B783" s="8" t="s">
        <v>83</v>
      </c>
      <c r="C783" s="8" t="s">
        <v>290</v>
      </c>
      <c r="D783" s="8">
        <v>1</v>
      </c>
      <c r="E783" s="8">
        <v>0</v>
      </c>
      <c r="F783" s="8">
        <f>SUM(G783:M783)</f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1</v>
      </c>
      <c r="Q783" s="8">
        <v>0</v>
      </c>
      <c r="R783" s="8">
        <v>0</v>
      </c>
      <c r="S783" s="8">
        <v>1</v>
      </c>
      <c r="T783" s="10">
        <v>-139.90799999999999</v>
      </c>
      <c r="U783" s="10"/>
      <c r="V783" s="10"/>
      <c r="W783" s="10">
        <f>IF(RIGHT(C783,2)="12",IF(ISNUMBER(T783),T783,""),IF(COUNT(T783,U783,V783)=3,T783+U783-V783,""))</f>
        <v>-139.90799999999999</v>
      </c>
      <c r="X783" s="10">
        <v>-139.90799999999999</v>
      </c>
      <c r="Y783" s="10">
        <v>-93.905000000000001</v>
      </c>
      <c r="Z783" s="10">
        <v>11.804</v>
      </c>
      <c r="AA783" s="10">
        <v>-187.40299999999999</v>
      </c>
      <c r="AB783" s="10">
        <v>129.596</v>
      </c>
      <c r="AC783" s="8">
        <v>0</v>
      </c>
      <c r="AD783" s="8">
        <v>0</v>
      </c>
      <c r="AE783" s="8">
        <v>0</v>
      </c>
      <c r="AF783" s="10">
        <v>0</v>
      </c>
      <c r="AG783" s="8">
        <f>COUNTIF(Y783:AB783,"&gt;0")</f>
        <v>2</v>
      </c>
      <c r="AH783" s="10">
        <v>141.4</v>
      </c>
      <c r="AI783" s="10">
        <v>0</v>
      </c>
      <c r="AJ783" s="8" t="str">
        <f>IF(ISNUMBER(X783),IF(X783&gt;0,"+",IF(X783&lt;0,"−","0")),IF(ISNUMBER(W783),IF(W783&gt;0,"+",IF(W783&lt;0,"−","0")),"yok"))</f>
        <v>−</v>
      </c>
      <c r="AK783" s="10" t="str">
        <f>IF(AND(RIGHT(C783,2)&lt;&gt;"12",ISNUMBER(U783),ISNUMBER(V783)),U783-V783,"")</f>
        <v/>
      </c>
      <c r="AL783" s="11" t="str">
        <f>IF(AND(ISNUMBER(AK783),ISNUMBER(V783)),IF(V783&lt;&gt;0,AK783/ABS(V783),""),"")</f>
        <v/>
      </c>
      <c r="AM783" s="8" t="str">
        <f>IF(ISNUMBER(AK783),IF(AK783&gt;1,1,0),"")</f>
        <v/>
      </c>
      <c r="AN783" s="8" t="str">
        <f>IF(ISNUMBER(AK783),IF(AK783&gt;0.05*ABS(V783),1,0),"")</f>
        <v/>
      </c>
      <c r="AO783" s="10">
        <v>-139.90799999999999</v>
      </c>
      <c r="AP783" s="10">
        <v>139.90799999999999</v>
      </c>
      <c r="AQ783" s="8" t="s">
        <v>204</v>
      </c>
      <c r="AR783" s="8">
        <v>0</v>
      </c>
      <c r="AS783" s="10">
        <v>59.71</v>
      </c>
      <c r="AT783" s="10">
        <v>-135.90199999999999</v>
      </c>
      <c r="AU783" s="8" t="s">
        <v>204</v>
      </c>
      <c r="AV783" s="10">
        <v>129.596</v>
      </c>
      <c r="AW783" s="11">
        <f>IF(AND(ISNUMBER(AV783),ISNUMBER(AT783)),IF(AT783&lt;&gt;0,AV783/ABS(AT783),""),"")</f>
        <v>0.95359891686656573</v>
      </c>
      <c r="AX783" s="8">
        <v>0</v>
      </c>
      <c r="AY783" s="8">
        <v>0</v>
      </c>
      <c r="AZ783" s="10"/>
      <c r="BA783" s="8">
        <v>0</v>
      </c>
    </row>
    <row r="784" spans="1:53" x14ac:dyDescent="0.2">
      <c r="A784" s="8" t="s">
        <v>388</v>
      </c>
      <c r="B784" s="8" t="s">
        <v>83</v>
      </c>
      <c r="C784" s="8" t="s">
        <v>215</v>
      </c>
      <c r="D784" s="8">
        <v>1</v>
      </c>
      <c r="E784" s="8">
        <v>0</v>
      </c>
      <c r="F784" s="8">
        <f>SUM(G784:M784)</f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1</v>
      </c>
      <c r="Q784" s="8">
        <v>0</v>
      </c>
      <c r="R784" s="8">
        <v>0</v>
      </c>
      <c r="S784" s="8">
        <v>1</v>
      </c>
      <c r="T784" s="10">
        <v>-44.761000000000003</v>
      </c>
      <c r="U784" s="10">
        <v>-10.199999999999999</v>
      </c>
      <c r="V784" s="10">
        <v>-5.88</v>
      </c>
      <c r="W784" s="10">
        <f>IF(RIGHT(C784,2)="12",IF(ISNUMBER(T784),T784,""),IF(COUNT(T784,U784,V784)=3,T784+U784-V784,""))</f>
        <v>-49.080999999999996</v>
      </c>
      <c r="X784" s="10">
        <v>-49.081000000000003</v>
      </c>
      <c r="Y784" s="10">
        <v>-4.32</v>
      </c>
      <c r="Z784" s="10">
        <v>-0.501</v>
      </c>
      <c r="AA784" s="10">
        <v>-46.777999999999999</v>
      </c>
      <c r="AB784" s="10">
        <v>2.5179999999999998</v>
      </c>
      <c r="AC784" s="8">
        <v>0</v>
      </c>
      <c r="AD784" s="8">
        <v>0</v>
      </c>
      <c r="AE784" s="8">
        <v>0</v>
      </c>
      <c r="AF784" s="10">
        <v>0</v>
      </c>
      <c r="AG784" s="8">
        <f>COUNTIF(Y784:AB784,"&gt;0")</f>
        <v>1</v>
      </c>
      <c r="AH784" s="10">
        <v>2.5179999999999998</v>
      </c>
      <c r="AI784" s="10">
        <v>0</v>
      </c>
      <c r="AJ784" s="8" t="str">
        <f>IF(ISNUMBER(X784),IF(X784&gt;0,"+",IF(X784&lt;0,"−","0")),IF(ISNUMBER(W784),IF(W784&gt;0,"+",IF(W784&lt;0,"−","0")),"yok"))</f>
        <v>−</v>
      </c>
      <c r="AK784" s="10">
        <f>IF(AND(RIGHT(C784,2)&lt;&gt;"12",ISNUMBER(U784),ISNUMBER(V784)),U784-V784,"")</f>
        <v>-4.3199999999999994</v>
      </c>
      <c r="AL784" s="11">
        <f>IF(AND(ISNUMBER(AK784),ISNUMBER(V784)),IF(V784&lt;&gt;0,AK784/ABS(V784),""),"")</f>
        <v>-0.73469387755102034</v>
      </c>
      <c r="AM784" s="8">
        <f>IF(ISNUMBER(AK784),IF(AK784&gt;1,1,0),"")</f>
        <v>0</v>
      </c>
      <c r="AN784" s="8">
        <f>IF(ISNUMBER(AK784),IF(AK784&gt;0.05*ABS(V784),1,0),"")</f>
        <v>0</v>
      </c>
      <c r="AO784" s="10">
        <v>-49.081000000000003</v>
      </c>
      <c r="AP784" s="10">
        <v>49.081000000000003</v>
      </c>
      <c r="AQ784" s="8" t="s">
        <v>204</v>
      </c>
      <c r="AR784" s="8">
        <v>0</v>
      </c>
      <c r="AS784" s="10">
        <v>-237.32400000000001</v>
      </c>
      <c r="AT784" s="10">
        <v>-286.40499999999997</v>
      </c>
      <c r="AU784" s="8" t="s">
        <v>204</v>
      </c>
      <c r="AV784" s="10">
        <v>2.5179999999999998</v>
      </c>
      <c r="AW784" s="11">
        <f>IF(AND(ISNUMBER(AV784),ISNUMBER(AT784)),IF(AT784&lt;&gt;0,AV784/ABS(AT784),""),"")</f>
        <v>8.7917459541558291E-3</v>
      </c>
      <c r="AX784" s="8">
        <v>0</v>
      </c>
      <c r="AY784" s="8">
        <v>0</v>
      </c>
      <c r="AZ784" s="10"/>
      <c r="BA784" s="8">
        <v>0</v>
      </c>
    </row>
    <row r="785" spans="1:53" x14ac:dyDescent="0.2">
      <c r="A785" s="8" t="s">
        <v>388</v>
      </c>
      <c r="B785" s="8" t="s">
        <v>83</v>
      </c>
      <c r="C785" s="8" t="s">
        <v>290</v>
      </c>
      <c r="D785" s="8">
        <v>1</v>
      </c>
      <c r="E785" s="8">
        <v>0</v>
      </c>
      <c r="F785" s="8">
        <f>SUM(G785:M785)</f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1</v>
      </c>
      <c r="Q785" s="8">
        <v>0</v>
      </c>
      <c r="R785" s="8">
        <v>0</v>
      </c>
      <c r="S785" s="8">
        <v>1</v>
      </c>
      <c r="T785" s="10">
        <v>-13.000999999999999</v>
      </c>
      <c r="U785" s="10"/>
      <c r="V785" s="10"/>
      <c r="W785" s="10">
        <f>IF(RIGHT(C785,2)="12",IF(ISNUMBER(T785),T785,""),IF(COUNT(T785,U785,V785)=3,T785+U785-V785,""))</f>
        <v>-13.000999999999999</v>
      </c>
      <c r="X785" s="10">
        <v>-13.000999999999999</v>
      </c>
      <c r="Y785" s="10">
        <v>-0.501</v>
      </c>
      <c r="Z785" s="10">
        <v>-46.777999999999999</v>
      </c>
      <c r="AA785" s="10">
        <v>2.5179999999999998</v>
      </c>
      <c r="AB785" s="10">
        <v>31.76</v>
      </c>
      <c r="AC785" s="8">
        <v>0</v>
      </c>
      <c r="AD785" s="8">
        <v>0</v>
      </c>
      <c r="AE785" s="8">
        <v>0</v>
      </c>
      <c r="AF785" s="10">
        <v>0</v>
      </c>
      <c r="AG785" s="8">
        <f>COUNTIF(Y785:AB785,"&gt;0")</f>
        <v>2</v>
      </c>
      <c r="AH785" s="10">
        <v>34.277999999999999</v>
      </c>
      <c r="AI785" s="10">
        <v>0</v>
      </c>
      <c r="AJ785" s="8" t="str">
        <f>IF(ISNUMBER(X785),IF(X785&gt;0,"+",IF(X785&lt;0,"−","0")),IF(ISNUMBER(W785),IF(W785&gt;0,"+",IF(W785&lt;0,"−","0")),"yok"))</f>
        <v>−</v>
      </c>
      <c r="AK785" s="10" t="str">
        <f>IF(AND(RIGHT(C785,2)&lt;&gt;"12",ISNUMBER(U785),ISNUMBER(V785)),U785-V785,"")</f>
        <v/>
      </c>
      <c r="AL785" s="11" t="str">
        <f>IF(AND(ISNUMBER(AK785),ISNUMBER(V785)),IF(V785&lt;&gt;0,AK785/ABS(V785),""),"")</f>
        <v/>
      </c>
      <c r="AM785" s="8" t="str">
        <f>IF(ISNUMBER(AK785),IF(AK785&gt;1,1,0),"")</f>
        <v/>
      </c>
      <c r="AN785" s="8" t="str">
        <f>IF(ISNUMBER(AK785),IF(AK785&gt;0.05*ABS(V785),1,0),"")</f>
        <v/>
      </c>
      <c r="AO785" s="10">
        <v>-13.000999999999999</v>
      </c>
      <c r="AP785" s="10">
        <v>13.000999999999999</v>
      </c>
      <c r="AQ785" s="8" t="s">
        <v>204</v>
      </c>
      <c r="AR785" s="8">
        <v>0</v>
      </c>
      <c r="AS785" s="10">
        <v>-229.762</v>
      </c>
      <c r="AT785" s="10">
        <v>-242.76300000000001</v>
      </c>
      <c r="AU785" s="8" t="s">
        <v>204</v>
      </c>
      <c r="AV785" s="10">
        <v>31.76</v>
      </c>
      <c r="AW785" s="11">
        <f>IF(AND(ISNUMBER(AV785),ISNUMBER(AT785)),IF(AT785&lt;&gt;0,AV785/ABS(AT785),""),"")</f>
        <v>0.13082718536185498</v>
      </c>
      <c r="AX785" s="8">
        <v>0</v>
      </c>
      <c r="AY785" s="8">
        <v>0</v>
      </c>
      <c r="AZ785" s="10"/>
      <c r="BA785" s="8">
        <v>0</v>
      </c>
    </row>
    <row r="786" spans="1:53" x14ac:dyDescent="0.2">
      <c r="A786" s="8" t="s">
        <v>603</v>
      </c>
      <c r="B786" s="8" t="s">
        <v>82</v>
      </c>
      <c r="C786" s="8" t="s">
        <v>205</v>
      </c>
      <c r="D786" s="8">
        <v>1</v>
      </c>
      <c r="E786" s="8">
        <v>0</v>
      </c>
      <c r="F786" s="8">
        <f>SUM(G786:M786)</f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1</v>
      </c>
      <c r="Q786" s="8">
        <v>0</v>
      </c>
      <c r="R786" s="8">
        <v>0</v>
      </c>
      <c r="S786" s="8">
        <v>1</v>
      </c>
      <c r="T786" s="10">
        <v>-4.6029999999999998</v>
      </c>
      <c r="U786" s="10">
        <v>-7.5570000000000004</v>
      </c>
      <c r="V786" s="10">
        <v>-3.2050000000000001</v>
      </c>
      <c r="W786" s="10">
        <f>IF(RIGHT(C786,2)="12",IF(ISNUMBER(T786),T786,""),IF(COUNT(T786,U786,V786)=3,T786+U786-V786,""))</f>
        <v>-8.9550000000000001</v>
      </c>
      <c r="X786" s="10">
        <v>-8.9550000000000001</v>
      </c>
      <c r="Y786" s="10">
        <v>-2.2200000000000002</v>
      </c>
      <c r="Z786" s="10">
        <v>-2.1309999999999998</v>
      </c>
      <c r="AA786" s="10">
        <v>-5.81</v>
      </c>
      <c r="AB786" s="10">
        <v>1.2070000000000001</v>
      </c>
      <c r="AC786" s="8">
        <v>0</v>
      </c>
      <c r="AD786" s="8">
        <v>0</v>
      </c>
      <c r="AE786" s="8">
        <v>0</v>
      </c>
      <c r="AF786" s="10">
        <v>0</v>
      </c>
      <c r="AG786" s="8">
        <f>COUNTIF(Y786:AB786,"&gt;0")</f>
        <v>1</v>
      </c>
      <c r="AH786" s="10">
        <v>1.2070000000000001</v>
      </c>
      <c r="AI786" s="10">
        <v>0</v>
      </c>
      <c r="AJ786" s="8" t="str">
        <f>IF(ISNUMBER(X786),IF(X786&gt;0,"+",IF(X786&lt;0,"−","0")),IF(ISNUMBER(W786),IF(W786&gt;0,"+",IF(W786&lt;0,"−","0")),"yok"))</f>
        <v>−</v>
      </c>
      <c r="AK786" s="10">
        <f>IF(AND(RIGHT(C786,2)&lt;&gt;"12",ISNUMBER(U786),ISNUMBER(V786)),U786-V786,"")</f>
        <v>-4.3520000000000003</v>
      </c>
      <c r="AL786" s="11">
        <f>IF(AND(ISNUMBER(AK786),ISNUMBER(V786)),IF(V786&lt;&gt;0,AK786/ABS(V786),""),"")</f>
        <v>-1.3578783151326053</v>
      </c>
      <c r="AM786" s="8">
        <f>IF(ISNUMBER(AK786),IF(AK786&gt;1,1,0),"")</f>
        <v>0</v>
      </c>
      <c r="AN786" s="8">
        <f>IF(ISNUMBER(AK786),IF(AK786&gt;0.05*ABS(V786),1,0),"")</f>
        <v>0</v>
      </c>
      <c r="AO786" s="10">
        <v>-8.9559999999999995</v>
      </c>
      <c r="AP786" s="10">
        <v>8.9559999999999995</v>
      </c>
      <c r="AQ786" s="8" t="s">
        <v>204</v>
      </c>
      <c r="AR786" s="8">
        <v>0</v>
      </c>
      <c r="AS786" s="10">
        <v>-593.28099999999995</v>
      </c>
      <c r="AT786" s="10">
        <v>-637.29399999999998</v>
      </c>
      <c r="AU786" s="8" t="s">
        <v>204</v>
      </c>
      <c r="AV786" s="10">
        <v>1.2070000000000001</v>
      </c>
      <c r="AW786" s="11">
        <f>IF(AND(ISNUMBER(AV786),ISNUMBER(AT786)),IF(AT786&lt;&gt;0,AV786/ABS(AT786),""),"")</f>
        <v>1.8939453376306699E-3</v>
      </c>
      <c r="AX786" s="8">
        <v>0</v>
      </c>
      <c r="AY786" s="8">
        <v>0</v>
      </c>
      <c r="AZ786" s="10"/>
      <c r="BA786" s="8">
        <v>0</v>
      </c>
    </row>
    <row r="787" spans="1:53" x14ac:dyDescent="0.2">
      <c r="A787" s="8" t="s">
        <v>603</v>
      </c>
      <c r="B787" s="8" t="s">
        <v>82</v>
      </c>
      <c r="C787" s="8" t="s">
        <v>215</v>
      </c>
      <c r="D787" s="8">
        <v>1</v>
      </c>
      <c r="E787" s="8">
        <v>0</v>
      </c>
      <c r="F787" s="8">
        <f>SUM(G787:M787)</f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1</v>
      </c>
      <c r="Q787" s="8">
        <v>0</v>
      </c>
      <c r="R787" s="8">
        <v>0</v>
      </c>
      <c r="S787" s="8">
        <v>1</v>
      </c>
      <c r="T787" s="10">
        <v>-6.3209999999999997</v>
      </c>
      <c r="U787" s="10">
        <v>-7.5570000000000004</v>
      </c>
      <c r="V787" s="10">
        <v>-5.4249999999999998</v>
      </c>
      <c r="W787" s="10">
        <f>IF(RIGHT(C787,2)="12",IF(ISNUMBER(T787),T787,""),IF(COUNT(T787,U787,V787)=3,T787+U787-V787,""))</f>
        <v>-8.4529999999999994</v>
      </c>
      <c r="X787" s="10">
        <v>-8.452</v>
      </c>
      <c r="Y787" s="10">
        <v>-2.1309999999999998</v>
      </c>
      <c r="Z787" s="10">
        <v>-5.81</v>
      </c>
      <c r="AA787" s="10">
        <v>1.2070000000000001</v>
      </c>
      <c r="AB787" s="10">
        <v>-1.7170000000000001</v>
      </c>
      <c r="AC787" s="8">
        <v>0</v>
      </c>
      <c r="AD787" s="8">
        <v>0</v>
      </c>
      <c r="AE787" s="8">
        <v>0</v>
      </c>
      <c r="AF787" s="10">
        <v>0</v>
      </c>
      <c r="AG787" s="8">
        <f>COUNTIF(Y787:AB787,"&gt;0")</f>
        <v>1</v>
      </c>
      <c r="AH787" s="10">
        <v>1.2070000000000001</v>
      </c>
      <c r="AI787" s="10">
        <v>0</v>
      </c>
      <c r="AJ787" s="8" t="str">
        <f>IF(ISNUMBER(X787),IF(X787&gt;0,"+",IF(X787&lt;0,"−","0")),IF(ISNUMBER(W787),IF(W787&gt;0,"+",IF(W787&lt;0,"−","0")),"yok"))</f>
        <v>−</v>
      </c>
      <c r="AK787" s="10">
        <f>IF(AND(RIGHT(C787,2)&lt;&gt;"12",ISNUMBER(U787),ISNUMBER(V787)),U787-V787,"")</f>
        <v>-2.1320000000000006</v>
      </c>
      <c r="AL787" s="11">
        <f>IF(AND(ISNUMBER(AK787),ISNUMBER(V787)),IF(V787&lt;&gt;0,AK787/ABS(V787),""),"")</f>
        <v>-0.39299539170506925</v>
      </c>
      <c r="AM787" s="8">
        <f>IF(ISNUMBER(AK787),IF(AK787&gt;1,1,0),"")</f>
        <v>0</v>
      </c>
      <c r="AN787" s="8">
        <f>IF(ISNUMBER(AK787),IF(AK787&gt;0.05*ABS(V787),1,0),"")</f>
        <v>0</v>
      </c>
      <c r="AO787" s="10">
        <v>-8.452</v>
      </c>
      <c r="AP787" s="10">
        <v>8.452</v>
      </c>
      <c r="AQ787" s="8" t="s">
        <v>204</v>
      </c>
      <c r="AR787" s="8">
        <v>0</v>
      </c>
      <c r="AS787" s="10">
        <v>-537.84699999999998</v>
      </c>
      <c r="AT787" s="10">
        <v>-587.46900000000005</v>
      </c>
      <c r="AU787" s="8" t="s">
        <v>204</v>
      </c>
      <c r="AV787" s="10">
        <v>1.2070000000000001</v>
      </c>
      <c r="AW787" s="11">
        <f>IF(AND(ISNUMBER(AV787),ISNUMBER(AT787)),IF(AT787&lt;&gt;0,AV787/ABS(AT787),""),"")</f>
        <v>2.0545764968023846E-3</v>
      </c>
      <c r="AX787" s="8">
        <v>0</v>
      </c>
      <c r="AY787" s="8">
        <v>0</v>
      </c>
      <c r="AZ787" s="10"/>
      <c r="BA787" s="8">
        <v>0</v>
      </c>
    </row>
    <row r="788" spans="1:53" x14ac:dyDescent="0.2">
      <c r="A788" s="8" t="s">
        <v>603</v>
      </c>
      <c r="B788" s="8" t="s">
        <v>82</v>
      </c>
      <c r="C788" s="8" t="s">
        <v>290</v>
      </c>
      <c r="D788" s="8">
        <v>1</v>
      </c>
      <c r="E788" s="8">
        <v>0</v>
      </c>
      <c r="F788" s="8">
        <f>SUM(G788:M788)</f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1</v>
      </c>
      <c r="Q788" s="8">
        <v>0</v>
      </c>
      <c r="R788" s="8">
        <v>0</v>
      </c>
      <c r="S788" s="8">
        <v>1</v>
      </c>
      <c r="T788" s="10">
        <v>-78.055000000000007</v>
      </c>
      <c r="U788" s="10"/>
      <c r="V788" s="10"/>
      <c r="W788" s="10">
        <f>IF(RIGHT(C788,2)="12",IF(ISNUMBER(T788),T788,""),IF(COUNT(T788,U788,V788)=3,T788+U788-V788,""))</f>
        <v>-78.055000000000007</v>
      </c>
      <c r="X788" s="10">
        <v>-78.055000000000007</v>
      </c>
      <c r="Y788" s="10">
        <v>-5.81</v>
      </c>
      <c r="Z788" s="10">
        <v>1.2070000000000001</v>
      </c>
      <c r="AA788" s="10">
        <v>-1.7170000000000001</v>
      </c>
      <c r="AB788" s="10">
        <v>-71.733999999999995</v>
      </c>
      <c r="AC788" s="8">
        <v>0</v>
      </c>
      <c r="AD788" s="8">
        <v>0</v>
      </c>
      <c r="AE788" s="8">
        <v>0</v>
      </c>
      <c r="AF788" s="10">
        <v>0</v>
      </c>
      <c r="AG788" s="8">
        <f>COUNTIF(Y788:AB788,"&gt;0")</f>
        <v>1</v>
      </c>
      <c r="AH788" s="10">
        <v>1.2070000000000001</v>
      </c>
      <c r="AI788" s="10">
        <v>0</v>
      </c>
      <c r="AJ788" s="8" t="str">
        <f>IF(ISNUMBER(X788),IF(X788&gt;0,"+",IF(X788&lt;0,"−","0")),IF(ISNUMBER(W788),IF(W788&gt;0,"+",IF(W788&lt;0,"−","0")),"yok"))</f>
        <v>−</v>
      </c>
      <c r="AK788" s="10" t="str">
        <f>IF(AND(RIGHT(C788,2)&lt;&gt;"12",ISNUMBER(U788),ISNUMBER(V788)),U788-V788,"")</f>
        <v/>
      </c>
      <c r="AL788" s="11" t="str">
        <f>IF(AND(ISNUMBER(AK788),ISNUMBER(V788)),IF(V788&lt;&gt;0,AK788/ABS(V788),""),"")</f>
        <v/>
      </c>
      <c r="AM788" s="8" t="str">
        <f>IF(ISNUMBER(AK788),IF(AK788&gt;1,1,0),"")</f>
        <v/>
      </c>
      <c r="AN788" s="8" t="str">
        <f>IF(ISNUMBER(AK788),IF(AK788&gt;0.05*ABS(V788),1,0),"")</f>
        <v/>
      </c>
      <c r="AO788" s="10">
        <v>-78.055999999999997</v>
      </c>
      <c r="AP788" s="10">
        <v>78.055999999999997</v>
      </c>
      <c r="AQ788" s="8" t="s">
        <v>204</v>
      </c>
      <c r="AR788" s="8">
        <v>0</v>
      </c>
      <c r="AS788" s="10">
        <v>-297.928</v>
      </c>
      <c r="AT788" s="10">
        <v>-402.83199999999999</v>
      </c>
      <c r="AU788" s="8" t="s">
        <v>204</v>
      </c>
      <c r="AV788" s="10">
        <v>1.2070000000000001</v>
      </c>
      <c r="AW788" s="11">
        <f>IF(AND(ISNUMBER(AV788),ISNUMBER(AT788)),IF(AT788&lt;&gt;0,AV788/ABS(AT788),""),"")</f>
        <v>2.9962862930452399E-3</v>
      </c>
      <c r="AX788" s="8">
        <v>0</v>
      </c>
      <c r="AY788" s="8">
        <v>0</v>
      </c>
      <c r="AZ788" s="10"/>
      <c r="BA788" s="8">
        <v>0</v>
      </c>
    </row>
    <row r="789" spans="1:53" x14ac:dyDescent="0.2">
      <c r="A789" s="8" t="s">
        <v>603</v>
      </c>
      <c r="B789" s="8" t="s">
        <v>82</v>
      </c>
      <c r="C789" s="8" t="s">
        <v>208</v>
      </c>
      <c r="D789" s="8">
        <v>1</v>
      </c>
      <c r="E789" s="8">
        <v>0</v>
      </c>
      <c r="F789" s="8">
        <f>SUM(G789:M789)</f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1</v>
      </c>
      <c r="Q789" s="8">
        <v>0</v>
      </c>
      <c r="R789" s="8">
        <v>1</v>
      </c>
      <c r="S789" s="8">
        <v>0</v>
      </c>
      <c r="T789" s="10">
        <v>-1.552</v>
      </c>
      <c r="U789" s="10">
        <v>-78.055000000000007</v>
      </c>
      <c r="V789" s="10">
        <v>-5.81</v>
      </c>
      <c r="W789" s="10">
        <f>IF(RIGHT(C789,2)="12",IF(ISNUMBER(T789),T789,""),IF(COUNT(T789,U789,V789)=3,T789+U789-V789,""))</f>
        <v>-73.797000000000011</v>
      </c>
      <c r="X789" s="10">
        <v>-73.796999999999997</v>
      </c>
      <c r="Y789" s="10">
        <v>1.2070000000000001</v>
      </c>
      <c r="Z789" s="10">
        <v>-1.7170000000000001</v>
      </c>
      <c r="AA789" s="10">
        <v>-71.733999999999995</v>
      </c>
      <c r="AB789" s="10">
        <v>-1.552</v>
      </c>
      <c r="AC789" s="8">
        <v>0</v>
      </c>
      <c r="AD789" s="8">
        <v>0</v>
      </c>
      <c r="AE789" s="8">
        <v>0</v>
      </c>
      <c r="AF789" s="10">
        <v>0</v>
      </c>
      <c r="AG789" s="8">
        <f>COUNTIF(Y789:AB789,"&gt;0")</f>
        <v>1</v>
      </c>
      <c r="AH789" s="10">
        <v>0</v>
      </c>
      <c r="AI789" s="10">
        <v>1.2070000000000001</v>
      </c>
      <c r="AJ789" s="8" t="str">
        <f>IF(ISNUMBER(X789),IF(X789&gt;0,"+",IF(X789&lt;0,"−","0")),IF(ISNUMBER(W789),IF(W789&gt;0,"+",IF(W789&lt;0,"−","0")),"yok"))</f>
        <v>−</v>
      </c>
      <c r="AK789" s="10">
        <f>IF(AND(RIGHT(C789,2)&lt;&gt;"12",ISNUMBER(U789),ISNUMBER(V789)),U789-V789,"")</f>
        <v>-72.245000000000005</v>
      </c>
      <c r="AL789" s="11">
        <f>IF(AND(ISNUMBER(AK789),ISNUMBER(V789)),IF(V789&lt;&gt;0,AK789/ABS(V789),""),"")</f>
        <v>-12.434595524956972</v>
      </c>
      <c r="AM789" s="8">
        <f>IF(ISNUMBER(AK789),IF(AK789&gt;1,1,0),"")</f>
        <v>0</v>
      </c>
      <c r="AN789" s="8">
        <f>IF(ISNUMBER(AK789),IF(AK789&gt;0.05*ABS(V789),1,0),"")</f>
        <v>0</v>
      </c>
      <c r="AO789" s="10">
        <v>-73.798000000000002</v>
      </c>
      <c r="AP789" s="10">
        <v>73.798000000000002</v>
      </c>
      <c r="AQ789" s="8" t="s">
        <v>204</v>
      </c>
      <c r="AR789" s="8">
        <v>0</v>
      </c>
      <c r="AS789" s="10">
        <v>-20.158000000000001</v>
      </c>
      <c r="AT789" s="10">
        <v>-124.07899999999999</v>
      </c>
      <c r="AU789" s="8" t="s">
        <v>204</v>
      </c>
      <c r="AV789" s="10">
        <v>1.2070000000000001</v>
      </c>
      <c r="AW789" s="11">
        <f>IF(AND(ISNUMBER(AV789),ISNUMBER(AT789)),IF(AT789&lt;&gt;0,AV789/ABS(AT789),""),"")</f>
        <v>9.7276734983357382E-3</v>
      </c>
      <c r="AX789" s="8">
        <v>0</v>
      </c>
      <c r="AY789" s="8">
        <v>0</v>
      </c>
      <c r="AZ789" s="10"/>
      <c r="BA789" s="8">
        <v>0</v>
      </c>
    </row>
    <row r="790" spans="1:53" x14ac:dyDescent="0.2">
      <c r="A790" s="8" t="s">
        <v>604</v>
      </c>
      <c r="B790" s="8" t="s">
        <v>83</v>
      </c>
      <c r="C790" s="8" t="s">
        <v>210</v>
      </c>
      <c r="D790" s="8">
        <v>1</v>
      </c>
      <c r="E790" s="8">
        <v>0</v>
      </c>
      <c r="F790" s="8">
        <f>SUM(G790:M790)</f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1</v>
      </c>
      <c r="Q790" s="8">
        <v>0</v>
      </c>
      <c r="R790" s="8">
        <v>0</v>
      </c>
      <c r="S790" s="8">
        <v>1</v>
      </c>
      <c r="T790" s="10">
        <v>-172.32400000000001</v>
      </c>
      <c r="U790" s="10">
        <v>-1444.1489999999999</v>
      </c>
      <c r="V790" s="10">
        <v>-719.7</v>
      </c>
      <c r="W790" s="10">
        <f>IF(RIGHT(C790,2)="12",IF(ISNUMBER(T790),T790,""),IF(COUNT(T790,U790,V790)=3,T790+U790-V790,""))</f>
        <v>-896.77299999999991</v>
      </c>
      <c r="X790" s="10">
        <v>-896.77300000000002</v>
      </c>
      <c r="Y790" s="10"/>
      <c r="Z790" s="10"/>
      <c r="AA790" s="10">
        <v>-1224.518</v>
      </c>
      <c r="AB790" s="10">
        <v>1052.194</v>
      </c>
      <c r="AC790" s="8">
        <v>0</v>
      </c>
      <c r="AD790" s="8">
        <v>0</v>
      </c>
      <c r="AE790" s="8">
        <v>0</v>
      </c>
      <c r="AF790" s="10">
        <v>0</v>
      </c>
      <c r="AG790" s="8">
        <f>COUNTIF(Y790:AB790,"&gt;0")</f>
        <v>1</v>
      </c>
      <c r="AH790" s="10">
        <v>1052.194</v>
      </c>
      <c r="AI790" s="10">
        <v>0</v>
      </c>
      <c r="AJ790" s="8" t="str">
        <f>IF(ISNUMBER(X790),IF(X790&gt;0,"+",IF(X790&lt;0,"−","0")),IF(ISNUMBER(W790),IF(W790&gt;0,"+",IF(W790&lt;0,"−","0")),"yok"))</f>
        <v>−</v>
      </c>
      <c r="AK790" s="10">
        <f>IF(AND(RIGHT(C790,2)&lt;&gt;"12",ISNUMBER(U790),ISNUMBER(V790)),U790-V790,"")</f>
        <v>-724.44899999999984</v>
      </c>
      <c r="AL790" s="11">
        <f>IF(AND(ISNUMBER(AK790),ISNUMBER(V790)),IF(V790&lt;&gt;0,AK790/ABS(V790),""),"")</f>
        <v>-1.0065985827428092</v>
      </c>
      <c r="AM790" s="8">
        <f>IF(ISNUMBER(AK790),IF(AK790&gt;1,1,0),"")</f>
        <v>0</v>
      </c>
      <c r="AN790" s="8">
        <f>IF(ISNUMBER(AK790),IF(AK790&gt;0.05*ABS(V790),1,0),"")</f>
        <v>0</v>
      </c>
      <c r="AO790" s="10">
        <v>-896.774</v>
      </c>
      <c r="AP790" s="10">
        <v>896.774</v>
      </c>
      <c r="AQ790" s="8" t="s">
        <v>209</v>
      </c>
      <c r="AR790" s="8">
        <v>0</v>
      </c>
      <c r="AS790" s="10">
        <v>1246.508</v>
      </c>
      <c r="AT790" s="10">
        <v>242.64769999999999</v>
      </c>
      <c r="AU790" s="8" t="s">
        <v>212</v>
      </c>
      <c r="AV790" s="10">
        <v>1052.194</v>
      </c>
      <c r="AW790" s="11">
        <f>IF(AND(ISNUMBER(AV790),ISNUMBER(AT790)),IF(AT790&lt;&gt;0,AV790/ABS(AT790),""),"")</f>
        <v>4.3363032083139466</v>
      </c>
      <c r="AX790" s="8">
        <v>0</v>
      </c>
      <c r="AY790" s="8">
        <v>0</v>
      </c>
      <c r="AZ790" s="10"/>
      <c r="BA790" s="8">
        <v>0</v>
      </c>
    </row>
    <row r="791" spans="1:53" x14ac:dyDescent="0.2">
      <c r="A791" s="8" t="s">
        <v>605</v>
      </c>
      <c r="B791" s="8" t="s">
        <v>82</v>
      </c>
      <c r="C791" s="8" t="s">
        <v>203</v>
      </c>
      <c r="D791" s="8">
        <v>1</v>
      </c>
      <c r="E791" s="8">
        <v>0</v>
      </c>
      <c r="F791" s="8">
        <f>SUM(G791:M791)</f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1</v>
      </c>
      <c r="Q791" s="8">
        <v>0</v>
      </c>
      <c r="R791" s="8">
        <v>1</v>
      </c>
      <c r="S791" s="8">
        <v>0</v>
      </c>
      <c r="T791" s="10">
        <v>-50.661000000000001</v>
      </c>
      <c r="U791" s="10">
        <v>-83.74</v>
      </c>
      <c r="V791" s="10">
        <v>-49.674999999999997</v>
      </c>
      <c r="W791" s="10">
        <f>IF(RIGHT(C791,2)="12",IF(ISNUMBER(T791),T791,""),IF(COUNT(T791,U791,V791)=3,T791+U791-V791,""))</f>
        <v>-84.726000000000013</v>
      </c>
      <c r="X791" s="10">
        <v>-84.724999999999994</v>
      </c>
      <c r="Y791" s="10">
        <v>-1.464</v>
      </c>
      <c r="Z791" s="10">
        <v>44.576000000000001</v>
      </c>
      <c r="AA791" s="10">
        <v>-77.176000000000002</v>
      </c>
      <c r="AB791" s="10">
        <v>-50.661000000000001</v>
      </c>
      <c r="AC791" s="8">
        <v>0</v>
      </c>
      <c r="AD791" s="8">
        <v>0</v>
      </c>
      <c r="AE791" s="8">
        <v>0</v>
      </c>
      <c r="AF791" s="10">
        <v>0</v>
      </c>
      <c r="AG791" s="8">
        <f>COUNTIF(Y791:AB791,"&gt;0")</f>
        <v>1</v>
      </c>
      <c r="AH791" s="10">
        <v>0</v>
      </c>
      <c r="AI791" s="10">
        <v>44.576000000000001</v>
      </c>
      <c r="AJ791" s="8" t="str">
        <f>IF(ISNUMBER(X791),IF(X791&gt;0,"+",IF(X791&lt;0,"−","0")),IF(ISNUMBER(W791),IF(W791&gt;0,"+",IF(W791&lt;0,"−","0")),"yok"))</f>
        <v>−</v>
      </c>
      <c r="AK791" s="10">
        <f>IF(AND(RIGHT(C791,2)&lt;&gt;"12",ISNUMBER(U791),ISNUMBER(V791)),U791-V791,"")</f>
        <v>-34.064999999999998</v>
      </c>
      <c r="AL791" s="11">
        <f>IF(AND(ISNUMBER(AK791),ISNUMBER(V791)),IF(V791&lt;&gt;0,AK791/ABS(V791),""),"")</f>
        <v>-0.68575742325113231</v>
      </c>
      <c r="AM791" s="8">
        <f>IF(ISNUMBER(AK791),IF(AK791&gt;1,1,0),"")</f>
        <v>0</v>
      </c>
      <c r="AN791" s="8">
        <f>IF(ISNUMBER(AK791),IF(AK791&gt;0.05*ABS(V791),1,0),"")</f>
        <v>0</v>
      </c>
      <c r="AO791" s="10">
        <v>-84.724999999999994</v>
      </c>
      <c r="AP791" s="10">
        <v>84.724999999999994</v>
      </c>
      <c r="AQ791" s="8" t="s">
        <v>204</v>
      </c>
      <c r="AR791" s="8">
        <v>0</v>
      </c>
      <c r="AS791" s="10">
        <v>2065.6480000000001</v>
      </c>
      <c r="AT791" s="10">
        <v>-165053.24400000001</v>
      </c>
      <c r="AU791" s="8" t="s">
        <v>209</v>
      </c>
      <c r="AV791" s="10">
        <v>44.576000000000001</v>
      </c>
      <c r="AW791" s="11">
        <f>IF(AND(ISNUMBER(AV791),ISNUMBER(AT791)),IF(AT791&lt;&gt;0,AV791/ABS(AT791),""),"")</f>
        <v>2.7007042648613435E-4</v>
      </c>
      <c r="AX791" s="8">
        <v>0</v>
      </c>
      <c r="AY791" s="8">
        <v>0</v>
      </c>
      <c r="AZ791" s="10"/>
      <c r="BA791" s="8">
        <v>0</v>
      </c>
    </row>
    <row r="792" spans="1:53" x14ac:dyDescent="0.2">
      <c r="A792" s="8" t="s">
        <v>605</v>
      </c>
      <c r="B792" s="8" t="s">
        <v>82</v>
      </c>
      <c r="C792" s="8" t="s">
        <v>205</v>
      </c>
      <c r="D792" s="8">
        <v>1</v>
      </c>
      <c r="E792" s="8">
        <v>0</v>
      </c>
      <c r="F792" s="8">
        <f>SUM(G792:M792)</f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1</v>
      </c>
      <c r="Q792" s="8">
        <v>0</v>
      </c>
      <c r="R792" s="8">
        <v>1</v>
      </c>
      <c r="S792" s="8">
        <v>0</v>
      </c>
      <c r="T792" s="10">
        <v>-94.676000000000002</v>
      </c>
      <c r="U792" s="10">
        <v>-83.74</v>
      </c>
      <c r="V792" s="10">
        <v>-51.14</v>
      </c>
      <c r="W792" s="10">
        <f>IF(RIGHT(C792,2)="12",IF(ISNUMBER(T792),T792,""),IF(COUNT(T792,U792,V792)=3,T792+U792-V792,""))</f>
        <v>-127.276</v>
      </c>
      <c r="X792" s="10">
        <v>-127.276</v>
      </c>
      <c r="Y792" s="10">
        <v>44.576000000000001</v>
      </c>
      <c r="Z792" s="10">
        <v>-77.176000000000002</v>
      </c>
      <c r="AA792" s="10">
        <v>-50.661000000000001</v>
      </c>
      <c r="AB792" s="10">
        <v>-44.014000000000003</v>
      </c>
      <c r="AC792" s="8">
        <v>0</v>
      </c>
      <c r="AD792" s="8">
        <v>0</v>
      </c>
      <c r="AE792" s="8">
        <v>0</v>
      </c>
      <c r="AF792" s="10">
        <v>0</v>
      </c>
      <c r="AG792" s="8">
        <f>COUNTIF(Y792:AB792,"&gt;0")</f>
        <v>1</v>
      </c>
      <c r="AH792" s="10">
        <v>0</v>
      </c>
      <c r="AI792" s="10">
        <v>44.576000000000001</v>
      </c>
      <c r="AJ792" s="8" t="str">
        <f>IF(ISNUMBER(X792),IF(X792&gt;0,"+",IF(X792&lt;0,"−","0")),IF(ISNUMBER(W792),IF(W792&gt;0,"+",IF(W792&lt;0,"−","0")),"yok"))</f>
        <v>−</v>
      </c>
      <c r="AK792" s="10">
        <f>IF(AND(RIGHT(C792,2)&lt;&gt;"12",ISNUMBER(U792),ISNUMBER(V792)),U792-V792,"")</f>
        <v>-32.599999999999994</v>
      </c>
      <c r="AL792" s="11">
        <f>IF(AND(ISNUMBER(AK792),ISNUMBER(V792)),IF(V792&lt;&gt;0,AK792/ABS(V792),""),"")</f>
        <v>-0.63746578021118483</v>
      </c>
      <c r="AM792" s="8">
        <f>IF(ISNUMBER(AK792),IF(AK792&gt;1,1,0),"")</f>
        <v>0</v>
      </c>
      <c r="AN792" s="8">
        <f>IF(ISNUMBER(AK792),IF(AK792&gt;0.05*ABS(V792),1,0),"")</f>
        <v>0</v>
      </c>
      <c r="AO792" s="10">
        <v>-127.276</v>
      </c>
      <c r="AP792" s="10">
        <v>127.276</v>
      </c>
      <c r="AQ792" s="8" t="s">
        <v>204</v>
      </c>
      <c r="AR792" s="8">
        <v>0</v>
      </c>
      <c r="AS792" s="10">
        <v>1318.415</v>
      </c>
      <c r="AT792" s="10"/>
      <c r="AU792" s="8" t="s">
        <v>207</v>
      </c>
      <c r="AV792" s="10">
        <v>44.576000000000001</v>
      </c>
      <c r="AW792" s="11" t="str">
        <f>IF(AND(ISNUMBER(AV792),ISNUMBER(AT792)),IF(AT792&lt;&gt;0,AV792/ABS(AT792),""),"")</f>
        <v/>
      </c>
      <c r="AX792" s="8">
        <v>0</v>
      </c>
      <c r="AY792" s="8">
        <v>0</v>
      </c>
      <c r="AZ792" s="10"/>
      <c r="BA792" s="8">
        <v>0</v>
      </c>
    </row>
    <row r="793" spans="1:53" x14ac:dyDescent="0.2">
      <c r="A793" s="8" t="s">
        <v>606</v>
      </c>
      <c r="B793" s="8" t="s">
        <v>83</v>
      </c>
      <c r="C793" s="8" t="s">
        <v>210</v>
      </c>
      <c r="D793" s="8">
        <v>1</v>
      </c>
      <c r="E793" s="8">
        <v>0</v>
      </c>
      <c r="F793" s="8">
        <f>SUM(G793:M793)</f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1</v>
      </c>
      <c r="Q793" s="8">
        <v>0</v>
      </c>
      <c r="R793" s="8">
        <v>0</v>
      </c>
      <c r="S793" s="8">
        <v>1</v>
      </c>
      <c r="T793" s="10">
        <v>-512.45100000000002</v>
      </c>
      <c r="U793" s="10">
        <v>-542.82299999999998</v>
      </c>
      <c r="V793" s="10">
        <v>-114.393</v>
      </c>
      <c r="W793" s="10">
        <f>IF(RIGHT(C793,2)="12",IF(ISNUMBER(T793),T793,""),IF(COUNT(T793,U793,V793)=3,T793+U793-V793,""))</f>
        <v>-940.88099999999986</v>
      </c>
      <c r="X793" s="10">
        <v>-940.88099999999997</v>
      </c>
      <c r="Y793" s="10">
        <v>-379.42599999999999</v>
      </c>
      <c r="Z793" s="10">
        <v>-49.003</v>
      </c>
      <c r="AA793" s="10">
        <v>-1104.9939999999999</v>
      </c>
      <c r="AB793" s="10">
        <v>592.54200000000003</v>
      </c>
      <c r="AC793" s="8">
        <v>0</v>
      </c>
      <c r="AD793" s="8">
        <v>0</v>
      </c>
      <c r="AE793" s="8">
        <v>0</v>
      </c>
      <c r="AF793" s="10">
        <v>0</v>
      </c>
      <c r="AG793" s="8">
        <f>COUNTIF(Y793:AB793,"&gt;0")</f>
        <v>1</v>
      </c>
      <c r="AH793" s="10">
        <v>592.54200000000003</v>
      </c>
      <c r="AI793" s="10">
        <v>0</v>
      </c>
      <c r="AJ793" s="8" t="str">
        <f>IF(ISNUMBER(X793),IF(X793&gt;0,"+",IF(X793&lt;0,"−","0")),IF(ISNUMBER(W793),IF(W793&gt;0,"+",IF(W793&lt;0,"−","0")),"yok"))</f>
        <v>−</v>
      </c>
      <c r="AK793" s="10">
        <f>IF(AND(RIGHT(C793,2)&lt;&gt;"12",ISNUMBER(U793),ISNUMBER(V793)),U793-V793,"")</f>
        <v>-428.42999999999995</v>
      </c>
      <c r="AL793" s="11">
        <f>IF(AND(ISNUMBER(AK793),ISNUMBER(V793)),IF(V793&lt;&gt;0,AK793/ABS(V793),""),"")</f>
        <v>-3.7452466497075867</v>
      </c>
      <c r="AM793" s="8">
        <f>IF(ISNUMBER(AK793),IF(AK793&gt;1,1,0),"")</f>
        <v>0</v>
      </c>
      <c r="AN793" s="8">
        <f>IF(ISNUMBER(AK793),IF(AK793&gt;0.05*ABS(V793),1,0),"")</f>
        <v>0</v>
      </c>
      <c r="AO793" s="10">
        <v>-940.88199999999995</v>
      </c>
      <c r="AP793" s="10">
        <v>940.88199999999995</v>
      </c>
      <c r="AQ793" s="8" t="s">
        <v>204</v>
      </c>
      <c r="AR793" s="8">
        <v>0</v>
      </c>
      <c r="AS793" s="10">
        <v>-859.08900000000006</v>
      </c>
      <c r="AT793" s="10">
        <v>-1826.1849999999999</v>
      </c>
      <c r="AU793" s="8" t="s">
        <v>209</v>
      </c>
      <c r="AV793" s="10">
        <v>592.54200000000003</v>
      </c>
      <c r="AW793" s="11">
        <f>IF(AND(ISNUMBER(AV793),ISNUMBER(AT793)),IF(AT793&lt;&gt;0,AV793/ABS(AT793),""),"")</f>
        <v>0.32446986477273665</v>
      </c>
      <c r="AX793" s="8">
        <v>0</v>
      </c>
      <c r="AY793" s="8">
        <v>0</v>
      </c>
      <c r="AZ793" s="10"/>
      <c r="BA793" s="8">
        <v>0</v>
      </c>
    </row>
    <row r="794" spans="1:53" x14ac:dyDescent="0.2">
      <c r="A794" s="8" t="s">
        <v>398</v>
      </c>
      <c r="B794" s="8" t="s">
        <v>82</v>
      </c>
      <c r="C794" s="8" t="s">
        <v>215</v>
      </c>
      <c r="D794" s="8">
        <v>1</v>
      </c>
      <c r="E794" s="8">
        <v>0</v>
      </c>
      <c r="F794" s="8">
        <f>SUM(G794:M794)</f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1</v>
      </c>
      <c r="P794" s="8">
        <v>0</v>
      </c>
      <c r="Q794" s="8">
        <v>0</v>
      </c>
      <c r="R794" s="8">
        <v>0</v>
      </c>
      <c r="S794" s="8">
        <v>0</v>
      </c>
      <c r="T794" s="10">
        <v>111.577</v>
      </c>
      <c r="U794" s="10"/>
      <c r="V794" s="10">
        <v>-29.170999999999999</v>
      </c>
      <c r="W794" s="10" t="str">
        <f>IF(RIGHT(C794,2)="12",IF(ISNUMBER(T794),T794,""),IF(COUNT(T794,U794,V794)=3,T794+U794-V794,""))</f>
        <v/>
      </c>
      <c r="X794" s="10"/>
      <c r="Y794" s="10"/>
      <c r="Z794" s="10"/>
      <c r="AA794" s="10"/>
      <c r="AB794" s="10"/>
      <c r="AC794" s="8">
        <v>1</v>
      </c>
      <c r="AD794" s="8">
        <v>0</v>
      </c>
      <c r="AE794" s="8">
        <v>0</v>
      </c>
      <c r="AF794" s="10">
        <v>111.577</v>
      </c>
      <c r="AG794" s="8">
        <f>COUNTIF(Y794:AB794,"&gt;0")</f>
        <v>0</v>
      </c>
      <c r="AH794" s="10">
        <v>0</v>
      </c>
      <c r="AI794" s="10">
        <v>0</v>
      </c>
      <c r="AJ794" s="8" t="str">
        <f>IF(ISNUMBER(X794),IF(X794&gt;0,"+",IF(X794&lt;0,"−","0")),IF(ISNUMBER(W794),IF(W794&gt;0,"+",IF(W794&lt;0,"−","0")),"yok"))</f>
        <v>yok</v>
      </c>
      <c r="AK794" s="10" t="str">
        <f>IF(AND(RIGHT(C794,2)&lt;&gt;"12",ISNUMBER(U794),ISNUMBER(V794)),U794-V794,"")</f>
        <v/>
      </c>
      <c r="AL794" s="11" t="str">
        <f>IF(AND(ISNUMBER(AK794),ISNUMBER(V794)),IF(V794&lt;&gt;0,AK794/ABS(V794),""),"")</f>
        <v/>
      </c>
      <c r="AM794" s="8" t="str">
        <f>IF(ISNUMBER(AK794),IF(AK794&gt;1,1,0),"")</f>
        <v/>
      </c>
      <c r="AN794" s="8" t="str">
        <f>IF(ISNUMBER(AK794),IF(AK794&gt;0.05*ABS(V794),1,0),"")</f>
        <v/>
      </c>
      <c r="AO794" s="10"/>
      <c r="AP794" s="10"/>
      <c r="AQ794" s="8" t="s">
        <v>207</v>
      </c>
      <c r="AR794" s="8">
        <v>0</v>
      </c>
      <c r="AS794" s="10">
        <v>1508.68</v>
      </c>
      <c r="AT794" s="10"/>
      <c r="AU794" s="8" t="s">
        <v>207</v>
      </c>
      <c r="AV794" s="10">
        <v>111.577</v>
      </c>
      <c r="AW794" s="11" t="str">
        <f>IF(AND(ISNUMBER(AV794),ISNUMBER(AT794)),IF(AT794&lt;&gt;0,AV794/ABS(AT794),""),"")</f>
        <v/>
      </c>
      <c r="AX794" s="8">
        <v>1</v>
      </c>
      <c r="AY794" s="8">
        <v>0</v>
      </c>
      <c r="AZ794" s="8" t="s">
        <v>607</v>
      </c>
      <c r="BA794" s="8">
        <v>0</v>
      </c>
    </row>
    <row r="795" spans="1:53" x14ac:dyDescent="0.2">
      <c r="A795" s="8" t="s">
        <v>399</v>
      </c>
      <c r="B795" s="8" t="s">
        <v>82</v>
      </c>
      <c r="C795" s="8" t="s">
        <v>203</v>
      </c>
      <c r="D795" s="8">
        <v>1</v>
      </c>
      <c r="E795" s="8">
        <v>0</v>
      </c>
      <c r="F795" s="8">
        <f>SUM(G795:M795)</f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1</v>
      </c>
      <c r="Q795" s="8">
        <v>0</v>
      </c>
      <c r="R795" s="8">
        <v>1</v>
      </c>
      <c r="S795" s="8">
        <v>0</v>
      </c>
      <c r="T795" s="10">
        <v>-9.3460000000000001</v>
      </c>
      <c r="U795" s="10">
        <v>-42.93</v>
      </c>
      <c r="V795" s="10">
        <v>-10.51</v>
      </c>
      <c r="W795" s="10">
        <f>IF(RIGHT(C795,2)="12",IF(ISNUMBER(T795),T795,""),IF(COUNT(T795,U795,V795)=3,T795+U795-V795,""))</f>
        <v>-41.765999999999998</v>
      </c>
      <c r="X795" s="10">
        <v>-41.765999999999998</v>
      </c>
      <c r="Y795" s="10">
        <v>-16.571000000000002</v>
      </c>
      <c r="Z795" s="10">
        <v>-22.5</v>
      </c>
      <c r="AA795" s="10">
        <v>6.6520000000000001</v>
      </c>
      <c r="AB795" s="10">
        <v>-9.3460000000000001</v>
      </c>
      <c r="AC795" s="8">
        <v>0</v>
      </c>
      <c r="AD795" s="8">
        <v>0</v>
      </c>
      <c r="AE795" s="8">
        <v>0</v>
      </c>
      <c r="AF795" s="10">
        <v>0</v>
      </c>
      <c r="AG795" s="8">
        <f>COUNTIF(Y795:AB795,"&gt;0")</f>
        <v>1</v>
      </c>
      <c r="AH795" s="10">
        <v>0</v>
      </c>
      <c r="AI795" s="10">
        <v>6.6520000000000001</v>
      </c>
      <c r="AJ795" s="8" t="str">
        <f>IF(ISNUMBER(X795),IF(X795&gt;0,"+",IF(X795&lt;0,"−","0")),IF(ISNUMBER(W795),IF(W795&gt;0,"+",IF(W795&lt;0,"−","0")),"yok"))</f>
        <v>−</v>
      </c>
      <c r="AK795" s="10">
        <f>IF(AND(RIGHT(C795,2)&lt;&gt;"12",ISNUMBER(U795),ISNUMBER(V795)),U795-V795,"")</f>
        <v>-32.42</v>
      </c>
      <c r="AL795" s="11">
        <f>IF(AND(ISNUMBER(AK795),ISNUMBER(V795)),IF(V795&lt;&gt;0,AK795/ABS(V795),""),"")</f>
        <v>-3.0846812559467178</v>
      </c>
      <c r="AM795" s="8">
        <f>IF(ISNUMBER(AK795),IF(AK795&gt;1,1,0),"")</f>
        <v>0</v>
      </c>
      <c r="AN795" s="8">
        <f>IF(ISNUMBER(AK795),IF(AK795&gt;0.05*ABS(V795),1,0),"")</f>
        <v>0</v>
      </c>
      <c r="AO795" s="10">
        <v>-41.765999999999998</v>
      </c>
      <c r="AP795" s="10">
        <v>41.765999999999998</v>
      </c>
      <c r="AQ795" s="8" t="s">
        <v>204</v>
      </c>
      <c r="AR795" s="8">
        <v>0</v>
      </c>
      <c r="AS795" s="10">
        <v>979.12</v>
      </c>
      <c r="AT795" s="10">
        <v>391.67500000000001</v>
      </c>
      <c r="AU795" s="8" t="s">
        <v>204</v>
      </c>
      <c r="AV795" s="10">
        <v>6.6520000000000001</v>
      </c>
      <c r="AW795" s="11">
        <f>IF(AND(ISNUMBER(AV795),ISNUMBER(AT795)),IF(AT795&lt;&gt;0,AV795/ABS(AT795),""),"")</f>
        <v>1.6983468436841769E-2</v>
      </c>
      <c r="AX795" s="8">
        <v>0</v>
      </c>
      <c r="AY795" s="8">
        <v>0</v>
      </c>
      <c r="AZ795" s="10"/>
      <c r="BA795" s="8">
        <v>0</v>
      </c>
    </row>
    <row r="796" spans="1:53" x14ac:dyDescent="0.2">
      <c r="A796" s="8" t="s">
        <v>399</v>
      </c>
      <c r="B796" s="8" t="s">
        <v>82</v>
      </c>
      <c r="C796" s="8" t="s">
        <v>205</v>
      </c>
      <c r="D796" s="8">
        <v>1</v>
      </c>
      <c r="E796" s="8">
        <v>0</v>
      </c>
      <c r="F796" s="8">
        <f>SUM(G796:M796)</f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1</v>
      </c>
      <c r="Q796" s="8">
        <v>0</v>
      </c>
      <c r="R796" s="8">
        <v>1</v>
      </c>
      <c r="S796" s="8">
        <v>0</v>
      </c>
      <c r="T796" s="10">
        <v>-20.344000000000001</v>
      </c>
      <c r="U796" s="10">
        <v>-42.93</v>
      </c>
      <c r="V796" s="10">
        <v>-27.082000000000001</v>
      </c>
      <c r="W796" s="10">
        <f>IF(RIGHT(C796,2)="12",IF(ISNUMBER(T796),T796,""),IF(COUNT(T796,U796,V796)=3,T796+U796-V796,""))</f>
        <v>-36.192</v>
      </c>
      <c r="X796" s="10">
        <v>-36.192</v>
      </c>
      <c r="Y796" s="10">
        <v>-22.5</v>
      </c>
      <c r="Z796" s="10">
        <v>6.6520000000000001</v>
      </c>
      <c r="AA796" s="10">
        <v>-9.3460000000000001</v>
      </c>
      <c r="AB796" s="10">
        <v>-10.997</v>
      </c>
      <c r="AC796" s="8">
        <v>0</v>
      </c>
      <c r="AD796" s="8">
        <v>0</v>
      </c>
      <c r="AE796" s="8">
        <v>0</v>
      </c>
      <c r="AF796" s="10">
        <v>0</v>
      </c>
      <c r="AG796" s="8">
        <f>COUNTIF(Y796:AB796,"&gt;0")</f>
        <v>1</v>
      </c>
      <c r="AH796" s="10">
        <v>0</v>
      </c>
      <c r="AI796" s="10">
        <v>6.6520000000000001</v>
      </c>
      <c r="AJ796" s="8" t="str">
        <f>IF(ISNUMBER(X796),IF(X796&gt;0,"+",IF(X796&lt;0,"−","0")),IF(ISNUMBER(W796),IF(W796&gt;0,"+",IF(W796&lt;0,"−","0")),"yok"))</f>
        <v>−</v>
      </c>
      <c r="AK796" s="10">
        <f>IF(AND(RIGHT(C796,2)&lt;&gt;"12",ISNUMBER(U796),ISNUMBER(V796)),U796-V796,"")</f>
        <v>-15.847999999999999</v>
      </c>
      <c r="AL796" s="11">
        <f>IF(AND(ISNUMBER(AK796),ISNUMBER(V796)),IF(V796&lt;&gt;0,AK796/ABS(V796),""),"")</f>
        <v>-0.58518573222066317</v>
      </c>
      <c r="AM796" s="8">
        <f>IF(ISNUMBER(AK796),IF(AK796&gt;1,1,0),"")</f>
        <v>0</v>
      </c>
      <c r="AN796" s="8">
        <f>IF(ISNUMBER(AK796),IF(AK796&gt;0.05*ABS(V796),1,0),"")</f>
        <v>0</v>
      </c>
      <c r="AO796" s="10">
        <v>-36.192</v>
      </c>
      <c r="AP796" s="10">
        <v>36.192</v>
      </c>
      <c r="AQ796" s="8" t="s">
        <v>204</v>
      </c>
      <c r="AR796" s="8">
        <v>0</v>
      </c>
      <c r="AS796" s="10">
        <v>415.70100000000002</v>
      </c>
      <c r="AT796" s="10">
        <v>-40.962000000000003</v>
      </c>
      <c r="AU796" s="8" t="s">
        <v>204</v>
      </c>
      <c r="AV796" s="10">
        <v>6.6520000000000001</v>
      </c>
      <c r="AW796" s="11">
        <f>IF(AND(ISNUMBER(AV796),ISNUMBER(AT796)),IF(AT796&lt;&gt;0,AV796/ABS(AT796),""),"")</f>
        <v>0.16239441433523752</v>
      </c>
      <c r="AX796" s="8">
        <v>0</v>
      </c>
      <c r="AY796" s="8">
        <v>0</v>
      </c>
      <c r="AZ796" s="10"/>
      <c r="BA796" s="8">
        <v>0</v>
      </c>
    </row>
    <row r="797" spans="1:53" x14ac:dyDescent="0.2">
      <c r="A797" s="8" t="s">
        <v>400</v>
      </c>
      <c r="B797" s="8" t="s">
        <v>84</v>
      </c>
      <c r="C797" s="8" t="s">
        <v>205</v>
      </c>
      <c r="D797" s="8">
        <v>1</v>
      </c>
      <c r="E797" s="8">
        <v>0</v>
      </c>
      <c r="F797" s="8">
        <f>SUM(G797:M797)</f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1</v>
      </c>
      <c r="Q797" s="8">
        <v>0</v>
      </c>
      <c r="R797" s="8">
        <v>0</v>
      </c>
      <c r="S797" s="8">
        <v>1</v>
      </c>
      <c r="T797" s="10">
        <v>-38.042000000000002</v>
      </c>
      <c r="U797" s="10">
        <v>-3054.3470000000002</v>
      </c>
      <c r="V797" s="10">
        <v>-89.468000000000004</v>
      </c>
      <c r="W797" s="10">
        <f>IF(RIGHT(C797,2)="12",IF(ISNUMBER(T797),T797,""),IF(COUNT(T797,U797,V797)=3,T797+U797-V797,""))</f>
        <v>-3002.9210000000003</v>
      </c>
      <c r="X797" s="10">
        <v>-3002.9209999999998</v>
      </c>
      <c r="Y797" s="10">
        <v>-2.351</v>
      </c>
      <c r="Z797" s="10">
        <v>-2962.527</v>
      </c>
      <c r="AA797" s="10">
        <v>-39.109000000000002</v>
      </c>
      <c r="AB797" s="10">
        <v>1.0669999999999999</v>
      </c>
      <c r="AC797" s="8">
        <v>0</v>
      </c>
      <c r="AD797" s="8">
        <v>0</v>
      </c>
      <c r="AE797" s="8">
        <v>0</v>
      </c>
      <c r="AF797" s="10">
        <v>0</v>
      </c>
      <c r="AG797" s="8">
        <f>COUNTIF(Y797:AB797,"&gt;0")</f>
        <v>1</v>
      </c>
      <c r="AH797" s="10">
        <v>1.0669999999999999</v>
      </c>
      <c r="AI797" s="10">
        <v>0</v>
      </c>
      <c r="AJ797" s="8" t="str">
        <f>IF(ISNUMBER(X797),IF(X797&gt;0,"+",IF(X797&lt;0,"−","0")),IF(ISNUMBER(W797),IF(W797&gt;0,"+",IF(W797&lt;0,"−","0")),"yok"))</f>
        <v>−</v>
      </c>
      <c r="AK797" s="10">
        <f>IF(AND(RIGHT(C797,2)&lt;&gt;"12",ISNUMBER(U797),ISNUMBER(V797)),U797-V797,"")</f>
        <v>-2964.8790000000004</v>
      </c>
      <c r="AL797" s="11">
        <f>IF(AND(ISNUMBER(AK797),ISNUMBER(V797)),IF(V797&lt;&gt;0,AK797/ABS(V797),""),"")</f>
        <v>-33.138988241605944</v>
      </c>
      <c r="AM797" s="8">
        <f>IF(ISNUMBER(AK797),IF(AK797&gt;1,1,0),"")</f>
        <v>0</v>
      </c>
      <c r="AN797" s="8">
        <f>IF(ISNUMBER(AK797),IF(AK797&gt;0.05*ABS(V797),1,0),"")</f>
        <v>0</v>
      </c>
      <c r="AO797" s="10">
        <v>-3002.922</v>
      </c>
      <c r="AP797" s="10">
        <v>3002.922</v>
      </c>
      <c r="AQ797" s="8" t="s">
        <v>204</v>
      </c>
      <c r="AR797" s="8">
        <v>0</v>
      </c>
      <c r="AS797" s="10">
        <v>2804.9749999999999</v>
      </c>
      <c r="AT797" s="10">
        <v>-197.947</v>
      </c>
      <c r="AU797" s="8" t="s">
        <v>204</v>
      </c>
      <c r="AV797" s="10">
        <v>1.0669999999999999</v>
      </c>
      <c r="AW797" s="11">
        <f>IF(AND(ISNUMBER(AV797),ISNUMBER(AT797)),IF(AT797&lt;&gt;0,AV797/ABS(AT797),""),"")</f>
        <v>5.3903317554698984E-3</v>
      </c>
      <c r="AX797" s="8">
        <v>0</v>
      </c>
      <c r="AY797" s="8">
        <v>0</v>
      </c>
      <c r="AZ797" s="10"/>
      <c r="BA797" s="8">
        <v>0</v>
      </c>
    </row>
    <row r="798" spans="1:53" x14ac:dyDescent="0.2">
      <c r="A798" s="8" t="s">
        <v>400</v>
      </c>
      <c r="B798" s="8" t="s">
        <v>84</v>
      </c>
      <c r="C798" s="8" t="s">
        <v>215</v>
      </c>
      <c r="D798" s="8">
        <v>1</v>
      </c>
      <c r="E798" s="8">
        <v>0</v>
      </c>
      <c r="F798" s="8">
        <f>SUM(G798:M798)</f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1</v>
      </c>
      <c r="Q798" s="8">
        <v>0</v>
      </c>
      <c r="R798" s="8">
        <v>0</v>
      </c>
      <c r="S798" s="8">
        <v>1</v>
      </c>
      <c r="T798" s="10">
        <v>-51.033999999999999</v>
      </c>
      <c r="U798" s="10">
        <v>-3054.3470000000002</v>
      </c>
      <c r="V798" s="10">
        <v>-91.82</v>
      </c>
      <c r="W798" s="10">
        <f>IF(RIGHT(C798,2)="12",IF(ISNUMBER(T798),T798,""),IF(COUNT(T798,U798,V798)=3,T798+U798-V798,""))</f>
        <v>-3013.5610000000001</v>
      </c>
      <c r="X798" s="10">
        <v>-3013.5610000000001</v>
      </c>
      <c r="Y798" s="10">
        <v>-2962.527</v>
      </c>
      <c r="Z798" s="10">
        <v>-39.109000000000002</v>
      </c>
      <c r="AA798" s="10">
        <v>1.0669999999999999</v>
      </c>
      <c r="AB798" s="10">
        <v>-12.991</v>
      </c>
      <c r="AC798" s="8">
        <v>0</v>
      </c>
      <c r="AD798" s="8">
        <v>0</v>
      </c>
      <c r="AE798" s="8">
        <v>0</v>
      </c>
      <c r="AF798" s="10">
        <v>0</v>
      </c>
      <c r="AG798" s="8">
        <f>COUNTIF(Y798:AB798,"&gt;0")</f>
        <v>1</v>
      </c>
      <c r="AH798" s="10">
        <v>1.0669999999999999</v>
      </c>
      <c r="AI798" s="10">
        <v>0</v>
      </c>
      <c r="AJ798" s="8" t="str">
        <f>IF(ISNUMBER(X798),IF(X798&gt;0,"+",IF(X798&lt;0,"−","0")),IF(ISNUMBER(W798),IF(W798&gt;0,"+",IF(W798&lt;0,"−","0")),"yok"))</f>
        <v>−</v>
      </c>
      <c r="AK798" s="10">
        <f>IF(AND(RIGHT(C798,2)&lt;&gt;"12",ISNUMBER(U798),ISNUMBER(V798)),U798-V798,"")</f>
        <v>-2962.527</v>
      </c>
      <c r="AL798" s="11">
        <f>IF(AND(ISNUMBER(AK798),ISNUMBER(V798)),IF(V798&lt;&gt;0,AK798/ABS(V798),""),"")</f>
        <v>-32.264506643432803</v>
      </c>
      <c r="AM798" s="8">
        <f>IF(ISNUMBER(AK798),IF(AK798&gt;1,1,0),"")</f>
        <v>0</v>
      </c>
      <c r="AN798" s="8">
        <f>IF(ISNUMBER(AK798),IF(AK798&gt;0.05*ABS(V798),1,0),"")</f>
        <v>0</v>
      </c>
      <c r="AO798" s="10">
        <v>-3013.5610000000001</v>
      </c>
      <c r="AP798" s="10">
        <v>3013.5610000000001</v>
      </c>
      <c r="AQ798" s="8" t="s">
        <v>204</v>
      </c>
      <c r="AR798" s="8">
        <v>0</v>
      </c>
      <c r="AS798" s="10">
        <v>1990.364</v>
      </c>
      <c r="AT798" s="10">
        <v>-1023.197</v>
      </c>
      <c r="AU798" s="8" t="s">
        <v>204</v>
      </c>
      <c r="AV798" s="10">
        <v>1.0669999999999999</v>
      </c>
      <c r="AW798" s="11">
        <f>IF(AND(ISNUMBER(AV798),ISNUMBER(AT798)),IF(AT798&lt;&gt;0,AV798/ABS(AT798),""),"")</f>
        <v>1.0428099378712017E-3</v>
      </c>
      <c r="AX798" s="8">
        <v>0</v>
      </c>
      <c r="AY798" s="8">
        <v>0</v>
      </c>
      <c r="AZ798" s="10"/>
      <c r="BA798" s="8">
        <v>0</v>
      </c>
    </row>
    <row r="799" spans="1:53" x14ac:dyDescent="0.2">
      <c r="A799" s="8" t="s">
        <v>400</v>
      </c>
      <c r="B799" s="8" t="s">
        <v>84</v>
      </c>
      <c r="C799" s="8" t="s">
        <v>290</v>
      </c>
      <c r="D799" s="8">
        <v>1</v>
      </c>
      <c r="E799" s="8">
        <v>0</v>
      </c>
      <c r="F799" s="8">
        <f>SUM(G799:M799)</f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1</v>
      </c>
      <c r="Q799" s="8">
        <v>0</v>
      </c>
      <c r="R799" s="8">
        <v>0</v>
      </c>
      <c r="S799" s="8">
        <v>1</v>
      </c>
      <c r="T799" s="10">
        <v>-44.107999999999997</v>
      </c>
      <c r="U799" s="10"/>
      <c r="V799" s="10"/>
      <c r="W799" s="10">
        <f>IF(RIGHT(C799,2)="12",IF(ISNUMBER(T799),T799,""),IF(COUNT(T799,U799,V799)=3,T799+U799-V799,""))</f>
        <v>-44.107999999999997</v>
      </c>
      <c r="X799" s="10">
        <v>-44.107999999999997</v>
      </c>
      <c r="Y799" s="10">
        <v>-39.109000000000002</v>
      </c>
      <c r="Z799" s="10">
        <v>1.0669999999999999</v>
      </c>
      <c r="AA799" s="10">
        <v>-12.991</v>
      </c>
      <c r="AB799" s="10">
        <v>6.9249999999999998</v>
      </c>
      <c r="AC799" s="8">
        <v>0</v>
      </c>
      <c r="AD799" s="8">
        <v>0</v>
      </c>
      <c r="AE799" s="8">
        <v>0</v>
      </c>
      <c r="AF799" s="10">
        <v>0</v>
      </c>
      <c r="AG799" s="8">
        <f>COUNTIF(Y799:AB799,"&gt;0")</f>
        <v>2</v>
      </c>
      <c r="AH799" s="10">
        <v>7.992</v>
      </c>
      <c r="AI799" s="10">
        <v>0</v>
      </c>
      <c r="AJ799" s="8" t="str">
        <f>IF(ISNUMBER(X799),IF(X799&gt;0,"+",IF(X799&lt;0,"−","0")),IF(ISNUMBER(W799),IF(W799&gt;0,"+",IF(W799&lt;0,"−","0")),"yok"))</f>
        <v>−</v>
      </c>
      <c r="AK799" s="10" t="str">
        <f>IF(AND(RIGHT(C799,2)&lt;&gt;"12",ISNUMBER(U799),ISNUMBER(V799)),U799-V799,"")</f>
        <v/>
      </c>
      <c r="AL799" s="11" t="str">
        <f>IF(AND(ISNUMBER(AK799),ISNUMBER(V799)),IF(V799&lt;&gt;0,AK799/ABS(V799),""),"")</f>
        <v/>
      </c>
      <c r="AM799" s="8" t="str">
        <f>IF(ISNUMBER(AK799),IF(AK799&gt;1,1,0),"")</f>
        <v/>
      </c>
      <c r="AN799" s="8" t="str">
        <f>IF(ISNUMBER(AK799),IF(AK799&gt;0.05*ABS(V799),1,0),"")</f>
        <v/>
      </c>
      <c r="AO799" s="10">
        <v>-44.109000000000002</v>
      </c>
      <c r="AP799" s="10">
        <v>44.109000000000002</v>
      </c>
      <c r="AQ799" s="8" t="s">
        <v>204</v>
      </c>
      <c r="AR799" s="8">
        <v>0</v>
      </c>
      <c r="AS799" s="10">
        <v>-1351.941</v>
      </c>
      <c r="AT799" s="10">
        <v>-1407.556</v>
      </c>
      <c r="AU799" s="8" t="s">
        <v>204</v>
      </c>
      <c r="AV799" s="10">
        <v>6.9249999999999998</v>
      </c>
      <c r="AW799" s="11">
        <f>IF(AND(ISNUMBER(AV799),ISNUMBER(AT799)),IF(AT799&lt;&gt;0,AV799/ABS(AT799),""),"")</f>
        <v>4.9198753015865793E-3</v>
      </c>
      <c r="AX799" s="8">
        <v>0</v>
      </c>
      <c r="AY799" s="8">
        <v>0</v>
      </c>
      <c r="AZ799" s="10"/>
      <c r="BA799" s="8">
        <v>0</v>
      </c>
    </row>
    <row r="800" spans="1:53" x14ac:dyDescent="0.2">
      <c r="A800" s="8" t="s">
        <v>401</v>
      </c>
      <c r="B800" s="8" t="s">
        <v>82</v>
      </c>
      <c r="C800" s="8" t="s">
        <v>203</v>
      </c>
      <c r="D800" s="8">
        <v>1</v>
      </c>
      <c r="E800" s="8">
        <v>0</v>
      </c>
      <c r="F800" s="8">
        <f>SUM(G800:M800)</f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1</v>
      </c>
      <c r="Q800" s="8">
        <v>0</v>
      </c>
      <c r="R800" s="8">
        <v>1</v>
      </c>
      <c r="S800" s="8">
        <v>0</v>
      </c>
      <c r="T800" s="10">
        <v>-1.6379999999999999</v>
      </c>
      <c r="U800" s="10">
        <v>-5.0140000000000002</v>
      </c>
      <c r="V800" s="10">
        <v>-3.45</v>
      </c>
      <c r="W800" s="10">
        <f>IF(RIGHT(C800,2)="12",IF(ISNUMBER(T800),T800,""),IF(COUNT(T800,U800,V800)=3,T800+U800-V800,""))</f>
        <v>-3.202</v>
      </c>
      <c r="X800" s="10">
        <v>-3.202</v>
      </c>
      <c r="Y800" s="10">
        <v>-6.8929999999999998</v>
      </c>
      <c r="Z800" s="10">
        <v>4.0170000000000003</v>
      </c>
      <c r="AA800" s="10">
        <v>1.3109999999999999</v>
      </c>
      <c r="AB800" s="10">
        <v>-1.6379999999999999</v>
      </c>
      <c r="AC800" s="8">
        <v>0</v>
      </c>
      <c r="AD800" s="8">
        <v>0</v>
      </c>
      <c r="AE800" s="8">
        <v>0</v>
      </c>
      <c r="AF800" s="10">
        <v>0</v>
      </c>
      <c r="AG800" s="8">
        <f>COUNTIF(Y800:AB800,"&gt;0")</f>
        <v>2</v>
      </c>
      <c r="AH800" s="10">
        <v>0</v>
      </c>
      <c r="AI800" s="10">
        <v>5.3280000000000003</v>
      </c>
      <c r="AJ800" s="8" t="str">
        <f>IF(ISNUMBER(X800),IF(X800&gt;0,"+",IF(X800&lt;0,"−","0")),IF(ISNUMBER(W800),IF(W800&gt;0,"+",IF(W800&lt;0,"−","0")),"yok"))</f>
        <v>−</v>
      </c>
      <c r="AK800" s="10">
        <f>IF(AND(RIGHT(C800,2)&lt;&gt;"12",ISNUMBER(U800),ISNUMBER(V800)),U800-V800,"")</f>
        <v>-1.5640000000000001</v>
      </c>
      <c r="AL800" s="11">
        <f>IF(AND(ISNUMBER(AK800),ISNUMBER(V800)),IF(V800&lt;&gt;0,AK800/ABS(V800),""),"")</f>
        <v>-0.45333333333333331</v>
      </c>
      <c r="AM800" s="8">
        <f>IF(ISNUMBER(AK800),IF(AK800&gt;1,1,0),"")</f>
        <v>0</v>
      </c>
      <c r="AN800" s="8">
        <f>IF(ISNUMBER(AK800),IF(AK800&gt;0.05*ABS(V800),1,0),"")</f>
        <v>0</v>
      </c>
      <c r="AO800" s="10">
        <v>-3.2029999999999998</v>
      </c>
      <c r="AP800" s="10">
        <v>3.2029999999999998</v>
      </c>
      <c r="AQ800" s="8" t="s">
        <v>204</v>
      </c>
      <c r="AR800" s="8">
        <v>0</v>
      </c>
      <c r="AS800" s="10">
        <v>-2127.1640000000002</v>
      </c>
      <c r="AT800" s="10">
        <v>-2449.4180000000001</v>
      </c>
      <c r="AU800" s="8" t="s">
        <v>204</v>
      </c>
      <c r="AV800" s="10">
        <v>4.0170000000000003</v>
      </c>
      <c r="AW800" s="11">
        <f>IF(AND(ISNUMBER(AV800),ISNUMBER(AT800)),IF(AT800&lt;&gt;0,AV800/ABS(AT800),""),"")</f>
        <v>1.6399814159935137E-3</v>
      </c>
      <c r="AX800" s="8">
        <v>0</v>
      </c>
      <c r="AY800" s="8">
        <v>0</v>
      </c>
      <c r="AZ800" s="10"/>
      <c r="BA800" s="8">
        <v>0</v>
      </c>
    </row>
    <row r="801" spans="1:53" x14ac:dyDescent="0.2">
      <c r="A801" s="8" t="s">
        <v>401</v>
      </c>
      <c r="B801" s="8" t="s">
        <v>82</v>
      </c>
      <c r="C801" s="8" t="s">
        <v>290</v>
      </c>
      <c r="D801" s="8">
        <v>1</v>
      </c>
      <c r="E801" s="8">
        <v>0</v>
      </c>
      <c r="F801" s="8">
        <f>SUM(G801:M801)</f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1</v>
      </c>
      <c r="Q801" s="8">
        <v>0</v>
      </c>
      <c r="R801" s="8">
        <v>0</v>
      </c>
      <c r="S801" s="8">
        <v>1</v>
      </c>
      <c r="T801" s="10">
        <v>-5.8330000000000002</v>
      </c>
      <c r="U801" s="10"/>
      <c r="V801" s="10"/>
      <c r="W801" s="10">
        <f>IF(RIGHT(C801,2)="12",IF(ISNUMBER(T801),T801,""),IF(COUNT(T801,U801,V801)=3,T801+U801-V801,""))</f>
        <v>-5.8330000000000002</v>
      </c>
      <c r="X801" s="10">
        <v>-5.8330000000000002</v>
      </c>
      <c r="Y801" s="10">
        <v>-1.6379999999999999</v>
      </c>
      <c r="Z801" s="10">
        <v>-8.2170000000000005</v>
      </c>
      <c r="AA801" s="10">
        <v>0</v>
      </c>
      <c r="AB801" s="10">
        <v>4.0220000000000002</v>
      </c>
      <c r="AC801" s="8">
        <v>0</v>
      </c>
      <c r="AD801" s="8">
        <v>0</v>
      </c>
      <c r="AE801" s="8">
        <v>0</v>
      </c>
      <c r="AF801" s="10">
        <v>0</v>
      </c>
      <c r="AG801" s="8">
        <f>COUNTIF(Y801:AB801,"&gt;0")</f>
        <v>1</v>
      </c>
      <c r="AH801" s="10">
        <v>4.0220000000000002</v>
      </c>
      <c r="AI801" s="10">
        <v>0</v>
      </c>
      <c r="AJ801" s="8" t="str">
        <f>IF(ISNUMBER(X801),IF(X801&gt;0,"+",IF(X801&lt;0,"−","0")),IF(ISNUMBER(W801),IF(W801&gt;0,"+",IF(W801&lt;0,"−","0")),"yok"))</f>
        <v>−</v>
      </c>
      <c r="AK801" s="10" t="str">
        <f>IF(AND(RIGHT(C801,2)&lt;&gt;"12",ISNUMBER(U801),ISNUMBER(V801)),U801-V801,"")</f>
        <v/>
      </c>
      <c r="AL801" s="11" t="str">
        <f>IF(AND(ISNUMBER(AK801),ISNUMBER(V801)),IF(V801&lt;&gt;0,AK801/ABS(V801),""),"")</f>
        <v/>
      </c>
      <c r="AM801" s="8" t="str">
        <f>IF(ISNUMBER(AK801),IF(AK801&gt;1,1,0),"")</f>
        <v/>
      </c>
      <c r="AN801" s="8" t="str">
        <f>IF(ISNUMBER(AK801),IF(AK801&gt;0.05*ABS(V801),1,0),"")</f>
        <v/>
      </c>
      <c r="AO801" s="10">
        <v>-5.8339999999999996</v>
      </c>
      <c r="AP801" s="10">
        <v>5.8339999999999996</v>
      </c>
      <c r="AQ801" s="8" t="s">
        <v>204</v>
      </c>
      <c r="AR801" s="8">
        <v>0</v>
      </c>
      <c r="AS801" s="10">
        <v>820.38400000000001</v>
      </c>
      <c r="AT801" s="10">
        <v>399.66199999999998</v>
      </c>
      <c r="AU801" s="8" t="s">
        <v>204</v>
      </c>
      <c r="AV801" s="10">
        <v>4.0220000000000002</v>
      </c>
      <c r="AW801" s="11">
        <f>IF(AND(ISNUMBER(AV801),ISNUMBER(AT801)),IF(AT801&lt;&gt;0,AV801/ABS(AT801),""),"")</f>
        <v>1.0063503660593203E-2</v>
      </c>
      <c r="AX801" s="8">
        <v>0</v>
      </c>
      <c r="AY801" s="8">
        <v>0</v>
      </c>
      <c r="AZ801" s="10"/>
      <c r="BA801" s="8">
        <v>0</v>
      </c>
    </row>
    <row r="802" spans="1:53" x14ac:dyDescent="0.2">
      <c r="A802" s="8" t="s">
        <v>401</v>
      </c>
      <c r="B802" s="8" t="s">
        <v>82</v>
      </c>
      <c r="C802" s="8" t="s">
        <v>208</v>
      </c>
      <c r="D802" s="8">
        <v>1</v>
      </c>
      <c r="E802" s="8">
        <v>0</v>
      </c>
      <c r="F802" s="8">
        <f>SUM(G802:M802)</f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1</v>
      </c>
      <c r="Q802" s="8">
        <v>0</v>
      </c>
      <c r="R802" s="8">
        <v>1</v>
      </c>
      <c r="S802" s="8">
        <v>0</v>
      </c>
      <c r="T802" s="10">
        <v>-3.5640000000000001</v>
      </c>
      <c r="U802" s="10">
        <v>-5.8330000000000002</v>
      </c>
      <c r="V802" s="10">
        <v>-1.6379999999999999</v>
      </c>
      <c r="W802" s="10">
        <f>IF(RIGHT(C802,2)="12",IF(ISNUMBER(T802),T802,""),IF(COUNT(T802,U802,V802)=3,T802+U802-V802,""))</f>
        <v>-7.7590000000000003</v>
      </c>
      <c r="X802" s="10">
        <v>-7.7590000000000003</v>
      </c>
      <c r="Y802" s="10">
        <v>-8.2170000000000005</v>
      </c>
      <c r="Z802" s="10">
        <v>0</v>
      </c>
      <c r="AA802" s="10">
        <v>4.0220000000000002</v>
      </c>
      <c r="AB802" s="10">
        <v>-3.5640000000000001</v>
      </c>
      <c r="AC802" s="8">
        <v>0</v>
      </c>
      <c r="AD802" s="8">
        <v>0</v>
      </c>
      <c r="AE802" s="8">
        <v>0</v>
      </c>
      <c r="AF802" s="10">
        <v>0</v>
      </c>
      <c r="AG802" s="8">
        <f>COUNTIF(Y802:AB802,"&gt;0")</f>
        <v>1</v>
      </c>
      <c r="AH802" s="10">
        <v>0</v>
      </c>
      <c r="AI802" s="10">
        <v>4.0220000000000002</v>
      </c>
      <c r="AJ802" s="8" t="str">
        <f>IF(ISNUMBER(X802),IF(X802&gt;0,"+",IF(X802&lt;0,"−","0")),IF(ISNUMBER(W802),IF(W802&gt;0,"+",IF(W802&lt;0,"−","0")),"yok"))</f>
        <v>−</v>
      </c>
      <c r="AK802" s="10">
        <f>IF(AND(RIGHT(C802,2)&lt;&gt;"12",ISNUMBER(U802),ISNUMBER(V802)),U802-V802,"")</f>
        <v>-4.1950000000000003</v>
      </c>
      <c r="AL802" s="11">
        <f>IF(AND(ISNUMBER(AK802),ISNUMBER(V802)),IF(V802&lt;&gt;0,AK802/ABS(V802),""),"")</f>
        <v>-2.5610500610500613</v>
      </c>
      <c r="AM802" s="8">
        <f>IF(ISNUMBER(AK802),IF(AK802&gt;1,1,0),"")</f>
        <v>0</v>
      </c>
      <c r="AN802" s="8">
        <f>IF(ISNUMBER(AK802),IF(AK802&gt;0.05*ABS(V802),1,0),"")</f>
        <v>0</v>
      </c>
      <c r="AO802" s="10">
        <v>-7.7590000000000003</v>
      </c>
      <c r="AP802" s="10">
        <v>7.7590000000000003</v>
      </c>
      <c r="AQ802" s="8" t="s">
        <v>204</v>
      </c>
      <c r="AR802" s="8">
        <v>0</v>
      </c>
      <c r="AS802" s="10">
        <v>879.75300000000004</v>
      </c>
      <c r="AT802" s="10">
        <v>416.63600000000002</v>
      </c>
      <c r="AU802" s="8" t="s">
        <v>204</v>
      </c>
      <c r="AV802" s="10">
        <v>4.0220000000000002</v>
      </c>
      <c r="AW802" s="11">
        <f>IF(AND(ISNUMBER(AV802),ISNUMBER(AT802)),IF(AT802&lt;&gt;0,AV802/ABS(AT802),""),"")</f>
        <v>9.6535104983726805E-3</v>
      </c>
      <c r="AX802" s="8">
        <v>0</v>
      </c>
      <c r="AY802" s="8">
        <v>0</v>
      </c>
      <c r="AZ802" s="10"/>
      <c r="BA802" s="8">
        <v>0</v>
      </c>
    </row>
    <row r="803" spans="1:53" x14ac:dyDescent="0.2">
      <c r="A803" s="8" t="s">
        <v>608</v>
      </c>
      <c r="B803" s="8" t="s">
        <v>82</v>
      </c>
      <c r="C803" s="8" t="s">
        <v>203</v>
      </c>
      <c r="D803" s="8">
        <v>1</v>
      </c>
      <c r="E803" s="8">
        <v>0</v>
      </c>
      <c r="F803" s="8">
        <f>SUM(G803:M803)</f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1</v>
      </c>
      <c r="Q803" s="8">
        <v>0</v>
      </c>
      <c r="R803" s="8">
        <v>1</v>
      </c>
      <c r="S803" s="8">
        <v>0</v>
      </c>
      <c r="T803" s="10">
        <v>-4.1710000000000003</v>
      </c>
      <c r="U803" s="10">
        <v>-88.391000000000005</v>
      </c>
      <c r="V803" s="10">
        <v>-32.389000000000003</v>
      </c>
      <c r="W803" s="10">
        <f>IF(RIGHT(C803,2)="12",IF(ISNUMBER(T803),T803,""),IF(COUNT(T803,U803,V803)=3,T803+U803-V803,""))</f>
        <v>-60.173000000000009</v>
      </c>
      <c r="X803" s="10">
        <v>-60.173000000000002</v>
      </c>
      <c r="Y803" s="10">
        <v>-36.963999999999999</v>
      </c>
      <c r="Z803" s="10">
        <v>5.7489999999999997</v>
      </c>
      <c r="AA803" s="10">
        <v>-24.786999999999999</v>
      </c>
      <c r="AB803" s="10">
        <v>-4.1710000000000003</v>
      </c>
      <c r="AC803" s="8">
        <v>0</v>
      </c>
      <c r="AD803" s="8">
        <v>0</v>
      </c>
      <c r="AE803" s="8">
        <v>0</v>
      </c>
      <c r="AF803" s="10">
        <v>0</v>
      </c>
      <c r="AG803" s="8">
        <f>COUNTIF(Y803:AB803,"&gt;0")</f>
        <v>1</v>
      </c>
      <c r="AH803" s="10">
        <v>0</v>
      </c>
      <c r="AI803" s="10">
        <v>5.7489999999999997</v>
      </c>
      <c r="AJ803" s="8" t="str">
        <f>IF(ISNUMBER(X803),IF(X803&gt;0,"+",IF(X803&lt;0,"−","0")),IF(ISNUMBER(W803),IF(W803&gt;0,"+",IF(W803&lt;0,"−","0")),"yok"))</f>
        <v>−</v>
      </c>
      <c r="AK803" s="10">
        <f>IF(AND(RIGHT(C803,2)&lt;&gt;"12",ISNUMBER(U803),ISNUMBER(V803)),U803-V803,"")</f>
        <v>-56.002000000000002</v>
      </c>
      <c r="AL803" s="11">
        <f>IF(AND(ISNUMBER(AK803),ISNUMBER(V803)),IF(V803&lt;&gt;0,AK803/ABS(V803),""),"")</f>
        <v>-1.7290438111704591</v>
      </c>
      <c r="AM803" s="8">
        <f>IF(ISNUMBER(AK803),IF(AK803&gt;1,1,0),"")</f>
        <v>0</v>
      </c>
      <c r="AN803" s="8">
        <f>IF(ISNUMBER(AK803),IF(AK803&gt;0.05*ABS(V803),1,0),"")</f>
        <v>0</v>
      </c>
      <c r="AO803" s="10">
        <v>-60.173000000000002</v>
      </c>
      <c r="AP803" s="10">
        <v>60.173000000000002</v>
      </c>
      <c r="AQ803" s="8" t="s">
        <v>204</v>
      </c>
      <c r="AR803" s="8">
        <v>0</v>
      </c>
      <c r="AS803" s="10">
        <v>696.52800000000002</v>
      </c>
      <c r="AT803" s="10">
        <v>401.17599999999999</v>
      </c>
      <c r="AU803" s="8" t="s">
        <v>204</v>
      </c>
      <c r="AV803" s="10">
        <v>5.7489999999999997</v>
      </c>
      <c r="AW803" s="11">
        <f>IF(AND(ISNUMBER(AV803),ISNUMBER(AT803)),IF(AT803&lt;&gt;0,AV803/ABS(AT803),""),"")</f>
        <v>1.4330368715975032E-2</v>
      </c>
      <c r="AX803" s="8">
        <v>0</v>
      </c>
      <c r="AY803" s="8">
        <v>0</v>
      </c>
      <c r="AZ803" s="10"/>
      <c r="BA803" s="8">
        <v>0</v>
      </c>
    </row>
    <row r="804" spans="1:53" x14ac:dyDescent="0.2">
      <c r="A804" s="8" t="s">
        <v>608</v>
      </c>
      <c r="B804" s="8" t="s">
        <v>82</v>
      </c>
      <c r="C804" s="8" t="s">
        <v>205</v>
      </c>
      <c r="D804" s="8">
        <v>1</v>
      </c>
      <c r="E804" s="8">
        <v>0</v>
      </c>
      <c r="F804" s="8">
        <f>SUM(G804:M804)</f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1</v>
      </c>
      <c r="Q804" s="8">
        <v>0</v>
      </c>
      <c r="R804" s="8">
        <v>1</v>
      </c>
      <c r="S804" s="8">
        <v>0</v>
      </c>
      <c r="T804" s="10">
        <v>-8.2309999999999999</v>
      </c>
      <c r="U804" s="10">
        <v>-88.391000000000005</v>
      </c>
      <c r="V804" s="10">
        <v>-69.352999999999994</v>
      </c>
      <c r="W804" s="10">
        <f>IF(RIGHT(C804,2)="12",IF(ISNUMBER(T804),T804,""),IF(COUNT(T804,U804,V804)=3,T804+U804-V804,""))</f>
        <v>-27.269000000000005</v>
      </c>
      <c r="X804" s="10">
        <v>-27.268999999999998</v>
      </c>
      <c r="Y804" s="10">
        <v>5.7489999999999997</v>
      </c>
      <c r="Z804" s="10">
        <v>-24.786999999999999</v>
      </c>
      <c r="AA804" s="10">
        <v>-4.1710000000000003</v>
      </c>
      <c r="AB804" s="10">
        <v>-4.0599999999999996</v>
      </c>
      <c r="AC804" s="8">
        <v>0</v>
      </c>
      <c r="AD804" s="8">
        <v>0</v>
      </c>
      <c r="AE804" s="8">
        <v>0</v>
      </c>
      <c r="AF804" s="10">
        <v>0</v>
      </c>
      <c r="AG804" s="8">
        <f>COUNTIF(Y804:AB804,"&gt;0")</f>
        <v>1</v>
      </c>
      <c r="AH804" s="10">
        <v>0</v>
      </c>
      <c r="AI804" s="10">
        <v>5.7489999999999997</v>
      </c>
      <c r="AJ804" s="8" t="str">
        <f>IF(ISNUMBER(X804),IF(X804&gt;0,"+",IF(X804&lt;0,"−","0")),IF(ISNUMBER(W804),IF(W804&gt;0,"+",IF(W804&lt;0,"−","0")),"yok"))</f>
        <v>−</v>
      </c>
      <c r="AK804" s="10">
        <f>IF(AND(RIGHT(C804,2)&lt;&gt;"12",ISNUMBER(U804),ISNUMBER(V804)),U804-V804,"")</f>
        <v>-19.038000000000011</v>
      </c>
      <c r="AL804" s="11">
        <f>IF(AND(ISNUMBER(AK804),ISNUMBER(V804)),IF(V804&lt;&gt;0,AK804/ABS(V804),""),"")</f>
        <v>-0.27450867302063375</v>
      </c>
      <c r="AM804" s="8">
        <f>IF(ISNUMBER(AK804),IF(AK804&gt;1,1,0),"")</f>
        <v>0</v>
      </c>
      <c r="AN804" s="8">
        <f>IF(ISNUMBER(AK804),IF(AK804&gt;0.05*ABS(V804),1,0),"")</f>
        <v>0</v>
      </c>
      <c r="AO804" s="10">
        <v>-27.268999999999998</v>
      </c>
      <c r="AP804" s="10">
        <v>27.268999999999998</v>
      </c>
      <c r="AQ804" s="8" t="s">
        <v>204</v>
      </c>
      <c r="AR804" s="8">
        <v>0</v>
      </c>
      <c r="AS804" s="10">
        <v>987.35400000000004</v>
      </c>
      <c r="AT804" s="10">
        <v>814.83699999999999</v>
      </c>
      <c r="AU804" s="8" t="s">
        <v>204</v>
      </c>
      <c r="AV804" s="10">
        <v>5.7489999999999997</v>
      </c>
      <c r="AW804" s="11">
        <f>IF(AND(ISNUMBER(AV804),ISNUMBER(AT804)),IF(AT804&lt;&gt;0,AV804/ABS(AT804),""),"")</f>
        <v>7.0553988098233144E-3</v>
      </c>
      <c r="AX804" s="8">
        <v>0</v>
      </c>
      <c r="AY804" s="8">
        <v>0</v>
      </c>
      <c r="AZ804" s="10"/>
      <c r="BA804" s="8">
        <v>0</v>
      </c>
    </row>
    <row r="805" spans="1:53" x14ac:dyDescent="0.2">
      <c r="A805" s="8" t="s">
        <v>608</v>
      </c>
      <c r="B805" s="8" t="s">
        <v>82</v>
      </c>
      <c r="C805" s="8" t="s">
        <v>290</v>
      </c>
      <c r="D805" s="8">
        <v>1</v>
      </c>
      <c r="E805" s="8">
        <v>0</v>
      </c>
      <c r="F805" s="8">
        <f>SUM(G805:M805)</f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1</v>
      </c>
      <c r="Q805" s="8">
        <v>0</v>
      </c>
      <c r="R805" s="8">
        <v>0</v>
      </c>
      <c r="S805" s="8">
        <v>1</v>
      </c>
      <c r="T805" s="10">
        <v>-10.554</v>
      </c>
      <c r="U805" s="10"/>
      <c r="V805" s="10"/>
      <c r="W805" s="10">
        <f>IF(RIGHT(C805,2)="12",IF(ISNUMBER(T805),T805,""),IF(COUNT(T805,U805,V805)=3,T805+U805-V805,""))</f>
        <v>-10.554</v>
      </c>
      <c r="X805" s="10">
        <v>-10.554</v>
      </c>
      <c r="Y805" s="10">
        <v>-4.1710000000000003</v>
      </c>
      <c r="Z805" s="10">
        <v>-4.0599999999999996</v>
      </c>
      <c r="AA805" s="10">
        <v>-4.1059999999999999</v>
      </c>
      <c r="AB805" s="10">
        <v>1.7829999999999999</v>
      </c>
      <c r="AC805" s="8">
        <v>0</v>
      </c>
      <c r="AD805" s="8">
        <v>0</v>
      </c>
      <c r="AE805" s="8">
        <v>0</v>
      </c>
      <c r="AF805" s="10">
        <v>0</v>
      </c>
      <c r="AG805" s="8">
        <f>COUNTIF(Y805:AB805,"&gt;0")</f>
        <v>1</v>
      </c>
      <c r="AH805" s="10">
        <v>1.7829999999999999</v>
      </c>
      <c r="AI805" s="10">
        <v>0</v>
      </c>
      <c r="AJ805" s="8" t="str">
        <f>IF(ISNUMBER(X805),IF(X805&gt;0,"+",IF(X805&lt;0,"−","0")),IF(ISNUMBER(W805),IF(W805&gt;0,"+",IF(W805&lt;0,"−","0")),"yok"))</f>
        <v>−</v>
      </c>
      <c r="AK805" s="10" t="str">
        <f>IF(AND(RIGHT(C805,2)&lt;&gt;"12",ISNUMBER(U805),ISNUMBER(V805)),U805-V805,"")</f>
        <v/>
      </c>
      <c r="AL805" s="11" t="str">
        <f>IF(AND(ISNUMBER(AK805),ISNUMBER(V805)),IF(V805&lt;&gt;0,AK805/ABS(V805),""),"")</f>
        <v/>
      </c>
      <c r="AM805" s="8" t="str">
        <f>IF(ISNUMBER(AK805),IF(AK805&gt;1,1,0),"")</f>
        <v/>
      </c>
      <c r="AN805" s="8" t="str">
        <f>IF(ISNUMBER(AK805),IF(AK805&gt;0.05*ABS(V805),1,0),"")</f>
        <v/>
      </c>
      <c r="AO805" s="10">
        <v>-10.555</v>
      </c>
      <c r="AP805" s="10">
        <v>10.555</v>
      </c>
      <c r="AQ805" s="8" t="s">
        <v>204</v>
      </c>
      <c r="AR805" s="8">
        <v>0</v>
      </c>
      <c r="AS805" s="10">
        <v>819.87099999999998</v>
      </c>
      <c r="AT805" s="10">
        <v>109.336</v>
      </c>
      <c r="AU805" s="8" t="s">
        <v>204</v>
      </c>
      <c r="AV805" s="10">
        <v>1.7829999999999999</v>
      </c>
      <c r="AW805" s="11">
        <f>IF(AND(ISNUMBER(AV805),ISNUMBER(AT805)),IF(AT805&lt;&gt;0,AV805/ABS(AT805),""),"")</f>
        <v>1.630752908465647E-2</v>
      </c>
      <c r="AX805" s="8">
        <v>0</v>
      </c>
      <c r="AY805" s="8">
        <v>0</v>
      </c>
      <c r="AZ805" s="10"/>
      <c r="BA805" s="8">
        <v>0</v>
      </c>
    </row>
    <row r="806" spans="1:53" x14ac:dyDescent="0.2">
      <c r="A806" s="8" t="s">
        <v>608</v>
      </c>
      <c r="B806" s="8" t="s">
        <v>82</v>
      </c>
      <c r="C806" s="8" t="s">
        <v>208</v>
      </c>
      <c r="D806" s="8">
        <v>1</v>
      </c>
      <c r="E806" s="8">
        <v>0</v>
      </c>
      <c r="F806" s="8">
        <f>SUM(G806:M806)</f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1</v>
      </c>
      <c r="Q806" s="8">
        <v>0</v>
      </c>
      <c r="R806" s="8">
        <v>1</v>
      </c>
      <c r="S806" s="8">
        <v>0</v>
      </c>
      <c r="T806" s="10">
        <v>-0.222</v>
      </c>
      <c r="U806" s="10">
        <v>-10.554</v>
      </c>
      <c r="V806" s="10">
        <v>-4.1710000000000003</v>
      </c>
      <c r="W806" s="10">
        <f>IF(RIGHT(C806,2)="12",IF(ISNUMBER(T806),T806,""),IF(COUNT(T806,U806,V806)=3,T806+U806-V806,""))</f>
        <v>-6.6049999999999995</v>
      </c>
      <c r="X806" s="10">
        <v>-6.6050000000000004</v>
      </c>
      <c r="Y806" s="10">
        <v>-4.0599999999999996</v>
      </c>
      <c r="Z806" s="10">
        <v>-4.1059999999999999</v>
      </c>
      <c r="AA806" s="10">
        <v>1.7829999999999999</v>
      </c>
      <c r="AB806" s="10">
        <v>-0.222</v>
      </c>
      <c r="AC806" s="8">
        <v>0</v>
      </c>
      <c r="AD806" s="8">
        <v>0</v>
      </c>
      <c r="AE806" s="8">
        <v>0</v>
      </c>
      <c r="AF806" s="10">
        <v>0</v>
      </c>
      <c r="AG806" s="8">
        <f>COUNTIF(Y806:AB806,"&gt;0")</f>
        <v>1</v>
      </c>
      <c r="AH806" s="10">
        <v>0</v>
      </c>
      <c r="AI806" s="10">
        <v>1.7829999999999999</v>
      </c>
      <c r="AJ806" s="8" t="str">
        <f>IF(ISNUMBER(X806),IF(X806&gt;0,"+",IF(X806&lt;0,"−","0")),IF(ISNUMBER(W806),IF(W806&gt;0,"+",IF(W806&lt;0,"−","0")),"yok"))</f>
        <v>−</v>
      </c>
      <c r="AK806" s="10">
        <f>IF(AND(RIGHT(C806,2)&lt;&gt;"12",ISNUMBER(U806),ISNUMBER(V806)),U806-V806,"")</f>
        <v>-6.383</v>
      </c>
      <c r="AL806" s="11">
        <f>IF(AND(ISNUMBER(AK806),ISNUMBER(V806)),IF(V806&lt;&gt;0,AK806/ABS(V806),""),"")</f>
        <v>-1.5303284584032606</v>
      </c>
      <c r="AM806" s="8">
        <f>IF(ISNUMBER(AK806),IF(AK806&gt;1,1,0),"")</f>
        <v>0</v>
      </c>
      <c r="AN806" s="8">
        <f>IF(ISNUMBER(AK806),IF(AK806&gt;0.05*ABS(V806),1,0),"")</f>
        <v>0</v>
      </c>
      <c r="AO806" s="10">
        <v>-6.6059999999999999</v>
      </c>
      <c r="AP806" s="10">
        <v>6.6059999999999999</v>
      </c>
      <c r="AQ806" s="8" t="s">
        <v>204</v>
      </c>
      <c r="AR806" s="8">
        <v>0</v>
      </c>
      <c r="AS806" s="10">
        <v>654.64400000000001</v>
      </c>
      <c r="AT806" s="10">
        <v>-46.405000000000101</v>
      </c>
      <c r="AU806" s="8" t="s">
        <v>204</v>
      </c>
      <c r="AV806" s="10">
        <v>1.7829999999999999</v>
      </c>
      <c r="AW806" s="11">
        <f>IF(AND(ISNUMBER(AV806),ISNUMBER(AT806)),IF(AT806&lt;&gt;0,AV806/ABS(AT806),""),"")</f>
        <v>3.8422583773300205E-2</v>
      </c>
      <c r="AX806" s="8">
        <v>0</v>
      </c>
      <c r="AY806" s="8">
        <v>0</v>
      </c>
      <c r="AZ806" s="10"/>
      <c r="BA806" s="8">
        <v>0</v>
      </c>
    </row>
    <row r="807" spans="1:53" x14ac:dyDescent="0.2">
      <c r="A807" s="8" t="s">
        <v>608</v>
      </c>
      <c r="B807" s="8" t="s">
        <v>82</v>
      </c>
      <c r="C807" s="8" t="s">
        <v>210</v>
      </c>
      <c r="D807" s="8">
        <v>1</v>
      </c>
      <c r="E807" s="8">
        <v>0</v>
      </c>
      <c r="F807" s="8">
        <f>SUM(G807:M807)</f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1</v>
      </c>
      <c r="Q807" s="8">
        <v>0</v>
      </c>
      <c r="R807" s="8">
        <v>1</v>
      </c>
      <c r="S807" s="8">
        <v>0</v>
      </c>
      <c r="T807" s="10">
        <v>-0.35399999999999998</v>
      </c>
      <c r="U807" s="10">
        <v>-10.554</v>
      </c>
      <c r="V807" s="10">
        <v>-8.2309999999999999</v>
      </c>
      <c r="W807" s="10">
        <f>IF(RIGHT(C807,2)="12",IF(ISNUMBER(T807),T807,""),IF(COUNT(T807,U807,V807)=3,T807+U807-V807,""))</f>
        <v>-2.6769999999999996</v>
      </c>
      <c r="X807" s="10">
        <v>-2.677</v>
      </c>
      <c r="Y807" s="10">
        <v>-4.1059999999999999</v>
      </c>
      <c r="Z807" s="10">
        <v>1.7829999999999999</v>
      </c>
      <c r="AA807" s="10">
        <v>-0.222</v>
      </c>
      <c r="AB807" s="10">
        <v>-0.13200000000000001</v>
      </c>
      <c r="AC807" s="8">
        <v>0</v>
      </c>
      <c r="AD807" s="8">
        <v>0</v>
      </c>
      <c r="AE807" s="8">
        <v>0</v>
      </c>
      <c r="AF807" s="10">
        <v>0</v>
      </c>
      <c r="AG807" s="8">
        <f>COUNTIF(Y807:AB807,"&gt;0")</f>
        <v>1</v>
      </c>
      <c r="AH807" s="10">
        <v>0</v>
      </c>
      <c r="AI807" s="10">
        <v>1.7829999999999999</v>
      </c>
      <c r="AJ807" s="8" t="str">
        <f>IF(ISNUMBER(X807),IF(X807&gt;0,"+",IF(X807&lt;0,"−","0")),IF(ISNUMBER(W807),IF(W807&gt;0,"+",IF(W807&lt;0,"−","0")),"yok"))</f>
        <v>−</v>
      </c>
      <c r="AK807" s="10">
        <f>IF(AND(RIGHT(C807,2)&lt;&gt;"12",ISNUMBER(U807),ISNUMBER(V807)),U807-V807,"")</f>
        <v>-2.3230000000000004</v>
      </c>
      <c r="AL807" s="11">
        <f>IF(AND(ISNUMBER(AK807),ISNUMBER(V807)),IF(V807&lt;&gt;0,AK807/ABS(V807),""),"")</f>
        <v>-0.28222573198882278</v>
      </c>
      <c r="AM807" s="8">
        <f>IF(ISNUMBER(AK807),IF(AK807&gt;1,1,0),"")</f>
        <v>0</v>
      </c>
      <c r="AN807" s="8">
        <f>IF(ISNUMBER(AK807),IF(AK807&gt;0.05*ABS(V807),1,0),"")</f>
        <v>0</v>
      </c>
      <c r="AO807" s="10">
        <v>-2.6779999999999999</v>
      </c>
      <c r="AP807" s="10">
        <v>2.6779999999999999</v>
      </c>
      <c r="AQ807" s="8" t="s">
        <v>204</v>
      </c>
      <c r="AR807" s="8">
        <v>0</v>
      </c>
      <c r="AS807" s="10">
        <v>511.041</v>
      </c>
      <c r="AT807" s="10">
        <v>-207.905</v>
      </c>
      <c r="AU807" s="8" t="s">
        <v>204</v>
      </c>
      <c r="AV807" s="10">
        <v>1.7829999999999999</v>
      </c>
      <c r="AW807" s="11">
        <f>IF(AND(ISNUMBER(AV807),ISNUMBER(AT807)),IF(AT807&lt;&gt;0,AV807/ABS(AT807),""),"")</f>
        <v>8.5760323224549663E-3</v>
      </c>
      <c r="AX807" s="8">
        <v>0</v>
      </c>
      <c r="AY807" s="8">
        <v>0</v>
      </c>
      <c r="AZ807" s="10"/>
      <c r="BA807" s="8">
        <v>0</v>
      </c>
    </row>
    <row r="808" spans="1:53" x14ac:dyDescent="0.2">
      <c r="A808" s="8" t="s">
        <v>609</v>
      </c>
      <c r="B808" s="8" t="s">
        <v>82</v>
      </c>
      <c r="C808" s="8" t="s">
        <v>203</v>
      </c>
      <c r="D808" s="8">
        <v>1</v>
      </c>
      <c r="E808" s="8">
        <v>0</v>
      </c>
      <c r="F808" s="8">
        <f>SUM(G808:M808)</f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1</v>
      </c>
      <c r="Q808" s="8">
        <v>0</v>
      </c>
      <c r="R808" s="8">
        <v>1</v>
      </c>
      <c r="S808" s="8">
        <v>0</v>
      </c>
      <c r="T808" s="10">
        <v>-25.704999999999998</v>
      </c>
      <c r="U808" s="10">
        <v>-46.000999999999998</v>
      </c>
      <c r="V808" s="10"/>
      <c r="W808" s="10" t="str">
        <f>IF(RIGHT(C808,2)="12",IF(ISNUMBER(T808),T808,""),IF(COUNT(T808,U808,V808)=3,T808+U808-V808,""))</f>
        <v/>
      </c>
      <c r="X808" s="10"/>
      <c r="Y808" s="10"/>
      <c r="Z808" s="10">
        <v>2.6859999999999999</v>
      </c>
      <c r="AA808" s="10">
        <v>-21.501000000000001</v>
      </c>
      <c r="AB808" s="10">
        <v>-25.704999999999998</v>
      </c>
      <c r="AC808" s="8">
        <v>0</v>
      </c>
      <c r="AD808" s="8">
        <v>0</v>
      </c>
      <c r="AE808" s="8">
        <v>0</v>
      </c>
      <c r="AF808" s="10">
        <v>0</v>
      </c>
      <c r="AG808" s="8">
        <f>COUNTIF(Y808:AB808,"&gt;0")</f>
        <v>1</v>
      </c>
      <c r="AH808" s="10">
        <v>0</v>
      </c>
      <c r="AI808" s="10">
        <v>2.6859999999999999</v>
      </c>
      <c r="AJ808" s="8" t="str">
        <f>IF(ISNUMBER(X808),IF(X808&gt;0,"+",IF(X808&lt;0,"−","0")),IF(ISNUMBER(W808),IF(W808&gt;0,"+",IF(W808&lt;0,"−","0")),"yok"))</f>
        <v>yok</v>
      </c>
      <c r="AK808" s="10" t="str">
        <f>IF(AND(RIGHT(C808,2)&lt;&gt;"12",ISNUMBER(U808),ISNUMBER(V808)),U808-V808,"")</f>
        <v/>
      </c>
      <c r="AL808" s="11" t="str">
        <f>IF(AND(ISNUMBER(AK808),ISNUMBER(V808)),IF(V808&lt;&gt;0,AK808/ABS(V808),""),"")</f>
        <v/>
      </c>
      <c r="AM808" s="8" t="str">
        <f>IF(ISNUMBER(AK808),IF(AK808&gt;1,1,0),"")</f>
        <v/>
      </c>
      <c r="AN808" s="8" t="str">
        <f>IF(ISNUMBER(AK808),IF(AK808&gt;0.05*ABS(V808),1,0),"")</f>
        <v/>
      </c>
      <c r="AO808" s="10">
        <v>-59.768822999999998</v>
      </c>
      <c r="AP808" s="10">
        <v>59.768822999999998</v>
      </c>
      <c r="AQ808" s="8" t="s">
        <v>209</v>
      </c>
      <c r="AR808" s="8">
        <v>0</v>
      </c>
      <c r="AS808" s="10">
        <v>3288.279</v>
      </c>
      <c r="AT808" s="10">
        <v>1754.090177</v>
      </c>
      <c r="AU808" s="8" t="s">
        <v>209</v>
      </c>
      <c r="AV808" s="10">
        <v>2.6859999999999999</v>
      </c>
      <c r="AW808" s="11">
        <f>IF(AND(ISNUMBER(AV808),ISNUMBER(AT808)),IF(AT808&lt;&gt;0,AV808/ABS(AT808),""),"")</f>
        <v>1.5312781721369846E-3</v>
      </c>
      <c r="AX808" s="8">
        <v>0</v>
      </c>
      <c r="AY808" s="8">
        <v>0</v>
      </c>
      <c r="AZ808" s="10"/>
      <c r="BA808" s="8">
        <v>0</v>
      </c>
    </row>
    <row r="809" spans="1:53" x14ac:dyDescent="0.2">
      <c r="A809" s="8" t="s">
        <v>609</v>
      </c>
      <c r="B809" s="8" t="s">
        <v>82</v>
      </c>
      <c r="C809" s="8" t="s">
        <v>205</v>
      </c>
      <c r="D809" s="8">
        <v>1</v>
      </c>
      <c r="E809" s="8">
        <v>0</v>
      </c>
      <c r="F809" s="8">
        <f>SUM(G809:M809)</f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1</v>
      </c>
      <c r="Q809" s="8">
        <v>0</v>
      </c>
      <c r="R809" s="8">
        <v>1</v>
      </c>
      <c r="S809" s="8">
        <v>0</v>
      </c>
      <c r="T809" s="10"/>
      <c r="U809" s="10">
        <v>-46.000999999999998</v>
      </c>
      <c r="V809" s="10">
        <v>-27.186</v>
      </c>
      <c r="W809" s="10" t="str">
        <f>IF(RIGHT(C809,2)="12",IF(ISNUMBER(T809),T809,""),IF(COUNT(T809,U809,V809)=3,T809+U809-V809,""))</f>
        <v/>
      </c>
      <c r="X809" s="10"/>
      <c r="Y809" s="10">
        <v>2.6859999999999999</v>
      </c>
      <c r="Z809" s="10">
        <v>-21.501000000000001</v>
      </c>
      <c r="AA809" s="10">
        <v>-25.704999999999998</v>
      </c>
      <c r="AB809" s="10"/>
      <c r="AC809" s="8">
        <v>0</v>
      </c>
      <c r="AD809" s="8">
        <v>0</v>
      </c>
      <c r="AE809" s="8">
        <v>0</v>
      </c>
      <c r="AF809" s="10">
        <v>0</v>
      </c>
      <c r="AG809" s="8">
        <f>COUNTIF(Y809:AB809,"&gt;0")</f>
        <v>1</v>
      </c>
      <c r="AH809" s="10">
        <v>0</v>
      </c>
      <c r="AI809" s="10">
        <v>2.6859999999999999</v>
      </c>
      <c r="AJ809" s="8" t="str">
        <f>IF(ISNUMBER(X809),IF(X809&gt;0,"+",IF(X809&lt;0,"−","0")),IF(ISNUMBER(W809),IF(W809&gt;0,"+",IF(W809&lt;0,"−","0")),"yok"))</f>
        <v>yok</v>
      </c>
      <c r="AK809" s="10">
        <f>IF(AND(RIGHT(C809,2)&lt;&gt;"12",ISNUMBER(U809),ISNUMBER(V809)),U809-V809,"")</f>
        <v>-18.814999999999998</v>
      </c>
      <c r="AL809" s="11">
        <f>IF(AND(ISNUMBER(AK809),ISNUMBER(V809)),IF(V809&lt;&gt;0,AK809/ABS(V809),""),"")</f>
        <v>-0.69208416096520264</v>
      </c>
      <c r="AM809" s="8">
        <f>IF(ISNUMBER(AK809),IF(AK809&gt;1,1,0),"")</f>
        <v>0</v>
      </c>
      <c r="AN809" s="8">
        <f>IF(ISNUMBER(AK809),IF(AK809&gt;0.05*ABS(V809),1,0),"")</f>
        <v>0</v>
      </c>
      <c r="AO809" s="10"/>
      <c r="AP809" s="10"/>
      <c r="AQ809" s="8" t="s">
        <v>207</v>
      </c>
      <c r="AR809" s="8">
        <v>0</v>
      </c>
      <c r="AS809" s="10">
        <v>4341.3459999999995</v>
      </c>
      <c r="AT809" s="10"/>
      <c r="AU809" s="8" t="s">
        <v>207</v>
      </c>
      <c r="AV809" s="10">
        <v>2.6859999999999999</v>
      </c>
      <c r="AW809" s="11" t="str">
        <f>IF(AND(ISNUMBER(AV809),ISNUMBER(AT809)),IF(AT809&lt;&gt;0,AV809/ABS(AT809),""),"")</f>
        <v/>
      </c>
      <c r="AX809" s="8">
        <v>0</v>
      </c>
      <c r="AY809" s="8">
        <v>0</v>
      </c>
      <c r="AZ809" s="10"/>
      <c r="BA809" s="8">
        <v>0</v>
      </c>
    </row>
    <row r="810" spans="1:53" x14ac:dyDescent="0.2">
      <c r="A810" s="8" t="s">
        <v>402</v>
      </c>
      <c r="B810" s="8" t="s">
        <v>82</v>
      </c>
      <c r="C810" s="8" t="s">
        <v>203</v>
      </c>
      <c r="D810" s="8">
        <v>1</v>
      </c>
      <c r="E810" s="8">
        <v>0</v>
      </c>
      <c r="F810" s="8">
        <f>SUM(G810:M810)</f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1</v>
      </c>
      <c r="Q810" s="8">
        <v>0</v>
      </c>
      <c r="R810" s="8">
        <v>1</v>
      </c>
      <c r="S810" s="8">
        <v>0</v>
      </c>
      <c r="T810" s="10">
        <v>-23.916</v>
      </c>
      <c r="U810" s="10">
        <v>-165.72499999999999</v>
      </c>
      <c r="V810" s="10">
        <v>-58.091000000000001</v>
      </c>
      <c r="W810" s="10">
        <f>IF(RIGHT(C810,2)="12",IF(ISNUMBER(T810),T810,""),IF(COUNT(T810,U810,V810)=3,T810+U810-V810,""))</f>
        <v>-131.54999999999998</v>
      </c>
      <c r="X810" s="10">
        <v>-131.55099999999999</v>
      </c>
      <c r="Y810" s="10">
        <v>-48.033999999999999</v>
      </c>
      <c r="Z810" s="10">
        <v>-80.194000000000003</v>
      </c>
      <c r="AA810" s="10">
        <v>20.594000000000001</v>
      </c>
      <c r="AB810" s="10">
        <v>-23.916</v>
      </c>
      <c r="AC810" s="8">
        <v>0</v>
      </c>
      <c r="AD810" s="8">
        <v>0</v>
      </c>
      <c r="AE810" s="8">
        <v>0</v>
      </c>
      <c r="AF810" s="10">
        <v>0</v>
      </c>
      <c r="AG810" s="8">
        <f>COUNTIF(Y810:AB810,"&gt;0")</f>
        <v>1</v>
      </c>
      <c r="AH810" s="10">
        <v>0</v>
      </c>
      <c r="AI810" s="10">
        <v>20.594000000000001</v>
      </c>
      <c r="AJ810" s="8" t="str">
        <f>IF(ISNUMBER(X810),IF(X810&gt;0,"+",IF(X810&lt;0,"−","0")),IF(ISNUMBER(W810),IF(W810&gt;0,"+",IF(W810&lt;0,"−","0")),"yok"))</f>
        <v>−</v>
      </c>
      <c r="AK810" s="10">
        <f>IF(AND(RIGHT(C810,2)&lt;&gt;"12",ISNUMBER(U810),ISNUMBER(V810)),U810-V810,"")</f>
        <v>-107.63399999999999</v>
      </c>
      <c r="AL810" s="11">
        <f>IF(AND(ISNUMBER(AK810),ISNUMBER(V810)),IF(V810&lt;&gt;0,AK810/ABS(V810),""),"")</f>
        <v>-1.8528515604826907</v>
      </c>
      <c r="AM810" s="8">
        <f>IF(ISNUMBER(AK810),IF(AK810&gt;1,1,0),"")</f>
        <v>0</v>
      </c>
      <c r="AN810" s="8">
        <f>IF(ISNUMBER(AK810),IF(AK810&gt;0.05*ABS(V810),1,0),"")</f>
        <v>0</v>
      </c>
      <c r="AO810" s="10">
        <v>-131.55099999999999</v>
      </c>
      <c r="AP810" s="10">
        <v>131.55099999999999</v>
      </c>
      <c r="AQ810" s="8" t="s">
        <v>204</v>
      </c>
      <c r="AR810" s="8">
        <v>0</v>
      </c>
      <c r="AS810" s="10">
        <v>228.26900000000001</v>
      </c>
      <c r="AT810" s="10">
        <v>35.160999999999902</v>
      </c>
      <c r="AU810" s="8" t="s">
        <v>204</v>
      </c>
      <c r="AV810" s="10">
        <v>20.594000000000001</v>
      </c>
      <c r="AW810" s="11">
        <f>IF(AND(ISNUMBER(AV810),ISNUMBER(AT810)),IF(AT810&lt;&gt;0,AV810/ABS(AT810),""),"")</f>
        <v>0.58570575353374643</v>
      </c>
      <c r="AX810" s="8">
        <v>0</v>
      </c>
      <c r="AY810" s="8">
        <v>0</v>
      </c>
      <c r="AZ810" s="10"/>
      <c r="BA810" s="8">
        <v>0</v>
      </c>
    </row>
    <row r="811" spans="1:53" x14ac:dyDescent="0.2">
      <c r="A811" s="8" t="s">
        <v>402</v>
      </c>
      <c r="B811" s="8" t="s">
        <v>82</v>
      </c>
      <c r="C811" s="8" t="s">
        <v>205</v>
      </c>
      <c r="D811" s="8">
        <v>1</v>
      </c>
      <c r="E811" s="8">
        <v>0</v>
      </c>
      <c r="F811" s="8">
        <f>SUM(G811:M811)</f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1</v>
      </c>
      <c r="Q811" s="8">
        <v>0</v>
      </c>
      <c r="R811" s="8">
        <v>1</v>
      </c>
      <c r="S811" s="8">
        <v>1</v>
      </c>
      <c r="T811" s="10">
        <v>-22.164000000000001</v>
      </c>
      <c r="U811" s="10">
        <v>-165.72499999999999</v>
      </c>
      <c r="V811" s="10">
        <v>-106.125</v>
      </c>
      <c r="W811" s="10">
        <f>IF(RIGHT(C811,2)="12",IF(ISNUMBER(T811),T811,""),IF(COUNT(T811,U811,V811)=3,T811+U811-V811,""))</f>
        <v>-81.76400000000001</v>
      </c>
      <c r="X811" s="10">
        <v>-81.763999999999996</v>
      </c>
      <c r="Y811" s="10">
        <v>-80.194000000000003</v>
      </c>
      <c r="Z811" s="10">
        <v>20.594000000000001</v>
      </c>
      <c r="AA811" s="10">
        <v>-23.916</v>
      </c>
      <c r="AB811" s="10">
        <v>1.752</v>
      </c>
      <c r="AC811" s="8">
        <v>0</v>
      </c>
      <c r="AD811" s="8">
        <v>0</v>
      </c>
      <c r="AE811" s="8">
        <v>0</v>
      </c>
      <c r="AF811" s="10">
        <v>0</v>
      </c>
      <c r="AG811" s="8">
        <f>COUNTIF(Y811:AB811,"&gt;0")</f>
        <v>2</v>
      </c>
      <c r="AH811" s="10">
        <v>1.752</v>
      </c>
      <c r="AI811" s="10">
        <v>20.594000000000001</v>
      </c>
      <c r="AJ811" s="8" t="str">
        <f>IF(ISNUMBER(X811),IF(X811&gt;0,"+",IF(X811&lt;0,"−","0")),IF(ISNUMBER(W811),IF(W811&gt;0,"+",IF(W811&lt;0,"−","0")),"yok"))</f>
        <v>−</v>
      </c>
      <c r="AK811" s="10">
        <f>IF(AND(RIGHT(C811,2)&lt;&gt;"12",ISNUMBER(U811),ISNUMBER(V811)),U811-V811,"")</f>
        <v>-59.599999999999994</v>
      </c>
      <c r="AL811" s="11">
        <f>IF(AND(ISNUMBER(AK811),ISNUMBER(V811)),IF(V811&lt;&gt;0,AK811/ABS(V811),""),"")</f>
        <v>-0.56160188457008242</v>
      </c>
      <c r="AM811" s="8">
        <f>IF(ISNUMBER(AK811),IF(AK811&gt;1,1,0),"")</f>
        <v>0</v>
      </c>
      <c r="AN811" s="8">
        <f>IF(ISNUMBER(AK811),IF(AK811&gt;0.05*ABS(V811),1,0),"")</f>
        <v>0</v>
      </c>
      <c r="AO811" s="10">
        <v>-81.765000000000001</v>
      </c>
      <c r="AP811" s="10">
        <v>81.765000000000001</v>
      </c>
      <c r="AQ811" s="8" t="s">
        <v>204</v>
      </c>
      <c r="AR811" s="8">
        <v>0</v>
      </c>
      <c r="AS811" s="10">
        <v>169.48500000000001</v>
      </c>
      <c r="AT811" s="10">
        <v>21.98</v>
      </c>
      <c r="AU811" s="8" t="s">
        <v>204</v>
      </c>
      <c r="AV811" s="10">
        <v>20.594000000000001</v>
      </c>
      <c r="AW811" s="11">
        <f>IF(AND(ISNUMBER(AV811),ISNUMBER(AT811)),IF(AT811&lt;&gt;0,AV811/ABS(AT811),""),"")</f>
        <v>0.93694267515923568</v>
      </c>
      <c r="AX811" s="8">
        <v>0</v>
      </c>
      <c r="AY811" s="8">
        <v>0</v>
      </c>
      <c r="AZ811" s="10"/>
      <c r="BA811" s="8">
        <v>0</v>
      </c>
    </row>
    <row r="812" spans="1:53" x14ac:dyDescent="0.2">
      <c r="A812" s="8" t="s">
        <v>402</v>
      </c>
      <c r="B812" s="8" t="s">
        <v>82</v>
      </c>
      <c r="C812" s="8" t="s">
        <v>290</v>
      </c>
      <c r="D812" s="8">
        <v>1</v>
      </c>
      <c r="E812" s="8">
        <v>0</v>
      </c>
      <c r="F812" s="8">
        <f>SUM(G812:M812)</f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1</v>
      </c>
      <c r="Q812" s="8">
        <v>0</v>
      </c>
      <c r="R812" s="8">
        <v>0</v>
      </c>
      <c r="S812" s="8">
        <v>1</v>
      </c>
      <c r="T812" s="10">
        <v>-57.209000000000003</v>
      </c>
      <c r="U812" s="10"/>
      <c r="V812" s="10"/>
      <c r="W812" s="10">
        <f>IF(RIGHT(C812,2)="12",IF(ISNUMBER(T812),T812,""),IF(COUNT(T812,U812,V812)=3,T812+U812-V812,""))</f>
        <v>-57.209000000000003</v>
      </c>
      <c r="X812" s="10">
        <v>-57.209000000000003</v>
      </c>
      <c r="Y812" s="10">
        <v>-23.916</v>
      </c>
      <c r="Z812" s="10">
        <v>1.752</v>
      </c>
      <c r="AA812" s="10">
        <v>-87.790999999999997</v>
      </c>
      <c r="AB812" s="10">
        <v>52.746000000000002</v>
      </c>
      <c r="AC812" s="8">
        <v>0</v>
      </c>
      <c r="AD812" s="8">
        <v>0</v>
      </c>
      <c r="AE812" s="8">
        <v>0</v>
      </c>
      <c r="AF812" s="10">
        <v>0</v>
      </c>
      <c r="AG812" s="8">
        <f>COUNTIF(Y812:AB812,"&gt;0")</f>
        <v>2</v>
      </c>
      <c r="AH812" s="10">
        <v>54.497999999999998</v>
      </c>
      <c r="AI812" s="10">
        <v>0</v>
      </c>
      <c r="AJ812" s="8" t="str">
        <f>IF(ISNUMBER(X812),IF(X812&gt;0,"+",IF(X812&lt;0,"−","0")),IF(ISNUMBER(W812),IF(W812&gt;0,"+",IF(W812&lt;0,"−","0")),"yok"))</f>
        <v>−</v>
      </c>
      <c r="AK812" s="10" t="str">
        <f>IF(AND(RIGHT(C812,2)&lt;&gt;"12",ISNUMBER(U812),ISNUMBER(V812)),U812-V812,"")</f>
        <v/>
      </c>
      <c r="AL812" s="11" t="str">
        <f>IF(AND(ISNUMBER(AK812),ISNUMBER(V812)),IF(V812&lt;&gt;0,AK812/ABS(V812),""),"")</f>
        <v/>
      </c>
      <c r="AM812" s="8" t="str">
        <f>IF(ISNUMBER(AK812),IF(AK812&gt;1,1,0),"")</f>
        <v/>
      </c>
      <c r="AN812" s="8" t="str">
        <f>IF(ISNUMBER(AK812),IF(AK812&gt;0.05*ABS(V812),1,0),"")</f>
        <v/>
      </c>
      <c r="AO812" s="10">
        <v>-57.209000000000003</v>
      </c>
      <c r="AP812" s="10">
        <v>57.209000000000003</v>
      </c>
      <c r="AQ812" s="8" t="s">
        <v>204</v>
      </c>
      <c r="AR812" s="8">
        <v>0</v>
      </c>
      <c r="AS812" s="10">
        <v>296.79500000000002</v>
      </c>
      <c r="AT812" s="10">
        <v>206.654</v>
      </c>
      <c r="AU812" s="8" t="s">
        <v>204</v>
      </c>
      <c r="AV812" s="10">
        <v>52.746000000000002</v>
      </c>
      <c r="AW812" s="11">
        <f>IF(AND(ISNUMBER(AV812),ISNUMBER(AT812)),IF(AT812&lt;&gt;0,AV812/ABS(AT812),""),"")</f>
        <v>0.2552382242782622</v>
      </c>
      <c r="AX812" s="8">
        <v>0</v>
      </c>
      <c r="AY812" s="8">
        <v>0</v>
      </c>
      <c r="AZ812" s="10"/>
      <c r="BA812" s="8">
        <v>0</v>
      </c>
    </row>
    <row r="813" spans="1:53" x14ac:dyDescent="0.2">
      <c r="A813" s="8" t="s">
        <v>402</v>
      </c>
      <c r="B813" s="8" t="s">
        <v>82</v>
      </c>
      <c r="C813" s="8" t="s">
        <v>208</v>
      </c>
      <c r="D813" s="8">
        <v>1</v>
      </c>
      <c r="E813" s="8">
        <v>0</v>
      </c>
      <c r="F813" s="8">
        <f>SUM(G813:M813)</f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1</v>
      </c>
      <c r="Q813" s="8">
        <v>0</v>
      </c>
      <c r="R813" s="8">
        <v>1</v>
      </c>
      <c r="S813" s="8">
        <v>0</v>
      </c>
      <c r="T813" s="10">
        <v>-4.319</v>
      </c>
      <c r="U813" s="10">
        <v>-57.209000000000003</v>
      </c>
      <c r="V813" s="10">
        <v>-23.916</v>
      </c>
      <c r="W813" s="10">
        <f>IF(RIGHT(C813,2)="12",IF(ISNUMBER(T813),T813,""),IF(COUNT(T813,U813,V813)=3,T813+U813-V813,""))</f>
        <v>-37.612000000000009</v>
      </c>
      <c r="X813" s="10">
        <v>-37.612000000000002</v>
      </c>
      <c r="Y813" s="10">
        <v>1.752</v>
      </c>
      <c r="Z813" s="10">
        <v>-87.790999999999997</v>
      </c>
      <c r="AA813" s="10">
        <v>52.746000000000002</v>
      </c>
      <c r="AB813" s="10">
        <v>-4.319</v>
      </c>
      <c r="AC813" s="8">
        <v>0</v>
      </c>
      <c r="AD813" s="8">
        <v>0</v>
      </c>
      <c r="AE813" s="8">
        <v>0</v>
      </c>
      <c r="AF813" s="10">
        <v>0</v>
      </c>
      <c r="AG813" s="8">
        <f>COUNTIF(Y813:AB813,"&gt;0")</f>
        <v>2</v>
      </c>
      <c r="AH813" s="10">
        <v>0</v>
      </c>
      <c r="AI813" s="10">
        <v>54.497999999999998</v>
      </c>
      <c r="AJ813" s="8" t="str">
        <f>IF(ISNUMBER(X813),IF(X813&gt;0,"+",IF(X813&lt;0,"−","0")),IF(ISNUMBER(W813),IF(W813&gt;0,"+",IF(W813&lt;0,"−","0")),"yok"))</f>
        <v>−</v>
      </c>
      <c r="AK813" s="10">
        <f>IF(AND(RIGHT(C813,2)&lt;&gt;"12",ISNUMBER(U813),ISNUMBER(V813)),U813-V813,"")</f>
        <v>-33.293000000000006</v>
      </c>
      <c r="AL813" s="11">
        <f>IF(AND(ISNUMBER(AK813),ISNUMBER(V813)),IF(V813&lt;&gt;0,AK813/ABS(V813),""),"")</f>
        <v>-1.39208061548754</v>
      </c>
      <c r="AM813" s="8">
        <f>IF(ISNUMBER(AK813),IF(AK813&gt;1,1,0),"")</f>
        <v>0</v>
      </c>
      <c r="AN813" s="8">
        <f>IF(ISNUMBER(AK813),IF(AK813&gt;0.05*ABS(V813),1,0),"")</f>
        <v>0</v>
      </c>
      <c r="AO813" s="10">
        <v>-37.610999999999997</v>
      </c>
      <c r="AP813" s="10">
        <v>37.610999999999997</v>
      </c>
      <c r="AQ813" s="8" t="s">
        <v>204</v>
      </c>
      <c r="AR813" s="8">
        <v>0</v>
      </c>
      <c r="AS813" s="10">
        <v>264.75799999999998</v>
      </c>
      <c r="AT813" s="10">
        <v>168.69900000000001</v>
      </c>
      <c r="AU813" s="8" t="s">
        <v>204</v>
      </c>
      <c r="AV813" s="10">
        <v>52.746000000000002</v>
      </c>
      <c r="AW813" s="11">
        <f>IF(AND(ISNUMBER(AV813),ISNUMBER(AT813)),IF(AT813&lt;&gt;0,AV813/ABS(AT813),""),"")</f>
        <v>0.31266338271121941</v>
      </c>
      <c r="AX813" s="8">
        <v>0</v>
      </c>
      <c r="AY813" s="8">
        <v>0</v>
      </c>
      <c r="AZ813" s="10"/>
      <c r="BA813" s="8">
        <v>0</v>
      </c>
    </row>
    <row r="814" spans="1:53" x14ac:dyDescent="0.2">
      <c r="A814" s="8" t="s">
        <v>402</v>
      </c>
      <c r="B814" s="8" t="s">
        <v>82</v>
      </c>
      <c r="C814" s="8" t="s">
        <v>210</v>
      </c>
      <c r="D814" s="8">
        <v>1</v>
      </c>
      <c r="E814" s="8">
        <v>0</v>
      </c>
      <c r="F814" s="8">
        <f>SUM(G814:M814)</f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1</v>
      </c>
      <c r="Q814" s="8">
        <v>0</v>
      </c>
      <c r="R814" s="8">
        <v>1</v>
      </c>
      <c r="S814" s="8">
        <v>0</v>
      </c>
      <c r="T814" s="10">
        <v>-90.004000000000005</v>
      </c>
      <c r="U814" s="10">
        <v>-57.209000000000003</v>
      </c>
      <c r="V814" s="10">
        <v>-22.164000000000001</v>
      </c>
      <c r="W814" s="10">
        <f>IF(RIGHT(C814,2)="12",IF(ISNUMBER(T814),T814,""),IF(COUNT(T814,U814,V814)=3,T814+U814-V814,""))</f>
        <v>-125.04900000000002</v>
      </c>
      <c r="X814" s="10">
        <v>-125.04900000000001</v>
      </c>
      <c r="Y814" s="10">
        <v>-87.790999999999997</v>
      </c>
      <c r="Z814" s="10">
        <v>52.746000000000002</v>
      </c>
      <c r="AA814" s="10">
        <v>-4.319</v>
      </c>
      <c r="AB814" s="10">
        <v>-85.685000000000002</v>
      </c>
      <c r="AC814" s="8">
        <v>0</v>
      </c>
      <c r="AD814" s="8">
        <v>0</v>
      </c>
      <c r="AE814" s="8">
        <v>0</v>
      </c>
      <c r="AF814" s="10">
        <v>0</v>
      </c>
      <c r="AG814" s="8">
        <f>COUNTIF(Y814:AB814,"&gt;0")</f>
        <v>1</v>
      </c>
      <c r="AH814" s="10">
        <v>0</v>
      </c>
      <c r="AI814" s="10">
        <v>52.746000000000002</v>
      </c>
      <c r="AJ814" s="8" t="str">
        <f>IF(ISNUMBER(X814),IF(X814&gt;0,"+",IF(X814&lt;0,"−","0")),IF(ISNUMBER(W814),IF(W814&gt;0,"+",IF(W814&lt;0,"−","0")),"yok"))</f>
        <v>−</v>
      </c>
      <c r="AK814" s="10">
        <f>IF(AND(RIGHT(C814,2)&lt;&gt;"12",ISNUMBER(U814),ISNUMBER(V814)),U814-V814,"")</f>
        <v>-35.045000000000002</v>
      </c>
      <c r="AL814" s="11">
        <f>IF(AND(ISNUMBER(AK814),ISNUMBER(V814)),IF(V814&lt;&gt;0,AK814/ABS(V814),""),"")</f>
        <v>-1.5811676592672803</v>
      </c>
      <c r="AM814" s="8">
        <f>IF(ISNUMBER(AK814),IF(AK814&gt;1,1,0),"")</f>
        <v>0</v>
      </c>
      <c r="AN814" s="8">
        <f>IF(ISNUMBER(AK814),IF(AK814&gt;0.05*ABS(V814),1,0),"")</f>
        <v>0</v>
      </c>
      <c r="AO814" s="10">
        <v>-125.048</v>
      </c>
      <c r="AP814" s="10">
        <v>125.048</v>
      </c>
      <c r="AQ814" s="8" t="s">
        <v>204</v>
      </c>
      <c r="AR814" s="8">
        <v>0</v>
      </c>
      <c r="AS814" s="10">
        <v>334.88400000000001</v>
      </c>
      <c r="AT814" s="10">
        <v>169.98599999999999</v>
      </c>
      <c r="AU814" s="8" t="s">
        <v>204</v>
      </c>
      <c r="AV814" s="10">
        <v>52.746000000000002</v>
      </c>
      <c r="AW814" s="11">
        <f>IF(AND(ISNUMBER(AV814),ISNUMBER(AT814)),IF(AT814&lt;&gt;0,AV814/ABS(AT814),""),"")</f>
        <v>0.31029614203522649</v>
      </c>
      <c r="AX814" s="8">
        <v>0</v>
      </c>
      <c r="AY814" s="8">
        <v>0</v>
      </c>
      <c r="AZ814" s="10"/>
      <c r="BA814" s="8">
        <v>0</v>
      </c>
    </row>
    <row r="815" spans="1:53" x14ac:dyDescent="0.2">
      <c r="A815" s="8" t="s">
        <v>402</v>
      </c>
      <c r="B815" s="8" t="s">
        <v>83</v>
      </c>
      <c r="C815" s="8" t="s">
        <v>210</v>
      </c>
      <c r="D815" s="8">
        <v>1</v>
      </c>
      <c r="E815" s="8">
        <v>0</v>
      </c>
      <c r="F815" s="8">
        <f>SUM(G815:M815)</f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1</v>
      </c>
      <c r="Q815" s="8">
        <v>0</v>
      </c>
      <c r="R815" s="8">
        <v>0</v>
      </c>
      <c r="S815" s="8">
        <v>1</v>
      </c>
      <c r="T815" s="10">
        <v>-16.417000000000002</v>
      </c>
      <c r="U815" s="10">
        <v>-32.932000000000002</v>
      </c>
      <c r="V815" s="10">
        <v>-9.4979999999999993</v>
      </c>
      <c r="W815" s="10">
        <f>IF(RIGHT(C815,2)="12",IF(ISNUMBER(T815),T815,""),IF(COUNT(T815,U815,V815)=3,T815+U815-V815,""))</f>
        <v>-39.851000000000006</v>
      </c>
      <c r="X815" s="10">
        <v>-39.85</v>
      </c>
      <c r="Y815" s="10">
        <v>-9.3719999999999999</v>
      </c>
      <c r="Z815" s="10">
        <v>-14.061</v>
      </c>
      <c r="AA815" s="10">
        <v>-33.159999999999997</v>
      </c>
      <c r="AB815" s="10">
        <v>16.742999999999999</v>
      </c>
      <c r="AC815" s="8">
        <v>0</v>
      </c>
      <c r="AD815" s="8">
        <v>0</v>
      </c>
      <c r="AE815" s="8">
        <v>0</v>
      </c>
      <c r="AF815" s="10">
        <v>0</v>
      </c>
      <c r="AG815" s="8">
        <f>COUNTIF(Y815:AB815,"&gt;0")</f>
        <v>1</v>
      </c>
      <c r="AH815" s="10">
        <v>16.742999999999999</v>
      </c>
      <c r="AI815" s="10">
        <v>0</v>
      </c>
      <c r="AJ815" s="8" t="str">
        <f>IF(ISNUMBER(X815),IF(X815&gt;0,"+",IF(X815&lt;0,"−","0")),IF(ISNUMBER(W815),IF(W815&gt;0,"+",IF(W815&lt;0,"−","0")),"yok"))</f>
        <v>−</v>
      </c>
      <c r="AK815" s="10">
        <f>IF(AND(RIGHT(C815,2)&lt;&gt;"12",ISNUMBER(U815),ISNUMBER(V815)),U815-V815,"")</f>
        <v>-23.434000000000005</v>
      </c>
      <c r="AL815" s="11">
        <f>IF(AND(ISNUMBER(AK815),ISNUMBER(V815)),IF(V815&lt;&gt;0,AK815/ABS(V815),""),"")</f>
        <v>-2.4672562644767324</v>
      </c>
      <c r="AM815" s="8">
        <f>IF(ISNUMBER(AK815),IF(AK815&gt;1,1,0),"")</f>
        <v>0</v>
      </c>
      <c r="AN815" s="8">
        <f>IF(ISNUMBER(AK815),IF(AK815&gt;0.05*ABS(V815),1,0),"")</f>
        <v>0</v>
      </c>
      <c r="AO815" s="10">
        <v>-39.85</v>
      </c>
      <c r="AP815" s="10">
        <v>39.85</v>
      </c>
      <c r="AQ815" s="8" t="s">
        <v>204</v>
      </c>
      <c r="AR815" s="8">
        <v>0</v>
      </c>
      <c r="AS815" s="10">
        <v>334.88400000000001</v>
      </c>
      <c r="AT815" s="10">
        <v>169.98599999999999</v>
      </c>
      <c r="AU815" s="8" t="s">
        <v>204</v>
      </c>
      <c r="AV815" s="10">
        <v>16.742999999999999</v>
      </c>
      <c r="AW815" s="11">
        <f>IF(AND(ISNUMBER(AV815),ISNUMBER(AT815)),IF(AT815&lt;&gt;0,AV815/ABS(AT815),""),"")</f>
        <v>9.8496346757968298E-2</v>
      </c>
      <c r="AX815" s="8">
        <v>0</v>
      </c>
      <c r="AY815" s="8">
        <v>0</v>
      </c>
      <c r="AZ815" s="10"/>
      <c r="BA815" s="8">
        <v>0</v>
      </c>
    </row>
    <row r="816" spans="1:53" x14ac:dyDescent="0.2">
      <c r="A816" s="8" t="s">
        <v>406</v>
      </c>
      <c r="B816" s="8" t="s">
        <v>83</v>
      </c>
      <c r="C816" s="8" t="s">
        <v>205</v>
      </c>
      <c r="D816" s="8">
        <v>1</v>
      </c>
      <c r="E816" s="8">
        <v>0</v>
      </c>
      <c r="F816" s="8">
        <f>SUM(G816:M816)</f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1</v>
      </c>
      <c r="Q816" s="8">
        <v>0</v>
      </c>
      <c r="R816" s="8">
        <v>0</v>
      </c>
      <c r="S816" s="8">
        <v>1</v>
      </c>
      <c r="T816" s="10">
        <v>-122.66</v>
      </c>
      <c r="U816" s="10">
        <v>-970.12300000000005</v>
      </c>
      <c r="V816" s="10">
        <v>-909.47400000000005</v>
      </c>
      <c r="W816" s="10">
        <f>IF(RIGHT(C816,2)="12",IF(ISNUMBER(T816),T816,""),IF(COUNT(T816,U816,V816)=3,T816+U816-V816,""))</f>
        <v>-183.30900000000008</v>
      </c>
      <c r="X816" s="10">
        <v>-183.309</v>
      </c>
      <c r="Y816" s="10">
        <v>-60.648000000000003</v>
      </c>
      <c r="Z816" s="10">
        <v>0</v>
      </c>
      <c r="AA816" s="10">
        <v>-598.93600000000004</v>
      </c>
      <c r="AB816" s="10">
        <v>476.27600000000001</v>
      </c>
      <c r="AC816" s="8">
        <v>0</v>
      </c>
      <c r="AD816" s="8">
        <v>0</v>
      </c>
      <c r="AE816" s="8">
        <v>0</v>
      </c>
      <c r="AF816" s="10">
        <v>0</v>
      </c>
      <c r="AG816" s="8">
        <f>COUNTIF(Y816:AB816,"&gt;0")</f>
        <v>1</v>
      </c>
      <c r="AH816" s="10">
        <v>476.27600000000001</v>
      </c>
      <c r="AI816" s="10">
        <v>0</v>
      </c>
      <c r="AJ816" s="8" t="str">
        <f>IF(ISNUMBER(X816),IF(X816&gt;0,"+",IF(X816&lt;0,"−","0")),IF(ISNUMBER(W816),IF(W816&gt;0,"+",IF(W816&lt;0,"−","0")),"yok"))</f>
        <v>−</v>
      </c>
      <c r="AK816" s="10">
        <f>IF(AND(RIGHT(C816,2)&lt;&gt;"12",ISNUMBER(U816),ISNUMBER(V816)),U816-V816,"")</f>
        <v>-60.649000000000001</v>
      </c>
      <c r="AL816" s="11">
        <f>IF(AND(ISNUMBER(AK816),ISNUMBER(V816)),IF(V816&lt;&gt;0,AK816/ABS(V816),""),"")</f>
        <v>-6.6685798604468077E-2</v>
      </c>
      <c r="AM816" s="8">
        <f>IF(ISNUMBER(AK816),IF(AK816&gt;1,1,0),"")</f>
        <v>0</v>
      </c>
      <c r="AN816" s="8">
        <f>IF(ISNUMBER(AK816),IF(AK816&gt;0.05*ABS(V816),1,0),"")</f>
        <v>0</v>
      </c>
      <c r="AO816" s="10">
        <v>-183.31</v>
      </c>
      <c r="AP816" s="10">
        <v>183.31</v>
      </c>
      <c r="AQ816" s="8" t="s">
        <v>204</v>
      </c>
      <c r="AR816" s="8">
        <v>0</v>
      </c>
      <c r="AS816" s="10">
        <v>177.51499999999999</v>
      </c>
      <c r="AT816" s="10">
        <v>-5.79499999999996</v>
      </c>
      <c r="AU816" s="8" t="s">
        <v>204</v>
      </c>
      <c r="AV816" s="10">
        <v>476.27600000000001</v>
      </c>
      <c r="AW816" s="11">
        <f>IF(AND(ISNUMBER(AV816),ISNUMBER(AT816)),IF(AT816&lt;&gt;0,AV816/ABS(AT816),""),"")</f>
        <v>82.187402933563988</v>
      </c>
      <c r="AX816" s="8">
        <v>0</v>
      </c>
      <c r="AY816" s="8">
        <v>0</v>
      </c>
      <c r="AZ816" s="10"/>
      <c r="BA816" s="8">
        <v>0</v>
      </c>
    </row>
    <row r="817" spans="1:53" x14ac:dyDescent="0.2">
      <c r="A817" s="8" t="s">
        <v>406</v>
      </c>
      <c r="B817" s="8" t="s">
        <v>83</v>
      </c>
      <c r="C817" s="8" t="s">
        <v>215</v>
      </c>
      <c r="D817" s="8">
        <v>1</v>
      </c>
      <c r="E817" s="8">
        <v>0</v>
      </c>
      <c r="F817" s="8">
        <f>SUM(G817:M817)</f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1</v>
      </c>
      <c r="Q817" s="8">
        <v>0</v>
      </c>
      <c r="R817" s="8">
        <v>0</v>
      </c>
      <c r="S817" s="8">
        <v>1</v>
      </c>
      <c r="T817" s="10">
        <v>-123.407</v>
      </c>
      <c r="U817" s="10">
        <v>-970.12300000000005</v>
      </c>
      <c r="V817" s="10">
        <v>-970.12300000000005</v>
      </c>
      <c r="W817" s="10">
        <f>IF(RIGHT(C817,2)="12",IF(ISNUMBER(T817),T817,""),IF(COUNT(T817,U817,V817)=3,T817+U817-V817,""))</f>
        <v>-123.40699999999993</v>
      </c>
      <c r="X817" s="10">
        <v>-123.407</v>
      </c>
      <c r="Y817" s="10">
        <v>0</v>
      </c>
      <c r="Z817" s="10">
        <v>-598.93600000000004</v>
      </c>
      <c r="AA817" s="10">
        <v>476.27600000000001</v>
      </c>
      <c r="AB817" s="10">
        <v>-0.747</v>
      </c>
      <c r="AC817" s="8">
        <v>0</v>
      </c>
      <c r="AD817" s="8">
        <v>0</v>
      </c>
      <c r="AE817" s="8">
        <v>0</v>
      </c>
      <c r="AF817" s="10">
        <v>0</v>
      </c>
      <c r="AG817" s="8">
        <f>COUNTIF(Y817:AB817,"&gt;0")</f>
        <v>1</v>
      </c>
      <c r="AH817" s="10">
        <v>476.27600000000001</v>
      </c>
      <c r="AI817" s="10">
        <v>0</v>
      </c>
      <c r="AJ817" s="8" t="str">
        <f>IF(ISNUMBER(X817),IF(X817&gt;0,"+",IF(X817&lt;0,"−","0")),IF(ISNUMBER(W817),IF(W817&gt;0,"+",IF(W817&lt;0,"−","0")),"yok"))</f>
        <v>−</v>
      </c>
      <c r="AK817" s="10">
        <f>IF(AND(RIGHT(C817,2)&lt;&gt;"12",ISNUMBER(U817),ISNUMBER(V817)),U817-V817,"")</f>
        <v>0</v>
      </c>
      <c r="AL817" s="11">
        <f>IF(AND(ISNUMBER(AK817),ISNUMBER(V817)),IF(V817&lt;&gt;0,AK817/ABS(V817),""),"")</f>
        <v>0</v>
      </c>
      <c r="AM817" s="8">
        <f>IF(ISNUMBER(AK817),IF(AK817&gt;1,1,0),"")</f>
        <v>0</v>
      </c>
      <c r="AN817" s="8">
        <f>IF(ISNUMBER(AK817),IF(AK817&gt;0.05*ABS(V817),1,0),"")</f>
        <v>0</v>
      </c>
      <c r="AO817" s="10">
        <v>-123.408</v>
      </c>
      <c r="AP817" s="10">
        <v>123.408</v>
      </c>
      <c r="AQ817" s="8" t="s">
        <v>204</v>
      </c>
      <c r="AR817" s="8">
        <v>0</v>
      </c>
      <c r="AS817" s="10">
        <v>-48.595999999999897</v>
      </c>
      <c r="AT817" s="10">
        <v>-172.00399999999999</v>
      </c>
      <c r="AU817" s="8" t="s">
        <v>204</v>
      </c>
      <c r="AV817" s="10">
        <v>476.27600000000001</v>
      </c>
      <c r="AW817" s="11">
        <f>IF(AND(ISNUMBER(AV817),ISNUMBER(AT817)),IF(AT817&lt;&gt;0,AV817/ABS(AT817),""),"")</f>
        <v>2.7689821166949606</v>
      </c>
      <c r="AX817" s="8">
        <v>0</v>
      </c>
      <c r="AY817" s="8">
        <v>0</v>
      </c>
      <c r="AZ817" s="10"/>
      <c r="BA817" s="8">
        <v>0</v>
      </c>
    </row>
    <row r="818" spans="1:53" x14ac:dyDescent="0.2">
      <c r="A818" s="8" t="s">
        <v>406</v>
      </c>
      <c r="B818" s="8" t="s">
        <v>83</v>
      </c>
      <c r="C818" s="8" t="s">
        <v>290</v>
      </c>
      <c r="D818" s="8">
        <v>1</v>
      </c>
      <c r="E818" s="8">
        <v>0</v>
      </c>
      <c r="F818" s="8">
        <f>SUM(G818:M818)</f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1</v>
      </c>
      <c r="Q818" s="8">
        <v>0</v>
      </c>
      <c r="R818" s="8">
        <v>0</v>
      </c>
      <c r="S818" s="8">
        <v>1</v>
      </c>
      <c r="T818" s="10">
        <v>-133.31</v>
      </c>
      <c r="U818" s="10"/>
      <c r="V818" s="10"/>
      <c r="W818" s="10">
        <f>IF(RIGHT(C818,2)="12",IF(ISNUMBER(T818),T818,""),IF(COUNT(T818,U818,V818)=3,T818+U818-V818,""))</f>
        <v>-133.31</v>
      </c>
      <c r="X818" s="10">
        <v>-133.31</v>
      </c>
      <c r="Y818" s="10">
        <v>-598.93600000000004</v>
      </c>
      <c r="Z818" s="10">
        <v>476.27600000000001</v>
      </c>
      <c r="AA818" s="10">
        <v>-0.747</v>
      </c>
      <c r="AB818" s="10">
        <v>-9.9019999999999992</v>
      </c>
      <c r="AC818" s="8">
        <v>0</v>
      </c>
      <c r="AD818" s="8">
        <v>0</v>
      </c>
      <c r="AE818" s="8">
        <v>0</v>
      </c>
      <c r="AF818" s="10">
        <v>0</v>
      </c>
      <c r="AG818" s="8">
        <f>COUNTIF(Y818:AB818,"&gt;0")</f>
        <v>1</v>
      </c>
      <c r="AH818" s="10">
        <v>476.27600000000001</v>
      </c>
      <c r="AI818" s="10">
        <v>0</v>
      </c>
      <c r="AJ818" s="8" t="str">
        <f>IF(ISNUMBER(X818),IF(X818&gt;0,"+",IF(X818&lt;0,"−","0")),IF(ISNUMBER(W818),IF(W818&gt;0,"+",IF(W818&lt;0,"−","0")),"yok"))</f>
        <v>−</v>
      </c>
      <c r="AK818" s="10" t="str">
        <f>IF(AND(RIGHT(C818,2)&lt;&gt;"12",ISNUMBER(U818),ISNUMBER(V818)),U818-V818,"")</f>
        <v/>
      </c>
      <c r="AL818" s="11" t="str">
        <f>IF(AND(ISNUMBER(AK818),ISNUMBER(V818)),IF(V818&lt;&gt;0,AK818/ABS(V818),""),"")</f>
        <v/>
      </c>
      <c r="AM818" s="8" t="str">
        <f>IF(ISNUMBER(AK818),IF(AK818&gt;1,1,0),"")</f>
        <v/>
      </c>
      <c r="AN818" s="8" t="str">
        <f>IF(ISNUMBER(AK818),IF(AK818&gt;0.05*ABS(V818),1,0),"")</f>
        <v/>
      </c>
      <c r="AO818" s="10">
        <v>-133.31100000000001</v>
      </c>
      <c r="AP818" s="10">
        <v>133.31100000000001</v>
      </c>
      <c r="AQ818" s="8" t="s">
        <v>209</v>
      </c>
      <c r="AR818" s="8">
        <v>0</v>
      </c>
      <c r="AS818" s="10">
        <v>-93.256</v>
      </c>
      <c r="AT818" s="10">
        <v>-226.72399999999999</v>
      </c>
      <c r="AU818" s="8" t="s">
        <v>209</v>
      </c>
      <c r="AV818" s="10">
        <v>476.27600000000001</v>
      </c>
      <c r="AW818" s="11">
        <f>IF(AND(ISNUMBER(AV818),ISNUMBER(AT818)),IF(AT818&lt;&gt;0,AV818/ABS(AT818),""),"")</f>
        <v>2.1006862969954661</v>
      </c>
      <c r="AX818" s="8">
        <v>0</v>
      </c>
      <c r="AY818" s="8">
        <v>0</v>
      </c>
      <c r="AZ818" s="10"/>
      <c r="BA818" s="8">
        <v>0</v>
      </c>
    </row>
    <row r="819" spans="1:53" x14ac:dyDescent="0.2">
      <c r="A819" s="8" t="s">
        <v>408</v>
      </c>
      <c r="B819" s="8" t="s">
        <v>82</v>
      </c>
      <c r="C819" s="8" t="s">
        <v>205</v>
      </c>
      <c r="D819" s="8">
        <v>1</v>
      </c>
      <c r="E819" s="8">
        <v>0</v>
      </c>
      <c r="F819" s="8">
        <f>SUM(G819:M819)</f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1</v>
      </c>
      <c r="Q819" s="8">
        <v>0</v>
      </c>
      <c r="R819" s="8">
        <v>0</v>
      </c>
      <c r="S819" s="8">
        <v>1</v>
      </c>
      <c r="T819" s="10">
        <v>-16.347999999999999</v>
      </c>
      <c r="U819" s="10">
        <v>-104.2</v>
      </c>
      <c r="V819" s="10">
        <v>-55.756</v>
      </c>
      <c r="W819" s="10">
        <f>IF(RIGHT(C819,2)="12",IF(ISNUMBER(T819),T819,""),IF(COUNT(T819,U819,V819)=3,T819+U819-V819,""))</f>
        <v>-64.792000000000002</v>
      </c>
      <c r="X819" s="10">
        <v>-64.793000000000006</v>
      </c>
      <c r="Y819" s="10">
        <v>-27.294</v>
      </c>
      <c r="Z819" s="10">
        <v>-21.149000000000001</v>
      </c>
      <c r="AA819" s="10">
        <v>-20.841999999999999</v>
      </c>
      <c r="AB819" s="10">
        <v>4.4930000000000003</v>
      </c>
      <c r="AC819" s="8">
        <v>0</v>
      </c>
      <c r="AD819" s="8">
        <v>0</v>
      </c>
      <c r="AE819" s="8">
        <v>0</v>
      </c>
      <c r="AF819" s="10">
        <v>0</v>
      </c>
      <c r="AG819" s="8">
        <f>COUNTIF(Y819:AB819,"&gt;0")</f>
        <v>1</v>
      </c>
      <c r="AH819" s="10">
        <v>4.4930000000000003</v>
      </c>
      <c r="AI819" s="10">
        <v>0</v>
      </c>
      <c r="AJ819" s="8" t="str">
        <f>IF(ISNUMBER(X819),IF(X819&gt;0,"+",IF(X819&lt;0,"−","0")),IF(ISNUMBER(W819),IF(W819&gt;0,"+",IF(W819&lt;0,"−","0")),"yok"))</f>
        <v>−</v>
      </c>
      <c r="AK819" s="10">
        <f>IF(AND(RIGHT(C819,2)&lt;&gt;"12",ISNUMBER(U819),ISNUMBER(V819)),U819-V819,"")</f>
        <v>-48.444000000000003</v>
      </c>
      <c r="AL819" s="11">
        <f>IF(AND(ISNUMBER(AK819),ISNUMBER(V819)),IF(V819&lt;&gt;0,AK819/ABS(V819),""),"")</f>
        <v>-0.8688571633546166</v>
      </c>
      <c r="AM819" s="8">
        <f>IF(ISNUMBER(AK819),IF(AK819&gt;1,1,0),"")</f>
        <v>0</v>
      </c>
      <c r="AN819" s="8">
        <f>IF(ISNUMBER(AK819),IF(AK819&gt;0.05*ABS(V819),1,0),"")</f>
        <v>0</v>
      </c>
      <c r="AO819" s="10">
        <v>-64.793999999999997</v>
      </c>
      <c r="AP819" s="10">
        <v>64.793999999999997</v>
      </c>
      <c r="AQ819" s="8" t="s">
        <v>204</v>
      </c>
      <c r="AR819" s="8">
        <v>0</v>
      </c>
      <c r="AS819" s="10">
        <v>482.60599999999999</v>
      </c>
      <c r="AT819" s="10">
        <v>-444.2</v>
      </c>
      <c r="AU819" s="8" t="s">
        <v>204</v>
      </c>
      <c r="AV819" s="10">
        <v>4.4930000000000003</v>
      </c>
      <c r="AW819" s="11">
        <f>IF(AND(ISNUMBER(AV819),ISNUMBER(AT819)),IF(AT819&lt;&gt;0,AV819/ABS(AT819),""),"")</f>
        <v>1.0114813147230978E-2</v>
      </c>
      <c r="AX819" s="8">
        <v>0</v>
      </c>
      <c r="AY819" s="8">
        <v>0</v>
      </c>
      <c r="AZ819" s="10"/>
      <c r="BA819" s="8">
        <v>0</v>
      </c>
    </row>
    <row r="820" spans="1:53" x14ac:dyDescent="0.2">
      <c r="A820" s="8" t="s">
        <v>408</v>
      </c>
      <c r="B820" s="8" t="s">
        <v>82</v>
      </c>
      <c r="C820" s="8" t="s">
        <v>215</v>
      </c>
      <c r="D820" s="8">
        <v>1</v>
      </c>
      <c r="E820" s="8">
        <v>0</v>
      </c>
      <c r="F820" s="8">
        <f>SUM(G820:M820)</f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1</v>
      </c>
      <c r="Q820" s="8">
        <v>0</v>
      </c>
      <c r="R820" s="8">
        <v>0</v>
      </c>
      <c r="S820" s="8">
        <v>1</v>
      </c>
      <c r="T820" s="10">
        <v>-23.713000000000001</v>
      </c>
      <c r="U820" s="10">
        <v>-104.2</v>
      </c>
      <c r="V820" s="10">
        <v>-83.05</v>
      </c>
      <c r="W820" s="10">
        <f>IF(RIGHT(C820,2)="12",IF(ISNUMBER(T820),T820,""),IF(COUNT(T820,U820,V820)=3,T820+U820-V820,""))</f>
        <v>-44.863000000000014</v>
      </c>
      <c r="X820" s="10">
        <v>-44.863</v>
      </c>
      <c r="Y820" s="10">
        <v>-21.149000000000001</v>
      </c>
      <c r="Z820" s="10">
        <v>-20.841999999999999</v>
      </c>
      <c r="AA820" s="10">
        <v>4.4930000000000003</v>
      </c>
      <c r="AB820" s="10">
        <v>-7.3639999999999999</v>
      </c>
      <c r="AC820" s="8">
        <v>0</v>
      </c>
      <c r="AD820" s="8">
        <v>0</v>
      </c>
      <c r="AE820" s="8">
        <v>0</v>
      </c>
      <c r="AF820" s="10">
        <v>0</v>
      </c>
      <c r="AG820" s="8">
        <f>COUNTIF(Y820:AB820,"&gt;0")</f>
        <v>1</v>
      </c>
      <c r="AH820" s="10">
        <v>4.4930000000000003</v>
      </c>
      <c r="AI820" s="10">
        <v>0</v>
      </c>
      <c r="AJ820" s="8" t="str">
        <f>IF(ISNUMBER(X820),IF(X820&gt;0,"+",IF(X820&lt;0,"−","0")),IF(ISNUMBER(W820),IF(W820&gt;0,"+",IF(W820&lt;0,"−","0")),"yok"))</f>
        <v>−</v>
      </c>
      <c r="AK820" s="10">
        <f>IF(AND(RIGHT(C820,2)&lt;&gt;"12",ISNUMBER(U820),ISNUMBER(V820)),U820-V820,"")</f>
        <v>-21.150000000000006</v>
      </c>
      <c r="AL820" s="11">
        <f>IF(AND(ISNUMBER(AK820),ISNUMBER(V820)),IF(V820&lt;&gt;0,AK820/ABS(V820),""),"")</f>
        <v>-0.25466586393738722</v>
      </c>
      <c r="AM820" s="8">
        <f>IF(ISNUMBER(AK820),IF(AK820&gt;1,1,0),"")</f>
        <v>0</v>
      </c>
      <c r="AN820" s="8">
        <f>IF(ISNUMBER(AK820),IF(AK820&gt;0.05*ABS(V820),1,0),"")</f>
        <v>0</v>
      </c>
      <c r="AO820" s="10">
        <v>-44.863</v>
      </c>
      <c r="AP820" s="10">
        <v>44.863</v>
      </c>
      <c r="AQ820" s="8" t="s">
        <v>204</v>
      </c>
      <c r="AR820" s="8">
        <v>0</v>
      </c>
      <c r="AS820" s="10">
        <v>202.08500000000001</v>
      </c>
      <c r="AT820" s="10">
        <v>-869.64</v>
      </c>
      <c r="AU820" s="8" t="s">
        <v>204</v>
      </c>
      <c r="AV820" s="10">
        <v>4.4930000000000003</v>
      </c>
      <c r="AW820" s="11">
        <f>IF(AND(ISNUMBER(AV820),ISNUMBER(AT820)),IF(AT820&lt;&gt;0,AV820/ABS(AT820),""),"")</f>
        <v>5.1665056805114762E-3</v>
      </c>
      <c r="AX820" s="8">
        <v>0</v>
      </c>
      <c r="AY820" s="8">
        <v>0</v>
      </c>
      <c r="AZ820" s="10"/>
      <c r="BA820" s="8">
        <v>0</v>
      </c>
    </row>
    <row r="821" spans="1:53" x14ac:dyDescent="0.2">
      <c r="A821" s="8" t="s">
        <v>408</v>
      </c>
      <c r="B821" s="8" t="s">
        <v>82</v>
      </c>
      <c r="C821" s="8" t="s">
        <v>290</v>
      </c>
      <c r="D821" s="8">
        <v>1</v>
      </c>
      <c r="E821" s="8">
        <v>0</v>
      </c>
      <c r="F821" s="8">
        <f>SUM(G821:M821)</f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1</v>
      </c>
      <c r="Q821" s="8">
        <v>0</v>
      </c>
      <c r="R821" s="8">
        <v>0</v>
      </c>
      <c r="S821" s="8">
        <v>1</v>
      </c>
      <c r="T821" s="10">
        <v>-30.689</v>
      </c>
      <c r="U821" s="10"/>
      <c r="V821" s="10"/>
      <c r="W821" s="10">
        <f>IF(RIGHT(C821,2)="12",IF(ISNUMBER(T821),T821,""),IF(COUNT(T821,U821,V821)=3,T821+U821-V821,""))</f>
        <v>-30.689</v>
      </c>
      <c r="X821" s="10">
        <v>-30.689</v>
      </c>
      <c r="Y821" s="10">
        <v>-20.841999999999999</v>
      </c>
      <c r="Z821" s="10">
        <v>4.4930000000000003</v>
      </c>
      <c r="AA821" s="10">
        <v>-7.3639999999999999</v>
      </c>
      <c r="AB821" s="10">
        <v>-6.976</v>
      </c>
      <c r="AC821" s="8">
        <v>0</v>
      </c>
      <c r="AD821" s="8">
        <v>0</v>
      </c>
      <c r="AE821" s="8">
        <v>0</v>
      </c>
      <c r="AF821" s="10">
        <v>0</v>
      </c>
      <c r="AG821" s="8">
        <f>COUNTIF(Y821:AB821,"&gt;0")</f>
        <v>1</v>
      </c>
      <c r="AH821" s="10">
        <v>4.4930000000000003</v>
      </c>
      <c r="AI821" s="10">
        <v>0</v>
      </c>
      <c r="AJ821" s="8" t="str">
        <f>IF(ISNUMBER(X821),IF(X821&gt;0,"+",IF(X821&lt;0,"−","0")),IF(ISNUMBER(W821),IF(W821&gt;0,"+",IF(W821&lt;0,"−","0")),"yok"))</f>
        <v>−</v>
      </c>
      <c r="AK821" s="10" t="str">
        <f>IF(AND(RIGHT(C821,2)&lt;&gt;"12",ISNUMBER(U821),ISNUMBER(V821)),U821-V821,"")</f>
        <v/>
      </c>
      <c r="AL821" s="11" t="str">
        <f>IF(AND(ISNUMBER(AK821),ISNUMBER(V821)),IF(V821&lt;&gt;0,AK821/ABS(V821),""),"")</f>
        <v/>
      </c>
      <c r="AM821" s="8" t="str">
        <f>IF(ISNUMBER(AK821),IF(AK821&gt;1,1,0),"")</f>
        <v/>
      </c>
      <c r="AN821" s="8" t="str">
        <f>IF(ISNUMBER(AK821),IF(AK821&gt;0.05*ABS(V821),1,0),"")</f>
        <v/>
      </c>
      <c r="AO821" s="10">
        <v>-30.69</v>
      </c>
      <c r="AP821" s="10">
        <v>30.69</v>
      </c>
      <c r="AQ821" s="8" t="s">
        <v>204</v>
      </c>
      <c r="AR821" s="8">
        <v>0</v>
      </c>
      <c r="AS821" s="10">
        <v>292.05399999999997</v>
      </c>
      <c r="AT821" s="10">
        <v>-861.94200000000001</v>
      </c>
      <c r="AU821" s="8" t="s">
        <v>204</v>
      </c>
      <c r="AV821" s="10">
        <v>4.4930000000000003</v>
      </c>
      <c r="AW821" s="11">
        <f>IF(AND(ISNUMBER(AV821),ISNUMBER(AT821)),IF(AT821&lt;&gt;0,AV821/ABS(AT821),""),"")</f>
        <v>5.2126477187560191E-3</v>
      </c>
      <c r="AX821" s="8">
        <v>0</v>
      </c>
      <c r="AY821" s="8">
        <v>0</v>
      </c>
      <c r="AZ821" s="10"/>
      <c r="BA821" s="8">
        <v>0</v>
      </c>
    </row>
    <row r="822" spans="1:53" x14ac:dyDescent="0.2">
      <c r="A822" s="8" t="s">
        <v>610</v>
      </c>
      <c r="B822" s="8" t="s">
        <v>82</v>
      </c>
      <c r="C822" s="8" t="s">
        <v>203</v>
      </c>
      <c r="D822" s="8">
        <v>1</v>
      </c>
      <c r="E822" s="8">
        <v>0</v>
      </c>
      <c r="F822" s="8">
        <f>SUM(G822:M822)</f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1</v>
      </c>
      <c r="Q822" s="8">
        <v>0</v>
      </c>
      <c r="R822" s="8">
        <v>1</v>
      </c>
      <c r="S822" s="8">
        <v>0</v>
      </c>
      <c r="T822" s="10">
        <v>-9.2279999999999998</v>
      </c>
      <c r="U822" s="10">
        <v>-58.451999999999998</v>
      </c>
      <c r="V822" s="10">
        <v>-13.695</v>
      </c>
      <c r="W822" s="10">
        <f>IF(RIGHT(C822,2)="12",IF(ISNUMBER(T822),T822,""),IF(COUNT(T822,U822,V822)=3,T822+U822-V822,""))</f>
        <v>-53.984999999999992</v>
      </c>
      <c r="X822" s="10">
        <v>-53.985999999999997</v>
      </c>
      <c r="Y822" s="10">
        <v>3.4319999999999999</v>
      </c>
      <c r="Z822" s="10">
        <v>-2.2519999999999998</v>
      </c>
      <c r="AA822" s="10">
        <v>-45.936999999999998</v>
      </c>
      <c r="AB822" s="10">
        <v>-9.2279999999999998</v>
      </c>
      <c r="AC822" s="8">
        <v>0</v>
      </c>
      <c r="AD822" s="8">
        <v>0</v>
      </c>
      <c r="AE822" s="8">
        <v>0</v>
      </c>
      <c r="AF822" s="10">
        <v>0</v>
      </c>
      <c r="AG822" s="8">
        <f>COUNTIF(Y822:AB822,"&gt;0")</f>
        <v>1</v>
      </c>
      <c r="AH822" s="10">
        <v>0</v>
      </c>
      <c r="AI822" s="10">
        <v>3.4319999999999999</v>
      </c>
      <c r="AJ822" s="8" t="str">
        <f>IF(ISNUMBER(X822),IF(X822&gt;0,"+",IF(X822&lt;0,"−","0")),IF(ISNUMBER(W822),IF(W822&gt;0,"+",IF(W822&lt;0,"−","0")),"yok"))</f>
        <v>−</v>
      </c>
      <c r="AK822" s="10">
        <f>IF(AND(RIGHT(C822,2)&lt;&gt;"12",ISNUMBER(U822),ISNUMBER(V822)),U822-V822,"")</f>
        <v>-44.756999999999998</v>
      </c>
      <c r="AL822" s="11">
        <f>IF(AND(ISNUMBER(AK822),ISNUMBER(V822)),IF(V822&lt;&gt;0,AK822/ABS(V822),""),"")</f>
        <v>-3.2681270536692222</v>
      </c>
      <c r="AM822" s="8">
        <f>IF(ISNUMBER(AK822),IF(AK822&gt;1,1,0),"")</f>
        <v>0</v>
      </c>
      <c r="AN822" s="8">
        <f>IF(ISNUMBER(AK822),IF(AK822&gt;0.05*ABS(V822),1,0),"")</f>
        <v>0</v>
      </c>
      <c r="AO822" s="10">
        <v>-53.985999999999997</v>
      </c>
      <c r="AP822" s="10">
        <v>53.985999999999997</v>
      </c>
      <c r="AQ822" s="8" t="s">
        <v>204</v>
      </c>
      <c r="AR822" s="8">
        <v>0</v>
      </c>
      <c r="AS822" s="10">
        <v>4021.4740000000002</v>
      </c>
      <c r="AT822" s="10">
        <v>2858.4810000000002</v>
      </c>
      <c r="AU822" s="8" t="s">
        <v>204</v>
      </c>
      <c r="AV822" s="10">
        <v>3.4319999999999999</v>
      </c>
      <c r="AW822" s="11">
        <f>IF(AND(ISNUMBER(AV822),ISNUMBER(AT822)),IF(AT822&lt;&gt;0,AV822/ABS(AT822),""),"")</f>
        <v>1.2006376813419434E-3</v>
      </c>
      <c r="AX822" s="8">
        <v>0</v>
      </c>
      <c r="AY822" s="8">
        <v>0</v>
      </c>
      <c r="AZ822" s="10"/>
      <c r="BA822" s="8">
        <v>0</v>
      </c>
    </row>
    <row r="823" spans="1:53" x14ac:dyDescent="0.2">
      <c r="A823" s="8" t="s">
        <v>410</v>
      </c>
      <c r="B823" s="8" t="s">
        <v>82</v>
      </c>
      <c r="C823" s="8" t="s">
        <v>203</v>
      </c>
      <c r="D823" s="8">
        <v>1</v>
      </c>
      <c r="E823" s="8">
        <v>0</v>
      </c>
      <c r="F823" s="8">
        <f>SUM(G823:M823)</f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1</v>
      </c>
      <c r="Q823" s="8">
        <v>0</v>
      </c>
      <c r="R823" s="8">
        <v>1</v>
      </c>
      <c r="S823" s="8">
        <v>0</v>
      </c>
      <c r="T823" s="10">
        <v>-313.90100000000001</v>
      </c>
      <c r="U823" s="10">
        <v>-62.933999999999997</v>
      </c>
      <c r="V823" s="10">
        <v>-18.353999999999999</v>
      </c>
      <c r="W823" s="10">
        <f>IF(RIGHT(C823,2)="12",IF(ISNUMBER(T823),T823,""),IF(COUNT(T823,U823,V823)=3,T823+U823-V823,""))</f>
        <v>-358.48100000000005</v>
      </c>
      <c r="X823" s="10">
        <v>-358.48099999999999</v>
      </c>
      <c r="Y823" s="10">
        <v>-34.625</v>
      </c>
      <c r="Z823" s="10">
        <v>4.3380000000000001</v>
      </c>
      <c r="AA823" s="10">
        <v>-14.292</v>
      </c>
      <c r="AB823" s="10">
        <v>-313.90100000000001</v>
      </c>
      <c r="AC823" s="8">
        <v>0</v>
      </c>
      <c r="AD823" s="8">
        <v>0</v>
      </c>
      <c r="AE823" s="8">
        <v>0</v>
      </c>
      <c r="AF823" s="10">
        <v>0</v>
      </c>
      <c r="AG823" s="8">
        <f>COUNTIF(Y823:AB823,"&gt;0")</f>
        <v>1</v>
      </c>
      <c r="AH823" s="10">
        <v>0</v>
      </c>
      <c r="AI823" s="10">
        <v>4.3380000000000001</v>
      </c>
      <c r="AJ823" s="8" t="str">
        <f>IF(ISNUMBER(X823),IF(X823&gt;0,"+",IF(X823&lt;0,"−","0")),IF(ISNUMBER(W823),IF(W823&gt;0,"+",IF(W823&lt;0,"−","0")),"yok"))</f>
        <v>−</v>
      </c>
      <c r="AK823" s="10">
        <f>IF(AND(RIGHT(C823,2)&lt;&gt;"12",ISNUMBER(U823),ISNUMBER(V823)),U823-V823,"")</f>
        <v>-44.58</v>
      </c>
      <c r="AL823" s="11">
        <f>IF(AND(ISNUMBER(AK823),ISNUMBER(V823)),IF(V823&lt;&gt;0,AK823/ABS(V823),""),"")</f>
        <v>-2.428898332788493</v>
      </c>
      <c r="AM823" s="8">
        <f>IF(ISNUMBER(AK823),IF(AK823&gt;1,1,0),"")</f>
        <v>0</v>
      </c>
      <c r="AN823" s="8">
        <f>IF(ISNUMBER(AK823),IF(AK823&gt;0.05*ABS(V823),1,0),"")</f>
        <v>0</v>
      </c>
      <c r="AO823" s="10">
        <v>-358.48099999999999</v>
      </c>
      <c r="AP823" s="10">
        <v>358.48099999999999</v>
      </c>
      <c r="AQ823" s="8" t="s">
        <v>204</v>
      </c>
      <c r="AR823" s="8">
        <v>0</v>
      </c>
      <c r="AS823" s="10">
        <v>2432.7759999999998</v>
      </c>
      <c r="AT823" s="10">
        <v>836.87800000000004</v>
      </c>
      <c r="AU823" s="8" t="s">
        <v>204</v>
      </c>
      <c r="AV823" s="10">
        <v>4.3380000000000001</v>
      </c>
      <c r="AW823" s="11">
        <f>IF(AND(ISNUMBER(AV823),ISNUMBER(AT823)),IF(AT823&lt;&gt;0,AV823/ABS(AT823),""),"")</f>
        <v>5.1835512464182354E-3</v>
      </c>
      <c r="AX823" s="8">
        <v>0</v>
      </c>
      <c r="AY823" s="8">
        <v>0</v>
      </c>
      <c r="AZ823" s="10"/>
      <c r="BA823" s="8">
        <v>0</v>
      </c>
    </row>
    <row r="824" spans="1:53" x14ac:dyDescent="0.2">
      <c r="A824" s="8" t="s">
        <v>410</v>
      </c>
      <c r="B824" s="8" t="s">
        <v>82</v>
      </c>
      <c r="C824" s="8" t="s">
        <v>205</v>
      </c>
      <c r="D824" s="8">
        <v>1</v>
      </c>
      <c r="E824" s="8">
        <v>0</v>
      </c>
      <c r="F824" s="8">
        <f>SUM(G824:M824)</f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1</v>
      </c>
      <c r="Q824" s="8">
        <v>0</v>
      </c>
      <c r="R824" s="8">
        <v>1</v>
      </c>
      <c r="S824" s="8">
        <v>0</v>
      </c>
      <c r="T824" s="10">
        <v>-539.28499999999997</v>
      </c>
      <c r="U824" s="10">
        <v>-62.933999999999997</v>
      </c>
      <c r="V824" s="10">
        <v>-52.98</v>
      </c>
      <c r="W824" s="10">
        <f>IF(RIGHT(C824,2)="12",IF(ISNUMBER(T824),T824,""),IF(COUNT(T824,U824,V824)=3,T824+U824-V824,""))</f>
        <v>-549.23899999999992</v>
      </c>
      <c r="X824" s="10">
        <v>-549.23900000000003</v>
      </c>
      <c r="Y824" s="10">
        <v>4.3380000000000001</v>
      </c>
      <c r="Z824" s="10">
        <v>-14.292</v>
      </c>
      <c r="AA824" s="10">
        <v>-313.90100000000001</v>
      </c>
      <c r="AB824" s="10">
        <v>-225.38300000000001</v>
      </c>
      <c r="AC824" s="8">
        <v>0</v>
      </c>
      <c r="AD824" s="8">
        <v>0</v>
      </c>
      <c r="AE824" s="8">
        <v>0</v>
      </c>
      <c r="AF824" s="10">
        <v>0</v>
      </c>
      <c r="AG824" s="8">
        <f>COUNTIF(Y824:AB824,"&gt;0")</f>
        <v>1</v>
      </c>
      <c r="AH824" s="10">
        <v>0</v>
      </c>
      <c r="AI824" s="10">
        <v>4.3380000000000001</v>
      </c>
      <c r="AJ824" s="8" t="str">
        <f>IF(ISNUMBER(X824),IF(X824&gt;0,"+",IF(X824&lt;0,"−","0")),IF(ISNUMBER(W824),IF(W824&gt;0,"+",IF(W824&lt;0,"−","0")),"yok"))</f>
        <v>−</v>
      </c>
      <c r="AK824" s="10">
        <f>IF(AND(RIGHT(C824,2)&lt;&gt;"12",ISNUMBER(U824),ISNUMBER(V824)),U824-V824,"")</f>
        <v>-9.9540000000000006</v>
      </c>
      <c r="AL824" s="11">
        <f>IF(AND(ISNUMBER(AK824),ISNUMBER(V824)),IF(V824&lt;&gt;0,AK824/ABS(V824),""),"")</f>
        <v>-0.18788221970554927</v>
      </c>
      <c r="AM824" s="8">
        <f>IF(ISNUMBER(AK824),IF(AK824&gt;1,1,0),"")</f>
        <v>0</v>
      </c>
      <c r="AN824" s="8">
        <f>IF(ISNUMBER(AK824),IF(AK824&gt;0.05*ABS(V824),1,0),"")</f>
        <v>0</v>
      </c>
      <c r="AO824" s="10">
        <v>-549.23900000000003</v>
      </c>
      <c r="AP824" s="10">
        <v>549.23900000000003</v>
      </c>
      <c r="AQ824" s="8" t="s">
        <v>204</v>
      </c>
      <c r="AR824" s="8">
        <v>0</v>
      </c>
      <c r="AS824" s="10">
        <v>2721.3629999999998</v>
      </c>
      <c r="AT824" s="10">
        <v>532.92300000000103</v>
      </c>
      <c r="AU824" s="8" t="s">
        <v>204</v>
      </c>
      <c r="AV824" s="10">
        <v>4.3380000000000001</v>
      </c>
      <c r="AW824" s="11">
        <f>IF(AND(ISNUMBER(AV824),ISNUMBER(AT824)),IF(AT824&lt;&gt;0,AV824/ABS(AT824),""),"")</f>
        <v>8.1400127222881948E-3</v>
      </c>
      <c r="AX824" s="8">
        <v>0</v>
      </c>
      <c r="AY824" s="8">
        <v>0</v>
      </c>
      <c r="AZ824" s="10"/>
      <c r="BA824" s="8">
        <v>0</v>
      </c>
    </row>
    <row r="825" spans="1:53" x14ac:dyDescent="0.2">
      <c r="A825" s="8" t="s">
        <v>410</v>
      </c>
      <c r="B825" s="8" t="s">
        <v>82</v>
      </c>
      <c r="C825" s="8" t="s">
        <v>290</v>
      </c>
      <c r="D825" s="8">
        <v>1</v>
      </c>
      <c r="E825" s="8">
        <v>0</v>
      </c>
      <c r="F825" s="8">
        <f>SUM(G825:M825)</f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1</v>
      </c>
      <c r="Q825" s="8">
        <v>0</v>
      </c>
      <c r="R825" s="8">
        <v>0</v>
      </c>
      <c r="S825" s="8">
        <v>1</v>
      </c>
      <c r="T825" s="10">
        <v>-105.532</v>
      </c>
      <c r="U825" s="10"/>
      <c r="V825" s="10"/>
      <c r="W825" s="10">
        <f>IF(RIGHT(C825,2)="12",IF(ISNUMBER(T825),T825,""),IF(COUNT(T825,U825,V825)=3,T825+U825-V825,""))</f>
        <v>-105.532</v>
      </c>
      <c r="X825" s="10">
        <v>-105.532</v>
      </c>
      <c r="Y825" s="10">
        <v>-313.90100000000001</v>
      </c>
      <c r="Z825" s="10">
        <v>-225.38300000000001</v>
      </c>
      <c r="AA825" s="10">
        <v>-12.295999999999999</v>
      </c>
      <c r="AB825" s="10">
        <v>446.048</v>
      </c>
      <c r="AC825" s="8">
        <v>0</v>
      </c>
      <c r="AD825" s="8">
        <v>0</v>
      </c>
      <c r="AE825" s="8">
        <v>0</v>
      </c>
      <c r="AF825" s="10">
        <v>0</v>
      </c>
      <c r="AG825" s="8">
        <f>COUNTIF(Y825:AB825,"&gt;0")</f>
        <v>1</v>
      </c>
      <c r="AH825" s="10">
        <v>446.048</v>
      </c>
      <c r="AI825" s="10">
        <v>0</v>
      </c>
      <c r="AJ825" s="8" t="str">
        <f>IF(ISNUMBER(X825),IF(X825&gt;0,"+",IF(X825&lt;0,"−","0")),IF(ISNUMBER(W825),IF(W825&gt;0,"+",IF(W825&lt;0,"−","0")),"yok"))</f>
        <v>−</v>
      </c>
      <c r="AK825" s="10" t="str">
        <f>IF(AND(RIGHT(C825,2)&lt;&gt;"12",ISNUMBER(U825),ISNUMBER(V825)),U825-V825,"")</f>
        <v/>
      </c>
      <c r="AL825" s="11" t="str">
        <f>IF(AND(ISNUMBER(AK825),ISNUMBER(V825)),IF(V825&lt;&gt;0,AK825/ABS(V825),""),"")</f>
        <v/>
      </c>
      <c r="AM825" s="8" t="str">
        <f>IF(ISNUMBER(AK825),IF(AK825&gt;1,1,0),"")</f>
        <v/>
      </c>
      <c r="AN825" s="8" t="str">
        <f>IF(ISNUMBER(AK825),IF(AK825&gt;0.05*ABS(V825),1,0),"")</f>
        <v/>
      </c>
      <c r="AO825" s="10">
        <v>-105.533</v>
      </c>
      <c r="AP825" s="10">
        <v>105.533</v>
      </c>
      <c r="AQ825" s="8" t="s">
        <v>204</v>
      </c>
      <c r="AR825" s="8">
        <v>0</v>
      </c>
      <c r="AS825" s="10">
        <v>1061.1089999999999</v>
      </c>
      <c r="AT825" s="10">
        <v>9.3909999999998597</v>
      </c>
      <c r="AU825" s="8" t="s">
        <v>204</v>
      </c>
      <c r="AV825" s="10">
        <v>446.048</v>
      </c>
      <c r="AW825" s="11">
        <f>IF(AND(ISNUMBER(AV825),ISNUMBER(AT825)),IF(AT825&lt;&gt;0,AV825/ABS(AT825),""),"")</f>
        <v>47.497391119157349</v>
      </c>
      <c r="AX825" s="8">
        <v>0</v>
      </c>
      <c r="AY825" s="8">
        <v>0</v>
      </c>
      <c r="AZ825" s="10"/>
      <c r="BA825" s="8">
        <v>0</v>
      </c>
    </row>
    <row r="826" spans="1:53" x14ac:dyDescent="0.2">
      <c r="A826" s="8" t="s">
        <v>410</v>
      </c>
      <c r="B826" s="8" t="s">
        <v>83</v>
      </c>
      <c r="C826" s="8" t="s">
        <v>290</v>
      </c>
      <c r="D826" s="8">
        <v>1</v>
      </c>
      <c r="E826" s="8">
        <v>0</v>
      </c>
      <c r="F826" s="8">
        <f>SUM(G826:M826)</f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1</v>
      </c>
      <c r="Q826" s="8">
        <v>0</v>
      </c>
      <c r="R826" s="8">
        <v>0</v>
      </c>
      <c r="S826" s="8">
        <v>1</v>
      </c>
      <c r="T826" s="10">
        <v>-600.51599999999996</v>
      </c>
      <c r="U826" s="10"/>
      <c r="V826" s="10"/>
      <c r="W826" s="10">
        <f>IF(RIGHT(C826,2)="12",IF(ISNUMBER(T826),T826,""),IF(COUNT(T826,U826,V826)=3,T826+U826-V826,""))</f>
        <v>-600.51599999999996</v>
      </c>
      <c r="X826" s="10">
        <v>-600.51599999999996</v>
      </c>
      <c r="Y826" s="10">
        <v>-269.16500000000002</v>
      </c>
      <c r="Z826" s="10">
        <v>-578.95500000000004</v>
      </c>
      <c r="AA826" s="10">
        <v>-176.04599999999999</v>
      </c>
      <c r="AB826" s="10">
        <v>423.65</v>
      </c>
      <c r="AC826" s="8">
        <v>0</v>
      </c>
      <c r="AD826" s="8">
        <v>0</v>
      </c>
      <c r="AE826" s="8">
        <v>0</v>
      </c>
      <c r="AF826" s="10">
        <v>0</v>
      </c>
      <c r="AG826" s="8">
        <f>COUNTIF(Y826:AB826,"&gt;0")</f>
        <v>1</v>
      </c>
      <c r="AH826" s="10">
        <v>423.65</v>
      </c>
      <c r="AI826" s="10">
        <v>0</v>
      </c>
      <c r="AJ826" s="8" t="str">
        <f>IF(ISNUMBER(X826),IF(X826&gt;0,"+",IF(X826&lt;0,"−","0")),IF(ISNUMBER(W826),IF(W826&gt;0,"+",IF(W826&lt;0,"−","0")),"yok"))</f>
        <v>−</v>
      </c>
      <c r="AK826" s="10" t="str">
        <f>IF(AND(RIGHT(C826,2)&lt;&gt;"12",ISNUMBER(U826),ISNUMBER(V826)),U826-V826,"")</f>
        <v/>
      </c>
      <c r="AL826" s="11" t="str">
        <f>IF(AND(ISNUMBER(AK826),ISNUMBER(V826)),IF(V826&lt;&gt;0,AK826/ABS(V826),""),"")</f>
        <v/>
      </c>
      <c r="AM826" s="8" t="str">
        <f>IF(ISNUMBER(AK826),IF(AK826&gt;1,1,0),"")</f>
        <v/>
      </c>
      <c r="AN826" s="8" t="str">
        <f>IF(ISNUMBER(AK826),IF(AK826&gt;0.05*ABS(V826),1,0),"")</f>
        <v/>
      </c>
      <c r="AO826" s="10">
        <v>-600.51700000000005</v>
      </c>
      <c r="AP826" s="10">
        <v>600.51700000000005</v>
      </c>
      <c r="AQ826" s="8" t="s">
        <v>204</v>
      </c>
      <c r="AR826" s="8">
        <v>0</v>
      </c>
      <c r="AS826" s="10">
        <v>1061.1089999999999</v>
      </c>
      <c r="AT826" s="10">
        <v>9.3909999999998597</v>
      </c>
      <c r="AU826" s="8" t="s">
        <v>204</v>
      </c>
      <c r="AV826" s="10">
        <v>423.65</v>
      </c>
      <c r="AW826" s="11">
        <f>IF(AND(ISNUMBER(AV826),ISNUMBER(AT826)),IF(AT826&lt;&gt;0,AV826/ABS(AT826),""),"")</f>
        <v>45.112341603663751</v>
      </c>
      <c r="AX826" s="8">
        <v>0</v>
      </c>
      <c r="AY826" s="8">
        <v>0</v>
      </c>
      <c r="AZ826" s="10"/>
      <c r="BA826" s="8">
        <v>0</v>
      </c>
    </row>
    <row r="827" spans="1:53" x14ac:dyDescent="0.2">
      <c r="A827" s="8" t="s">
        <v>410</v>
      </c>
      <c r="B827" s="8" t="s">
        <v>84</v>
      </c>
      <c r="C827" s="8" t="s">
        <v>290</v>
      </c>
      <c r="D827" s="8">
        <v>1</v>
      </c>
      <c r="E827" s="8">
        <v>0</v>
      </c>
      <c r="F827" s="8">
        <f>SUM(G827:M827)</f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1</v>
      </c>
      <c r="Q827" s="8">
        <v>0</v>
      </c>
      <c r="R827" s="8">
        <v>0</v>
      </c>
      <c r="S827" s="8">
        <v>1</v>
      </c>
      <c r="T827" s="10">
        <v>-345.66699999999997</v>
      </c>
      <c r="U827" s="10"/>
      <c r="V827" s="10"/>
      <c r="W827" s="10">
        <f>IF(RIGHT(C827,2)="12",IF(ISNUMBER(T827),T827,""),IF(COUNT(T827,U827,V827)=3,T827+U827-V827,""))</f>
        <v>-345.66699999999997</v>
      </c>
      <c r="X827" s="10">
        <v>-345.66699999999997</v>
      </c>
      <c r="Y827" s="10">
        <v>0</v>
      </c>
      <c r="Z827" s="10">
        <v>0</v>
      </c>
      <c r="AA827" s="10">
        <v>-1054.825</v>
      </c>
      <c r="AB827" s="10">
        <v>709.15700000000004</v>
      </c>
      <c r="AC827" s="8">
        <v>0</v>
      </c>
      <c r="AD827" s="8">
        <v>0</v>
      </c>
      <c r="AE827" s="8">
        <v>0</v>
      </c>
      <c r="AF827" s="10">
        <v>0</v>
      </c>
      <c r="AG827" s="8">
        <f>COUNTIF(Y827:AB827,"&gt;0")</f>
        <v>1</v>
      </c>
      <c r="AH827" s="10">
        <v>709.15700000000004</v>
      </c>
      <c r="AI827" s="10">
        <v>0</v>
      </c>
      <c r="AJ827" s="8" t="str">
        <f>IF(ISNUMBER(X827),IF(X827&gt;0,"+",IF(X827&lt;0,"−","0")),IF(ISNUMBER(W827),IF(W827&gt;0,"+",IF(W827&lt;0,"−","0")),"yok"))</f>
        <v>−</v>
      </c>
      <c r="AK827" s="10" t="str">
        <f>IF(AND(RIGHT(C827,2)&lt;&gt;"12",ISNUMBER(U827),ISNUMBER(V827)),U827-V827,"")</f>
        <v/>
      </c>
      <c r="AL827" s="11" t="str">
        <f>IF(AND(ISNUMBER(AK827),ISNUMBER(V827)),IF(V827&lt;&gt;0,AK827/ABS(V827),""),"")</f>
        <v/>
      </c>
      <c r="AM827" s="8" t="str">
        <f>IF(ISNUMBER(AK827),IF(AK827&gt;1,1,0),"")</f>
        <v/>
      </c>
      <c r="AN827" s="8" t="str">
        <f>IF(ISNUMBER(AK827),IF(AK827&gt;0.05*ABS(V827),1,0),"")</f>
        <v/>
      </c>
      <c r="AO827" s="10">
        <v>-345.66800000000001</v>
      </c>
      <c r="AP827" s="10">
        <v>345.66800000000001</v>
      </c>
      <c r="AQ827" s="8" t="s">
        <v>204</v>
      </c>
      <c r="AR827" s="8">
        <v>0</v>
      </c>
      <c r="AS827" s="10">
        <v>1061.1089999999999</v>
      </c>
      <c r="AT827" s="10">
        <v>9.3909999999998597</v>
      </c>
      <c r="AU827" s="8" t="s">
        <v>204</v>
      </c>
      <c r="AV827" s="10">
        <v>709.15700000000004</v>
      </c>
      <c r="AW827" s="11">
        <f>IF(AND(ISNUMBER(AV827),ISNUMBER(AT827)),IF(AT827&lt;&gt;0,AV827/ABS(AT827),""),"")</f>
        <v>75.514535193271286</v>
      </c>
      <c r="AX827" s="8">
        <v>0</v>
      </c>
      <c r="AY827" s="8">
        <v>0</v>
      </c>
      <c r="AZ827" s="10"/>
      <c r="BA827" s="8">
        <v>0</v>
      </c>
    </row>
    <row r="828" spans="1:53" x14ac:dyDescent="0.2">
      <c r="A828" s="8" t="s">
        <v>611</v>
      </c>
      <c r="B828" s="8" t="s">
        <v>82</v>
      </c>
      <c r="C828" s="8" t="s">
        <v>203</v>
      </c>
      <c r="D828" s="8">
        <v>1</v>
      </c>
      <c r="E828" s="8">
        <v>0</v>
      </c>
      <c r="F828" s="8">
        <f>SUM(G828:M828)</f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1</v>
      </c>
      <c r="P828" s="8">
        <v>0</v>
      </c>
      <c r="Q828" s="8">
        <v>0</v>
      </c>
      <c r="R828" s="8">
        <v>0</v>
      </c>
      <c r="S828" s="8">
        <v>0</v>
      </c>
      <c r="T828" s="10"/>
      <c r="U828" s="10">
        <v>-2.4119999999999999</v>
      </c>
      <c r="V828" s="10">
        <v>0.38200000000000001</v>
      </c>
      <c r="W828" s="10" t="str">
        <f>IF(RIGHT(C828,2)="12",IF(ISNUMBER(T828),T828,""),IF(COUNT(T828,U828,V828)=3,T828+U828-V828,""))</f>
        <v/>
      </c>
      <c r="X828" s="10"/>
      <c r="Y828" s="10"/>
      <c r="Z828" s="10"/>
      <c r="AA828" s="10"/>
      <c r="AB828" s="10"/>
      <c r="AC828" s="8">
        <v>0</v>
      </c>
      <c r="AD828" s="8">
        <v>0</v>
      </c>
      <c r="AE828" s="8">
        <v>1</v>
      </c>
      <c r="AF828" s="10">
        <v>0.38200000000000001</v>
      </c>
      <c r="AG828" s="8">
        <f>COUNTIF(Y828:AB828,"&gt;0")</f>
        <v>0</v>
      </c>
      <c r="AH828" s="10">
        <v>0</v>
      </c>
      <c r="AI828" s="10">
        <v>0</v>
      </c>
      <c r="AJ828" s="8" t="str">
        <f>IF(ISNUMBER(X828),IF(X828&gt;0,"+",IF(X828&lt;0,"−","0")),IF(ISNUMBER(W828),IF(W828&gt;0,"+",IF(W828&lt;0,"−","0")),"yok"))</f>
        <v>yok</v>
      </c>
      <c r="AK828" s="10">
        <f>IF(AND(RIGHT(C828,2)&lt;&gt;"12",ISNUMBER(U828),ISNUMBER(V828)),U828-V828,"")</f>
        <v>-2.794</v>
      </c>
      <c r="AL828" s="11">
        <f>IF(AND(ISNUMBER(AK828),ISNUMBER(V828)),IF(V828&lt;&gt;0,AK828/ABS(V828),""),"")</f>
        <v>-7.3141361256544499</v>
      </c>
      <c r="AM828" s="8">
        <f>IF(ISNUMBER(AK828),IF(AK828&gt;1,1,0),"")</f>
        <v>0</v>
      </c>
      <c r="AN828" s="8">
        <f>IF(ISNUMBER(AK828),IF(AK828&gt;0.05*ABS(V828),1,0),"")</f>
        <v>0</v>
      </c>
      <c r="AO828" s="10">
        <v>-2.7959999999999998</v>
      </c>
      <c r="AP828" s="10">
        <v>2.7959999999999998</v>
      </c>
      <c r="AQ828" s="8" t="s">
        <v>209</v>
      </c>
      <c r="AR828" s="8">
        <v>0</v>
      </c>
      <c r="AS828" s="10">
        <v>175.46899999999999</v>
      </c>
      <c r="AT828" s="10">
        <v>137.27799999999999</v>
      </c>
      <c r="AU828" s="8" t="s">
        <v>209</v>
      </c>
      <c r="AV828" s="10">
        <v>0.38200000000000001</v>
      </c>
      <c r="AW828" s="11">
        <f>IF(AND(ISNUMBER(AV828),ISNUMBER(AT828)),IF(AT828&lt;&gt;0,AV828/ABS(AT828),""),"")</f>
        <v>2.7826745727647551E-3</v>
      </c>
      <c r="AX828" s="8">
        <v>1</v>
      </c>
      <c r="AY828" s="8">
        <v>0</v>
      </c>
      <c r="AZ828" s="8" t="s">
        <v>612</v>
      </c>
      <c r="BA828" s="8">
        <v>0</v>
      </c>
    </row>
    <row r="829" spans="1:53" x14ac:dyDescent="0.2">
      <c r="A829" s="8" t="s">
        <v>611</v>
      </c>
      <c r="B829" s="8" t="s">
        <v>82</v>
      </c>
      <c r="C829" s="8" t="s">
        <v>208</v>
      </c>
      <c r="D829" s="8">
        <v>1</v>
      </c>
      <c r="E829" s="8">
        <v>0</v>
      </c>
      <c r="F829" s="8">
        <f>SUM(G829:M829)</f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1</v>
      </c>
      <c r="P829" s="8">
        <v>1</v>
      </c>
      <c r="Q829" s="8">
        <v>0</v>
      </c>
      <c r="R829" s="8">
        <v>0</v>
      </c>
      <c r="S829" s="8">
        <v>0</v>
      </c>
      <c r="T829" s="10">
        <v>1.2170000000000001</v>
      </c>
      <c r="U829" s="10">
        <v>-8.9139999999999997</v>
      </c>
      <c r="V829" s="10"/>
      <c r="W829" s="10" t="str">
        <f>IF(RIGHT(C829,2)="12",IF(ISNUMBER(T829),T829,""),IF(COUNT(T829,U829,V829)=3,T829+U829-V829,""))</f>
        <v/>
      </c>
      <c r="X829" s="10"/>
      <c r="Y829" s="10"/>
      <c r="Z829" s="10">
        <v>0</v>
      </c>
      <c r="AA829" s="10">
        <v>-8.6969999999999992</v>
      </c>
      <c r="AB829" s="10">
        <v>1.2170000000000001</v>
      </c>
      <c r="AC829" s="8">
        <v>1</v>
      </c>
      <c r="AD829" s="8">
        <v>0</v>
      </c>
      <c r="AE829" s="8">
        <v>0</v>
      </c>
      <c r="AF829" s="10">
        <v>1.2170000000000001</v>
      </c>
      <c r="AG829" s="8">
        <f>COUNTIF(Y829:AB829,"&gt;0")</f>
        <v>1</v>
      </c>
      <c r="AH829" s="10">
        <v>0</v>
      </c>
      <c r="AI829" s="10">
        <v>0</v>
      </c>
      <c r="AJ829" s="8" t="str">
        <f>IF(ISNUMBER(X829),IF(X829&gt;0,"+",IF(X829&lt;0,"−","0")),IF(ISNUMBER(W829),IF(W829&gt;0,"+",IF(W829&lt;0,"−","0")),"yok"))</f>
        <v>yok</v>
      </c>
      <c r="AK829" s="10" t="str">
        <f>IF(AND(RIGHT(C829,2)&lt;&gt;"12",ISNUMBER(U829),ISNUMBER(V829)),U829-V829,"")</f>
        <v/>
      </c>
      <c r="AL829" s="11" t="str">
        <f>IF(AND(ISNUMBER(AK829),ISNUMBER(V829)),IF(V829&lt;&gt;0,AK829/ABS(V829),""),"")</f>
        <v/>
      </c>
      <c r="AM829" s="8" t="str">
        <f>IF(ISNUMBER(AK829),IF(AK829&gt;1,1,0),"")</f>
        <v/>
      </c>
      <c r="AN829" s="8" t="str">
        <f>IF(ISNUMBER(AK829),IF(AK829&gt;0.05*ABS(V829),1,0),"")</f>
        <v/>
      </c>
      <c r="AO829" s="10"/>
      <c r="AP829" s="10"/>
      <c r="AQ829" s="8" t="s">
        <v>207</v>
      </c>
      <c r="AR829" s="8">
        <v>0</v>
      </c>
      <c r="AS829" s="10">
        <v>242.49799999999999</v>
      </c>
      <c r="AT829" s="10"/>
      <c r="AU829" s="8" t="s">
        <v>207</v>
      </c>
      <c r="AV829" s="10">
        <v>1.2170000000000001</v>
      </c>
      <c r="AW829" s="11" t="str">
        <f>IF(AND(ISNUMBER(AV829),ISNUMBER(AT829)),IF(AT829&lt;&gt;0,AV829/ABS(AT829),""),"")</f>
        <v/>
      </c>
      <c r="AX829" s="8">
        <v>1</v>
      </c>
      <c r="AY829" s="8">
        <v>0</v>
      </c>
      <c r="AZ829" s="8" t="s">
        <v>613</v>
      </c>
      <c r="BA829" s="8">
        <v>0</v>
      </c>
    </row>
    <row r="830" spans="1:53" x14ac:dyDescent="0.2">
      <c r="A830" s="8" t="s">
        <v>611</v>
      </c>
      <c r="B830" s="8" t="s">
        <v>83</v>
      </c>
      <c r="C830" s="8" t="s">
        <v>205</v>
      </c>
      <c r="D830" s="8">
        <v>1</v>
      </c>
      <c r="E830" s="8">
        <v>0</v>
      </c>
      <c r="F830" s="8">
        <f>SUM(G830:M830)</f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1</v>
      </c>
      <c r="Q830" s="8">
        <v>0</v>
      </c>
      <c r="R830" s="8">
        <v>0</v>
      </c>
      <c r="S830" s="8">
        <v>1</v>
      </c>
      <c r="T830" s="10">
        <v>-34.027000000000001</v>
      </c>
      <c r="U830" s="10">
        <v>-2.1429999999999998</v>
      </c>
      <c r="V830" s="10">
        <v>-1.607</v>
      </c>
      <c r="W830" s="10">
        <f>IF(RIGHT(C830,2)="12",IF(ISNUMBER(T830),T830,""),IF(COUNT(T830,U830,V830)=3,T830+U830-V830,""))</f>
        <v>-34.563000000000002</v>
      </c>
      <c r="X830" s="10">
        <v>-34.564</v>
      </c>
      <c r="Y830" s="10">
        <v>0.255</v>
      </c>
      <c r="Z830" s="10">
        <v>-0.79200000000000004</v>
      </c>
      <c r="AA830" s="10">
        <v>-35.304000000000002</v>
      </c>
      <c r="AB830" s="10">
        <v>1.2769999999999999</v>
      </c>
      <c r="AC830" s="8">
        <v>0</v>
      </c>
      <c r="AD830" s="8">
        <v>0</v>
      </c>
      <c r="AE830" s="8">
        <v>0</v>
      </c>
      <c r="AF830" s="10">
        <v>0</v>
      </c>
      <c r="AG830" s="8">
        <f>COUNTIF(Y830:AB830,"&gt;0")</f>
        <v>2</v>
      </c>
      <c r="AH830" s="10">
        <v>1.2769999999999999</v>
      </c>
      <c r="AI830" s="10">
        <v>0.255</v>
      </c>
      <c r="AJ830" s="8" t="str">
        <f>IF(ISNUMBER(X830),IF(X830&gt;0,"+",IF(X830&lt;0,"−","0")),IF(ISNUMBER(W830),IF(W830&gt;0,"+",IF(W830&lt;0,"−","0")),"yok"))</f>
        <v>−</v>
      </c>
      <c r="AK830" s="10">
        <f>IF(AND(RIGHT(C830,2)&lt;&gt;"12",ISNUMBER(U830),ISNUMBER(V830)),U830-V830,"")</f>
        <v>-0.53599999999999981</v>
      </c>
      <c r="AL830" s="11">
        <f>IF(AND(ISNUMBER(AK830),ISNUMBER(V830)),IF(V830&lt;&gt;0,AK830/ABS(V830),""),"")</f>
        <v>-0.33354075917859355</v>
      </c>
      <c r="AM830" s="8">
        <f>IF(ISNUMBER(AK830),IF(AK830&gt;1,1,0),"")</f>
        <v>0</v>
      </c>
      <c r="AN830" s="8">
        <f>IF(ISNUMBER(AK830),IF(AK830&gt;0.05*ABS(V830),1,0),"")</f>
        <v>0</v>
      </c>
      <c r="AO830" s="10">
        <v>-34.564</v>
      </c>
      <c r="AP830" s="10">
        <v>34.564</v>
      </c>
      <c r="AQ830" s="8" t="s">
        <v>204</v>
      </c>
      <c r="AR830" s="8">
        <v>0</v>
      </c>
      <c r="AS830" s="10">
        <v>200.322</v>
      </c>
      <c r="AT830" s="10">
        <v>163.12899999999999</v>
      </c>
      <c r="AU830" s="8" t="s">
        <v>209</v>
      </c>
      <c r="AV830" s="10">
        <v>1.2769999999999999</v>
      </c>
      <c r="AW830" s="11">
        <f>IF(AND(ISNUMBER(AV830),ISNUMBER(AT830)),IF(AT830&lt;&gt;0,AV830/ABS(AT830),""),"")</f>
        <v>7.8281605355270973E-3</v>
      </c>
      <c r="AX830" s="8">
        <v>0</v>
      </c>
      <c r="AY830" s="8">
        <v>0</v>
      </c>
      <c r="AZ830" s="10"/>
      <c r="BA830" s="8">
        <v>0</v>
      </c>
    </row>
    <row r="831" spans="1:53" x14ac:dyDescent="0.2">
      <c r="A831" s="8" t="s">
        <v>611</v>
      </c>
      <c r="B831" s="8" t="s">
        <v>83</v>
      </c>
      <c r="C831" s="8" t="s">
        <v>215</v>
      </c>
      <c r="D831" s="8">
        <v>1</v>
      </c>
      <c r="E831" s="8">
        <v>0</v>
      </c>
      <c r="F831" s="8">
        <f>SUM(G831:M831)</f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1</v>
      </c>
      <c r="Q831" s="8">
        <v>0</v>
      </c>
      <c r="R831" s="8">
        <v>0</v>
      </c>
      <c r="S831" s="8">
        <v>1</v>
      </c>
      <c r="T831" s="10">
        <v>-39.722000000000001</v>
      </c>
      <c r="U831" s="10">
        <v>-2.1429999999999998</v>
      </c>
      <c r="V831" s="10">
        <v>-1.351</v>
      </c>
      <c r="W831" s="10">
        <f>IF(RIGHT(C831,2)="12",IF(ISNUMBER(T831),T831,""),IF(COUNT(T831,U831,V831)=3,T831+U831-V831,""))</f>
        <v>-40.514000000000003</v>
      </c>
      <c r="X831" s="10">
        <v>-40.514000000000003</v>
      </c>
      <c r="Y831" s="10">
        <v>-0.79200000000000004</v>
      </c>
      <c r="Z831" s="10">
        <v>-35.304000000000002</v>
      </c>
      <c r="AA831" s="10">
        <v>1.2769999999999999</v>
      </c>
      <c r="AB831" s="10">
        <v>-5.694</v>
      </c>
      <c r="AC831" s="8">
        <v>0</v>
      </c>
      <c r="AD831" s="8">
        <v>0</v>
      </c>
      <c r="AE831" s="8">
        <v>0</v>
      </c>
      <c r="AF831" s="10">
        <v>0</v>
      </c>
      <c r="AG831" s="8">
        <f>COUNTIF(Y831:AB831,"&gt;0")</f>
        <v>1</v>
      </c>
      <c r="AH831" s="10">
        <v>1.2769999999999999</v>
      </c>
      <c r="AI831" s="10">
        <v>0</v>
      </c>
      <c r="AJ831" s="8" t="str">
        <f>IF(ISNUMBER(X831),IF(X831&gt;0,"+",IF(X831&lt;0,"−","0")),IF(ISNUMBER(W831),IF(W831&gt;0,"+",IF(W831&lt;0,"−","0")),"yok"))</f>
        <v>−</v>
      </c>
      <c r="AK831" s="10">
        <f>IF(AND(RIGHT(C831,2)&lt;&gt;"12",ISNUMBER(U831),ISNUMBER(V831)),U831-V831,"")</f>
        <v>-0.79199999999999982</v>
      </c>
      <c r="AL831" s="11">
        <f>IF(AND(ISNUMBER(AK831),ISNUMBER(V831)),IF(V831&lt;&gt;0,AK831/ABS(V831),""),"")</f>
        <v>-0.58623242042931145</v>
      </c>
      <c r="AM831" s="8">
        <f>IF(ISNUMBER(AK831),IF(AK831&gt;1,1,0),"")</f>
        <v>0</v>
      </c>
      <c r="AN831" s="8">
        <f>IF(ISNUMBER(AK831),IF(AK831&gt;0.05*ABS(V831),1,0),"")</f>
        <v>0</v>
      </c>
      <c r="AO831" s="10">
        <v>-40.515000000000001</v>
      </c>
      <c r="AP831" s="10">
        <v>40.515000000000001</v>
      </c>
      <c r="AQ831" s="8" t="s">
        <v>204</v>
      </c>
      <c r="AR831" s="8">
        <v>0</v>
      </c>
      <c r="AS831" s="10">
        <v>176.92500000000001</v>
      </c>
      <c r="AT831" s="10">
        <v>133.78100000000001</v>
      </c>
      <c r="AU831" s="8" t="s">
        <v>209</v>
      </c>
      <c r="AV831" s="10">
        <v>1.2769999999999999</v>
      </c>
      <c r="AW831" s="11">
        <f>IF(AND(ISNUMBER(AV831),ISNUMBER(AT831)),IF(AT831&lt;&gt;0,AV831/ABS(AT831),""),"")</f>
        <v>9.5454511477713559E-3</v>
      </c>
      <c r="AX831" s="8">
        <v>0</v>
      </c>
      <c r="AY831" s="8">
        <v>0</v>
      </c>
      <c r="AZ831" s="10"/>
      <c r="BA831" s="8">
        <v>0</v>
      </c>
    </row>
    <row r="832" spans="1:53" x14ac:dyDescent="0.2">
      <c r="A832" s="8" t="s">
        <v>611</v>
      </c>
      <c r="B832" s="8" t="s">
        <v>83</v>
      </c>
      <c r="C832" s="8" t="s">
        <v>290</v>
      </c>
      <c r="D832" s="8">
        <v>1</v>
      </c>
      <c r="E832" s="8">
        <v>0</v>
      </c>
      <c r="F832" s="8">
        <f>SUM(G832:M832)</f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1</v>
      </c>
      <c r="Q832" s="8">
        <v>0</v>
      </c>
      <c r="R832" s="8">
        <v>0</v>
      </c>
      <c r="S832" s="8">
        <v>1</v>
      </c>
      <c r="T832" s="10">
        <v>-40.576000000000001</v>
      </c>
      <c r="U832" s="10"/>
      <c r="V832" s="10"/>
      <c r="W832" s="10">
        <f>IF(RIGHT(C832,2)="12",IF(ISNUMBER(T832),T832,""),IF(COUNT(T832,U832,V832)=3,T832+U832-V832,""))</f>
        <v>-40.576000000000001</v>
      </c>
      <c r="X832" s="10">
        <v>-40.576000000000001</v>
      </c>
      <c r="Y832" s="10">
        <v>-35.304000000000002</v>
      </c>
      <c r="Z832" s="10">
        <v>1.2769999999999999</v>
      </c>
      <c r="AA832" s="10">
        <v>-5.694</v>
      </c>
      <c r="AB832" s="10">
        <v>-0.85399999999999998</v>
      </c>
      <c r="AC832" s="8">
        <v>0</v>
      </c>
      <c r="AD832" s="8">
        <v>0</v>
      </c>
      <c r="AE832" s="8">
        <v>0</v>
      </c>
      <c r="AF832" s="10">
        <v>0</v>
      </c>
      <c r="AG832" s="8">
        <f>COUNTIF(Y832:AB832,"&gt;0")</f>
        <v>1</v>
      </c>
      <c r="AH832" s="10">
        <v>1.2769999999999999</v>
      </c>
      <c r="AI832" s="10">
        <v>0</v>
      </c>
      <c r="AJ832" s="8" t="str">
        <f>IF(ISNUMBER(X832),IF(X832&gt;0,"+",IF(X832&lt;0,"−","0")),IF(ISNUMBER(W832),IF(W832&gt;0,"+",IF(W832&lt;0,"−","0")),"yok"))</f>
        <v>−</v>
      </c>
      <c r="AK832" s="10" t="str">
        <f>IF(AND(RIGHT(C832,2)&lt;&gt;"12",ISNUMBER(U832),ISNUMBER(V832)),U832-V832,"")</f>
        <v/>
      </c>
      <c r="AL832" s="11" t="str">
        <f>IF(AND(ISNUMBER(AK832),ISNUMBER(V832)),IF(V832&lt;&gt;0,AK832/ABS(V832),""),"")</f>
        <v/>
      </c>
      <c r="AM832" s="8" t="str">
        <f>IF(ISNUMBER(AK832),IF(AK832&gt;1,1,0),"")</f>
        <v/>
      </c>
      <c r="AN832" s="8" t="str">
        <f>IF(ISNUMBER(AK832),IF(AK832&gt;0.05*ABS(V832),1,0),"")</f>
        <v/>
      </c>
      <c r="AO832" s="10">
        <v>-40.576999999999998</v>
      </c>
      <c r="AP832" s="10">
        <v>40.576999999999998</v>
      </c>
      <c r="AQ832" s="8" t="s">
        <v>209</v>
      </c>
      <c r="AR832" s="8">
        <v>0</v>
      </c>
      <c r="AS832" s="10">
        <v>98.792000000000002</v>
      </c>
      <c r="AT832" s="10">
        <v>49.301000000000002</v>
      </c>
      <c r="AU832" s="8" t="s">
        <v>209</v>
      </c>
      <c r="AV832" s="10">
        <v>1.2769999999999999</v>
      </c>
      <c r="AW832" s="11">
        <f>IF(AND(ISNUMBER(AV832),ISNUMBER(AT832)),IF(AT832&lt;&gt;0,AV832/ABS(AT832),""),"")</f>
        <v>2.5902111519036122E-2</v>
      </c>
      <c r="AX832" s="8">
        <v>0</v>
      </c>
      <c r="AY832" s="8">
        <v>0</v>
      </c>
      <c r="AZ832" s="10"/>
      <c r="BA832" s="8">
        <v>0</v>
      </c>
    </row>
    <row r="833" spans="1:53" x14ac:dyDescent="0.2">
      <c r="A833" s="8" t="s">
        <v>614</v>
      </c>
      <c r="B833" s="8" t="s">
        <v>83</v>
      </c>
      <c r="C833" s="8" t="s">
        <v>210</v>
      </c>
      <c r="D833" s="8">
        <v>1</v>
      </c>
      <c r="E833" s="8">
        <v>0</v>
      </c>
      <c r="F833" s="8">
        <f>SUM(G833:M833)</f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1</v>
      </c>
      <c r="Q833" s="8">
        <v>0</v>
      </c>
      <c r="R833" s="8">
        <v>0</v>
      </c>
      <c r="S833" s="8">
        <v>1</v>
      </c>
      <c r="T833" s="10">
        <v>-28.221</v>
      </c>
      <c r="U833" s="10">
        <v>-116.998</v>
      </c>
      <c r="V833" s="10"/>
      <c r="W833" s="10" t="str">
        <f>IF(RIGHT(C833,2)="12",IF(ISNUMBER(T833),T833,""),IF(COUNT(T833,U833,V833)=3,T833+U833-V833,""))</f>
        <v/>
      </c>
      <c r="X833" s="10"/>
      <c r="Y833" s="10"/>
      <c r="Z833" s="10">
        <v>-105.363</v>
      </c>
      <c r="AA833" s="10">
        <v>-33.079000000000001</v>
      </c>
      <c r="AB833" s="10">
        <v>4.8570000000000002</v>
      </c>
      <c r="AC833" s="8">
        <v>0</v>
      </c>
      <c r="AD833" s="8">
        <v>0</v>
      </c>
      <c r="AE833" s="8">
        <v>0</v>
      </c>
      <c r="AF833" s="10">
        <v>0</v>
      </c>
      <c r="AG833" s="8">
        <f>COUNTIF(Y833:AB833,"&gt;0")</f>
        <v>1</v>
      </c>
      <c r="AH833" s="10">
        <v>4.8570000000000002</v>
      </c>
      <c r="AI833" s="10">
        <v>0</v>
      </c>
      <c r="AJ833" s="8" t="str">
        <f>IF(ISNUMBER(X833),IF(X833&gt;0,"+",IF(X833&lt;0,"−","0")),IF(ISNUMBER(W833),IF(W833&gt;0,"+",IF(W833&lt;0,"−","0")),"yok"))</f>
        <v>yok</v>
      </c>
      <c r="AK833" s="10" t="str">
        <f>IF(AND(RIGHT(C833,2)&lt;&gt;"12",ISNUMBER(U833),ISNUMBER(V833)),U833-V833,"")</f>
        <v/>
      </c>
      <c r="AL833" s="11" t="str">
        <f>IF(AND(ISNUMBER(AK833),ISNUMBER(V833)),IF(V833&lt;&gt;0,AK833/ABS(V833),""),"")</f>
        <v/>
      </c>
      <c r="AM833" s="8" t="str">
        <f>IF(ISNUMBER(AK833),IF(AK833&gt;1,1,0),"")</f>
        <v/>
      </c>
      <c r="AN833" s="8" t="str">
        <f>IF(ISNUMBER(AK833),IF(AK833&gt;0.05*ABS(V833),1,0),"")</f>
        <v/>
      </c>
      <c r="AO833" s="10"/>
      <c r="AP833" s="10"/>
      <c r="AQ833" s="8" t="s">
        <v>207</v>
      </c>
      <c r="AR833" s="8">
        <v>0</v>
      </c>
      <c r="AS833" s="10">
        <v>-86.912000000000006</v>
      </c>
      <c r="AT833" s="10"/>
      <c r="AU833" s="8" t="s">
        <v>207</v>
      </c>
      <c r="AV833" s="10">
        <v>4.8570000000000002</v>
      </c>
      <c r="AW833" s="11" t="str">
        <f>IF(AND(ISNUMBER(AV833),ISNUMBER(AT833)),IF(AT833&lt;&gt;0,AV833/ABS(AT833),""),"")</f>
        <v/>
      </c>
      <c r="AX833" s="8">
        <v>0</v>
      </c>
      <c r="AY833" s="8">
        <v>0</v>
      </c>
      <c r="AZ833" s="10"/>
      <c r="BA833" s="8">
        <v>0</v>
      </c>
    </row>
    <row r="834" spans="1:53" x14ac:dyDescent="0.2">
      <c r="A834" s="8" t="s">
        <v>411</v>
      </c>
      <c r="B834" s="8" t="s">
        <v>83</v>
      </c>
      <c r="C834" s="8" t="s">
        <v>215</v>
      </c>
      <c r="D834" s="8">
        <v>1</v>
      </c>
      <c r="E834" s="8">
        <v>0</v>
      </c>
      <c r="F834" s="8">
        <f>SUM(G834:M834)</f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1</v>
      </c>
      <c r="Q834" s="8">
        <v>0</v>
      </c>
      <c r="R834" s="8">
        <v>0</v>
      </c>
      <c r="S834" s="8">
        <v>1</v>
      </c>
      <c r="T834" s="10">
        <v>-0.34499999999999997</v>
      </c>
      <c r="U834" s="10">
        <v>-0.248</v>
      </c>
      <c r="V834" s="10">
        <v>-0.248</v>
      </c>
      <c r="W834" s="10">
        <f>IF(RIGHT(C834,2)="12",IF(ISNUMBER(T834),T834,""),IF(COUNT(T834,U834,V834)=3,T834+U834-V834,""))</f>
        <v>-0.34499999999999997</v>
      </c>
      <c r="X834" s="10">
        <v>-0.34499999999999997</v>
      </c>
      <c r="Y834" s="10">
        <v>0</v>
      </c>
      <c r="Z834" s="10"/>
      <c r="AA834" s="10"/>
      <c r="AB834" s="10">
        <v>849.38</v>
      </c>
      <c r="AC834" s="8">
        <v>0</v>
      </c>
      <c r="AD834" s="8">
        <v>0</v>
      </c>
      <c r="AE834" s="8">
        <v>0</v>
      </c>
      <c r="AF834" s="10">
        <v>0</v>
      </c>
      <c r="AG834" s="8">
        <f>COUNTIF(Y834:AB834,"&gt;0")</f>
        <v>1</v>
      </c>
      <c r="AH834" s="10">
        <v>849.38</v>
      </c>
      <c r="AI834" s="10">
        <v>0</v>
      </c>
      <c r="AJ834" s="8" t="str">
        <f>IF(ISNUMBER(X834),IF(X834&gt;0,"+",IF(X834&lt;0,"−","0")),IF(ISNUMBER(W834),IF(W834&gt;0,"+",IF(W834&lt;0,"−","0")),"yok"))</f>
        <v>−</v>
      </c>
      <c r="AK834" s="10">
        <f>IF(AND(RIGHT(C834,2)&lt;&gt;"12",ISNUMBER(U834),ISNUMBER(V834)),U834-V834,"")</f>
        <v>0</v>
      </c>
      <c r="AL834" s="11">
        <f>IF(AND(ISNUMBER(AK834),ISNUMBER(V834)),IF(V834&lt;&gt;0,AK834/ABS(V834),""),"")</f>
        <v>0</v>
      </c>
      <c r="AM834" s="8">
        <f>IF(ISNUMBER(AK834),IF(AK834&gt;1,1,0),"")</f>
        <v>0</v>
      </c>
      <c r="AN834" s="8">
        <f>IF(ISNUMBER(AK834),IF(AK834&gt;0.05*ABS(V834),1,0),"")</f>
        <v>0</v>
      </c>
      <c r="AO834" s="10"/>
      <c r="AP834" s="10"/>
      <c r="AQ834" s="8" t="s">
        <v>207</v>
      </c>
      <c r="AR834" s="8">
        <v>0</v>
      </c>
      <c r="AS834" s="10">
        <v>-71.41</v>
      </c>
      <c r="AT834" s="10">
        <v>-71.41</v>
      </c>
      <c r="AU834" s="8" t="s">
        <v>209</v>
      </c>
      <c r="AV834" s="10">
        <v>849.38</v>
      </c>
      <c r="AW834" s="11">
        <f>IF(AND(ISNUMBER(AV834),ISNUMBER(AT834)),IF(AT834&lt;&gt;0,AV834/ABS(AT834),""),"")</f>
        <v>11.894412547262288</v>
      </c>
      <c r="AX834" s="8">
        <v>0</v>
      </c>
      <c r="AY834" s="8">
        <v>0</v>
      </c>
      <c r="AZ834" s="10"/>
      <c r="BA834" s="8">
        <v>0</v>
      </c>
    </row>
    <row r="835" spans="1:53" x14ac:dyDescent="0.2">
      <c r="A835" s="8" t="s">
        <v>411</v>
      </c>
      <c r="B835" s="8" t="s">
        <v>83</v>
      </c>
      <c r="C835" s="8" t="s">
        <v>290</v>
      </c>
      <c r="D835" s="8">
        <v>1</v>
      </c>
      <c r="E835" s="8">
        <v>0</v>
      </c>
      <c r="F835" s="8">
        <f>SUM(G835:M835)</f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1</v>
      </c>
      <c r="Q835" s="8">
        <v>0</v>
      </c>
      <c r="R835" s="8">
        <v>0</v>
      </c>
      <c r="S835" s="8">
        <v>1</v>
      </c>
      <c r="T835" s="10">
        <v>-0.34499999999999997</v>
      </c>
      <c r="U835" s="10"/>
      <c r="V835" s="10"/>
      <c r="W835" s="10">
        <f>IF(RIGHT(C835,2)="12",IF(ISNUMBER(T835),T835,""),IF(COUNT(T835,U835,V835)=3,T835+U835-V835,""))</f>
        <v>-0.34499999999999997</v>
      </c>
      <c r="X835" s="10">
        <v>-0.34499999999999997</v>
      </c>
      <c r="Y835" s="10"/>
      <c r="Z835" s="10"/>
      <c r="AA835" s="10">
        <v>849.38</v>
      </c>
      <c r="AB835" s="10">
        <v>0</v>
      </c>
      <c r="AC835" s="8">
        <v>0</v>
      </c>
      <c r="AD835" s="8">
        <v>0</v>
      </c>
      <c r="AE835" s="8">
        <v>0</v>
      </c>
      <c r="AF835" s="10">
        <v>0</v>
      </c>
      <c r="AG835" s="8">
        <f>COUNTIF(Y835:AB835,"&gt;0")</f>
        <v>1</v>
      </c>
      <c r="AH835" s="10">
        <v>849.38</v>
      </c>
      <c r="AI835" s="10">
        <v>0</v>
      </c>
      <c r="AJ835" s="8" t="str">
        <f>IF(ISNUMBER(X835),IF(X835&gt;0,"+",IF(X835&lt;0,"−","0")),IF(ISNUMBER(W835),IF(W835&gt;0,"+",IF(W835&lt;0,"−","0")),"yok"))</f>
        <v>−</v>
      </c>
      <c r="AK835" s="10" t="str">
        <f>IF(AND(RIGHT(C835,2)&lt;&gt;"12",ISNUMBER(U835),ISNUMBER(V835)),U835-V835,"")</f>
        <v/>
      </c>
      <c r="AL835" s="11" t="str">
        <f>IF(AND(ISNUMBER(AK835),ISNUMBER(V835)),IF(V835&lt;&gt;0,AK835/ABS(V835),""),"")</f>
        <v/>
      </c>
      <c r="AM835" s="8" t="str">
        <f>IF(ISNUMBER(AK835),IF(AK835&gt;1,1,0),"")</f>
        <v/>
      </c>
      <c r="AN835" s="8" t="str">
        <f>IF(ISNUMBER(AK835),IF(AK835&gt;0.05*ABS(V835),1,0),"")</f>
        <v/>
      </c>
      <c r="AO835" s="10"/>
      <c r="AP835" s="10"/>
      <c r="AQ835" s="8" t="s">
        <v>207</v>
      </c>
      <c r="AR835" s="8">
        <v>0</v>
      </c>
      <c r="AS835" s="10">
        <v>-80.581999999999994</v>
      </c>
      <c r="AT835" s="10">
        <v>-80.581999999999994</v>
      </c>
      <c r="AU835" s="8" t="s">
        <v>209</v>
      </c>
      <c r="AV835" s="10">
        <v>849.38</v>
      </c>
      <c r="AW835" s="11">
        <f>IF(AND(ISNUMBER(AV835),ISNUMBER(AT835)),IF(AT835&lt;&gt;0,AV835/ABS(AT835),""),"")</f>
        <v>10.540567372366038</v>
      </c>
      <c r="AX835" s="8">
        <v>0</v>
      </c>
      <c r="AY835" s="8">
        <v>0</v>
      </c>
      <c r="AZ835" s="10"/>
      <c r="BA835" s="8">
        <v>0</v>
      </c>
    </row>
    <row r="836" spans="1:53" x14ac:dyDescent="0.2">
      <c r="A836" s="8" t="s">
        <v>413</v>
      </c>
      <c r="B836" s="8" t="s">
        <v>82</v>
      </c>
      <c r="C836" s="8" t="s">
        <v>203</v>
      </c>
      <c r="D836" s="8">
        <v>1</v>
      </c>
      <c r="E836" s="8">
        <v>0</v>
      </c>
      <c r="F836" s="8">
        <f>SUM(G836:M836)</f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1</v>
      </c>
      <c r="S836" s="8">
        <v>0</v>
      </c>
      <c r="T836" s="10">
        <v>-12.808999999999999</v>
      </c>
      <c r="U836" s="10">
        <v>-180.137</v>
      </c>
      <c r="V836" s="10">
        <v>-26.867000000000001</v>
      </c>
      <c r="W836" s="10">
        <f>IF(RIGHT(C836,2)="12",IF(ISNUMBER(T836),T836,""),IF(COUNT(T836,U836,V836)=3,T836+U836-V836,""))</f>
        <v>-166.07900000000001</v>
      </c>
      <c r="X836" s="10">
        <v>-166.07900000000001</v>
      </c>
      <c r="Y836" s="10"/>
      <c r="Z836" s="10"/>
      <c r="AA836" s="10">
        <v>-160.03700000000001</v>
      </c>
      <c r="AB836" s="10">
        <v>-12.808999999999999</v>
      </c>
      <c r="AC836" s="8">
        <v>0</v>
      </c>
      <c r="AD836" s="8">
        <v>0</v>
      </c>
      <c r="AE836" s="8">
        <v>0</v>
      </c>
      <c r="AF836" s="10">
        <v>0</v>
      </c>
      <c r="AG836" s="8">
        <f>COUNTIF(Y836:AB836,"&gt;0")</f>
        <v>0</v>
      </c>
      <c r="AH836" s="10">
        <v>0</v>
      </c>
      <c r="AI836" s="10">
        <v>0</v>
      </c>
      <c r="AJ836" s="8" t="str">
        <f>IF(ISNUMBER(X836),IF(X836&gt;0,"+",IF(X836&lt;0,"−","0")),IF(ISNUMBER(W836),IF(W836&gt;0,"+",IF(W836&lt;0,"−","0")),"yok"))</f>
        <v>−</v>
      </c>
      <c r="AK836" s="10">
        <f>IF(AND(RIGHT(C836,2)&lt;&gt;"12",ISNUMBER(U836),ISNUMBER(V836)),U836-V836,"")</f>
        <v>-153.27000000000001</v>
      </c>
      <c r="AL836" s="11">
        <f>IF(AND(ISNUMBER(AK836),ISNUMBER(V836)),IF(V836&lt;&gt;0,AK836/ABS(V836),""),"")</f>
        <v>-5.7047679309189716</v>
      </c>
      <c r="AM836" s="8">
        <f>IF(ISNUMBER(AK836),IF(AK836&gt;1,1,0),"")</f>
        <v>0</v>
      </c>
      <c r="AN836" s="8">
        <f>IF(ISNUMBER(AK836),IF(AK836&gt;0.05*ABS(V836),1,0),"")</f>
        <v>0</v>
      </c>
      <c r="AO836" s="10">
        <v>-166.07900000000001</v>
      </c>
      <c r="AP836" s="10">
        <v>166.07900000000001</v>
      </c>
      <c r="AQ836" s="8" t="s">
        <v>209</v>
      </c>
      <c r="AR836" s="8">
        <v>0</v>
      </c>
      <c r="AS836" s="10">
        <v>-48.93</v>
      </c>
      <c r="AT836" s="10">
        <v>-253.417473</v>
      </c>
      <c r="AU836" s="8" t="s">
        <v>209</v>
      </c>
      <c r="AV836" s="10">
        <v>0</v>
      </c>
      <c r="AW836" s="11">
        <f>IF(AND(ISNUMBER(AV836),ISNUMBER(AT836)),IF(AT836&lt;&gt;0,AV836/ABS(AT836),""),"")</f>
        <v>0</v>
      </c>
      <c r="AX836" s="8">
        <v>0</v>
      </c>
      <c r="AY836" s="8">
        <v>0</v>
      </c>
      <c r="AZ836" s="10"/>
      <c r="BA836" s="8">
        <v>0</v>
      </c>
    </row>
    <row r="837" spans="1:53" x14ac:dyDescent="0.2">
      <c r="A837" s="8" t="s">
        <v>413</v>
      </c>
      <c r="B837" s="8" t="s">
        <v>82</v>
      </c>
      <c r="C837" s="8" t="s">
        <v>290</v>
      </c>
      <c r="D837" s="8">
        <v>1</v>
      </c>
      <c r="E837" s="8">
        <v>0</v>
      </c>
      <c r="F837" s="8">
        <f>SUM(G837:M837)</f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1</v>
      </c>
      <c r="Q837" s="8">
        <v>0</v>
      </c>
      <c r="R837" s="8">
        <v>0</v>
      </c>
      <c r="S837" s="8">
        <v>1</v>
      </c>
      <c r="T837" s="10">
        <v>-32.1</v>
      </c>
      <c r="U837" s="10"/>
      <c r="V837" s="10"/>
      <c r="W837" s="10">
        <f>IF(RIGHT(C837,2)="12",IF(ISNUMBER(T837),T837,""),IF(COUNT(T837,U837,V837)=3,T837+U837-V837,""))</f>
        <v>-32.1</v>
      </c>
      <c r="X837" s="10">
        <v>-32.1</v>
      </c>
      <c r="Y837" s="10">
        <v>-12.808999999999999</v>
      </c>
      <c r="Z837" s="10">
        <v>-31.196999999999999</v>
      </c>
      <c r="AA837" s="10">
        <v>-0.61499999999999999</v>
      </c>
      <c r="AB837" s="10">
        <v>12.521000000000001</v>
      </c>
      <c r="AC837" s="8">
        <v>0</v>
      </c>
      <c r="AD837" s="8">
        <v>0</v>
      </c>
      <c r="AE837" s="8">
        <v>0</v>
      </c>
      <c r="AF837" s="10">
        <v>0</v>
      </c>
      <c r="AG837" s="8">
        <f>COUNTIF(Y837:AB837,"&gt;0")</f>
        <v>1</v>
      </c>
      <c r="AH837" s="10">
        <v>12.521000000000001</v>
      </c>
      <c r="AI837" s="10">
        <v>0</v>
      </c>
      <c r="AJ837" s="8" t="str">
        <f>IF(ISNUMBER(X837),IF(X837&gt;0,"+",IF(X837&lt;0,"−","0")),IF(ISNUMBER(W837),IF(W837&gt;0,"+",IF(W837&lt;0,"−","0")),"yok"))</f>
        <v>−</v>
      </c>
      <c r="AK837" s="10" t="str">
        <f>IF(AND(RIGHT(C837,2)&lt;&gt;"12",ISNUMBER(U837),ISNUMBER(V837)),U837-V837,"")</f>
        <v/>
      </c>
      <c r="AL837" s="11" t="str">
        <f>IF(AND(ISNUMBER(AK837),ISNUMBER(V837)),IF(V837&lt;&gt;0,AK837/ABS(V837),""),"")</f>
        <v/>
      </c>
      <c r="AM837" s="8" t="str">
        <f>IF(ISNUMBER(AK837),IF(AK837&gt;1,1,0),"")</f>
        <v/>
      </c>
      <c r="AN837" s="8" t="str">
        <f>IF(ISNUMBER(AK837),IF(AK837&gt;0.05*ABS(V837),1,0),"")</f>
        <v/>
      </c>
      <c r="AO837" s="10">
        <v>-32.100999999999999</v>
      </c>
      <c r="AP837" s="10">
        <v>32.100999999999999</v>
      </c>
      <c r="AQ837" s="8" t="s">
        <v>204</v>
      </c>
      <c r="AR837" s="8">
        <v>0</v>
      </c>
      <c r="AS837" s="10">
        <v>30.620999999999999</v>
      </c>
      <c r="AT837" s="10">
        <v>-67.045000000000002</v>
      </c>
      <c r="AU837" s="8" t="s">
        <v>204</v>
      </c>
      <c r="AV837" s="10">
        <v>12.521000000000001</v>
      </c>
      <c r="AW837" s="11">
        <f>IF(AND(ISNUMBER(AV837),ISNUMBER(AT837)),IF(AT837&lt;&gt;0,AV837/ABS(AT837),""),"")</f>
        <v>0.18675516444179283</v>
      </c>
      <c r="AX837" s="8">
        <v>0</v>
      </c>
      <c r="AY837" s="8">
        <v>0</v>
      </c>
      <c r="AZ837" s="10"/>
      <c r="BA837" s="8">
        <v>0</v>
      </c>
    </row>
    <row r="838" spans="1:53" x14ac:dyDescent="0.2">
      <c r="A838" s="8" t="s">
        <v>413</v>
      </c>
      <c r="B838" s="8" t="s">
        <v>82</v>
      </c>
      <c r="C838" s="8" t="s">
        <v>208</v>
      </c>
      <c r="D838" s="8">
        <v>1</v>
      </c>
      <c r="E838" s="8">
        <v>0</v>
      </c>
      <c r="F838" s="8">
        <f>SUM(G838:M838)</f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1</v>
      </c>
      <c r="Q838" s="8">
        <v>0</v>
      </c>
      <c r="R838" s="8">
        <v>1</v>
      </c>
      <c r="S838" s="8">
        <v>0</v>
      </c>
      <c r="T838" s="10">
        <v>-27.620999999999999</v>
      </c>
      <c r="U838" s="10">
        <v>-32.1</v>
      </c>
      <c r="V838" s="10">
        <v>-12.808999999999999</v>
      </c>
      <c r="W838" s="10">
        <f>IF(RIGHT(C838,2)="12",IF(ISNUMBER(T838),T838,""),IF(COUNT(T838,U838,V838)=3,T838+U838-V838,""))</f>
        <v>-46.912000000000006</v>
      </c>
      <c r="X838" s="10">
        <v>-46.912999999999997</v>
      </c>
      <c r="Y838" s="10">
        <v>-31.196999999999999</v>
      </c>
      <c r="Z838" s="10">
        <v>-0.61499999999999999</v>
      </c>
      <c r="AA838" s="10">
        <v>12.521000000000001</v>
      </c>
      <c r="AB838" s="10">
        <v>-27.620999999999999</v>
      </c>
      <c r="AC838" s="8">
        <v>0</v>
      </c>
      <c r="AD838" s="8">
        <v>0</v>
      </c>
      <c r="AE838" s="8">
        <v>0</v>
      </c>
      <c r="AF838" s="10">
        <v>0</v>
      </c>
      <c r="AG838" s="8">
        <f>COUNTIF(Y838:AB838,"&gt;0")</f>
        <v>1</v>
      </c>
      <c r="AH838" s="10">
        <v>0</v>
      </c>
      <c r="AI838" s="10">
        <v>12.521000000000001</v>
      </c>
      <c r="AJ838" s="8" t="str">
        <f>IF(ISNUMBER(X838),IF(X838&gt;0,"+",IF(X838&lt;0,"−","0")),IF(ISNUMBER(W838),IF(W838&gt;0,"+",IF(W838&lt;0,"−","0")),"yok"))</f>
        <v>−</v>
      </c>
      <c r="AK838" s="10">
        <f>IF(AND(RIGHT(C838,2)&lt;&gt;"12",ISNUMBER(U838),ISNUMBER(V838)),U838-V838,"")</f>
        <v>-19.291000000000004</v>
      </c>
      <c r="AL838" s="11">
        <f>IF(AND(ISNUMBER(AK838),ISNUMBER(V838)),IF(V838&lt;&gt;0,AK838/ABS(V838),""),"")</f>
        <v>-1.506050433289094</v>
      </c>
      <c r="AM838" s="8">
        <f>IF(ISNUMBER(AK838),IF(AK838&gt;1,1,0),"")</f>
        <v>0</v>
      </c>
      <c r="AN838" s="8">
        <f>IF(ISNUMBER(AK838),IF(AK838&gt;0.05*ABS(V838),1,0),"")</f>
        <v>0</v>
      </c>
      <c r="AO838" s="10">
        <v>-46.912999999999997</v>
      </c>
      <c r="AP838" s="10">
        <v>46.912999999999997</v>
      </c>
      <c r="AQ838" s="8" t="s">
        <v>204</v>
      </c>
      <c r="AR838" s="8">
        <v>0</v>
      </c>
      <c r="AS838" s="10">
        <v>43.627000000000002</v>
      </c>
      <c r="AT838" s="10">
        <v>-71.278999999999996</v>
      </c>
      <c r="AU838" s="8" t="s">
        <v>204</v>
      </c>
      <c r="AV838" s="10">
        <v>12.521000000000001</v>
      </c>
      <c r="AW838" s="11">
        <f>IF(AND(ISNUMBER(AV838),ISNUMBER(AT838)),IF(AT838&lt;&gt;0,AV838/ABS(AT838),""),"")</f>
        <v>0.17566183588434184</v>
      </c>
      <c r="AX838" s="8">
        <v>0</v>
      </c>
      <c r="AY838" s="8">
        <v>0</v>
      </c>
      <c r="AZ838" s="10"/>
      <c r="BA838" s="8">
        <v>0</v>
      </c>
    </row>
    <row r="839" spans="1:53" x14ac:dyDescent="0.2">
      <c r="A839" s="8" t="s">
        <v>414</v>
      </c>
      <c r="B839" s="8" t="s">
        <v>83</v>
      </c>
      <c r="C839" s="8" t="s">
        <v>290</v>
      </c>
      <c r="D839" s="8">
        <v>1</v>
      </c>
      <c r="E839" s="8">
        <v>0</v>
      </c>
      <c r="F839" s="8">
        <f>SUM(G839:M839)</f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1</v>
      </c>
      <c r="Q839" s="8">
        <v>0</v>
      </c>
      <c r="R839" s="8">
        <v>0</v>
      </c>
      <c r="S839" s="8">
        <v>1</v>
      </c>
      <c r="T839" s="10">
        <v>-48.468000000000004</v>
      </c>
      <c r="U839" s="10"/>
      <c r="V839" s="10"/>
      <c r="W839" s="10">
        <f>IF(RIGHT(C839,2)="12",IF(ISNUMBER(T839),T839,""),IF(COUNT(T839,U839,V839)=3,T839+U839-V839,""))</f>
        <v>-48.468000000000004</v>
      </c>
      <c r="X839" s="10">
        <v>-48.468000000000004</v>
      </c>
      <c r="Y839" s="10">
        <v>-39.274000000000001</v>
      </c>
      <c r="Z839" s="10">
        <v>-17.417000000000002</v>
      </c>
      <c r="AA839" s="10">
        <v>-22.536999999999999</v>
      </c>
      <c r="AB839" s="10">
        <v>30.760999999999999</v>
      </c>
      <c r="AC839" s="8">
        <v>0</v>
      </c>
      <c r="AD839" s="8">
        <v>0</v>
      </c>
      <c r="AE839" s="8">
        <v>0</v>
      </c>
      <c r="AF839" s="10">
        <v>0</v>
      </c>
      <c r="AG839" s="8">
        <f>COUNTIF(Y839:AB839,"&gt;0")</f>
        <v>1</v>
      </c>
      <c r="AH839" s="10">
        <v>30.760999999999999</v>
      </c>
      <c r="AI839" s="10">
        <v>0</v>
      </c>
      <c r="AJ839" s="8" t="str">
        <f>IF(ISNUMBER(X839),IF(X839&gt;0,"+",IF(X839&lt;0,"−","0")),IF(ISNUMBER(W839),IF(W839&gt;0,"+",IF(W839&lt;0,"−","0")),"yok"))</f>
        <v>−</v>
      </c>
      <c r="AK839" s="10" t="str">
        <f>IF(AND(RIGHT(C839,2)&lt;&gt;"12",ISNUMBER(U839),ISNUMBER(V839)),U839-V839,"")</f>
        <v/>
      </c>
      <c r="AL839" s="11" t="str">
        <f>IF(AND(ISNUMBER(AK839),ISNUMBER(V839)),IF(V839&lt;&gt;0,AK839/ABS(V839),""),"")</f>
        <v/>
      </c>
      <c r="AM839" s="8" t="str">
        <f>IF(ISNUMBER(AK839),IF(AK839&gt;1,1,0),"")</f>
        <v/>
      </c>
      <c r="AN839" s="8" t="str">
        <f>IF(ISNUMBER(AK839),IF(AK839&gt;0.05*ABS(V839),1,0),"")</f>
        <v/>
      </c>
      <c r="AO839" s="10">
        <v>-48.469000000000001</v>
      </c>
      <c r="AP839" s="10">
        <v>48.469000000000001</v>
      </c>
      <c r="AQ839" s="8" t="s">
        <v>204</v>
      </c>
      <c r="AR839" s="8">
        <v>0</v>
      </c>
      <c r="AS839" s="10">
        <v>347.197</v>
      </c>
      <c r="AT839" s="10">
        <v>298.26900000000001</v>
      </c>
      <c r="AU839" s="8" t="s">
        <v>204</v>
      </c>
      <c r="AV839" s="10">
        <v>30.760999999999999</v>
      </c>
      <c r="AW839" s="11">
        <f>IF(AND(ISNUMBER(AV839),ISNUMBER(AT839)),IF(AT839&lt;&gt;0,AV839/ABS(AT839),""),"")</f>
        <v>0.10313173678793304</v>
      </c>
      <c r="AX839" s="8">
        <v>0</v>
      </c>
      <c r="AY839" s="8">
        <v>0</v>
      </c>
      <c r="AZ839" s="10"/>
      <c r="BA839" s="8">
        <v>0</v>
      </c>
    </row>
    <row r="840" spans="1:53" x14ac:dyDescent="0.2">
      <c r="A840" s="8" t="s">
        <v>415</v>
      </c>
      <c r="B840" s="8" t="s">
        <v>82</v>
      </c>
      <c r="C840" s="8" t="s">
        <v>290</v>
      </c>
      <c r="D840" s="8">
        <v>1</v>
      </c>
      <c r="E840" s="8">
        <v>0</v>
      </c>
      <c r="F840" s="8">
        <f>SUM(G840:M840)</f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1</v>
      </c>
      <c r="Q840" s="8">
        <v>0</v>
      </c>
      <c r="R840" s="8">
        <v>0</v>
      </c>
      <c r="S840" s="8">
        <v>1</v>
      </c>
      <c r="T840" s="10">
        <v>-1.919</v>
      </c>
      <c r="U840" s="10"/>
      <c r="V840" s="10"/>
      <c r="W840" s="10">
        <f>IF(RIGHT(C840,2)="12",IF(ISNUMBER(T840),T840,""),IF(COUNT(T840,U840,V840)=3,T840+U840-V840,""))</f>
        <v>-1.919</v>
      </c>
      <c r="X840" s="10">
        <v>-1.919</v>
      </c>
      <c r="Y840" s="10">
        <v>-26.475000000000001</v>
      </c>
      <c r="Z840" s="10">
        <v>29.41</v>
      </c>
      <c r="AA840" s="10">
        <v>2.6850000000000001</v>
      </c>
      <c r="AB840" s="10">
        <v>-7.54</v>
      </c>
      <c r="AC840" s="8">
        <v>0</v>
      </c>
      <c r="AD840" s="8">
        <v>0</v>
      </c>
      <c r="AE840" s="8">
        <v>0</v>
      </c>
      <c r="AF840" s="10">
        <v>0</v>
      </c>
      <c r="AG840" s="8">
        <f>COUNTIF(Y840:AB840,"&gt;0")</f>
        <v>2</v>
      </c>
      <c r="AH840" s="10">
        <v>32.094999999999999</v>
      </c>
      <c r="AI840" s="10">
        <v>0</v>
      </c>
      <c r="AJ840" s="8" t="str">
        <f>IF(ISNUMBER(X840),IF(X840&gt;0,"+",IF(X840&lt;0,"−","0")),IF(ISNUMBER(W840),IF(W840&gt;0,"+",IF(W840&lt;0,"−","0")),"yok"))</f>
        <v>−</v>
      </c>
      <c r="AK840" s="10" t="str">
        <f>IF(AND(RIGHT(C840,2)&lt;&gt;"12",ISNUMBER(U840),ISNUMBER(V840)),U840-V840,"")</f>
        <v/>
      </c>
      <c r="AL840" s="11" t="str">
        <f>IF(AND(ISNUMBER(AK840),ISNUMBER(V840)),IF(V840&lt;&gt;0,AK840/ABS(V840),""),"")</f>
        <v/>
      </c>
      <c r="AM840" s="8" t="str">
        <f>IF(ISNUMBER(AK840),IF(AK840&gt;1,1,0),"")</f>
        <v/>
      </c>
      <c r="AN840" s="8" t="str">
        <f>IF(ISNUMBER(AK840),IF(AK840&gt;0.05*ABS(V840),1,0),"")</f>
        <v/>
      </c>
      <c r="AO840" s="10">
        <v>-1.919</v>
      </c>
      <c r="AP840" s="10">
        <v>1.919</v>
      </c>
      <c r="AQ840" s="8" t="s">
        <v>204</v>
      </c>
      <c r="AR840" s="8">
        <v>0</v>
      </c>
      <c r="AS840" s="10">
        <v>105.28100000000001</v>
      </c>
      <c r="AT840" s="10">
        <v>-48.554000000000002</v>
      </c>
      <c r="AU840" s="8" t="s">
        <v>204</v>
      </c>
      <c r="AV840" s="10">
        <v>29.41</v>
      </c>
      <c r="AW840" s="11">
        <f>IF(AND(ISNUMBER(AV840),ISNUMBER(AT840)),IF(AT840&lt;&gt;0,AV840/ABS(AT840),""),"")</f>
        <v>0.60571734563578694</v>
      </c>
      <c r="AX840" s="8">
        <v>0</v>
      </c>
      <c r="AY840" s="8">
        <v>0</v>
      </c>
      <c r="AZ840" s="10"/>
      <c r="BA840" s="8">
        <v>0</v>
      </c>
    </row>
    <row r="841" spans="1:53" x14ac:dyDescent="0.2">
      <c r="A841" s="8" t="s">
        <v>420</v>
      </c>
      <c r="B841" s="8" t="s">
        <v>83</v>
      </c>
      <c r="C841" s="8" t="s">
        <v>215</v>
      </c>
      <c r="D841" s="8">
        <v>1</v>
      </c>
      <c r="E841" s="8">
        <v>0</v>
      </c>
      <c r="F841" s="8">
        <f>SUM(G841:M841)</f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1</v>
      </c>
      <c r="Q841" s="8">
        <v>0</v>
      </c>
      <c r="R841" s="8">
        <v>0</v>
      </c>
      <c r="S841" s="8">
        <v>1</v>
      </c>
      <c r="T841" s="10">
        <v>0</v>
      </c>
      <c r="U841" s="10">
        <v>-177.08500000000001</v>
      </c>
      <c r="V841" s="10">
        <v>-2.2570000000000001</v>
      </c>
      <c r="W841" s="10">
        <f>IF(RIGHT(C841,2)="12",IF(ISNUMBER(T841),T841,""),IF(COUNT(T841,U841,V841)=3,T841+U841-V841,""))</f>
        <v>-174.828</v>
      </c>
      <c r="X841" s="10">
        <v>-174.827</v>
      </c>
      <c r="Y841" s="10">
        <v>-174.827</v>
      </c>
      <c r="Z841" s="10"/>
      <c r="AA841" s="10"/>
      <c r="AB841" s="10">
        <v>96.525999999999996</v>
      </c>
      <c r="AC841" s="8">
        <v>0</v>
      </c>
      <c r="AD841" s="8">
        <v>0</v>
      </c>
      <c r="AE841" s="8">
        <v>0</v>
      </c>
      <c r="AF841" s="10">
        <v>0</v>
      </c>
      <c r="AG841" s="8">
        <f>COUNTIF(Y841:AB841,"&gt;0")</f>
        <v>1</v>
      </c>
      <c r="AH841" s="10">
        <v>96.525999999999996</v>
      </c>
      <c r="AI841" s="10">
        <v>0</v>
      </c>
      <c r="AJ841" s="8" t="str">
        <f>IF(ISNUMBER(X841),IF(X841&gt;0,"+",IF(X841&lt;0,"−","0")),IF(ISNUMBER(W841),IF(W841&gt;0,"+",IF(W841&lt;0,"−","0")),"yok"))</f>
        <v>−</v>
      </c>
      <c r="AK841" s="10">
        <f>IF(AND(RIGHT(C841,2)&lt;&gt;"12",ISNUMBER(U841),ISNUMBER(V841)),U841-V841,"")</f>
        <v>-174.828</v>
      </c>
      <c r="AL841" s="11">
        <f>IF(AND(ISNUMBER(AK841),ISNUMBER(V841)),IF(V841&lt;&gt;0,AK841/ABS(V841),""),"")</f>
        <v>-77.460345591493123</v>
      </c>
      <c r="AM841" s="8">
        <f>IF(ISNUMBER(AK841),IF(AK841&gt;1,1,0),"")</f>
        <v>0</v>
      </c>
      <c r="AN841" s="8">
        <f>IF(ISNUMBER(AK841),IF(AK841&gt;0.05*ABS(V841),1,0),"")</f>
        <v>0</v>
      </c>
      <c r="AO841" s="10"/>
      <c r="AP841" s="10"/>
      <c r="AQ841" s="8" t="s">
        <v>207</v>
      </c>
      <c r="AR841" s="8">
        <v>0</v>
      </c>
      <c r="AS841" s="10">
        <v>147.29599999999999</v>
      </c>
      <c r="AT841" s="10"/>
      <c r="AU841" s="8" t="s">
        <v>207</v>
      </c>
      <c r="AV841" s="10">
        <v>96.525999999999996</v>
      </c>
      <c r="AW841" s="11" t="str">
        <f>IF(AND(ISNUMBER(AV841),ISNUMBER(AT841)),IF(AT841&lt;&gt;0,AV841/ABS(AT841),""),"")</f>
        <v/>
      </c>
      <c r="AX841" s="8">
        <v>0</v>
      </c>
      <c r="AY841" s="8">
        <v>0</v>
      </c>
      <c r="AZ841" s="10"/>
      <c r="BA841" s="8">
        <v>0</v>
      </c>
    </row>
    <row r="842" spans="1:53" x14ac:dyDescent="0.2">
      <c r="A842" s="8" t="s">
        <v>420</v>
      </c>
      <c r="B842" s="8" t="s">
        <v>83</v>
      </c>
      <c r="C842" s="8" t="s">
        <v>290</v>
      </c>
      <c r="D842" s="8">
        <v>1</v>
      </c>
      <c r="E842" s="8">
        <v>0</v>
      </c>
      <c r="F842" s="8">
        <f>SUM(G842:M842)</f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1</v>
      </c>
      <c r="O842" s="8">
        <v>1</v>
      </c>
      <c r="P842" s="8">
        <v>1</v>
      </c>
      <c r="Q842" s="8">
        <v>0</v>
      </c>
      <c r="R842" s="8">
        <v>0</v>
      </c>
      <c r="S842" s="8">
        <v>1</v>
      </c>
      <c r="T842" s="10">
        <v>859.09100000000001</v>
      </c>
      <c r="U842" s="10"/>
      <c r="V842" s="10"/>
      <c r="W842" s="10">
        <f>IF(RIGHT(C842,2)="12",IF(ISNUMBER(T842),T842,""),IF(COUNT(T842,U842,V842)=3,T842+U842-V842,""))</f>
        <v>859.09100000000001</v>
      </c>
      <c r="X842" s="10">
        <v>859.09100000000001</v>
      </c>
      <c r="Y842" s="10"/>
      <c r="Z842" s="10"/>
      <c r="AA842" s="10">
        <v>96.525999999999996</v>
      </c>
      <c r="AB842" s="10">
        <v>859.09100000000001</v>
      </c>
      <c r="AC842" s="8">
        <v>1</v>
      </c>
      <c r="AD842" s="8">
        <v>0</v>
      </c>
      <c r="AE842" s="8">
        <v>0</v>
      </c>
      <c r="AF842" s="10">
        <v>859.09100000000001</v>
      </c>
      <c r="AG842" s="8">
        <f>COUNTIF(Y842:AB842,"&gt;0")</f>
        <v>2</v>
      </c>
      <c r="AH842" s="10">
        <v>955.61699999999996</v>
      </c>
      <c r="AI842" s="10">
        <v>0</v>
      </c>
      <c r="AJ842" s="8" t="str">
        <f>IF(ISNUMBER(X842),IF(X842&gt;0,"+",IF(X842&lt;0,"−","0")),IF(ISNUMBER(W842),IF(W842&gt;0,"+",IF(W842&lt;0,"−","0")),"yok"))</f>
        <v>+</v>
      </c>
      <c r="AK842" s="10" t="str">
        <f>IF(AND(RIGHT(C842,2)&lt;&gt;"12",ISNUMBER(U842),ISNUMBER(V842)),U842-V842,"")</f>
        <v/>
      </c>
      <c r="AL842" s="11" t="str">
        <f>IF(AND(ISNUMBER(AK842),ISNUMBER(V842)),IF(V842&lt;&gt;0,AK842/ABS(V842),""),"")</f>
        <v/>
      </c>
      <c r="AM842" s="8" t="str">
        <f>IF(ISNUMBER(AK842),IF(AK842&gt;1,1,0),"")</f>
        <v/>
      </c>
      <c r="AN842" s="8" t="str">
        <f>IF(ISNUMBER(AK842),IF(AK842&gt;0.05*ABS(V842),1,0),"")</f>
        <v/>
      </c>
      <c r="AO842" s="10"/>
      <c r="AP842" s="10"/>
      <c r="AQ842" s="8" t="s">
        <v>207</v>
      </c>
      <c r="AR842" s="8">
        <v>0</v>
      </c>
      <c r="AS842" s="10">
        <v>-485.39400000000001</v>
      </c>
      <c r="AT842" s="10"/>
      <c r="AU842" s="8" t="s">
        <v>207</v>
      </c>
      <c r="AV842" s="10">
        <v>859.09100000000001</v>
      </c>
      <c r="AW842" s="11" t="str">
        <f>IF(AND(ISNUMBER(AV842),ISNUMBER(AT842)),IF(AT842&lt;&gt;0,AV842/ABS(AT842),""),"")</f>
        <v/>
      </c>
      <c r="AX842" s="8">
        <v>1</v>
      </c>
      <c r="AY842" s="8">
        <v>0</v>
      </c>
      <c r="AZ842" s="8" t="s">
        <v>615</v>
      </c>
      <c r="BA842" s="8">
        <v>0</v>
      </c>
    </row>
    <row r="843" spans="1:53" x14ac:dyDescent="0.2">
      <c r="A843" s="8" t="s">
        <v>426</v>
      </c>
      <c r="B843" s="8" t="s">
        <v>83</v>
      </c>
      <c r="C843" s="8" t="s">
        <v>205</v>
      </c>
      <c r="D843" s="8">
        <v>1</v>
      </c>
      <c r="E843" s="8">
        <v>0</v>
      </c>
      <c r="F843" s="8">
        <f>SUM(G843:M843)</f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1</v>
      </c>
      <c r="Q843" s="8">
        <v>0</v>
      </c>
      <c r="R843" s="8">
        <v>0</v>
      </c>
      <c r="S843" s="8">
        <v>1</v>
      </c>
      <c r="T843" s="10">
        <v>-96.65</v>
      </c>
      <c r="U843" s="10">
        <v>-268.363</v>
      </c>
      <c r="V843" s="10">
        <v>-150.16399999999999</v>
      </c>
      <c r="W843" s="10">
        <f>IF(RIGHT(C843,2)="12",IF(ISNUMBER(T843),T843,""),IF(COUNT(T843,U843,V843)=3,T843+U843-V843,""))</f>
        <v>-214.84900000000005</v>
      </c>
      <c r="X843" s="10">
        <v>-214.84899999999999</v>
      </c>
      <c r="Y843" s="10">
        <v>-41.758000000000003</v>
      </c>
      <c r="Z843" s="10">
        <v>-76.44</v>
      </c>
      <c r="AA843" s="10">
        <v>-150.73400000000001</v>
      </c>
      <c r="AB843" s="10">
        <v>54.084000000000003</v>
      </c>
      <c r="AC843" s="8">
        <v>0</v>
      </c>
      <c r="AD843" s="8">
        <v>0</v>
      </c>
      <c r="AE843" s="8">
        <v>0</v>
      </c>
      <c r="AF843" s="10">
        <v>0</v>
      </c>
      <c r="AG843" s="8">
        <f>COUNTIF(Y843:AB843,"&gt;0")</f>
        <v>1</v>
      </c>
      <c r="AH843" s="10">
        <v>54.084000000000003</v>
      </c>
      <c r="AI843" s="10">
        <v>0</v>
      </c>
      <c r="AJ843" s="8" t="str">
        <f>IF(ISNUMBER(X843),IF(X843&gt;0,"+",IF(X843&lt;0,"−","0")),IF(ISNUMBER(W843),IF(W843&gt;0,"+",IF(W843&lt;0,"−","0")),"yok"))</f>
        <v>−</v>
      </c>
      <c r="AK843" s="10">
        <f>IF(AND(RIGHT(C843,2)&lt;&gt;"12",ISNUMBER(U843),ISNUMBER(V843)),U843-V843,"")</f>
        <v>-118.19900000000001</v>
      </c>
      <c r="AL843" s="11">
        <f>IF(AND(ISNUMBER(AK843),ISNUMBER(V843)),IF(V843&lt;&gt;0,AK843/ABS(V843),""),"")</f>
        <v>-0.78713273487653512</v>
      </c>
      <c r="AM843" s="8">
        <f>IF(ISNUMBER(AK843),IF(AK843&gt;1,1,0),"")</f>
        <v>0</v>
      </c>
      <c r="AN843" s="8">
        <f>IF(ISNUMBER(AK843),IF(AK843&gt;0.05*ABS(V843),1,0),"")</f>
        <v>0</v>
      </c>
      <c r="AO843" s="10">
        <v>-214.84899999999999</v>
      </c>
      <c r="AP843" s="10">
        <v>214.84899999999999</v>
      </c>
      <c r="AQ843" s="8" t="s">
        <v>204</v>
      </c>
      <c r="AR843" s="8">
        <v>0</v>
      </c>
      <c r="AS843" s="10">
        <v>-311.99700000000001</v>
      </c>
      <c r="AT843" s="10">
        <v>-526.846</v>
      </c>
      <c r="AU843" s="8" t="s">
        <v>212</v>
      </c>
      <c r="AV843" s="10">
        <v>54.084000000000003</v>
      </c>
      <c r="AW843" s="11">
        <f>IF(AND(ISNUMBER(AV843),ISNUMBER(AT843)),IF(AT843&lt;&gt;0,AV843/ABS(AT843),""),"")</f>
        <v>0.10265618416007714</v>
      </c>
      <c r="AX843" s="8">
        <v>0</v>
      </c>
      <c r="AY843" s="8">
        <v>0</v>
      </c>
      <c r="AZ843" s="10"/>
      <c r="BA843" s="8">
        <v>0</v>
      </c>
    </row>
    <row r="844" spans="1:53" x14ac:dyDescent="0.2">
      <c r="A844" s="8" t="s">
        <v>426</v>
      </c>
      <c r="B844" s="8" t="s">
        <v>83</v>
      </c>
      <c r="C844" s="8" t="s">
        <v>215</v>
      </c>
      <c r="D844" s="8">
        <v>1</v>
      </c>
      <c r="E844" s="8">
        <v>0</v>
      </c>
      <c r="F844" s="8">
        <f>SUM(G844:M844)</f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1</v>
      </c>
      <c r="Q844" s="8">
        <v>0</v>
      </c>
      <c r="R844" s="8">
        <v>0</v>
      </c>
      <c r="S844" s="8">
        <v>1</v>
      </c>
      <c r="T844" s="10">
        <v>-180.00899999999999</v>
      </c>
      <c r="U844" s="10">
        <v>-268.363</v>
      </c>
      <c r="V844" s="10">
        <v>-191.923</v>
      </c>
      <c r="W844" s="10">
        <f>IF(RIGHT(C844,2)="12",IF(ISNUMBER(T844),T844,""),IF(COUNT(T844,U844,V844)=3,T844+U844-V844,""))</f>
        <v>-256.44899999999996</v>
      </c>
      <c r="X844" s="10">
        <v>-256.44900000000001</v>
      </c>
      <c r="Y844" s="10">
        <v>-76.44</v>
      </c>
      <c r="Z844" s="10">
        <v>-150.73400000000001</v>
      </c>
      <c r="AA844" s="10">
        <v>54.084000000000003</v>
      </c>
      <c r="AB844" s="10">
        <v>-83.358000000000004</v>
      </c>
      <c r="AC844" s="8">
        <v>0</v>
      </c>
      <c r="AD844" s="8">
        <v>0</v>
      </c>
      <c r="AE844" s="8">
        <v>0</v>
      </c>
      <c r="AF844" s="10">
        <v>0</v>
      </c>
      <c r="AG844" s="8">
        <f>COUNTIF(Y844:AB844,"&gt;0")</f>
        <v>1</v>
      </c>
      <c r="AH844" s="10">
        <v>54.084000000000003</v>
      </c>
      <c r="AI844" s="10">
        <v>0</v>
      </c>
      <c r="AJ844" s="8" t="str">
        <f>IF(ISNUMBER(X844),IF(X844&gt;0,"+",IF(X844&lt;0,"−","0")),IF(ISNUMBER(W844),IF(W844&gt;0,"+",IF(W844&lt;0,"−","0")),"yok"))</f>
        <v>−</v>
      </c>
      <c r="AK844" s="10">
        <f>IF(AND(RIGHT(C844,2)&lt;&gt;"12",ISNUMBER(U844),ISNUMBER(V844)),U844-V844,"")</f>
        <v>-76.44</v>
      </c>
      <c r="AL844" s="11">
        <f>IF(AND(ISNUMBER(AK844),ISNUMBER(V844)),IF(V844&lt;&gt;0,AK844/ABS(V844),""),"")</f>
        <v>-0.39828472877143434</v>
      </c>
      <c r="AM844" s="8">
        <f>IF(ISNUMBER(AK844),IF(AK844&gt;1,1,0),"")</f>
        <v>0</v>
      </c>
      <c r="AN844" s="8">
        <f>IF(ISNUMBER(AK844),IF(AK844&gt;0.05*ABS(V844),1,0),"")</f>
        <v>0</v>
      </c>
      <c r="AO844" s="10">
        <v>-256.45</v>
      </c>
      <c r="AP844" s="10">
        <v>256.45</v>
      </c>
      <c r="AQ844" s="8" t="s">
        <v>204</v>
      </c>
      <c r="AR844" s="8">
        <v>0</v>
      </c>
      <c r="AS844" s="10">
        <v>-722.73199999999997</v>
      </c>
      <c r="AT844" s="10">
        <v>-979.18200000000002</v>
      </c>
      <c r="AU844" s="8" t="s">
        <v>204</v>
      </c>
      <c r="AV844" s="10">
        <v>54.084000000000003</v>
      </c>
      <c r="AW844" s="11">
        <f>IF(AND(ISNUMBER(AV844),ISNUMBER(AT844)),IF(AT844&lt;&gt;0,AV844/ABS(AT844),""),"")</f>
        <v>5.5233858465535524E-2</v>
      </c>
      <c r="AX844" s="8">
        <v>0</v>
      </c>
      <c r="AY844" s="8">
        <v>0</v>
      </c>
      <c r="AZ844" s="10"/>
      <c r="BA844" s="8">
        <v>0</v>
      </c>
    </row>
    <row r="845" spans="1:53" x14ac:dyDescent="0.2">
      <c r="A845" s="8" t="s">
        <v>426</v>
      </c>
      <c r="B845" s="8" t="s">
        <v>83</v>
      </c>
      <c r="C845" s="8" t="s">
        <v>290</v>
      </c>
      <c r="D845" s="8">
        <v>1</v>
      </c>
      <c r="E845" s="8">
        <v>0</v>
      </c>
      <c r="F845" s="8">
        <f>SUM(G845:M845)</f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1</v>
      </c>
      <c r="Q845" s="8">
        <v>0</v>
      </c>
      <c r="R845" s="8">
        <v>0</v>
      </c>
      <c r="S845" s="8">
        <v>1</v>
      </c>
      <c r="T845" s="10">
        <v>-1804.2629999999999</v>
      </c>
      <c r="U845" s="10"/>
      <c r="V845" s="10"/>
      <c r="W845" s="10">
        <f>IF(RIGHT(C845,2)="12",IF(ISNUMBER(T845),T845,""),IF(COUNT(T845,U845,V845)=3,T845+U845-V845,""))</f>
        <v>-1804.2629999999999</v>
      </c>
      <c r="X845" s="10">
        <v>-1804.2629999999999</v>
      </c>
      <c r="Y845" s="10">
        <v>-150.73400000000001</v>
      </c>
      <c r="Z845" s="10">
        <v>54.084000000000003</v>
      </c>
      <c r="AA845" s="10">
        <v>-83.358000000000004</v>
      </c>
      <c r="AB845" s="10">
        <v>-1624.2529999999999</v>
      </c>
      <c r="AC845" s="8">
        <v>0</v>
      </c>
      <c r="AD845" s="8">
        <v>0</v>
      </c>
      <c r="AE845" s="8">
        <v>0</v>
      </c>
      <c r="AF845" s="10">
        <v>0</v>
      </c>
      <c r="AG845" s="8">
        <f>COUNTIF(Y845:AB845,"&gt;0")</f>
        <v>1</v>
      </c>
      <c r="AH845" s="10">
        <v>54.084000000000003</v>
      </c>
      <c r="AI845" s="10">
        <v>0</v>
      </c>
      <c r="AJ845" s="8" t="str">
        <f>IF(ISNUMBER(X845),IF(X845&gt;0,"+",IF(X845&lt;0,"−","0")),IF(ISNUMBER(W845),IF(W845&gt;0,"+",IF(W845&lt;0,"−","0")),"yok"))</f>
        <v>−</v>
      </c>
      <c r="AK845" s="10" t="str">
        <f>IF(AND(RIGHT(C845,2)&lt;&gt;"12",ISNUMBER(U845),ISNUMBER(V845)),U845-V845,"")</f>
        <v/>
      </c>
      <c r="AL845" s="11" t="str">
        <f>IF(AND(ISNUMBER(AK845),ISNUMBER(V845)),IF(V845&lt;&gt;0,AK845/ABS(V845),""),"")</f>
        <v/>
      </c>
      <c r="AM845" s="8" t="str">
        <f>IF(ISNUMBER(AK845),IF(AK845&gt;1,1,0),"")</f>
        <v/>
      </c>
      <c r="AN845" s="8" t="str">
        <f>IF(ISNUMBER(AK845),IF(AK845&gt;0.05*ABS(V845),1,0),"")</f>
        <v/>
      </c>
      <c r="AO845" s="10">
        <v>-1804.2629999999999</v>
      </c>
      <c r="AP845" s="10">
        <v>1804.2629999999999</v>
      </c>
      <c r="AQ845" s="8" t="s">
        <v>204</v>
      </c>
      <c r="AR845" s="8">
        <v>0</v>
      </c>
      <c r="AS845" s="10">
        <v>1189.193</v>
      </c>
      <c r="AT845" s="10">
        <v>-615.07000000000005</v>
      </c>
      <c r="AU845" s="8" t="s">
        <v>204</v>
      </c>
      <c r="AV845" s="10">
        <v>54.084000000000003</v>
      </c>
      <c r="AW845" s="11">
        <f>IF(AND(ISNUMBER(AV845),ISNUMBER(AT845)),IF(AT845&lt;&gt;0,AV845/ABS(AT845),""),"")</f>
        <v>8.7931454956346425E-2</v>
      </c>
      <c r="AX845" s="8">
        <v>0</v>
      </c>
      <c r="AY845" s="8">
        <v>0</v>
      </c>
      <c r="AZ845" s="10"/>
      <c r="BA845" s="8">
        <v>0</v>
      </c>
    </row>
    <row r="846" spans="1:53" x14ac:dyDescent="0.2">
      <c r="A846" s="8" t="s">
        <v>427</v>
      </c>
      <c r="B846" s="8" t="s">
        <v>82</v>
      </c>
      <c r="C846" s="8" t="s">
        <v>215</v>
      </c>
      <c r="D846" s="8">
        <v>1</v>
      </c>
      <c r="E846" s="8">
        <v>0</v>
      </c>
      <c r="F846" s="8">
        <f>SUM(G846:M846)</f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1</v>
      </c>
      <c r="O846" s="8">
        <v>1</v>
      </c>
      <c r="P846" s="8">
        <v>1</v>
      </c>
      <c r="Q846" s="8">
        <v>0</v>
      </c>
      <c r="R846" s="8">
        <v>0</v>
      </c>
      <c r="S846" s="8">
        <v>1</v>
      </c>
      <c r="T846" s="10">
        <v>5.1539999999999999</v>
      </c>
      <c r="U846" s="10">
        <v>-10.15</v>
      </c>
      <c r="V846" s="10">
        <v>-8.0890000000000004</v>
      </c>
      <c r="W846" s="10">
        <f>IF(RIGHT(C846,2)="12",IF(ISNUMBER(T846),T846,""),IF(COUNT(T846,U846,V846)=3,T846+U846-V846,""))</f>
        <v>3.093</v>
      </c>
      <c r="X846" s="10">
        <v>3.0939999999999999</v>
      </c>
      <c r="Y846" s="10">
        <v>-2.06</v>
      </c>
      <c r="Z846" s="10"/>
      <c r="AA846" s="10"/>
      <c r="AB846" s="10">
        <v>7.2629999999999999</v>
      </c>
      <c r="AC846" s="8">
        <v>1</v>
      </c>
      <c r="AD846" s="8">
        <v>0</v>
      </c>
      <c r="AE846" s="8">
        <v>0</v>
      </c>
      <c r="AF846" s="10">
        <v>5.1539999999999999</v>
      </c>
      <c r="AG846" s="8">
        <f>COUNTIF(Y846:AB846,"&gt;0")</f>
        <v>1</v>
      </c>
      <c r="AH846" s="10">
        <v>7.2629999999999999</v>
      </c>
      <c r="AI846" s="10">
        <v>0</v>
      </c>
      <c r="AJ846" s="8" t="str">
        <f>IF(ISNUMBER(X846),IF(X846&gt;0,"+",IF(X846&lt;0,"−","0")),IF(ISNUMBER(W846),IF(W846&gt;0,"+",IF(W846&lt;0,"−","0")),"yok"))</f>
        <v>+</v>
      </c>
      <c r="AK846" s="10">
        <f>IF(AND(RIGHT(C846,2)&lt;&gt;"12",ISNUMBER(U846),ISNUMBER(V846)),U846-V846,"")</f>
        <v>-2.0609999999999999</v>
      </c>
      <c r="AL846" s="11">
        <f>IF(AND(ISNUMBER(AK846),ISNUMBER(V846)),IF(V846&lt;&gt;0,AK846/ABS(V846),""),"")</f>
        <v>-0.25479045617505253</v>
      </c>
      <c r="AM846" s="8">
        <f>IF(ISNUMBER(AK846),IF(AK846&gt;1,1,0),"")</f>
        <v>0</v>
      </c>
      <c r="AN846" s="8">
        <f>IF(ISNUMBER(AK846),IF(AK846&gt;0.05*ABS(V846),1,0),"")</f>
        <v>0</v>
      </c>
      <c r="AO846" s="10"/>
      <c r="AP846" s="10"/>
      <c r="AQ846" s="8" t="s">
        <v>207</v>
      </c>
      <c r="AR846" s="8">
        <v>0</v>
      </c>
      <c r="AS846" s="10">
        <v>201.47300000000001</v>
      </c>
      <c r="AT846" s="10"/>
      <c r="AU846" s="8" t="s">
        <v>207</v>
      </c>
      <c r="AV846" s="10">
        <v>5.1539999999999999</v>
      </c>
      <c r="AW846" s="11" t="str">
        <f>IF(AND(ISNUMBER(AV846),ISNUMBER(AT846)),IF(AT846&lt;&gt;0,AV846/ABS(AT846),""),"")</f>
        <v/>
      </c>
      <c r="AX846" s="8">
        <v>1</v>
      </c>
      <c r="AY846" s="8">
        <v>0</v>
      </c>
      <c r="AZ846" s="8" t="s">
        <v>616</v>
      </c>
      <c r="BA846" s="8">
        <v>0</v>
      </c>
    </row>
    <row r="847" spans="1:53" x14ac:dyDescent="0.2">
      <c r="A847" s="8" t="s">
        <v>427</v>
      </c>
      <c r="B847" s="8" t="s">
        <v>82</v>
      </c>
      <c r="C847" s="8" t="s">
        <v>208</v>
      </c>
      <c r="D847" s="8">
        <v>1</v>
      </c>
      <c r="E847" s="8">
        <v>0</v>
      </c>
      <c r="F847" s="8">
        <f>SUM(G847:M847)</f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1</v>
      </c>
      <c r="P847" s="8">
        <v>1</v>
      </c>
      <c r="Q847" s="8">
        <v>0</v>
      </c>
      <c r="R847" s="8">
        <v>1</v>
      </c>
      <c r="S847" s="8">
        <v>0</v>
      </c>
      <c r="T847" s="10"/>
      <c r="U847" s="10">
        <v>5.2030000000000003</v>
      </c>
      <c r="V847" s="10"/>
      <c r="W847" s="10" t="str">
        <f>IF(RIGHT(C847,2)="12",IF(ISNUMBER(T847),T847,""),IF(COUNT(T847,U847,V847)=3,T847+U847-V847,""))</f>
        <v/>
      </c>
      <c r="X847" s="10"/>
      <c r="Y847" s="10"/>
      <c r="Z847" s="10">
        <v>7.2629999999999999</v>
      </c>
      <c r="AA847" s="10">
        <v>4.8000000000000001E-2</v>
      </c>
      <c r="AB847" s="10"/>
      <c r="AC847" s="8">
        <v>0</v>
      </c>
      <c r="AD847" s="8">
        <v>1</v>
      </c>
      <c r="AE847" s="8">
        <v>0</v>
      </c>
      <c r="AF847" s="10">
        <v>5.2030000000000003</v>
      </c>
      <c r="AG847" s="8">
        <f>COUNTIF(Y847:AB847,"&gt;0")</f>
        <v>2</v>
      </c>
      <c r="AH847" s="10">
        <v>0</v>
      </c>
      <c r="AI847" s="10">
        <v>7.3109999999999999</v>
      </c>
      <c r="AJ847" s="8" t="str">
        <f>IF(ISNUMBER(X847),IF(X847&gt;0,"+",IF(X847&lt;0,"−","0")),IF(ISNUMBER(W847),IF(W847&gt;0,"+",IF(W847&lt;0,"−","0")),"yok"))</f>
        <v>yok</v>
      </c>
      <c r="AK847" s="10" t="str">
        <f>IF(AND(RIGHT(C847,2)&lt;&gt;"12",ISNUMBER(U847),ISNUMBER(V847)),U847-V847,"")</f>
        <v/>
      </c>
      <c r="AL847" s="11" t="str">
        <f>IF(AND(ISNUMBER(AK847),ISNUMBER(V847)),IF(V847&lt;&gt;0,AK847/ABS(V847),""),"")</f>
        <v/>
      </c>
      <c r="AM847" s="8" t="str">
        <f>IF(ISNUMBER(AK847),IF(AK847&gt;1,1,0),"")</f>
        <v/>
      </c>
      <c r="AN847" s="8" t="str">
        <f>IF(ISNUMBER(AK847),IF(AK847&gt;0.05*ABS(V847),1,0),"")</f>
        <v/>
      </c>
      <c r="AO847" s="10"/>
      <c r="AP847" s="10"/>
      <c r="AQ847" s="8" t="s">
        <v>207</v>
      </c>
      <c r="AR847" s="8">
        <v>0</v>
      </c>
      <c r="AS847" s="10">
        <v>-351.14699999999999</v>
      </c>
      <c r="AT847" s="10"/>
      <c r="AU847" s="8" t="s">
        <v>207</v>
      </c>
      <c r="AV847" s="10">
        <v>5.2030000000000003</v>
      </c>
      <c r="AW847" s="11" t="str">
        <f>IF(AND(ISNUMBER(AV847),ISNUMBER(AT847)),IF(AT847&lt;&gt;0,AV847/ABS(AT847),""),"")</f>
        <v/>
      </c>
      <c r="AX847" s="8">
        <v>1</v>
      </c>
      <c r="AY847" s="8">
        <v>0</v>
      </c>
      <c r="AZ847" s="8" t="s">
        <v>429</v>
      </c>
      <c r="BA847" s="8">
        <v>0</v>
      </c>
    </row>
    <row r="848" spans="1:53" x14ac:dyDescent="0.2">
      <c r="A848" s="8" t="s">
        <v>427</v>
      </c>
      <c r="B848" s="8" t="s">
        <v>83</v>
      </c>
      <c r="C848" s="8" t="s">
        <v>290</v>
      </c>
      <c r="D848" s="8">
        <v>1</v>
      </c>
      <c r="E848" s="8">
        <v>0</v>
      </c>
      <c r="F848" s="8">
        <f>SUM(G848:M848)</f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1</v>
      </c>
      <c r="Q848" s="8">
        <v>0</v>
      </c>
      <c r="R848" s="8">
        <v>0</v>
      </c>
      <c r="S848" s="8">
        <v>1</v>
      </c>
      <c r="T848" s="10">
        <v>-145.095</v>
      </c>
      <c r="U848" s="10"/>
      <c r="V848" s="10"/>
      <c r="W848" s="10">
        <f>IF(RIGHT(C848,2)="12",IF(ISNUMBER(T848),T848,""),IF(COUNT(T848,U848,V848)=3,T848+U848-V848,""))</f>
        <v>-145.095</v>
      </c>
      <c r="X848" s="10">
        <v>-145.095</v>
      </c>
      <c r="Y848" s="10">
        <v>-91.86</v>
      </c>
      <c r="Z848" s="10">
        <v>-72.894000000000005</v>
      </c>
      <c r="AA848" s="10">
        <v>-113.367</v>
      </c>
      <c r="AB848" s="10">
        <v>133.02600000000001</v>
      </c>
      <c r="AC848" s="8">
        <v>0</v>
      </c>
      <c r="AD848" s="8">
        <v>0</v>
      </c>
      <c r="AE848" s="8">
        <v>0</v>
      </c>
      <c r="AF848" s="10">
        <v>0</v>
      </c>
      <c r="AG848" s="8">
        <f>COUNTIF(Y848:AB848,"&gt;0")</f>
        <v>1</v>
      </c>
      <c r="AH848" s="10">
        <v>133.02600000000001</v>
      </c>
      <c r="AI848" s="10">
        <v>0</v>
      </c>
      <c r="AJ848" s="8" t="str">
        <f>IF(ISNUMBER(X848),IF(X848&gt;0,"+",IF(X848&lt;0,"−","0")),IF(ISNUMBER(W848),IF(W848&gt;0,"+",IF(W848&lt;0,"−","0")),"yok"))</f>
        <v>−</v>
      </c>
      <c r="AK848" s="10" t="str">
        <f>IF(AND(RIGHT(C848,2)&lt;&gt;"12",ISNUMBER(U848),ISNUMBER(V848)),U848-V848,"")</f>
        <v/>
      </c>
      <c r="AL848" s="11" t="str">
        <f>IF(AND(ISNUMBER(AK848),ISNUMBER(V848)),IF(V848&lt;&gt;0,AK848/ABS(V848),""),"")</f>
        <v/>
      </c>
      <c r="AM848" s="8" t="str">
        <f>IF(ISNUMBER(AK848),IF(AK848&gt;1,1,0),"")</f>
        <v/>
      </c>
      <c r="AN848" s="8" t="str">
        <f>IF(ISNUMBER(AK848),IF(AK848&gt;0.05*ABS(V848),1,0),"")</f>
        <v/>
      </c>
      <c r="AO848" s="10">
        <v>-145.096</v>
      </c>
      <c r="AP848" s="10">
        <v>145.096</v>
      </c>
      <c r="AQ848" s="8" t="s">
        <v>204</v>
      </c>
      <c r="AR848" s="8">
        <v>0</v>
      </c>
      <c r="AS848" s="10">
        <v>71.840999999999994</v>
      </c>
      <c r="AT848" s="10">
        <v>-73.254999999999995</v>
      </c>
      <c r="AU848" s="8" t="s">
        <v>209</v>
      </c>
      <c r="AV848" s="10">
        <v>133.02600000000001</v>
      </c>
      <c r="AW848" s="11">
        <f>IF(AND(ISNUMBER(AV848),ISNUMBER(AT848)),IF(AT848&lt;&gt;0,AV848/ABS(AT848),""),"")</f>
        <v>1.8159306531977342</v>
      </c>
      <c r="AX848" s="8">
        <v>0</v>
      </c>
      <c r="AY848" s="8">
        <v>0</v>
      </c>
      <c r="AZ848" s="10"/>
      <c r="BA848" s="8">
        <v>0</v>
      </c>
    </row>
    <row r="849" spans="1:53" x14ac:dyDescent="0.2">
      <c r="A849" s="8" t="s">
        <v>427</v>
      </c>
      <c r="B849" s="8" t="s">
        <v>84</v>
      </c>
      <c r="C849" s="8" t="s">
        <v>215</v>
      </c>
      <c r="D849" s="8">
        <v>1</v>
      </c>
      <c r="E849" s="8">
        <v>0</v>
      </c>
      <c r="F849" s="8">
        <f>SUM(G849:M849)</f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1</v>
      </c>
      <c r="P849" s="8">
        <v>0</v>
      </c>
      <c r="Q849" s="8">
        <v>0</v>
      </c>
      <c r="R849" s="8">
        <v>0</v>
      </c>
      <c r="S849" s="8">
        <v>0</v>
      </c>
      <c r="T849" s="10">
        <v>61.444000000000003</v>
      </c>
      <c r="U849" s="10">
        <v>0</v>
      </c>
      <c r="V849" s="10"/>
      <c r="W849" s="10" t="str">
        <f>IF(RIGHT(C849,2)="12",IF(ISNUMBER(T849),T849,""),IF(COUNT(T849,U849,V849)=3,T849+U849-V849,""))</f>
        <v/>
      </c>
      <c r="X849" s="10"/>
      <c r="Y849" s="10"/>
      <c r="Z849" s="10"/>
      <c r="AA849" s="10"/>
      <c r="AB849" s="10"/>
      <c r="AC849" s="8">
        <v>1</v>
      </c>
      <c r="AD849" s="8">
        <v>0</v>
      </c>
      <c r="AE849" s="8">
        <v>0</v>
      </c>
      <c r="AF849" s="10">
        <v>61.444000000000003</v>
      </c>
      <c r="AG849" s="8">
        <f>COUNTIF(Y849:AB849,"&gt;0")</f>
        <v>0</v>
      </c>
      <c r="AH849" s="10">
        <v>0</v>
      </c>
      <c r="AI849" s="10">
        <v>0</v>
      </c>
      <c r="AJ849" s="8" t="str">
        <f>IF(ISNUMBER(X849),IF(X849&gt;0,"+",IF(X849&lt;0,"−","0")),IF(ISNUMBER(W849),IF(W849&gt;0,"+",IF(W849&lt;0,"−","0")),"yok"))</f>
        <v>yok</v>
      </c>
      <c r="AK849" s="10" t="str">
        <f>IF(AND(RIGHT(C849,2)&lt;&gt;"12",ISNUMBER(U849),ISNUMBER(V849)),U849-V849,"")</f>
        <v/>
      </c>
      <c r="AL849" s="11" t="str">
        <f>IF(AND(ISNUMBER(AK849),ISNUMBER(V849)),IF(V849&lt;&gt;0,AK849/ABS(V849),""),"")</f>
        <v/>
      </c>
      <c r="AM849" s="8" t="str">
        <f>IF(ISNUMBER(AK849),IF(AK849&gt;1,1,0),"")</f>
        <v/>
      </c>
      <c r="AN849" s="8" t="str">
        <f>IF(ISNUMBER(AK849),IF(AK849&gt;0.05*ABS(V849),1,0),"")</f>
        <v/>
      </c>
      <c r="AO849" s="10">
        <v>0</v>
      </c>
      <c r="AP849" s="10">
        <v>0</v>
      </c>
      <c r="AQ849" s="8" t="s">
        <v>209</v>
      </c>
      <c r="AR849" s="8">
        <v>0</v>
      </c>
      <c r="AS849" s="10">
        <v>201.47300000000001</v>
      </c>
      <c r="AT849" s="10"/>
      <c r="AU849" s="8" t="s">
        <v>207</v>
      </c>
      <c r="AV849" s="10">
        <v>61.444000000000003</v>
      </c>
      <c r="AW849" s="11" t="str">
        <f>IF(AND(ISNUMBER(AV849),ISNUMBER(AT849)),IF(AT849&lt;&gt;0,AV849/ABS(AT849),""),"")</f>
        <v/>
      </c>
      <c r="AX849" s="8">
        <v>1</v>
      </c>
      <c r="AY849" s="8">
        <v>0</v>
      </c>
      <c r="AZ849" s="8" t="s">
        <v>617</v>
      </c>
      <c r="BA849" s="8">
        <v>0</v>
      </c>
    </row>
    <row r="850" spans="1:53" x14ac:dyDescent="0.2">
      <c r="A850" s="8" t="s">
        <v>427</v>
      </c>
      <c r="B850" s="8" t="s">
        <v>84</v>
      </c>
      <c r="C850" s="8" t="s">
        <v>208</v>
      </c>
      <c r="D850" s="8">
        <v>1</v>
      </c>
      <c r="E850" s="8">
        <v>0</v>
      </c>
      <c r="F850" s="8">
        <f>SUM(G850:M850)</f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1</v>
      </c>
      <c r="P850" s="8">
        <v>0</v>
      </c>
      <c r="Q850" s="8">
        <v>0</v>
      </c>
      <c r="R850" s="8">
        <v>0</v>
      </c>
      <c r="S850" s="8">
        <v>0</v>
      </c>
      <c r="T850" s="10"/>
      <c r="U850" s="10">
        <v>58.878999999999998</v>
      </c>
      <c r="V850" s="10"/>
      <c r="W850" s="10" t="str">
        <f>IF(RIGHT(C850,2)="12",IF(ISNUMBER(T850),T850,""),IF(COUNT(T850,U850,V850)=3,T850+U850-V850,""))</f>
        <v/>
      </c>
      <c r="X850" s="10"/>
      <c r="Y850" s="10"/>
      <c r="Z850" s="10"/>
      <c r="AA850" s="10">
        <v>-2.5640000000000001</v>
      </c>
      <c r="AB850" s="10"/>
      <c r="AC850" s="8">
        <v>0</v>
      </c>
      <c r="AD850" s="8">
        <v>1</v>
      </c>
      <c r="AE850" s="8">
        <v>0</v>
      </c>
      <c r="AF850" s="10">
        <v>58.878999999999998</v>
      </c>
      <c r="AG850" s="8">
        <f>COUNTIF(Y850:AB850,"&gt;0")</f>
        <v>0</v>
      </c>
      <c r="AH850" s="10">
        <v>0</v>
      </c>
      <c r="AI850" s="10">
        <v>0</v>
      </c>
      <c r="AJ850" s="8" t="str">
        <f>IF(ISNUMBER(X850),IF(X850&gt;0,"+",IF(X850&lt;0,"−","0")),IF(ISNUMBER(W850),IF(W850&gt;0,"+",IF(W850&lt;0,"−","0")),"yok"))</f>
        <v>yok</v>
      </c>
      <c r="AK850" s="10" t="str">
        <f>IF(AND(RIGHT(C850,2)&lt;&gt;"12",ISNUMBER(U850),ISNUMBER(V850)),U850-V850,"")</f>
        <v/>
      </c>
      <c r="AL850" s="11" t="str">
        <f>IF(AND(ISNUMBER(AK850),ISNUMBER(V850)),IF(V850&lt;&gt;0,AK850/ABS(V850),""),"")</f>
        <v/>
      </c>
      <c r="AM850" s="8" t="str">
        <f>IF(ISNUMBER(AK850),IF(AK850&gt;1,1,0),"")</f>
        <v/>
      </c>
      <c r="AN850" s="8" t="str">
        <f>IF(ISNUMBER(AK850),IF(AK850&gt;0.05*ABS(V850),1,0),"")</f>
        <v/>
      </c>
      <c r="AO850" s="10"/>
      <c r="AP850" s="10"/>
      <c r="AQ850" s="8" t="s">
        <v>207</v>
      </c>
      <c r="AR850" s="8">
        <v>0</v>
      </c>
      <c r="AS850" s="10">
        <v>-351.14699999999999</v>
      </c>
      <c r="AT850" s="10"/>
      <c r="AU850" s="8" t="s">
        <v>207</v>
      </c>
      <c r="AV850" s="10">
        <v>58.878999999999998</v>
      </c>
      <c r="AW850" s="11" t="str">
        <f>IF(AND(ISNUMBER(AV850),ISNUMBER(AT850)),IF(AT850&lt;&gt;0,AV850/ABS(AT850),""),"")</f>
        <v/>
      </c>
      <c r="AX850" s="8">
        <v>1</v>
      </c>
      <c r="AY850" s="8">
        <v>0</v>
      </c>
      <c r="AZ850" s="8" t="s">
        <v>618</v>
      </c>
      <c r="BA850" s="8">
        <v>0</v>
      </c>
    </row>
    <row r="851" spans="1:53" x14ac:dyDescent="0.2">
      <c r="A851" s="8" t="s">
        <v>427</v>
      </c>
      <c r="B851" s="8" t="s">
        <v>84</v>
      </c>
      <c r="C851" s="8" t="s">
        <v>210</v>
      </c>
      <c r="D851" s="8">
        <v>1</v>
      </c>
      <c r="E851" s="8">
        <v>0</v>
      </c>
      <c r="F851" s="8">
        <f>SUM(G851:M851)</f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1</v>
      </c>
      <c r="P851" s="8">
        <v>0</v>
      </c>
      <c r="Q851" s="8">
        <v>0</v>
      </c>
      <c r="R851" s="8">
        <v>0</v>
      </c>
      <c r="S851" s="8">
        <v>0</v>
      </c>
      <c r="T851" s="10"/>
      <c r="U851" s="10">
        <v>58.878999999999998</v>
      </c>
      <c r="V851" s="10"/>
      <c r="W851" s="10" t="str">
        <f>IF(RIGHT(C851,2)="12",IF(ISNUMBER(T851),T851,""),IF(COUNT(T851,U851,V851)=3,T851+U851-V851,""))</f>
        <v/>
      </c>
      <c r="X851" s="10"/>
      <c r="Y851" s="10"/>
      <c r="Z851" s="10">
        <v>-2.5640000000000001</v>
      </c>
      <c r="AA851" s="10"/>
      <c r="AB851" s="10"/>
      <c r="AC851" s="8">
        <v>0</v>
      </c>
      <c r="AD851" s="8">
        <v>1</v>
      </c>
      <c r="AE851" s="8">
        <v>0</v>
      </c>
      <c r="AF851" s="10">
        <v>58.878999999999998</v>
      </c>
      <c r="AG851" s="8">
        <f>COUNTIF(Y851:AB851,"&gt;0")</f>
        <v>0</v>
      </c>
      <c r="AH851" s="10">
        <v>0</v>
      </c>
      <c r="AI851" s="10">
        <v>0</v>
      </c>
      <c r="AJ851" s="8" t="str">
        <f>IF(ISNUMBER(X851),IF(X851&gt;0,"+",IF(X851&lt;0,"−","0")),IF(ISNUMBER(W851),IF(W851&gt;0,"+",IF(W851&lt;0,"−","0")),"yok"))</f>
        <v>yok</v>
      </c>
      <c r="AK851" s="10" t="str">
        <f>IF(AND(RIGHT(C851,2)&lt;&gt;"12",ISNUMBER(U851),ISNUMBER(V851)),U851-V851,"")</f>
        <v/>
      </c>
      <c r="AL851" s="11" t="str">
        <f>IF(AND(ISNUMBER(AK851),ISNUMBER(V851)),IF(V851&lt;&gt;0,AK851/ABS(V851),""),"")</f>
        <v/>
      </c>
      <c r="AM851" s="8" t="str">
        <f>IF(ISNUMBER(AK851),IF(AK851&gt;1,1,0),"")</f>
        <v/>
      </c>
      <c r="AN851" s="8" t="str">
        <f>IF(ISNUMBER(AK851),IF(AK851&gt;0.05*ABS(V851),1,0),"")</f>
        <v/>
      </c>
      <c r="AO851" s="10">
        <v>-16.055323000000001</v>
      </c>
      <c r="AP851" s="10">
        <v>16.055323000000001</v>
      </c>
      <c r="AQ851" s="8" t="s">
        <v>209</v>
      </c>
      <c r="AR851" s="8">
        <v>0</v>
      </c>
      <c r="AS851" s="10">
        <v>-278.16399999999999</v>
      </c>
      <c r="AT851" s="10">
        <v>-478.177323</v>
      </c>
      <c r="AU851" s="8" t="s">
        <v>209</v>
      </c>
      <c r="AV851" s="10">
        <v>58.878999999999998</v>
      </c>
      <c r="AW851" s="11">
        <f>IF(AND(ISNUMBER(AV851),ISNUMBER(AT851)),IF(AT851&lt;&gt;0,AV851/ABS(AT851),""),"")</f>
        <v>0.12313214610555674</v>
      </c>
      <c r="AX851" s="8">
        <v>1</v>
      </c>
      <c r="AY851" s="8">
        <v>0</v>
      </c>
      <c r="AZ851" s="8" t="s">
        <v>618</v>
      </c>
      <c r="BA851" s="8">
        <v>0</v>
      </c>
    </row>
    <row r="852" spans="1:53" x14ac:dyDescent="0.2">
      <c r="A852" s="8" t="s">
        <v>619</v>
      </c>
      <c r="B852" s="8" t="s">
        <v>82</v>
      </c>
      <c r="C852" s="8" t="s">
        <v>203</v>
      </c>
      <c r="D852" s="8">
        <v>1</v>
      </c>
      <c r="E852" s="8">
        <v>0</v>
      </c>
      <c r="F852" s="8">
        <f>SUM(G852:M852)</f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1</v>
      </c>
      <c r="P852" s="8">
        <v>1</v>
      </c>
      <c r="Q852" s="8">
        <v>0</v>
      </c>
      <c r="R852" s="8">
        <v>1</v>
      </c>
      <c r="S852" s="8">
        <v>0</v>
      </c>
      <c r="T852" s="10"/>
      <c r="U852" s="10">
        <v>39.747</v>
      </c>
      <c r="V852" s="10">
        <v>-70.304000000000002</v>
      </c>
      <c r="W852" s="10" t="str">
        <f>IF(RIGHT(C852,2)="12",IF(ISNUMBER(T852),T852,""),IF(COUNT(T852,U852,V852)=3,T852+U852-V852,""))</f>
        <v/>
      </c>
      <c r="X852" s="10"/>
      <c r="Y852" s="10">
        <v>87.075000000000003</v>
      </c>
      <c r="Z852" s="10">
        <v>-106.04900000000001</v>
      </c>
      <c r="AA852" s="10">
        <v>129.02500000000001</v>
      </c>
      <c r="AB852" s="10"/>
      <c r="AC852" s="8">
        <v>0</v>
      </c>
      <c r="AD852" s="8">
        <v>1</v>
      </c>
      <c r="AE852" s="8">
        <v>0</v>
      </c>
      <c r="AF852" s="10">
        <v>39.747</v>
      </c>
      <c r="AG852" s="8">
        <f>COUNTIF(Y852:AB852,"&gt;0")</f>
        <v>2</v>
      </c>
      <c r="AH852" s="10">
        <v>0</v>
      </c>
      <c r="AI852" s="10">
        <v>216.1</v>
      </c>
      <c r="AJ852" s="8" t="str">
        <f>IF(ISNUMBER(X852),IF(X852&gt;0,"+",IF(X852&lt;0,"−","0")),IF(ISNUMBER(W852),IF(W852&gt;0,"+",IF(W852&lt;0,"−","0")),"yok"))</f>
        <v>yok</v>
      </c>
      <c r="AK852" s="10">
        <f>IF(AND(RIGHT(C852,2)&lt;&gt;"12",ISNUMBER(U852),ISNUMBER(V852)),U852-V852,"")</f>
        <v>110.051</v>
      </c>
      <c r="AL852" s="11">
        <f>IF(AND(ISNUMBER(AK852),ISNUMBER(V852)),IF(V852&lt;&gt;0,AK852/ABS(V852),""),"")</f>
        <v>1.5653590122894856</v>
      </c>
      <c r="AM852" s="8">
        <f>IF(ISNUMBER(AK852),IF(AK852&gt;1,1,0),"")</f>
        <v>1</v>
      </c>
      <c r="AN852" s="8">
        <f>IF(ISNUMBER(AK852),IF(AK852&gt;0.05*ABS(V852),1,0),"")</f>
        <v>1</v>
      </c>
      <c r="AO852" s="10"/>
      <c r="AP852" s="10"/>
      <c r="AQ852" s="8" t="s">
        <v>207</v>
      </c>
      <c r="AR852" s="8">
        <v>0</v>
      </c>
      <c r="AS852" s="10">
        <v>-2071.8180000000002</v>
      </c>
      <c r="AT852" s="10"/>
      <c r="AU852" s="8" t="s">
        <v>207</v>
      </c>
      <c r="AV852" s="10">
        <v>39.747</v>
      </c>
      <c r="AW852" s="11" t="str">
        <f>IF(AND(ISNUMBER(AV852),ISNUMBER(AT852)),IF(AT852&lt;&gt;0,AV852/ABS(AT852),""),"")</f>
        <v/>
      </c>
      <c r="AX852" s="8">
        <v>1</v>
      </c>
      <c r="AY852" s="8">
        <v>0</v>
      </c>
      <c r="AZ852" s="8" t="s">
        <v>620</v>
      </c>
      <c r="BA852" s="8">
        <v>0</v>
      </c>
    </row>
    <row r="853" spans="1:53" x14ac:dyDescent="0.2">
      <c r="A853" s="8" t="s">
        <v>619</v>
      </c>
      <c r="B853" s="8" t="s">
        <v>82</v>
      </c>
      <c r="C853" s="8" t="s">
        <v>205</v>
      </c>
      <c r="D853" s="8">
        <v>1</v>
      </c>
      <c r="E853" s="8">
        <v>0</v>
      </c>
      <c r="F853" s="8">
        <f>SUM(G853:M853)</f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1</v>
      </c>
      <c r="P853" s="8">
        <v>1</v>
      </c>
      <c r="Q853" s="8">
        <v>0</v>
      </c>
      <c r="R853" s="8">
        <v>1</v>
      </c>
      <c r="S853" s="8">
        <v>0</v>
      </c>
      <c r="T853" s="10"/>
      <c r="U853" s="10">
        <v>39.747</v>
      </c>
      <c r="V853" s="10">
        <v>16.771000000000001</v>
      </c>
      <c r="W853" s="10" t="str">
        <f>IF(RIGHT(C853,2)="12",IF(ISNUMBER(T853),T853,""),IF(COUNT(T853,U853,V853)=3,T853+U853-V853,""))</f>
        <v/>
      </c>
      <c r="X853" s="10"/>
      <c r="Y853" s="10">
        <v>-106.04900000000001</v>
      </c>
      <c r="Z853" s="10">
        <v>129.02500000000001</v>
      </c>
      <c r="AA853" s="10"/>
      <c r="AB853" s="10"/>
      <c r="AC853" s="8">
        <v>0</v>
      </c>
      <c r="AD853" s="8">
        <v>1</v>
      </c>
      <c r="AE853" s="8">
        <v>1</v>
      </c>
      <c r="AF853" s="10">
        <v>39.747</v>
      </c>
      <c r="AG853" s="8">
        <f>COUNTIF(Y853:AB853,"&gt;0")</f>
        <v>1</v>
      </c>
      <c r="AH853" s="10">
        <v>0</v>
      </c>
      <c r="AI853" s="10">
        <v>129.02500000000001</v>
      </c>
      <c r="AJ853" s="8" t="str">
        <f>IF(ISNUMBER(X853),IF(X853&gt;0,"+",IF(X853&lt;0,"−","0")),IF(ISNUMBER(W853),IF(W853&gt;0,"+",IF(W853&lt;0,"−","0")),"yok"))</f>
        <v>yok</v>
      </c>
      <c r="AK853" s="10">
        <f>IF(AND(RIGHT(C853,2)&lt;&gt;"12",ISNUMBER(U853),ISNUMBER(V853)),U853-V853,"")</f>
        <v>22.975999999999999</v>
      </c>
      <c r="AL853" s="11">
        <f>IF(AND(ISNUMBER(AK853),ISNUMBER(V853)),IF(V853&lt;&gt;0,AK853/ABS(V853),""),"")</f>
        <v>1.3699839007811101</v>
      </c>
      <c r="AM853" s="8">
        <f>IF(ISNUMBER(AK853),IF(AK853&gt;1,1,0),"")</f>
        <v>1</v>
      </c>
      <c r="AN853" s="8">
        <f>IF(ISNUMBER(AK853),IF(AK853&gt;0.05*ABS(V853),1,0),"")</f>
        <v>1</v>
      </c>
      <c r="AO853" s="10"/>
      <c r="AP853" s="10"/>
      <c r="AQ853" s="8" t="s">
        <v>207</v>
      </c>
      <c r="AR853" s="8">
        <v>0</v>
      </c>
      <c r="AS853" s="10">
        <v>111.395</v>
      </c>
      <c r="AT853" s="10"/>
      <c r="AU853" s="8" t="s">
        <v>207</v>
      </c>
      <c r="AV853" s="10">
        <v>39.747</v>
      </c>
      <c r="AW853" s="11" t="str">
        <f>IF(AND(ISNUMBER(AV853),ISNUMBER(AT853)),IF(AT853&lt;&gt;0,AV853/ABS(AT853),""),"")</f>
        <v/>
      </c>
      <c r="AX853" s="8">
        <v>1</v>
      </c>
      <c r="AY853" s="8">
        <v>0</v>
      </c>
      <c r="AZ853" s="8" t="s">
        <v>621</v>
      </c>
      <c r="BA853" s="8">
        <v>0</v>
      </c>
    </row>
    <row r="854" spans="1:53" x14ac:dyDescent="0.2">
      <c r="A854" s="8" t="s">
        <v>619</v>
      </c>
      <c r="B854" s="8" t="s">
        <v>82</v>
      </c>
      <c r="C854" s="8" t="s">
        <v>215</v>
      </c>
      <c r="D854" s="8">
        <v>1</v>
      </c>
      <c r="E854" s="8">
        <v>0</v>
      </c>
      <c r="F854" s="8">
        <f>SUM(G854:M854)</f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1</v>
      </c>
      <c r="O854" s="8">
        <v>1</v>
      </c>
      <c r="P854" s="8">
        <v>1</v>
      </c>
      <c r="Q854" s="8">
        <v>1</v>
      </c>
      <c r="R854" s="8">
        <v>1</v>
      </c>
      <c r="S854" s="8">
        <v>0</v>
      </c>
      <c r="T854" s="10">
        <v>23.321000000000002</v>
      </c>
      <c r="U854" s="10">
        <v>39.747</v>
      </c>
      <c r="V854" s="10">
        <v>-89.277000000000001</v>
      </c>
      <c r="W854" s="10">
        <f>IF(RIGHT(C854,2)="12",IF(ISNUMBER(T854),T854,""),IF(COUNT(T854,U854,V854)=3,T854+U854-V854,""))</f>
        <v>152.345</v>
      </c>
      <c r="X854" s="10">
        <v>152.346</v>
      </c>
      <c r="Y854" s="10">
        <v>129.02500000000001</v>
      </c>
      <c r="Z854" s="10"/>
      <c r="AA854" s="10"/>
      <c r="AB854" s="10"/>
      <c r="AC854" s="8">
        <v>1</v>
      </c>
      <c r="AD854" s="8">
        <v>1</v>
      </c>
      <c r="AE854" s="8">
        <v>0</v>
      </c>
      <c r="AF854" s="10">
        <v>39.747</v>
      </c>
      <c r="AG854" s="8">
        <f>COUNTIF(Y854:AB854,"&gt;0")</f>
        <v>1</v>
      </c>
      <c r="AH854" s="10">
        <v>0</v>
      </c>
      <c r="AI854" s="10">
        <v>129.02500000000001</v>
      </c>
      <c r="AJ854" s="8" t="str">
        <f>IF(ISNUMBER(X854),IF(X854&gt;0,"+",IF(X854&lt;0,"−","0")),IF(ISNUMBER(W854),IF(W854&gt;0,"+",IF(W854&lt;0,"−","0")),"yok"))</f>
        <v>+</v>
      </c>
      <c r="AK854" s="10">
        <f>IF(AND(RIGHT(C854,2)&lt;&gt;"12",ISNUMBER(U854),ISNUMBER(V854)),U854-V854,"")</f>
        <v>129.024</v>
      </c>
      <c r="AL854" s="11">
        <f>IF(AND(ISNUMBER(AK854),ISNUMBER(V854)),IF(V854&lt;&gt;0,AK854/ABS(V854),""),"")</f>
        <v>1.4452098524816022</v>
      </c>
      <c r="AM854" s="8">
        <f>IF(ISNUMBER(AK854),IF(AK854&gt;1,1,0),"")</f>
        <v>1</v>
      </c>
      <c r="AN854" s="8">
        <f>IF(ISNUMBER(AK854),IF(AK854&gt;0.05*ABS(V854),1,0),"")</f>
        <v>1</v>
      </c>
      <c r="AO854" s="10"/>
      <c r="AP854" s="10"/>
      <c r="AQ854" s="8" t="s">
        <v>207</v>
      </c>
      <c r="AR854" s="8">
        <v>0</v>
      </c>
      <c r="AS854" s="10">
        <v>299.76400000000001</v>
      </c>
      <c r="AT854" s="10"/>
      <c r="AU854" s="8" t="s">
        <v>207</v>
      </c>
      <c r="AV854" s="10">
        <v>39.747</v>
      </c>
      <c r="AW854" s="11" t="str">
        <f>IF(AND(ISNUMBER(AV854),ISNUMBER(AT854)),IF(AT854&lt;&gt;0,AV854/ABS(AT854),""),"")</f>
        <v/>
      </c>
      <c r="AX854" s="8">
        <v>1</v>
      </c>
      <c r="AY854" s="8">
        <v>0</v>
      </c>
      <c r="AZ854" s="8" t="s">
        <v>622</v>
      </c>
      <c r="BA854" s="8">
        <v>0</v>
      </c>
    </row>
    <row r="855" spans="1:53" x14ac:dyDescent="0.2">
      <c r="A855" s="8" t="s">
        <v>619</v>
      </c>
      <c r="B855" s="8" t="s">
        <v>82</v>
      </c>
      <c r="C855" s="8" t="s">
        <v>290</v>
      </c>
      <c r="D855" s="8">
        <v>1</v>
      </c>
      <c r="E855" s="8">
        <v>0</v>
      </c>
      <c r="F855" s="8">
        <f>SUM(G855:M855)</f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1</v>
      </c>
      <c r="O855" s="8">
        <v>1</v>
      </c>
      <c r="P855" s="8">
        <v>0</v>
      </c>
      <c r="Q855" s="8">
        <v>0</v>
      </c>
      <c r="R855" s="8">
        <v>0</v>
      </c>
      <c r="S855" s="8">
        <v>0</v>
      </c>
      <c r="T855" s="10">
        <v>18.184000000000001</v>
      </c>
      <c r="U855" s="10"/>
      <c r="V855" s="10"/>
      <c r="W855" s="10">
        <f>IF(RIGHT(C855,2)="12",IF(ISNUMBER(T855),T855,""),IF(COUNT(T855,U855,V855)=3,T855+U855-V855,""))</f>
        <v>18.184000000000001</v>
      </c>
      <c r="X855" s="10">
        <v>18.184000000000001</v>
      </c>
      <c r="Y855" s="10"/>
      <c r="Z855" s="10"/>
      <c r="AA855" s="10"/>
      <c r="AB855" s="10">
        <v>-5.1369999999999996</v>
      </c>
      <c r="AC855" s="8">
        <v>1</v>
      </c>
      <c r="AD855" s="8">
        <v>0</v>
      </c>
      <c r="AE855" s="8">
        <v>0</v>
      </c>
      <c r="AF855" s="10">
        <v>18.184000000000001</v>
      </c>
      <c r="AG855" s="8">
        <f>COUNTIF(Y855:AB855,"&gt;0")</f>
        <v>0</v>
      </c>
      <c r="AH855" s="10">
        <v>0</v>
      </c>
      <c r="AI855" s="10">
        <v>0</v>
      </c>
      <c r="AJ855" s="8" t="str">
        <f>IF(ISNUMBER(X855),IF(X855&gt;0,"+",IF(X855&lt;0,"−","0")),IF(ISNUMBER(W855),IF(W855&gt;0,"+",IF(W855&lt;0,"−","0")),"yok"))</f>
        <v>+</v>
      </c>
      <c r="AK855" s="10" t="str">
        <f>IF(AND(RIGHT(C855,2)&lt;&gt;"12",ISNUMBER(U855),ISNUMBER(V855)),U855-V855,"")</f>
        <v/>
      </c>
      <c r="AL855" s="11" t="str">
        <f>IF(AND(ISNUMBER(AK855),ISNUMBER(V855)),IF(V855&lt;&gt;0,AK855/ABS(V855),""),"")</f>
        <v/>
      </c>
      <c r="AM855" s="8" t="str">
        <f>IF(ISNUMBER(AK855),IF(AK855&gt;1,1,0),"")</f>
        <v/>
      </c>
      <c r="AN855" s="8" t="str">
        <f>IF(ISNUMBER(AK855),IF(AK855&gt;0.05*ABS(V855),1,0),"")</f>
        <v/>
      </c>
      <c r="AO855" s="10"/>
      <c r="AP855" s="10"/>
      <c r="AQ855" s="8" t="s">
        <v>207</v>
      </c>
      <c r="AR855" s="8">
        <v>0</v>
      </c>
      <c r="AS855" s="10">
        <v>483.59100000000001</v>
      </c>
      <c r="AT855" s="10"/>
      <c r="AU855" s="8" t="s">
        <v>207</v>
      </c>
      <c r="AV855" s="10">
        <v>18.184000000000001</v>
      </c>
      <c r="AW855" s="11" t="str">
        <f>IF(AND(ISNUMBER(AV855),ISNUMBER(AT855)),IF(AT855&lt;&gt;0,AV855/ABS(AT855),""),"")</f>
        <v/>
      </c>
      <c r="AX855" s="8">
        <v>1</v>
      </c>
      <c r="AY855" s="8">
        <v>0</v>
      </c>
      <c r="AZ855" s="8" t="s">
        <v>623</v>
      </c>
      <c r="BA855" s="8">
        <v>0</v>
      </c>
    </row>
    <row r="856" spans="1:53" x14ac:dyDescent="0.2">
      <c r="A856" s="8" t="s">
        <v>619</v>
      </c>
      <c r="B856" s="8" t="s">
        <v>82</v>
      </c>
      <c r="C856" s="8" t="s">
        <v>208</v>
      </c>
      <c r="D856" s="8">
        <v>1</v>
      </c>
      <c r="E856" s="8">
        <v>0</v>
      </c>
      <c r="F856" s="8">
        <f>SUM(G856:M856)</f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1</v>
      </c>
      <c r="P856" s="8">
        <v>0</v>
      </c>
      <c r="Q856" s="8">
        <v>0</v>
      </c>
      <c r="R856" s="8">
        <v>0</v>
      </c>
      <c r="S856" s="8">
        <v>0</v>
      </c>
      <c r="T856" s="10"/>
      <c r="U856" s="10">
        <v>18.184000000000001</v>
      </c>
      <c r="V856" s="10"/>
      <c r="W856" s="10" t="str">
        <f>IF(RIGHT(C856,2)="12",IF(ISNUMBER(T856),T856,""),IF(COUNT(T856,U856,V856)=3,T856+U856-V856,""))</f>
        <v/>
      </c>
      <c r="X856" s="10"/>
      <c r="Y856" s="10"/>
      <c r="Z856" s="10"/>
      <c r="AA856" s="10">
        <v>-5.1369999999999996</v>
      </c>
      <c r="AB856" s="10"/>
      <c r="AC856" s="8">
        <v>0</v>
      </c>
      <c r="AD856" s="8">
        <v>1</v>
      </c>
      <c r="AE856" s="8">
        <v>0</v>
      </c>
      <c r="AF856" s="10">
        <v>18.184000000000001</v>
      </c>
      <c r="AG856" s="8">
        <f>COUNTIF(Y856:AB856,"&gt;0")</f>
        <v>0</v>
      </c>
      <c r="AH856" s="10">
        <v>0</v>
      </c>
      <c r="AI856" s="10">
        <v>0</v>
      </c>
      <c r="AJ856" s="8" t="str">
        <f>IF(ISNUMBER(X856),IF(X856&gt;0,"+",IF(X856&lt;0,"−","0")),IF(ISNUMBER(W856),IF(W856&gt;0,"+",IF(W856&lt;0,"−","0")),"yok"))</f>
        <v>yok</v>
      </c>
      <c r="AK856" s="10" t="str">
        <f>IF(AND(RIGHT(C856,2)&lt;&gt;"12",ISNUMBER(U856),ISNUMBER(V856)),U856-V856,"")</f>
        <v/>
      </c>
      <c r="AL856" s="11" t="str">
        <f>IF(AND(ISNUMBER(AK856),ISNUMBER(V856)),IF(V856&lt;&gt;0,AK856/ABS(V856),""),"")</f>
        <v/>
      </c>
      <c r="AM856" s="8" t="str">
        <f>IF(ISNUMBER(AK856),IF(AK856&gt;1,1,0),"")</f>
        <v/>
      </c>
      <c r="AN856" s="8" t="str">
        <f>IF(ISNUMBER(AK856),IF(AK856&gt;0.05*ABS(V856),1,0),"")</f>
        <v/>
      </c>
      <c r="AO856" s="10"/>
      <c r="AP856" s="10"/>
      <c r="AQ856" s="8" t="s">
        <v>207</v>
      </c>
      <c r="AR856" s="8">
        <v>0</v>
      </c>
      <c r="AS856" s="10">
        <v>671.221</v>
      </c>
      <c r="AT856" s="10"/>
      <c r="AU856" s="8" t="s">
        <v>207</v>
      </c>
      <c r="AV856" s="10">
        <v>18.184000000000001</v>
      </c>
      <c r="AW856" s="11" t="str">
        <f>IF(AND(ISNUMBER(AV856),ISNUMBER(AT856)),IF(AT856&lt;&gt;0,AV856/ABS(AT856),""),"")</f>
        <v/>
      </c>
      <c r="AX856" s="8">
        <v>1</v>
      </c>
      <c r="AY856" s="8">
        <v>0</v>
      </c>
      <c r="AZ856" s="8" t="s">
        <v>624</v>
      </c>
      <c r="BA856" s="8">
        <v>0</v>
      </c>
    </row>
    <row r="857" spans="1:53" x14ac:dyDescent="0.2">
      <c r="A857" s="8" t="s">
        <v>619</v>
      </c>
      <c r="B857" s="8" t="s">
        <v>82</v>
      </c>
      <c r="C857" s="8" t="s">
        <v>210</v>
      </c>
      <c r="D857" s="8">
        <v>1</v>
      </c>
      <c r="E857" s="8">
        <v>0</v>
      </c>
      <c r="F857" s="8">
        <f>SUM(G857:M857)</f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1</v>
      </c>
      <c r="P857" s="8">
        <v>0</v>
      </c>
      <c r="Q857" s="8">
        <v>0</v>
      </c>
      <c r="R857" s="8">
        <v>0</v>
      </c>
      <c r="S857" s="8">
        <v>0</v>
      </c>
      <c r="T857" s="10"/>
      <c r="U857" s="10">
        <v>18.184000000000001</v>
      </c>
      <c r="V857" s="10"/>
      <c r="W857" s="10" t="str">
        <f>IF(RIGHT(C857,2)="12",IF(ISNUMBER(T857),T857,""),IF(COUNT(T857,U857,V857)=3,T857+U857-V857,""))</f>
        <v/>
      </c>
      <c r="X857" s="10"/>
      <c r="Y857" s="10"/>
      <c r="Z857" s="10">
        <v>-5.1369999999999996</v>
      </c>
      <c r="AA857" s="10"/>
      <c r="AB857" s="10"/>
      <c r="AC857" s="8">
        <v>0</v>
      </c>
      <c r="AD857" s="8">
        <v>1</v>
      </c>
      <c r="AE857" s="8">
        <v>0</v>
      </c>
      <c r="AF857" s="10">
        <v>18.184000000000001</v>
      </c>
      <c r="AG857" s="8">
        <f>COUNTIF(Y857:AB857,"&gt;0")</f>
        <v>0</v>
      </c>
      <c r="AH857" s="10">
        <v>0</v>
      </c>
      <c r="AI857" s="10">
        <v>0</v>
      </c>
      <c r="AJ857" s="8" t="str">
        <f>IF(ISNUMBER(X857),IF(X857&gt;0,"+",IF(X857&lt;0,"−","0")),IF(ISNUMBER(W857),IF(W857&gt;0,"+",IF(W857&lt;0,"−","0")),"yok"))</f>
        <v>yok</v>
      </c>
      <c r="AK857" s="10" t="str">
        <f>IF(AND(RIGHT(C857,2)&lt;&gt;"12",ISNUMBER(U857),ISNUMBER(V857)),U857-V857,"")</f>
        <v/>
      </c>
      <c r="AL857" s="11" t="str">
        <f>IF(AND(ISNUMBER(AK857),ISNUMBER(V857)),IF(V857&lt;&gt;0,AK857/ABS(V857),""),"")</f>
        <v/>
      </c>
      <c r="AM857" s="8" t="str">
        <f>IF(ISNUMBER(AK857),IF(AK857&gt;1,1,0),"")</f>
        <v/>
      </c>
      <c r="AN857" s="8" t="str">
        <f>IF(ISNUMBER(AK857),IF(AK857&gt;0.05*ABS(V857),1,0),"")</f>
        <v/>
      </c>
      <c r="AO857" s="10"/>
      <c r="AP857" s="10"/>
      <c r="AQ857" s="8" t="s">
        <v>207</v>
      </c>
      <c r="AR857" s="8">
        <v>0</v>
      </c>
      <c r="AS857" s="10">
        <v>344.45</v>
      </c>
      <c r="AT857" s="10"/>
      <c r="AU857" s="8" t="s">
        <v>207</v>
      </c>
      <c r="AV857" s="10">
        <v>18.184000000000001</v>
      </c>
      <c r="AW857" s="11" t="str">
        <f>IF(AND(ISNUMBER(AV857),ISNUMBER(AT857)),IF(AT857&lt;&gt;0,AV857/ABS(AT857),""),"")</f>
        <v/>
      </c>
      <c r="AX857" s="8">
        <v>1</v>
      </c>
      <c r="AY857" s="8">
        <v>0</v>
      </c>
      <c r="AZ857" s="8" t="s">
        <v>624</v>
      </c>
      <c r="BA857" s="8">
        <v>0</v>
      </c>
    </row>
    <row r="858" spans="1:53" x14ac:dyDescent="0.2">
      <c r="A858" s="8" t="s">
        <v>625</v>
      </c>
      <c r="B858" s="8" t="s">
        <v>82</v>
      </c>
      <c r="C858" s="8" t="s">
        <v>205</v>
      </c>
      <c r="D858" s="8">
        <v>1</v>
      </c>
      <c r="E858" s="8">
        <v>0</v>
      </c>
      <c r="F858" s="8">
        <f>SUM(G858:M858)</f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1</v>
      </c>
      <c r="Q858" s="8">
        <v>0</v>
      </c>
      <c r="R858" s="8">
        <v>0</v>
      </c>
      <c r="S858" s="8">
        <v>1</v>
      </c>
      <c r="T858" s="10">
        <v>-0.39</v>
      </c>
      <c r="U858" s="10">
        <v>-544.26300000000003</v>
      </c>
      <c r="V858" s="10">
        <v>-282.31200000000001</v>
      </c>
      <c r="W858" s="10">
        <f>IF(RIGHT(C858,2)="12",IF(ISNUMBER(T858),T858,""),IF(COUNT(T858,U858,V858)=3,T858+U858-V858,""))</f>
        <v>-262.34100000000001</v>
      </c>
      <c r="X858" s="10">
        <v>-262.33999999999997</v>
      </c>
      <c r="Y858" s="10">
        <v>-134.608</v>
      </c>
      <c r="Z858" s="10">
        <v>-127.34099999999999</v>
      </c>
      <c r="AA858" s="10">
        <v>-187.37899999999999</v>
      </c>
      <c r="AB858" s="10">
        <v>186.989</v>
      </c>
      <c r="AC858" s="8">
        <v>0</v>
      </c>
      <c r="AD858" s="8">
        <v>0</v>
      </c>
      <c r="AE858" s="8">
        <v>0</v>
      </c>
      <c r="AF858" s="10">
        <v>0</v>
      </c>
      <c r="AG858" s="8">
        <f>COUNTIF(Y858:AB858,"&gt;0")</f>
        <v>1</v>
      </c>
      <c r="AH858" s="10">
        <v>186.989</v>
      </c>
      <c r="AI858" s="10">
        <v>0</v>
      </c>
      <c r="AJ858" s="8" t="str">
        <f>IF(ISNUMBER(X858),IF(X858&gt;0,"+",IF(X858&lt;0,"−","0")),IF(ISNUMBER(W858),IF(W858&gt;0,"+",IF(W858&lt;0,"−","0")),"yok"))</f>
        <v>−</v>
      </c>
      <c r="AK858" s="10">
        <f>IF(AND(RIGHT(C858,2)&lt;&gt;"12",ISNUMBER(U858),ISNUMBER(V858)),U858-V858,"")</f>
        <v>-261.95100000000002</v>
      </c>
      <c r="AL858" s="11">
        <f>IF(AND(ISNUMBER(AK858),ISNUMBER(V858)),IF(V858&lt;&gt;0,AK858/ABS(V858),""),"")</f>
        <v>-0.92787766726175303</v>
      </c>
      <c r="AM858" s="8">
        <f>IF(ISNUMBER(AK858),IF(AK858&gt;1,1,0),"")</f>
        <v>0</v>
      </c>
      <c r="AN858" s="8">
        <f>IF(ISNUMBER(AK858),IF(AK858&gt;0.05*ABS(V858),1,0),"")</f>
        <v>0</v>
      </c>
      <c r="AO858" s="10">
        <v>-262.33999999999997</v>
      </c>
      <c r="AP858" s="10">
        <v>262.33999999999997</v>
      </c>
      <c r="AQ858" s="8" t="s">
        <v>204</v>
      </c>
      <c r="AR858" s="8">
        <v>0</v>
      </c>
      <c r="AS858" s="10">
        <v>-911.56</v>
      </c>
      <c r="AT858" s="10">
        <v>-1563.838</v>
      </c>
      <c r="AU858" s="8" t="s">
        <v>204</v>
      </c>
      <c r="AV858" s="10">
        <v>186.989</v>
      </c>
      <c r="AW858" s="11">
        <f>IF(AND(ISNUMBER(AV858),ISNUMBER(AT858)),IF(AT858&lt;&gt;0,AV858/ABS(AT858),""),"")</f>
        <v>0.11957056933007128</v>
      </c>
      <c r="AX858" s="8">
        <v>0</v>
      </c>
      <c r="AY858" s="8">
        <v>0</v>
      </c>
      <c r="AZ858" s="10"/>
      <c r="BA858" s="8">
        <v>0</v>
      </c>
    </row>
    <row r="859" spans="1:53" x14ac:dyDescent="0.2">
      <c r="A859" s="8" t="s">
        <v>625</v>
      </c>
      <c r="B859" s="8" t="s">
        <v>82</v>
      </c>
      <c r="C859" s="8" t="s">
        <v>215</v>
      </c>
      <c r="D859" s="8">
        <v>1</v>
      </c>
      <c r="E859" s="8">
        <v>0</v>
      </c>
      <c r="F859" s="8">
        <f>SUM(G859:M859)</f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1</v>
      </c>
      <c r="Q859" s="8">
        <v>0</v>
      </c>
      <c r="R859" s="8">
        <v>0</v>
      </c>
      <c r="S859" s="8">
        <v>1</v>
      </c>
      <c r="T859" s="10">
        <v>-510.62799999999999</v>
      </c>
      <c r="U859" s="10">
        <v>-544.26300000000003</v>
      </c>
      <c r="V859" s="10">
        <v>-416.92099999999999</v>
      </c>
      <c r="W859" s="10">
        <f>IF(RIGHT(C859,2)="12",IF(ISNUMBER(T859),T859,""),IF(COUNT(T859,U859,V859)=3,T859+U859-V859,""))</f>
        <v>-637.97</v>
      </c>
      <c r="X859" s="10">
        <v>-637.97</v>
      </c>
      <c r="Y859" s="10">
        <v>-127.34099999999999</v>
      </c>
      <c r="Z859" s="10">
        <v>-187.37899999999999</v>
      </c>
      <c r="AA859" s="10">
        <v>186.989</v>
      </c>
      <c r="AB859" s="10">
        <v>-510.238</v>
      </c>
      <c r="AC859" s="8">
        <v>0</v>
      </c>
      <c r="AD859" s="8">
        <v>0</v>
      </c>
      <c r="AE859" s="8">
        <v>0</v>
      </c>
      <c r="AF859" s="10">
        <v>0</v>
      </c>
      <c r="AG859" s="8">
        <f>COUNTIF(Y859:AB859,"&gt;0")</f>
        <v>1</v>
      </c>
      <c r="AH859" s="10">
        <v>186.989</v>
      </c>
      <c r="AI859" s="10">
        <v>0</v>
      </c>
      <c r="AJ859" s="8" t="str">
        <f>IF(ISNUMBER(X859),IF(X859&gt;0,"+",IF(X859&lt;0,"−","0")),IF(ISNUMBER(W859),IF(W859&gt;0,"+",IF(W859&lt;0,"−","0")),"yok"))</f>
        <v>−</v>
      </c>
      <c r="AK859" s="10">
        <f>IF(AND(RIGHT(C859,2)&lt;&gt;"12",ISNUMBER(U859),ISNUMBER(V859)),U859-V859,"")</f>
        <v>-127.34200000000004</v>
      </c>
      <c r="AL859" s="11">
        <f>IF(AND(ISNUMBER(AK859),ISNUMBER(V859)),IF(V859&lt;&gt;0,AK859/ABS(V859),""),"")</f>
        <v>-0.30543436286490738</v>
      </c>
      <c r="AM859" s="8">
        <f>IF(ISNUMBER(AK859),IF(AK859&gt;1,1,0),"")</f>
        <v>0</v>
      </c>
      <c r="AN859" s="8">
        <f>IF(ISNUMBER(AK859),IF(AK859&gt;0.05*ABS(V859),1,0),"")</f>
        <v>0</v>
      </c>
      <c r="AO859" s="10">
        <v>-637.971</v>
      </c>
      <c r="AP859" s="10">
        <v>637.971</v>
      </c>
      <c r="AQ859" s="8" t="s">
        <v>204</v>
      </c>
      <c r="AR859" s="8">
        <v>0</v>
      </c>
      <c r="AS859" s="10">
        <v>-165.71299999999999</v>
      </c>
      <c r="AT859" s="10">
        <v>-1246.8420000000001</v>
      </c>
      <c r="AU859" s="8" t="s">
        <v>204</v>
      </c>
      <c r="AV859" s="10">
        <v>186.989</v>
      </c>
      <c r="AW859" s="11">
        <f>IF(AND(ISNUMBER(AV859),ISNUMBER(AT859)),IF(AT859&lt;&gt;0,AV859/ABS(AT859),""),"")</f>
        <v>0.14997008442128193</v>
      </c>
      <c r="AX859" s="8">
        <v>0</v>
      </c>
      <c r="AY859" s="8">
        <v>0</v>
      </c>
      <c r="AZ859" s="10"/>
      <c r="BA859" s="8">
        <v>0</v>
      </c>
    </row>
    <row r="860" spans="1:53" x14ac:dyDescent="0.2">
      <c r="A860" s="8" t="s">
        <v>625</v>
      </c>
      <c r="B860" s="8" t="s">
        <v>82</v>
      </c>
      <c r="C860" s="8" t="s">
        <v>290</v>
      </c>
      <c r="D860" s="8">
        <v>1</v>
      </c>
      <c r="E860" s="8">
        <v>0</v>
      </c>
      <c r="F860" s="8">
        <f>SUM(G860:M860)</f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1</v>
      </c>
      <c r="Q860" s="8">
        <v>0</v>
      </c>
      <c r="R860" s="8">
        <v>0</v>
      </c>
      <c r="S860" s="8">
        <v>1</v>
      </c>
      <c r="T860" s="10">
        <v>-552.94799999999998</v>
      </c>
      <c r="U860" s="10"/>
      <c r="V860" s="10"/>
      <c r="W860" s="10">
        <f>IF(RIGHT(C860,2)="12",IF(ISNUMBER(T860),T860,""),IF(COUNT(T860,U860,V860)=3,T860+U860-V860,""))</f>
        <v>-552.94799999999998</v>
      </c>
      <c r="X860" s="10">
        <v>-552.94799999999998</v>
      </c>
      <c r="Y860" s="10">
        <v>-187.37899999999999</v>
      </c>
      <c r="Z860" s="10">
        <v>186.989</v>
      </c>
      <c r="AA860" s="10">
        <v>-510.238</v>
      </c>
      <c r="AB860" s="10">
        <v>-42.32</v>
      </c>
      <c r="AC860" s="8">
        <v>0</v>
      </c>
      <c r="AD860" s="8">
        <v>0</v>
      </c>
      <c r="AE860" s="8">
        <v>0</v>
      </c>
      <c r="AF860" s="10">
        <v>0</v>
      </c>
      <c r="AG860" s="8">
        <f>COUNTIF(Y860:AB860,"&gt;0")</f>
        <v>1</v>
      </c>
      <c r="AH860" s="10">
        <v>186.989</v>
      </c>
      <c r="AI860" s="10">
        <v>0</v>
      </c>
      <c r="AJ860" s="8" t="str">
        <f>IF(ISNUMBER(X860),IF(X860&gt;0,"+",IF(X860&lt;0,"−","0")),IF(ISNUMBER(W860),IF(W860&gt;0,"+",IF(W860&lt;0,"−","0")),"yok"))</f>
        <v>−</v>
      </c>
      <c r="AK860" s="10" t="str">
        <f>IF(AND(RIGHT(C860,2)&lt;&gt;"12",ISNUMBER(U860),ISNUMBER(V860)),U860-V860,"")</f>
        <v/>
      </c>
      <c r="AL860" s="11" t="str">
        <f>IF(AND(ISNUMBER(AK860),ISNUMBER(V860)),IF(V860&lt;&gt;0,AK860/ABS(V860),""),"")</f>
        <v/>
      </c>
      <c r="AM860" s="8" t="str">
        <f>IF(ISNUMBER(AK860),IF(AK860&gt;1,1,0),"")</f>
        <v/>
      </c>
      <c r="AN860" s="8" t="str">
        <f>IF(ISNUMBER(AK860),IF(AK860&gt;0.05*ABS(V860),1,0),"")</f>
        <v/>
      </c>
      <c r="AO860" s="10">
        <v>-552.94899999999996</v>
      </c>
      <c r="AP860" s="10">
        <v>552.94899999999996</v>
      </c>
      <c r="AQ860" s="8" t="s">
        <v>204</v>
      </c>
      <c r="AR860" s="8">
        <v>0</v>
      </c>
      <c r="AS860" s="10">
        <v>-365.18900000000002</v>
      </c>
      <c r="AT860" s="10">
        <v>-1502.155</v>
      </c>
      <c r="AU860" s="8" t="s">
        <v>204</v>
      </c>
      <c r="AV860" s="10">
        <v>186.989</v>
      </c>
      <c r="AW860" s="11">
        <f>IF(AND(ISNUMBER(AV860),ISNUMBER(AT860)),IF(AT860&lt;&gt;0,AV860/ABS(AT860),""),"")</f>
        <v>0.12448049635357204</v>
      </c>
      <c r="AX860" s="8">
        <v>0</v>
      </c>
      <c r="AY860" s="8">
        <v>0</v>
      </c>
      <c r="AZ860" s="10"/>
      <c r="BA860" s="8">
        <v>0</v>
      </c>
    </row>
    <row r="861" spans="1:53" x14ac:dyDescent="0.2">
      <c r="A861" s="8" t="s">
        <v>625</v>
      </c>
      <c r="B861" s="8" t="s">
        <v>82</v>
      </c>
      <c r="C861" s="8" t="s">
        <v>208</v>
      </c>
      <c r="D861" s="8">
        <v>1</v>
      </c>
      <c r="E861" s="8">
        <v>0</v>
      </c>
      <c r="F861" s="8">
        <f>SUM(G861:M861)</f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1</v>
      </c>
      <c r="Q861" s="8">
        <v>0</v>
      </c>
      <c r="R861" s="8">
        <v>1</v>
      </c>
      <c r="S861" s="8">
        <v>0</v>
      </c>
      <c r="T861" s="10">
        <v>-71.066000000000003</v>
      </c>
      <c r="U861" s="10">
        <v>-552.94799999999998</v>
      </c>
      <c r="V861" s="10">
        <v>-187.37899999999999</v>
      </c>
      <c r="W861" s="10">
        <f>IF(RIGHT(C861,2)="12",IF(ISNUMBER(T861),T861,""),IF(COUNT(T861,U861,V861)=3,T861+U861-V861,""))</f>
        <v>-436.63499999999999</v>
      </c>
      <c r="X861" s="10">
        <v>-436.63600000000002</v>
      </c>
      <c r="Y861" s="10">
        <v>186.989</v>
      </c>
      <c r="Z861" s="10">
        <v>-510.238</v>
      </c>
      <c r="AA861" s="10">
        <v>-42.32</v>
      </c>
      <c r="AB861" s="10">
        <v>-71.066000000000003</v>
      </c>
      <c r="AC861" s="8">
        <v>0</v>
      </c>
      <c r="AD861" s="8">
        <v>0</v>
      </c>
      <c r="AE861" s="8">
        <v>0</v>
      </c>
      <c r="AF861" s="10">
        <v>0</v>
      </c>
      <c r="AG861" s="8">
        <f>COUNTIF(Y861:AB861,"&gt;0")</f>
        <v>1</v>
      </c>
      <c r="AH861" s="10">
        <v>0</v>
      </c>
      <c r="AI861" s="10">
        <v>186.989</v>
      </c>
      <c r="AJ861" s="8" t="str">
        <f>IF(ISNUMBER(X861),IF(X861&gt;0,"+",IF(X861&lt;0,"−","0")),IF(ISNUMBER(W861),IF(W861&gt;0,"+",IF(W861&lt;0,"−","0")),"yok"))</f>
        <v>−</v>
      </c>
      <c r="AK861" s="10">
        <f>IF(AND(RIGHT(C861,2)&lt;&gt;"12",ISNUMBER(U861),ISNUMBER(V861)),U861-V861,"")</f>
        <v>-365.56899999999996</v>
      </c>
      <c r="AL861" s="11">
        <f>IF(AND(ISNUMBER(AK861),ISNUMBER(V861)),IF(V861&lt;&gt;0,AK861/ABS(V861),""),"")</f>
        <v>-1.9509603530811883</v>
      </c>
      <c r="AM861" s="8">
        <f>IF(ISNUMBER(AK861),IF(AK861&gt;1,1,0),"")</f>
        <v>0</v>
      </c>
      <c r="AN861" s="8">
        <f>IF(ISNUMBER(AK861),IF(AK861&gt;0.05*ABS(V861),1,0),"")</f>
        <v>0</v>
      </c>
      <c r="AO861" s="10">
        <v>-436.63600000000002</v>
      </c>
      <c r="AP861" s="10">
        <v>436.63600000000002</v>
      </c>
      <c r="AQ861" s="8" t="s">
        <v>204</v>
      </c>
      <c r="AR861" s="8">
        <v>0</v>
      </c>
      <c r="AS861" s="10">
        <v>1293.077</v>
      </c>
      <c r="AT861" s="10">
        <v>255.47800000000001</v>
      </c>
      <c r="AU861" s="8" t="s">
        <v>204</v>
      </c>
      <c r="AV861" s="10">
        <v>186.989</v>
      </c>
      <c r="AW861" s="11">
        <f>IF(AND(ISNUMBER(AV861),ISNUMBER(AT861)),IF(AT861&lt;&gt;0,AV861/ABS(AT861),""),"")</f>
        <v>0.73191820822145159</v>
      </c>
      <c r="AX861" s="8">
        <v>0</v>
      </c>
      <c r="AY861" s="8">
        <v>0</v>
      </c>
      <c r="AZ861" s="10"/>
      <c r="BA861" s="8">
        <v>0</v>
      </c>
    </row>
    <row r="862" spans="1:53" x14ac:dyDescent="0.2">
      <c r="A862" s="8" t="s">
        <v>435</v>
      </c>
      <c r="B862" s="8" t="s">
        <v>83</v>
      </c>
      <c r="C862" s="8" t="s">
        <v>290</v>
      </c>
      <c r="D862" s="8">
        <v>1</v>
      </c>
      <c r="E862" s="8">
        <v>0</v>
      </c>
      <c r="F862" s="8">
        <f>SUM(G862:M862)</f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1</v>
      </c>
      <c r="Q862" s="8">
        <v>0</v>
      </c>
      <c r="R862" s="8">
        <v>0</v>
      </c>
      <c r="S862" s="8">
        <v>1</v>
      </c>
      <c r="T862" s="10">
        <v>-557.06100000000004</v>
      </c>
      <c r="U862" s="10"/>
      <c r="V862" s="10"/>
      <c r="W862" s="10">
        <f>IF(RIGHT(C862,2)="12",IF(ISNUMBER(T862),T862,""),IF(COUNT(T862,U862,V862)=3,T862+U862-V862,""))</f>
        <v>-557.06100000000004</v>
      </c>
      <c r="X862" s="10">
        <v>-557.06100000000004</v>
      </c>
      <c r="Y862" s="10">
        <v>-125.95399999999999</v>
      </c>
      <c r="Z862" s="10">
        <v>-121.11199999999999</v>
      </c>
      <c r="AA862" s="10">
        <v>247.387</v>
      </c>
      <c r="AB862" s="10">
        <v>-557.38099999999997</v>
      </c>
      <c r="AC862" s="8">
        <v>0</v>
      </c>
      <c r="AD862" s="8">
        <v>0</v>
      </c>
      <c r="AE862" s="8">
        <v>0</v>
      </c>
      <c r="AF862" s="10">
        <v>0</v>
      </c>
      <c r="AG862" s="8">
        <f>COUNTIF(Y862:AB862,"&gt;0")</f>
        <v>1</v>
      </c>
      <c r="AH862" s="10">
        <v>247.387</v>
      </c>
      <c r="AI862" s="10">
        <v>0</v>
      </c>
      <c r="AJ862" s="8" t="str">
        <f>IF(ISNUMBER(X862),IF(X862&gt;0,"+",IF(X862&lt;0,"−","0")),IF(ISNUMBER(W862),IF(W862&gt;0,"+",IF(W862&lt;0,"−","0")),"yok"))</f>
        <v>−</v>
      </c>
      <c r="AK862" s="10" t="str">
        <f>IF(AND(RIGHT(C862,2)&lt;&gt;"12",ISNUMBER(U862),ISNUMBER(V862)),U862-V862,"")</f>
        <v/>
      </c>
      <c r="AL862" s="11" t="str">
        <f>IF(AND(ISNUMBER(AK862),ISNUMBER(V862)),IF(V862&lt;&gt;0,AK862/ABS(V862),""),"")</f>
        <v/>
      </c>
      <c r="AM862" s="8" t="str">
        <f>IF(ISNUMBER(AK862),IF(AK862&gt;1,1,0),"")</f>
        <v/>
      </c>
      <c r="AN862" s="8" t="str">
        <f>IF(ISNUMBER(AK862),IF(AK862&gt;0.05*ABS(V862),1,0),"")</f>
        <v/>
      </c>
      <c r="AO862" s="10">
        <v>-557.06200000000001</v>
      </c>
      <c r="AP862" s="10">
        <v>557.06200000000001</v>
      </c>
      <c r="AQ862" s="8" t="s">
        <v>209</v>
      </c>
      <c r="AR862" s="8">
        <v>0</v>
      </c>
      <c r="AS862" s="10">
        <v>1175.8230000000001</v>
      </c>
      <c r="AT862" s="10">
        <v>577.83900000000006</v>
      </c>
      <c r="AU862" s="8" t="s">
        <v>209</v>
      </c>
      <c r="AV862" s="10">
        <v>247.387</v>
      </c>
      <c r="AW862" s="11">
        <f>IF(AND(ISNUMBER(AV862),ISNUMBER(AT862)),IF(AT862&lt;&gt;0,AV862/ABS(AT862),""),"")</f>
        <v>0.42812444296767782</v>
      </c>
      <c r="AX862" s="8">
        <v>0</v>
      </c>
      <c r="AY862" s="8">
        <v>0</v>
      </c>
      <c r="AZ862" s="10"/>
      <c r="BA862" s="8">
        <v>0</v>
      </c>
    </row>
    <row r="863" spans="1:53" x14ac:dyDescent="0.2">
      <c r="A863" s="8" t="s">
        <v>438</v>
      </c>
      <c r="B863" s="8" t="s">
        <v>83</v>
      </c>
      <c r="C863" s="8" t="s">
        <v>290</v>
      </c>
      <c r="D863" s="8">
        <v>1</v>
      </c>
      <c r="E863" s="8">
        <v>0</v>
      </c>
      <c r="F863" s="8">
        <f>SUM(G863:M863)</f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1</v>
      </c>
      <c r="Q863" s="8">
        <v>0</v>
      </c>
      <c r="R863" s="8">
        <v>0</v>
      </c>
      <c r="S863" s="8">
        <v>1</v>
      </c>
      <c r="T863" s="10">
        <v>-1162.277</v>
      </c>
      <c r="U863" s="10"/>
      <c r="V863" s="10"/>
      <c r="W863" s="10">
        <f>IF(RIGHT(C863,2)="12",IF(ISNUMBER(T863),T863,""),IF(COUNT(T863,U863,V863)=3,T863+U863-V863,""))</f>
        <v>-1162.277</v>
      </c>
      <c r="X863" s="10">
        <v>-1162.277</v>
      </c>
      <c r="Y863" s="10">
        <v>-2071.0430000000001</v>
      </c>
      <c r="Z863" s="10">
        <v>-1854.3610000000001</v>
      </c>
      <c r="AA863" s="10">
        <v>-1725.3910000000001</v>
      </c>
      <c r="AB863" s="10">
        <v>4488.5190000000002</v>
      </c>
      <c r="AC863" s="8">
        <v>0</v>
      </c>
      <c r="AD863" s="8">
        <v>0</v>
      </c>
      <c r="AE863" s="8">
        <v>0</v>
      </c>
      <c r="AF863" s="10">
        <v>0</v>
      </c>
      <c r="AG863" s="8">
        <f>COUNTIF(Y863:AB863,"&gt;0")</f>
        <v>1</v>
      </c>
      <c r="AH863" s="10">
        <v>4488.5190000000002</v>
      </c>
      <c r="AI863" s="10">
        <v>0</v>
      </c>
      <c r="AJ863" s="8" t="str">
        <f>IF(ISNUMBER(X863),IF(X863&gt;0,"+",IF(X863&lt;0,"−","0")),IF(ISNUMBER(W863),IF(W863&gt;0,"+",IF(W863&lt;0,"−","0")),"yok"))</f>
        <v>−</v>
      </c>
      <c r="AK863" s="10" t="str">
        <f>IF(AND(RIGHT(C863,2)&lt;&gt;"12",ISNUMBER(U863),ISNUMBER(V863)),U863-V863,"")</f>
        <v/>
      </c>
      <c r="AL863" s="11" t="str">
        <f>IF(AND(ISNUMBER(AK863),ISNUMBER(V863)),IF(V863&lt;&gt;0,AK863/ABS(V863),""),"")</f>
        <v/>
      </c>
      <c r="AM863" s="8" t="str">
        <f>IF(ISNUMBER(AK863),IF(AK863&gt;1,1,0),"")</f>
        <v/>
      </c>
      <c r="AN863" s="8" t="str">
        <f>IF(ISNUMBER(AK863),IF(AK863&gt;0.05*ABS(V863),1,0),"")</f>
        <v/>
      </c>
      <c r="AO863" s="10">
        <v>-1162.277</v>
      </c>
      <c r="AP863" s="10">
        <v>1162.277</v>
      </c>
      <c r="AQ863" s="8" t="s">
        <v>204</v>
      </c>
      <c r="AR863" s="8">
        <v>0</v>
      </c>
      <c r="AS863" s="10">
        <v>2986.2249999999999</v>
      </c>
      <c r="AT863" s="10">
        <v>985.83100000000002</v>
      </c>
      <c r="AU863" s="8" t="s">
        <v>204</v>
      </c>
      <c r="AV863" s="10">
        <v>4488.5190000000002</v>
      </c>
      <c r="AW863" s="11">
        <f>IF(AND(ISNUMBER(AV863),ISNUMBER(AT863)),IF(AT863&lt;&gt;0,AV863/ABS(AT863),""),"")</f>
        <v>4.5530308947476801</v>
      </c>
      <c r="AX863" s="8">
        <v>0</v>
      </c>
      <c r="AY863" s="8">
        <v>0</v>
      </c>
      <c r="AZ863" s="10"/>
      <c r="BA863" s="8">
        <v>1</v>
      </c>
    </row>
    <row r="864" spans="1:53" x14ac:dyDescent="0.2">
      <c r="A864" s="8" t="s">
        <v>439</v>
      </c>
      <c r="B864" s="8" t="s">
        <v>82</v>
      </c>
      <c r="C864" s="8" t="s">
        <v>203</v>
      </c>
      <c r="D864" s="8">
        <v>1</v>
      </c>
      <c r="E864" s="8">
        <v>0</v>
      </c>
      <c r="F864" s="8">
        <f>SUM(G864:M864)</f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1</v>
      </c>
      <c r="P864" s="8">
        <v>1</v>
      </c>
      <c r="Q864" s="8">
        <v>0</v>
      </c>
      <c r="R864" s="8">
        <v>1</v>
      </c>
      <c r="S864" s="8">
        <v>0</v>
      </c>
      <c r="T864" s="10"/>
      <c r="U864" s="10">
        <v>223.78399999999999</v>
      </c>
      <c r="V864" s="10"/>
      <c r="W864" s="10" t="str">
        <f>IF(RIGHT(C864,2)="12",IF(ISNUMBER(T864),T864,""),IF(COUNT(T864,U864,V864)=3,T864+U864-V864,""))</f>
        <v/>
      </c>
      <c r="X864" s="10"/>
      <c r="Y864" s="10"/>
      <c r="Z864" s="10">
        <v>11.874000000000001</v>
      </c>
      <c r="AA864" s="10">
        <v>262.64499999999998</v>
      </c>
      <c r="AB864" s="10"/>
      <c r="AC864" s="8">
        <v>0</v>
      </c>
      <c r="AD864" s="8">
        <v>1</v>
      </c>
      <c r="AE864" s="8">
        <v>0</v>
      </c>
      <c r="AF864" s="10">
        <v>223.78399999999999</v>
      </c>
      <c r="AG864" s="8">
        <f>COUNTIF(Y864:AB864,"&gt;0")</f>
        <v>2</v>
      </c>
      <c r="AH864" s="10">
        <v>0</v>
      </c>
      <c r="AI864" s="10">
        <v>274.51900000000001</v>
      </c>
      <c r="AJ864" s="8" t="str">
        <f>IF(ISNUMBER(X864),IF(X864&gt;0,"+",IF(X864&lt;0,"−","0")),IF(ISNUMBER(W864),IF(W864&gt;0,"+",IF(W864&lt;0,"−","0")),"yok"))</f>
        <v>yok</v>
      </c>
      <c r="AK864" s="10" t="str">
        <f>IF(AND(RIGHT(C864,2)&lt;&gt;"12",ISNUMBER(U864),ISNUMBER(V864)),U864-V864,"")</f>
        <v/>
      </c>
      <c r="AL864" s="11" t="str">
        <f>IF(AND(ISNUMBER(AK864),ISNUMBER(V864)),IF(V864&lt;&gt;0,AK864/ABS(V864),""),"")</f>
        <v/>
      </c>
      <c r="AM864" s="8" t="str">
        <f>IF(ISNUMBER(AK864),IF(AK864&gt;1,1,0),"")</f>
        <v/>
      </c>
      <c r="AN864" s="8" t="str">
        <f>IF(ISNUMBER(AK864),IF(AK864&gt;0.05*ABS(V864),1,0),"")</f>
        <v/>
      </c>
      <c r="AO864" s="10"/>
      <c r="AP864" s="10"/>
      <c r="AQ864" s="8" t="s">
        <v>207</v>
      </c>
      <c r="AR864" s="8">
        <v>0</v>
      </c>
      <c r="AS864" s="10">
        <v>1781.6610000000001</v>
      </c>
      <c r="AT864" s="10"/>
      <c r="AU864" s="8" t="s">
        <v>207</v>
      </c>
      <c r="AV864" s="10">
        <v>223.78399999999999</v>
      </c>
      <c r="AW864" s="11" t="str">
        <f>IF(AND(ISNUMBER(AV864),ISNUMBER(AT864)),IF(AT864&lt;&gt;0,AV864/ABS(AT864),""),"")</f>
        <v/>
      </c>
      <c r="AX864" s="8">
        <v>1</v>
      </c>
      <c r="AY864" s="8">
        <v>0</v>
      </c>
      <c r="AZ864" s="8" t="s">
        <v>626</v>
      </c>
      <c r="BA864" s="8">
        <v>0</v>
      </c>
    </row>
    <row r="865" spans="1:53" x14ac:dyDescent="0.2">
      <c r="A865" s="8" t="s">
        <v>439</v>
      </c>
      <c r="B865" s="8" t="s">
        <v>82</v>
      </c>
      <c r="C865" s="8" t="s">
        <v>290</v>
      </c>
      <c r="D865" s="8">
        <v>1</v>
      </c>
      <c r="E865" s="8">
        <v>0</v>
      </c>
      <c r="F865" s="8">
        <f>SUM(G865:M865)</f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1</v>
      </c>
      <c r="Q865" s="8">
        <v>0</v>
      </c>
      <c r="R865" s="8">
        <v>0</v>
      </c>
      <c r="S865" s="8">
        <v>1</v>
      </c>
      <c r="T865" s="10">
        <v>-6.6429999999999998</v>
      </c>
      <c r="U865" s="10"/>
      <c r="V865" s="10"/>
      <c r="W865" s="10">
        <f>IF(RIGHT(C865,2)="12",IF(ISNUMBER(T865),T865,""),IF(COUNT(T865,U865,V865)=3,T865+U865-V865,""))</f>
        <v>-6.6429999999999998</v>
      </c>
      <c r="X865" s="10">
        <v>-6.6429999999999998</v>
      </c>
      <c r="Y865" s="10"/>
      <c r="Z865" s="10"/>
      <c r="AA865" s="10">
        <v>3.3420000000000001</v>
      </c>
      <c r="AB865" s="10">
        <v>-24.456</v>
      </c>
      <c r="AC865" s="8">
        <v>0</v>
      </c>
      <c r="AD865" s="8">
        <v>0</v>
      </c>
      <c r="AE865" s="8">
        <v>0</v>
      </c>
      <c r="AF865" s="10">
        <v>0</v>
      </c>
      <c r="AG865" s="8">
        <f>COUNTIF(Y865:AB865,"&gt;0")</f>
        <v>1</v>
      </c>
      <c r="AH865" s="10">
        <v>3.3420000000000001</v>
      </c>
      <c r="AI865" s="10">
        <v>0</v>
      </c>
      <c r="AJ865" s="8" t="str">
        <f>IF(ISNUMBER(X865),IF(X865&gt;0,"+",IF(X865&lt;0,"−","0")),IF(ISNUMBER(W865),IF(W865&gt;0,"+",IF(W865&lt;0,"−","0")),"yok"))</f>
        <v>−</v>
      </c>
      <c r="AK865" s="10" t="str">
        <f>IF(AND(RIGHT(C865,2)&lt;&gt;"12",ISNUMBER(U865),ISNUMBER(V865)),U865-V865,"")</f>
        <v/>
      </c>
      <c r="AL865" s="11" t="str">
        <f>IF(AND(ISNUMBER(AK865),ISNUMBER(V865)),IF(V865&lt;&gt;0,AK865/ABS(V865),""),"")</f>
        <v/>
      </c>
      <c r="AM865" s="8" t="str">
        <f>IF(ISNUMBER(AK865),IF(AK865&gt;1,1,0),"")</f>
        <v/>
      </c>
      <c r="AN865" s="8" t="str">
        <f>IF(ISNUMBER(AK865),IF(AK865&gt;0.05*ABS(V865),1,0),"")</f>
        <v/>
      </c>
      <c r="AO865" s="10">
        <v>-6.6440000000000001</v>
      </c>
      <c r="AP865" s="10">
        <v>6.6440000000000001</v>
      </c>
      <c r="AQ865" s="8" t="s">
        <v>209</v>
      </c>
      <c r="AR865" s="8">
        <v>0</v>
      </c>
      <c r="AS865" s="10">
        <v>4392.8249999999998</v>
      </c>
      <c r="AT865" s="10">
        <v>2584.788</v>
      </c>
      <c r="AU865" s="8" t="s">
        <v>209</v>
      </c>
      <c r="AV865" s="10">
        <v>3.3420000000000001</v>
      </c>
      <c r="AW865" s="11">
        <f>IF(AND(ISNUMBER(AV865),ISNUMBER(AT865)),IF(AT865&lt;&gt;0,AV865/ABS(AT865),""),"")</f>
        <v>1.2929493637389218E-3</v>
      </c>
      <c r="AX865" s="8">
        <v>0</v>
      </c>
      <c r="AY865" s="8">
        <v>0</v>
      </c>
      <c r="AZ865" s="10"/>
      <c r="BA865" s="8">
        <v>0</v>
      </c>
    </row>
    <row r="866" spans="1:53" x14ac:dyDescent="0.2">
      <c r="A866" s="8" t="s">
        <v>439</v>
      </c>
      <c r="B866" s="8" t="s">
        <v>82</v>
      </c>
      <c r="C866" s="8" t="s">
        <v>208</v>
      </c>
      <c r="D866" s="8">
        <v>1</v>
      </c>
      <c r="E866" s="8">
        <v>0</v>
      </c>
      <c r="F866" s="8">
        <f>SUM(G866:M866)</f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1</v>
      </c>
      <c r="Q866" s="8">
        <v>0</v>
      </c>
      <c r="R866" s="8">
        <v>1</v>
      </c>
      <c r="S866" s="8">
        <v>0</v>
      </c>
      <c r="T866" s="10"/>
      <c r="U866" s="10">
        <v>-6.6429999999999998</v>
      </c>
      <c r="V866" s="10"/>
      <c r="W866" s="10" t="str">
        <f>IF(RIGHT(C866,2)="12",IF(ISNUMBER(T866),T866,""),IF(COUNT(T866,U866,V866)=3,T866+U866-V866,""))</f>
        <v/>
      </c>
      <c r="X866" s="10"/>
      <c r="Y866" s="10"/>
      <c r="Z866" s="10">
        <v>3.3420000000000001</v>
      </c>
      <c r="AA866" s="10">
        <v>-24.456</v>
      </c>
      <c r="AB866" s="10"/>
      <c r="AC866" s="8">
        <v>0</v>
      </c>
      <c r="AD866" s="8">
        <v>0</v>
      </c>
      <c r="AE866" s="8">
        <v>0</v>
      </c>
      <c r="AF866" s="10">
        <v>0</v>
      </c>
      <c r="AG866" s="8">
        <f>COUNTIF(Y866:AB866,"&gt;0")</f>
        <v>1</v>
      </c>
      <c r="AH866" s="10">
        <v>0</v>
      </c>
      <c r="AI866" s="10">
        <v>3.3420000000000001</v>
      </c>
      <c r="AJ866" s="8" t="str">
        <f>IF(ISNUMBER(X866),IF(X866&gt;0,"+",IF(X866&lt;0,"−","0")),IF(ISNUMBER(W866),IF(W866&gt;0,"+",IF(W866&lt;0,"−","0")),"yok"))</f>
        <v>yok</v>
      </c>
      <c r="AK866" s="10" t="str">
        <f>IF(AND(RIGHT(C866,2)&lt;&gt;"12",ISNUMBER(U866),ISNUMBER(V866)),U866-V866,"")</f>
        <v/>
      </c>
      <c r="AL866" s="11" t="str">
        <f>IF(AND(ISNUMBER(AK866),ISNUMBER(V866)),IF(V866&lt;&gt;0,AK866/ABS(V866),""),"")</f>
        <v/>
      </c>
      <c r="AM866" s="8" t="str">
        <f>IF(ISNUMBER(AK866),IF(AK866&gt;1,1,0),"")</f>
        <v/>
      </c>
      <c r="AN866" s="8" t="str">
        <f>IF(ISNUMBER(AK866),IF(AK866&gt;0.05*ABS(V866),1,0),"")</f>
        <v/>
      </c>
      <c r="AO866" s="10"/>
      <c r="AP866" s="10"/>
      <c r="AQ866" s="8" t="s">
        <v>207</v>
      </c>
      <c r="AR866" s="8">
        <v>0</v>
      </c>
      <c r="AS866" s="10">
        <v>4663.0159999999996</v>
      </c>
      <c r="AT866" s="10"/>
      <c r="AU866" s="8" t="s">
        <v>207</v>
      </c>
      <c r="AV866" s="10">
        <v>3.3420000000000001</v>
      </c>
      <c r="AW866" s="11" t="str">
        <f>IF(AND(ISNUMBER(AV866),ISNUMBER(AT866)),IF(AT866&lt;&gt;0,AV866/ABS(AT866),""),"")</f>
        <v/>
      </c>
      <c r="AX866" s="8">
        <v>0</v>
      </c>
      <c r="AY866" s="8">
        <v>0</v>
      </c>
      <c r="AZ866" s="10"/>
      <c r="BA866" s="8">
        <v>0</v>
      </c>
    </row>
    <row r="867" spans="1:53" x14ac:dyDescent="0.2">
      <c r="A867" s="8" t="s">
        <v>439</v>
      </c>
      <c r="B867" s="8" t="s">
        <v>83</v>
      </c>
      <c r="C867" s="8" t="s">
        <v>210</v>
      </c>
      <c r="D867" s="8">
        <v>1</v>
      </c>
      <c r="E867" s="8">
        <v>0</v>
      </c>
      <c r="F867" s="8">
        <f>SUM(G867:M867)</f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1</v>
      </c>
      <c r="Q867" s="8">
        <v>0</v>
      </c>
      <c r="R867" s="8">
        <v>0</v>
      </c>
      <c r="S867" s="8">
        <v>1</v>
      </c>
      <c r="T867" s="10">
        <v>-654.83100000000002</v>
      </c>
      <c r="U867" s="10">
        <v>-1606.2090000000001</v>
      </c>
      <c r="V867" s="10">
        <v>-649.02200000000005</v>
      </c>
      <c r="W867" s="10">
        <f>IF(RIGHT(C867,2)="12",IF(ISNUMBER(T867),T867,""),IF(COUNT(T867,U867,V867)=3,T867+U867-V867,""))</f>
        <v>-1612.018</v>
      </c>
      <c r="X867" s="10">
        <v>-1612.018</v>
      </c>
      <c r="Y867" s="10">
        <v>-593.38</v>
      </c>
      <c r="Z867" s="10">
        <v>-363.80700000000002</v>
      </c>
      <c r="AA867" s="10">
        <v>-721.71900000000005</v>
      </c>
      <c r="AB867" s="10">
        <v>66.888000000000005</v>
      </c>
      <c r="AC867" s="8">
        <v>0</v>
      </c>
      <c r="AD867" s="8">
        <v>0</v>
      </c>
      <c r="AE867" s="8">
        <v>0</v>
      </c>
      <c r="AF867" s="10">
        <v>0</v>
      </c>
      <c r="AG867" s="8">
        <f>COUNTIF(Y867:AB867,"&gt;0")</f>
        <v>1</v>
      </c>
      <c r="AH867" s="10">
        <v>66.888000000000005</v>
      </c>
      <c r="AI867" s="10">
        <v>0</v>
      </c>
      <c r="AJ867" s="8" t="str">
        <f>IF(ISNUMBER(X867),IF(X867&gt;0,"+",IF(X867&lt;0,"−","0")),IF(ISNUMBER(W867),IF(W867&gt;0,"+",IF(W867&lt;0,"−","0")),"yok"))</f>
        <v>−</v>
      </c>
      <c r="AK867" s="10">
        <f>IF(AND(RIGHT(C867,2)&lt;&gt;"12",ISNUMBER(U867),ISNUMBER(V867)),U867-V867,"")</f>
        <v>-957.18700000000001</v>
      </c>
      <c r="AL867" s="11">
        <f>IF(AND(ISNUMBER(AK867),ISNUMBER(V867)),IF(V867&lt;&gt;0,AK867/ABS(V867),""),"")</f>
        <v>-1.4748144130707432</v>
      </c>
      <c r="AM867" s="8">
        <f>IF(ISNUMBER(AK867),IF(AK867&gt;1,1,0),"")</f>
        <v>0</v>
      </c>
      <c r="AN867" s="8">
        <f>IF(ISNUMBER(AK867),IF(AK867&gt;0.05*ABS(V867),1,0),"")</f>
        <v>0</v>
      </c>
      <c r="AO867" s="10">
        <v>-1612.018</v>
      </c>
      <c r="AP867" s="10">
        <v>1612.018</v>
      </c>
      <c r="AQ867" s="8" t="s">
        <v>204</v>
      </c>
      <c r="AR867" s="8">
        <v>0</v>
      </c>
      <c r="AS867" s="10">
        <v>2782.768</v>
      </c>
      <c r="AT867" s="10"/>
      <c r="AU867" s="8" t="s">
        <v>207</v>
      </c>
      <c r="AV867" s="10">
        <v>66.888000000000005</v>
      </c>
      <c r="AW867" s="11" t="str">
        <f>IF(AND(ISNUMBER(AV867),ISNUMBER(AT867)),IF(AT867&lt;&gt;0,AV867/ABS(AT867),""),"")</f>
        <v/>
      </c>
      <c r="AX867" s="8">
        <v>0</v>
      </c>
      <c r="AY867" s="8">
        <v>0</v>
      </c>
      <c r="AZ867" s="10"/>
      <c r="BA867" s="8">
        <v>0</v>
      </c>
    </row>
    <row r="868" spans="1:53" x14ac:dyDescent="0.2">
      <c r="A868" s="8" t="s">
        <v>627</v>
      </c>
      <c r="B868" s="8" t="s">
        <v>82</v>
      </c>
      <c r="C868" s="8" t="s">
        <v>203</v>
      </c>
      <c r="D868" s="8">
        <v>1</v>
      </c>
      <c r="E868" s="8">
        <v>0</v>
      </c>
      <c r="F868" s="8">
        <f>SUM(G868:M868)</f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1</v>
      </c>
      <c r="R868" s="8">
        <v>1</v>
      </c>
      <c r="S868" s="8">
        <v>0</v>
      </c>
      <c r="T868" s="10">
        <v>-4.3869999999999996</v>
      </c>
      <c r="U868" s="10">
        <v>-7.44</v>
      </c>
      <c r="V868" s="10">
        <v>-9.8859999999999992</v>
      </c>
      <c r="W868" s="10">
        <f>IF(RIGHT(C868,2)="12",IF(ISNUMBER(T868),T868,""),IF(COUNT(T868,U868,V868)=3,T868+U868-V868,""))</f>
        <v>-1.9410000000000007</v>
      </c>
      <c r="X868" s="10">
        <v>-1.9410000000000001</v>
      </c>
      <c r="Y868" s="10">
        <v>0</v>
      </c>
      <c r="Z868" s="10"/>
      <c r="AA868" s="10"/>
      <c r="AB868" s="10">
        <v>-4.3869999999999996</v>
      </c>
      <c r="AC868" s="8">
        <v>0</v>
      </c>
      <c r="AD868" s="8">
        <v>0</v>
      </c>
      <c r="AE868" s="8">
        <v>0</v>
      </c>
      <c r="AF868" s="10">
        <v>0</v>
      </c>
      <c r="AG868" s="8">
        <f>COUNTIF(Y868:AB868,"&gt;0")</f>
        <v>0</v>
      </c>
      <c r="AH868" s="10">
        <v>0</v>
      </c>
      <c r="AI868" s="10">
        <v>0</v>
      </c>
      <c r="AJ868" s="8" t="str">
        <f>IF(ISNUMBER(X868),IF(X868&gt;0,"+",IF(X868&lt;0,"−","0")),IF(ISNUMBER(W868),IF(W868&gt;0,"+",IF(W868&lt;0,"−","0")),"yok"))</f>
        <v>−</v>
      </c>
      <c r="AK868" s="10">
        <f>IF(AND(RIGHT(C868,2)&lt;&gt;"12",ISNUMBER(U868),ISNUMBER(V868)),U868-V868,"")</f>
        <v>2.4459999999999988</v>
      </c>
      <c r="AL868" s="11">
        <f>IF(AND(ISNUMBER(AK868),ISNUMBER(V868)),IF(V868&lt;&gt;0,AK868/ABS(V868),""),"")</f>
        <v>0.24742059478049758</v>
      </c>
      <c r="AM868" s="8">
        <f>IF(ISNUMBER(AK868),IF(AK868&gt;1,1,0),"")</f>
        <v>1</v>
      </c>
      <c r="AN868" s="8">
        <f>IF(ISNUMBER(AK868),IF(AK868&gt;0.05*ABS(V868),1,0),"")</f>
        <v>1</v>
      </c>
      <c r="AO868" s="10"/>
      <c r="AP868" s="10"/>
      <c r="AQ868" s="8" t="s">
        <v>207</v>
      </c>
      <c r="AR868" s="8">
        <v>0</v>
      </c>
      <c r="AS868" s="10">
        <v>604.35199999999998</v>
      </c>
      <c r="AT868" s="10"/>
      <c r="AU868" s="8" t="s">
        <v>207</v>
      </c>
      <c r="AV868" s="10">
        <v>2.4460000000000002</v>
      </c>
      <c r="AW868" s="11" t="str">
        <f>IF(AND(ISNUMBER(AV868),ISNUMBER(AT868)),IF(AT868&lt;&gt;0,AV868/ABS(AT868),""),"")</f>
        <v/>
      </c>
      <c r="AX868" s="8">
        <v>0</v>
      </c>
      <c r="AY868" s="8">
        <v>1</v>
      </c>
      <c r="AZ868" s="10"/>
      <c r="BA868" s="8">
        <v>0</v>
      </c>
    </row>
    <row r="869" spans="1:53" x14ac:dyDescent="0.2">
      <c r="A869" s="8" t="s">
        <v>627</v>
      </c>
      <c r="B869" s="8" t="s">
        <v>82</v>
      </c>
      <c r="C869" s="8" t="s">
        <v>205</v>
      </c>
      <c r="D869" s="8">
        <v>1</v>
      </c>
      <c r="E869" s="8">
        <v>0</v>
      </c>
      <c r="F869" s="8">
        <f>SUM(G869:M869)</f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1</v>
      </c>
      <c r="R869" s="8">
        <v>1</v>
      </c>
      <c r="S869" s="8">
        <v>0</v>
      </c>
      <c r="T869" s="10">
        <v>-4.3869999999999996</v>
      </c>
      <c r="U869" s="10">
        <v>-7.44</v>
      </c>
      <c r="V869" s="10">
        <v>-9.8859999999999992</v>
      </c>
      <c r="W869" s="10">
        <f>IF(RIGHT(C869,2)="12",IF(ISNUMBER(T869),T869,""),IF(COUNT(T869,U869,V869)=3,T869+U869-V869,""))</f>
        <v>-1.9410000000000007</v>
      </c>
      <c r="X869" s="10">
        <v>-1.9410000000000001</v>
      </c>
      <c r="Y869" s="10"/>
      <c r="Z869" s="10"/>
      <c r="AA869" s="10">
        <v>-4.3869999999999996</v>
      </c>
      <c r="AB869" s="10">
        <v>0</v>
      </c>
      <c r="AC869" s="8">
        <v>0</v>
      </c>
      <c r="AD869" s="8">
        <v>0</v>
      </c>
      <c r="AE869" s="8">
        <v>0</v>
      </c>
      <c r="AF869" s="10">
        <v>0</v>
      </c>
      <c r="AG869" s="8">
        <f>COUNTIF(Y869:AB869,"&gt;0")</f>
        <v>0</v>
      </c>
      <c r="AH869" s="10">
        <v>0</v>
      </c>
      <c r="AI869" s="10">
        <v>0</v>
      </c>
      <c r="AJ869" s="8" t="str">
        <f>IF(ISNUMBER(X869),IF(X869&gt;0,"+",IF(X869&lt;0,"−","0")),IF(ISNUMBER(W869),IF(W869&gt;0,"+",IF(W869&lt;0,"−","0")),"yok"))</f>
        <v>−</v>
      </c>
      <c r="AK869" s="10">
        <f>IF(AND(RIGHT(C869,2)&lt;&gt;"12",ISNUMBER(U869),ISNUMBER(V869)),U869-V869,"")</f>
        <v>2.4459999999999988</v>
      </c>
      <c r="AL869" s="11">
        <f>IF(AND(ISNUMBER(AK869),ISNUMBER(V869)),IF(V869&lt;&gt;0,AK869/ABS(V869),""),"")</f>
        <v>0.24742059478049758</v>
      </c>
      <c r="AM869" s="8">
        <f>IF(ISNUMBER(AK869),IF(AK869&gt;1,1,0),"")</f>
        <v>1</v>
      </c>
      <c r="AN869" s="8">
        <f>IF(ISNUMBER(AK869),IF(AK869&gt;0.05*ABS(V869),1,0),"")</f>
        <v>1</v>
      </c>
      <c r="AO869" s="10">
        <v>-1.9410000000000001</v>
      </c>
      <c r="AP869" s="10">
        <v>1.9410000000000001</v>
      </c>
      <c r="AQ869" s="8" t="s">
        <v>209</v>
      </c>
      <c r="AR869" s="8">
        <v>0</v>
      </c>
      <c r="AS869" s="10">
        <v>857.11599999999999</v>
      </c>
      <c r="AT869" s="10"/>
      <c r="AU869" s="8" t="s">
        <v>207</v>
      </c>
      <c r="AV869" s="10">
        <v>2.4460000000000002</v>
      </c>
      <c r="AW869" s="11" t="str">
        <f>IF(AND(ISNUMBER(AV869),ISNUMBER(AT869)),IF(AT869&lt;&gt;0,AV869/ABS(AT869),""),"")</f>
        <v/>
      </c>
      <c r="AX869" s="8">
        <v>0</v>
      </c>
      <c r="AY869" s="8">
        <v>1</v>
      </c>
      <c r="AZ869" s="10"/>
      <c r="BA869" s="8">
        <v>0</v>
      </c>
    </row>
    <row r="870" spans="1:53" x14ac:dyDescent="0.2">
      <c r="A870" s="8" t="s">
        <v>458</v>
      </c>
      <c r="B870" s="8" t="s">
        <v>82</v>
      </c>
      <c r="C870" s="8" t="s">
        <v>290</v>
      </c>
      <c r="D870" s="8">
        <v>1</v>
      </c>
      <c r="E870" s="8">
        <v>0</v>
      </c>
      <c r="F870" s="8">
        <f>SUM(G870:M870)</f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1</v>
      </c>
      <c r="Q870" s="8">
        <v>0</v>
      </c>
      <c r="R870" s="8">
        <v>0</v>
      </c>
      <c r="S870" s="8">
        <v>1</v>
      </c>
      <c r="T870" s="10">
        <v>0</v>
      </c>
      <c r="U870" s="10"/>
      <c r="V870" s="10"/>
      <c r="W870" s="10">
        <f>IF(RIGHT(C870,2)="12",IF(ISNUMBER(T870),T870,""),IF(COUNT(T870,U870,V870)=3,T870+U870-V870,""))</f>
        <v>0</v>
      </c>
      <c r="X870" s="10">
        <v>0</v>
      </c>
      <c r="Y870" s="10">
        <v>-1.294</v>
      </c>
      <c r="Z870" s="10">
        <v>0.56699999999999995</v>
      </c>
      <c r="AA870" s="10">
        <v>-0.997</v>
      </c>
      <c r="AB870" s="10">
        <v>1.724</v>
      </c>
      <c r="AC870" s="8">
        <v>0</v>
      </c>
      <c r="AD870" s="8">
        <v>0</v>
      </c>
      <c r="AE870" s="8">
        <v>0</v>
      </c>
      <c r="AF870" s="10">
        <v>0</v>
      </c>
      <c r="AG870" s="8">
        <f>COUNTIF(Y870:AB870,"&gt;0")</f>
        <v>2</v>
      </c>
      <c r="AH870" s="10">
        <v>2.2909999999999999</v>
      </c>
      <c r="AI870" s="10">
        <v>0</v>
      </c>
      <c r="AJ870" s="8" t="str">
        <f>IF(ISNUMBER(X870),IF(X870&gt;0,"+",IF(X870&lt;0,"−","0")),IF(ISNUMBER(W870),IF(W870&gt;0,"+",IF(W870&lt;0,"−","0")),"yok"))</f>
        <v>0</v>
      </c>
      <c r="AK870" s="10" t="str">
        <f>IF(AND(RIGHT(C870,2)&lt;&gt;"12",ISNUMBER(U870),ISNUMBER(V870)),U870-V870,"")</f>
        <v/>
      </c>
      <c r="AL870" s="11" t="str">
        <f>IF(AND(ISNUMBER(AK870),ISNUMBER(V870)),IF(V870&lt;&gt;0,AK870/ABS(V870),""),"")</f>
        <v/>
      </c>
      <c r="AM870" s="8" t="str">
        <f>IF(ISNUMBER(AK870),IF(AK870&gt;1,1,0),"")</f>
        <v/>
      </c>
      <c r="AN870" s="8" t="str">
        <f>IF(ISNUMBER(AK870),IF(AK870&gt;0.05*ABS(V870),1,0),"")</f>
        <v/>
      </c>
      <c r="AO870" s="10">
        <v>0</v>
      </c>
      <c r="AP870" s="10">
        <v>0</v>
      </c>
      <c r="AQ870" s="8" t="s">
        <v>204</v>
      </c>
      <c r="AR870" s="8">
        <v>0</v>
      </c>
      <c r="AS870" s="10">
        <v>151.15600000000001</v>
      </c>
      <c r="AT870" s="10">
        <v>121.438</v>
      </c>
      <c r="AU870" s="8" t="s">
        <v>204</v>
      </c>
      <c r="AV870" s="10">
        <v>1.724</v>
      </c>
      <c r="AW870" s="11">
        <f>IF(AND(ISNUMBER(AV870),ISNUMBER(AT870)),IF(AT870&lt;&gt;0,AV870/ABS(AT870),""),"")</f>
        <v>1.4196544738879099E-2</v>
      </c>
      <c r="AX870" s="8">
        <v>0</v>
      </c>
      <c r="AY870" s="8">
        <v>0</v>
      </c>
      <c r="AZ870" s="10"/>
      <c r="BA870" s="8">
        <v>0</v>
      </c>
    </row>
    <row r="871" spans="1:53" x14ac:dyDescent="0.2">
      <c r="A871" s="8" t="s">
        <v>459</v>
      </c>
      <c r="B871" s="8" t="s">
        <v>83</v>
      </c>
      <c r="C871" s="8" t="s">
        <v>290</v>
      </c>
      <c r="D871" s="8">
        <v>1</v>
      </c>
      <c r="E871" s="8">
        <v>0</v>
      </c>
      <c r="F871" s="8">
        <f>SUM(G871:M871)</f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1</v>
      </c>
      <c r="Q871" s="8">
        <v>0</v>
      </c>
      <c r="R871" s="8">
        <v>0</v>
      </c>
      <c r="S871" s="8">
        <v>1</v>
      </c>
      <c r="T871" s="10">
        <v>-21.193000000000001</v>
      </c>
      <c r="U871" s="10"/>
      <c r="V871" s="10"/>
      <c r="W871" s="10">
        <f>IF(RIGHT(C871,2)="12",IF(ISNUMBER(T871),T871,""),IF(COUNT(T871,U871,V871)=3,T871+U871-V871,""))</f>
        <v>-21.193000000000001</v>
      </c>
      <c r="X871" s="10">
        <v>-21.193000000000001</v>
      </c>
      <c r="Y871" s="10">
        <v>-7.3769999999999998</v>
      </c>
      <c r="Z871" s="10">
        <v>2.117</v>
      </c>
      <c r="AA871" s="10">
        <v>1.0649999999999999</v>
      </c>
      <c r="AB871" s="10">
        <v>-16.998000000000001</v>
      </c>
      <c r="AC871" s="8">
        <v>0</v>
      </c>
      <c r="AD871" s="8">
        <v>0</v>
      </c>
      <c r="AE871" s="8">
        <v>0</v>
      </c>
      <c r="AF871" s="10">
        <v>0</v>
      </c>
      <c r="AG871" s="8">
        <f>COUNTIF(Y871:AB871,"&gt;0")</f>
        <v>2</v>
      </c>
      <c r="AH871" s="10">
        <v>3.1819999999999999</v>
      </c>
      <c r="AI871" s="10">
        <v>0</v>
      </c>
      <c r="AJ871" s="8" t="str">
        <f>IF(ISNUMBER(X871),IF(X871&gt;0,"+",IF(X871&lt;0,"−","0")),IF(ISNUMBER(W871),IF(W871&gt;0,"+",IF(W871&lt;0,"−","0")),"yok"))</f>
        <v>−</v>
      </c>
      <c r="AK871" s="10" t="str">
        <f>IF(AND(RIGHT(C871,2)&lt;&gt;"12",ISNUMBER(U871),ISNUMBER(V871)),U871-V871,"")</f>
        <v/>
      </c>
      <c r="AL871" s="11" t="str">
        <f>IF(AND(ISNUMBER(AK871),ISNUMBER(V871)),IF(V871&lt;&gt;0,AK871/ABS(V871),""),"")</f>
        <v/>
      </c>
      <c r="AM871" s="8" t="str">
        <f>IF(ISNUMBER(AK871),IF(AK871&gt;1,1,0),"")</f>
        <v/>
      </c>
      <c r="AN871" s="8" t="str">
        <f>IF(ISNUMBER(AK871),IF(AK871&gt;0.05*ABS(V871),1,0),"")</f>
        <v/>
      </c>
      <c r="AO871" s="10">
        <v>-21.193000000000001</v>
      </c>
      <c r="AP871" s="10">
        <v>21.193000000000001</v>
      </c>
      <c r="AQ871" s="8" t="s">
        <v>204</v>
      </c>
      <c r="AR871" s="8">
        <v>0</v>
      </c>
      <c r="AS871" s="10">
        <v>-1.8220000000000001</v>
      </c>
      <c r="AT871" s="10">
        <v>-23.015000000000001</v>
      </c>
      <c r="AU871" s="8" t="s">
        <v>204</v>
      </c>
      <c r="AV871" s="10">
        <v>2.117</v>
      </c>
      <c r="AW871" s="11">
        <f>IF(AND(ISNUMBER(AV871),ISNUMBER(AT871)),IF(AT871&lt;&gt;0,AV871/ABS(AT871),""),"")</f>
        <v>9.1983489028894194E-2</v>
      </c>
      <c r="AX871" s="8">
        <v>0</v>
      </c>
      <c r="AY871" s="8">
        <v>0</v>
      </c>
      <c r="AZ871" s="10"/>
      <c r="BA871" s="8">
        <v>0</v>
      </c>
    </row>
    <row r="872" spans="1:53" x14ac:dyDescent="0.2">
      <c r="A872" s="8" t="s">
        <v>628</v>
      </c>
      <c r="B872" s="8" t="s">
        <v>82</v>
      </c>
      <c r="C872" s="8" t="s">
        <v>203</v>
      </c>
      <c r="D872" s="8">
        <v>1</v>
      </c>
      <c r="E872" s="8">
        <v>0</v>
      </c>
      <c r="F872" s="8">
        <f>SUM(G872:M872)</f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1</v>
      </c>
      <c r="Q872" s="8">
        <v>0</v>
      </c>
      <c r="R872" s="8">
        <v>1</v>
      </c>
      <c r="S872" s="8">
        <v>0</v>
      </c>
      <c r="T872" s="10">
        <v>-38.009</v>
      </c>
      <c r="U872" s="10">
        <v>-985.197</v>
      </c>
      <c r="V872" s="10">
        <v>-368.90199999999999</v>
      </c>
      <c r="W872" s="10">
        <f>IF(RIGHT(C872,2)="12",IF(ISNUMBER(T872),T872,""),IF(COUNT(T872,U872,V872)=3,T872+U872-V872,""))</f>
        <v>-654.30400000000009</v>
      </c>
      <c r="X872" s="10">
        <v>-654.303</v>
      </c>
      <c r="Y872" s="10">
        <v>218.548</v>
      </c>
      <c r="Z872" s="10">
        <v>-236.57900000000001</v>
      </c>
      <c r="AA872" s="10">
        <v>-598.26300000000003</v>
      </c>
      <c r="AB872" s="10">
        <v>-38.009</v>
      </c>
      <c r="AC872" s="8">
        <v>0</v>
      </c>
      <c r="AD872" s="8">
        <v>0</v>
      </c>
      <c r="AE872" s="8">
        <v>0</v>
      </c>
      <c r="AF872" s="10">
        <v>0</v>
      </c>
      <c r="AG872" s="8">
        <f>COUNTIF(Y872:AB872,"&gt;0")</f>
        <v>1</v>
      </c>
      <c r="AH872" s="10">
        <v>0</v>
      </c>
      <c r="AI872" s="10">
        <v>218.548</v>
      </c>
      <c r="AJ872" s="8" t="str">
        <f>IF(ISNUMBER(X872),IF(X872&gt;0,"+",IF(X872&lt;0,"−","0")),IF(ISNUMBER(W872),IF(W872&gt;0,"+",IF(W872&lt;0,"−","0")),"yok"))</f>
        <v>−</v>
      </c>
      <c r="AK872" s="10">
        <f>IF(AND(RIGHT(C872,2)&lt;&gt;"12",ISNUMBER(U872),ISNUMBER(V872)),U872-V872,"")</f>
        <v>-616.29500000000007</v>
      </c>
      <c r="AL872" s="11">
        <f>IF(AND(ISNUMBER(AK872),ISNUMBER(V872)),IF(V872&lt;&gt;0,AK872/ABS(V872),""),"")</f>
        <v>-1.6706198394153464</v>
      </c>
      <c r="AM872" s="8">
        <f>IF(ISNUMBER(AK872),IF(AK872&gt;1,1,0),"")</f>
        <v>0</v>
      </c>
      <c r="AN872" s="8">
        <f>IF(ISNUMBER(AK872),IF(AK872&gt;0.05*ABS(V872),1,0),"")</f>
        <v>0</v>
      </c>
      <c r="AO872" s="10">
        <v>-654.30399999999997</v>
      </c>
      <c r="AP872" s="10">
        <v>654.30399999999997</v>
      </c>
      <c r="AQ872" s="8" t="s">
        <v>204</v>
      </c>
      <c r="AR872" s="8">
        <v>0</v>
      </c>
      <c r="AS872" s="10">
        <v>12068.333000000001</v>
      </c>
      <c r="AT872" s="10">
        <v>-1575.3510000000001</v>
      </c>
      <c r="AU872" s="8" t="s">
        <v>204</v>
      </c>
      <c r="AV872" s="10">
        <v>218.548</v>
      </c>
      <c r="AW872" s="11">
        <f>IF(AND(ISNUMBER(AV872),ISNUMBER(AT872)),IF(AT872&lt;&gt;0,AV872/ABS(AT872),""),"")</f>
        <v>0.13872971801204936</v>
      </c>
      <c r="AX872" s="8">
        <v>0</v>
      </c>
      <c r="AY872" s="8">
        <v>0</v>
      </c>
      <c r="AZ872" s="10"/>
      <c r="BA872" s="8">
        <v>0</v>
      </c>
    </row>
    <row r="873" spans="1:53" x14ac:dyDescent="0.2">
      <c r="A873" s="8" t="s">
        <v>629</v>
      </c>
      <c r="B873" s="8" t="s">
        <v>82</v>
      </c>
      <c r="C873" s="8" t="s">
        <v>210</v>
      </c>
      <c r="D873" s="8">
        <v>1</v>
      </c>
      <c r="E873" s="8">
        <v>0</v>
      </c>
      <c r="F873" s="8">
        <f>SUM(G873:M873)</f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1</v>
      </c>
      <c r="Q873" s="8">
        <v>0</v>
      </c>
      <c r="R873" s="8">
        <v>0</v>
      </c>
      <c r="S873" s="8">
        <v>1</v>
      </c>
      <c r="T873" s="10">
        <v>0</v>
      </c>
      <c r="U873" s="10">
        <v>-99.272999999999996</v>
      </c>
      <c r="V873" s="10">
        <v>-33.734999999999999</v>
      </c>
      <c r="W873" s="10">
        <f>IF(RIGHT(C873,2)="12",IF(ISNUMBER(T873),T873,""),IF(COUNT(T873,U873,V873)=3,T873+U873-V873,""))</f>
        <v>-65.537999999999997</v>
      </c>
      <c r="X873" s="10">
        <v>-65.537999999999997</v>
      </c>
      <c r="Y873" s="10">
        <v>-10.337999999999999</v>
      </c>
      <c r="Z873" s="10">
        <v>-55.198999999999998</v>
      </c>
      <c r="AA873" s="10">
        <v>-14.176</v>
      </c>
      <c r="AB873" s="10">
        <v>14.176</v>
      </c>
      <c r="AC873" s="8">
        <v>0</v>
      </c>
      <c r="AD873" s="8">
        <v>0</v>
      </c>
      <c r="AE873" s="8">
        <v>0</v>
      </c>
      <c r="AF873" s="10">
        <v>0</v>
      </c>
      <c r="AG873" s="8">
        <f>COUNTIF(Y873:AB873,"&gt;0")</f>
        <v>1</v>
      </c>
      <c r="AH873" s="10">
        <v>14.176</v>
      </c>
      <c r="AI873" s="10">
        <v>0</v>
      </c>
      <c r="AJ873" s="8" t="str">
        <f>IF(ISNUMBER(X873),IF(X873&gt;0,"+",IF(X873&lt;0,"−","0")),IF(ISNUMBER(W873),IF(W873&gt;0,"+",IF(W873&lt;0,"−","0")),"yok"))</f>
        <v>−</v>
      </c>
      <c r="AK873" s="10">
        <f>IF(AND(RIGHT(C873,2)&lt;&gt;"12",ISNUMBER(U873),ISNUMBER(V873)),U873-V873,"")</f>
        <v>-65.537999999999997</v>
      </c>
      <c r="AL873" s="11">
        <f>IF(AND(ISNUMBER(AK873),ISNUMBER(V873)),IF(V873&lt;&gt;0,AK873/ABS(V873),""),"")</f>
        <v>-1.9427301022676744</v>
      </c>
      <c r="AM873" s="8">
        <f>IF(ISNUMBER(AK873),IF(AK873&gt;1,1,0),"")</f>
        <v>0</v>
      </c>
      <c r="AN873" s="8">
        <f>IF(ISNUMBER(AK873),IF(AK873&gt;0.05*ABS(V873),1,0),"")</f>
        <v>0</v>
      </c>
      <c r="AO873" s="10">
        <v>-65.537999999999997</v>
      </c>
      <c r="AP873" s="10">
        <v>65.537999999999997</v>
      </c>
      <c r="AQ873" s="8" t="s">
        <v>204</v>
      </c>
      <c r="AR873" s="8">
        <v>0</v>
      </c>
      <c r="AS873" s="10">
        <v>487.375</v>
      </c>
      <c r="AT873" s="10">
        <v>-846.69</v>
      </c>
      <c r="AU873" s="8" t="s">
        <v>204</v>
      </c>
      <c r="AV873" s="10">
        <v>14.176</v>
      </c>
      <c r="AW873" s="11">
        <f>IF(AND(ISNUMBER(AV873),ISNUMBER(AT873)),IF(AT873&lt;&gt;0,AV873/ABS(AT873),""),"")</f>
        <v>1.6742845669607528E-2</v>
      </c>
      <c r="AX873" s="8">
        <v>0</v>
      </c>
      <c r="AY873" s="8">
        <v>0</v>
      </c>
      <c r="AZ873" s="10"/>
      <c r="BA873" s="8">
        <v>0</v>
      </c>
    </row>
    <row r="874" spans="1:53" x14ac:dyDescent="0.2">
      <c r="A874" s="8" t="s">
        <v>461</v>
      </c>
      <c r="B874" s="8" t="s">
        <v>82</v>
      </c>
      <c r="C874" s="8" t="s">
        <v>203</v>
      </c>
      <c r="D874" s="8">
        <v>1</v>
      </c>
      <c r="E874" s="8">
        <v>0</v>
      </c>
      <c r="F874" s="8">
        <f>SUM(G874:M874)</f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1</v>
      </c>
      <c r="Q874" s="8">
        <v>0</v>
      </c>
      <c r="R874" s="8">
        <v>1</v>
      </c>
      <c r="S874" s="8">
        <v>0</v>
      </c>
      <c r="T874" s="10">
        <v>-0.51400000000000001</v>
      </c>
      <c r="U874" s="10">
        <v>-2.2709999999999999</v>
      </c>
      <c r="V874" s="10">
        <v>-2.1739999999999999</v>
      </c>
      <c r="W874" s="10">
        <f>IF(RIGHT(C874,2)="12",IF(ISNUMBER(T874),T874,""),IF(COUNT(T874,U874,V874)=3,T874+U874-V874,""))</f>
        <v>-0.61100000000000021</v>
      </c>
      <c r="X874" s="10">
        <v>-0.61099999999999999</v>
      </c>
      <c r="Y874" s="10">
        <v>-8.3780000000000001</v>
      </c>
      <c r="Z874" s="10">
        <v>-5.2759999999999998</v>
      </c>
      <c r="AA874" s="10">
        <v>13.558</v>
      </c>
      <c r="AB874" s="10">
        <v>-0.51400000000000001</v>
      </c>
      <c r="AC874" s="8">
        <v>0</v>
      </c>
      <c r="AD874" s="8">
        <v>0</v>
      </c>
      <c r="AE874" s="8">
        <v>0</v>
      </c>
      <c r="AF874" s="10">
        <v>0</v>
      </c>
      <c r="AG874" s="8">
        <f>COUNTIF(Y874:AB874,"&gt;0")</f>
        <v>1</v>
      </c>
      <c r="AH874" s="10">
        <v>0</v>
      </c>
      <c r="AI874" s="10">
        <v>13.558</v>
      </c>
      <c r="AJ874" s="8" t="str">
        <f>IF(ISNUMBER(X874),IF(X874&gt;0,"+",IF(X874&lt;0,"−","0")),IF(ISNUMBER(W874),IF(W874&gt;0,"+",IF(W874&lt;0,"−","0")),"yok"))</f>
        <v>−</v>
      </c>
      <c r="AK874" s="10">
        <f>IF(AND(RIGHT(C874,2)&lt;&gt;"12",ISNUMBER(U874),ISNUMBER(V874)),U874-V874,"")</f>
        <v>-9.6999999999999975E-2</v>
      </c>
      <c r="AL874" s="11">
        <f>IF(AND(ISNUMBER(AK874),ISNUMBER(V874)),IF(V874&lt;&gt;0,AK874/ABS(V874),""),"")</f>
        <v>-4.4618215271389136E-2</v>
      </c>
      <c r="AM874" s="8">
        <f>IF(ISNUMBER(AK874),IF(AK874&gt;1,1,0),"")</f>
        <v>0</v>
      </c>
      <c r="AN874" s="8">
        <f>IF(ISNUMBER(AK874),IF(AK874&gt;0.05*ABS(V874),1,0),"")</f>
        <v>0</v>
      </c>
      <c r="AO874" s="10">
        <v>-0.61099999999999999</v>
      </c>
      <c r="AP874" s="10">
        <v>0.61099999999999999</v>
      </c>
      <c r="AQ874" s="8" t="s">
        <v>204</v>
      </c>
      <c r="AR874" s="8">
        <v>0</v>
      </c>
      <c r="AS874" s="10">
        <v>18.03</v>
      </c>
      <c r="AT874" s="10">
        <v>-10.058</v>
      </c>
      <c r="AU874" s="8" t="s">
        <v>204</v>
      </c>
      <c r="AV874" s="10">
        <v>13.558</v>
      </c>
      <c r="AW874" s="11">
        <f>IF(AND(ISNUMBER(AV874),ISNUMBER(AT874)),IF(AT874&lt;&gt;0,AV874/ABS(AT874),""),"")</f>
        <v>1.3479817061045933</v>
      </c>
      <c r="AX874" s="8">
        <v>0</v>
      </c>
      <c r="AY874" s="8">
        <v>0</v>
      </c>
      <c r="AZ874" s="10"/>
      <c r="BA874" s="8">
        <v>0</v>
      </c>
    </row>
    <row r="875" spans="1:53" x14ac:dyDescent="0.2">
      <c r="A875" s="8" t="s">
        <v>466</v>
      </c>
      <c r="B875" s="8" t="s">
        <v>82</v>
      </c>
      <c r="C875" s="8" t="s">
        <v>205</v>
      </c>
      <c r="D875" s="8">
        <v>1</v>
      </c>
      <c r="E875" s="8">
        <v>0</v>
      </c>
      <c r="F875" s="8">
        <f>SUM(G875:M875)</f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1</v>
      </c>
      <c r="Q875" s="8">
        <v>0</v>
      </c>
      <c r="R875" s="8">
        <v>1</v>
      </c>
      <c r="S875" s="8">
        <v>0</v>
      </c>
      <c r="T875" s="10">
        <v>-6.1230000000000002</v>
      </c>
      <c r="U875" s="10">
        <v>-4.8049999999999997</v>
      </c>
      <c r="V875" s="10">
        <v>-4.8470000000000004</v>
      </c>
      <c r="W875" s="10">
        <f>IF(RIGHT(C875,2)="12",IF(ISNUMBER(T875),T875,""),IF(COUNT(T875,U875,V875)=3,T875+U875-V875,""))</f>
        <v>-6.0810000000000004</v>
      </c>
      <c r="X875" s="10">
        <v>-6.0819999999999999</v>
      </c>
      <c r="Y875" s="10">
        <v>-3.4769999999999999</v>
      </c>
      <c r="Z875" s="10">
        <v>3.5190000000000001</v>
      </c>
      <c r="AA875" s="10">
        <v>2.5470000000000002</v>
      </c>
      <c r="AB875" s="10">
        <v>-8.6709999999999994</v>
      </c>
      <c r="AC875" s="8">
        <v>0</v>
      </c>
      <c r="AD875" s="8">
        <v>0</v>
      </c>
      <c r="AE875" s="8">
        <v>0</v>
      </c>
      <c r="AF875" s="10">
        <v>0</v>
      </c>
      <c r="AG875" s="8">
        <f>COUNTIF(Y875:AB875,"&gt;0")</f>
        <v>2</v>
      </c>
      <c r="AH875" s="10">
        <v>0</v>
      </c>
      <c r="AI875" s="10">
        <v>3.5190000000000001</v>
      </c>
      <c r="AJ875" s="8" t="str">
        <f>IF(ISNUMBER(X875),IF(X875&gt;0,"+",IF(X875&lt;0,"−","0")),IF(ISNUMBER(W875),IF(W875&gt;0,"+",IF(W875&lt;0,"−","0")),"yok"))</f>
        <v>−</v>
      </c>
      <c r="AK875" s="10">
        <f>IF(AND(RIGHT(C875,2)&lt;&gt;"12",ISNUMBER(U875),ISNUMBER(V875)),U875-V875,"")</f>
        <v>4.2000000000000703E-2</v>
      </c>
      <c r="AL875" s="11">
        <f>IF(AND(ISNUMBER(AK875),ISNUMBER(V875)),IF(V875&lt;&gt;0,AK875/ABS(V875),""),"")</f>
        <v>8.6651537033217863E-3</v>
      </c>
      <c r="AM875" s="8">
        <f>IF(ISNUMBER(AK875),IF(AK875&gt;1,1,0),"")</f>
        <v>0</v>
      </c>
      <c r="AN875" s="8">
        <f>IF(ISNUMBER(AK875),IF(AK875&gt;0.05*ABS(V875),1,0),"")</f>
        <v>0</v>
      </c>
      <c r="AO875" s="10">
        <v>-6.0830000000000002</v>
      </c>
      <c r="AP875" s="10">
        <v>6.0830000000000002</v>
      </c>
      <c r="AQ875" s="8" t="s">
        <v>204</v>
      </c>
      <c r="AR875" s="8">
        <v>0</v>
      </c>
      <c r="AS875" s="10">
        <v>449.79199999999997</v>
      </c>
      <c r="AT875" s="10"/>
      <c r="AU875" s="8" t="s">
        <v>207</v>
      </c>
      <c r="AV875" s="10">
        <v>4.2000000000000703E-2</v>
      </c>
      <c r="AW875" s="11" t="str">
        <f>IF(AND(ISNUMBER(AV875),ISNUMBER(AT875)),IF(AT875&lt;&gt;0,AV875/ABS(AT875),""),"")</f>
        <v/>
      </c>
      <c r="AX875" s="8">
        <v>0</v>
      </c>
      <c r="AY875" s="8">
        <v>0</v>
      </c>
      <c r="AZ875" s="10"/>
      <c r="BA875" s="8">
        <v>0</v>
      </c>
    </row>
    <row r="876" spans="1:53" x14ac:dyDescent="0.2">
      <c r="A876" s="8" t="s">
        <v>469</v>
      </c>
      <c r="B876" s="8" t="s">
        <v>82</v>
      </c>
      <c r="C876" s="8" t="s">
        <v>203</v>
      </c>
      <c r="D876" s="8">
        <v>1</v>
      </c>
      <c r="E876" s="8">
        <v>0</v>
      </c>
      <c r="F876" s="8">
        <f>SUM(G876:M876)</f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1</v>
      </c>
      <c r="P876" s="8">
        <v>0</v>
      </c>
      <c r="Q876" s="8">
        <v>0</v>
      </c>
      <c r="R876" s="8">
        <v>0</v>
      </c>
      <c r="S876" s="8">
        <v>0</v>
      </c>
      <c r="T876" s="10"/>
      <c r="U876" s="10">
        <v>-13.249000000000001</v>
      </c>
      <c r="V876" s="10">
        <v>2.9790000000000001</v>
      </c>
      <c r="W876" s="10" t="str">
        <f>IF(RIGHT(C876,2)="12",IF(ISNUMBER(T876),T876,""),IF(COUNT(T876,U876,V876)=3,T876+U876-V876,""))</f>
        <v/>
      </c>
      <c r="X876" s="10"/>
      <c r="Y876" s="10">
        <v>-10.307</v>
      </c>
      <c r="Z876" s="10">
        <v>-3.2069999999999999</v>
      </c>
      <c r="AA876" s="10">
        <v>-2.714</v>
      </c>
      <c r="AB876" s="10"/>
      <c r="AC876" s="8">
        <v>0</v>
      </c>
      <c r="AD876" s="8">
        <v>0</v>
      </c>
      <c r="AE876" s="8">
        <v>1</v>
      </c>
      <c r="AF876" s="10">
        <v>2.9790000000000001</v>
      </c>
      <c r="AG876" s="8">
        <f>COUNTIF(Y876:AB876,"&gt;0")</f>
        <v>0</v>
      </c>
      <c r="AH876" s="10">
        <v>0</v>
      </c>
      <c r="AI876" s="10">
        <v>0</v>
      </c>
      <c r="AJ876" s="8" t="str">
        <f>IF(ISNUMBER(X876),IF(X876&gt;0,"+",IF(X876&lt;0,"−","0")),IF(ISNUMBER(W876),IF(W876&gt;0,"+",IF(W876&lt;0,"−","0")),"yok"))</f>
        <v>yok</v>
      </c>
      <c r="AK876" s="10">
        <f>IF(AND(RIGHT(C876,2)&lt;&gt;"12",ISNUMBER(U876),ISNUMBER(V876)),U876-V876,"")</f>
        <v>-16.228000000000002</v>
      </c>
      <c r="AL876" s="11">
        <f>IF(AND(ISNUMBER(AK876),ISNUMBER(V876)),IF(V876&lt;&gt;0,AK876/ABS(V876),""),"")</f>
        <v>-5.4474655924806985</v>
      </c>
      <c r="AM876" s="8">
        <f>IF(ISNUMBER(AK876),IF(AK876&gt;1,1,0),"")</f>
        <v>0</v>
      </c>
      <c r="AN876" s="8">
        <f>IF(ISNUMBER(AK876),IF(AK876&gt;0.05*ABS(V876),1,0),"")</f>
        <v>0</v>
      </c>
      <c r="AO876" s="10"/>
      <c r="AP876" s="10"/>
      <c r="AQ876" s="8" t="s">
        <v>207</v>
      </c>
      <c r="AR876" s="8">
        <v>0</v>
      </c>
      <c r="AS876" s="10">
        <v>239.52799999999999</v>
      </c>
      <c r="AT876" s="10"/>
      <c r="AU876" s="8" t="s">
        <v>207</v>
      </c>
      <c r="AV876" s="10">
        <v>2.9790000000000001</v>
      </c>
      <c r="AW876" s="11" t="str">
        <f>IF(AND(ISNUMBER(AV876),ISNUMBER(AT876)),IF(AT876&lt;&gt;0,AV876/ABS(AT876),""),"")</f>
        <v/>
      </c>
      <c r="AX876" s="8">
        <v>1</v>
      </c>
      <c r="AY876" s="8">
        <v>0</v>
      </c>
      <c r="AZ876" s="8" t="s">
        <v>630</v>
      </c>
      <c r="BA876" s="8">
        <v>0</v>
      </c>
    </row>
    <row r="877" spans="1:53" x14ac:dyDescent="0.2">
      <c r="A877" s="8" t="s">
        <v>469</v>
      </c>
      <c r="B877" s="8" t="s">
        <v>83</v>
      </c>
      <c r="C877" s="8" t="s">
        <v>205</v>
      </c>
      <c r="D877" s="8">
        <v>1</v>
      </c>
      <c r="E877" s="8">
        <v>0</v>
      </c>
      <c r="F877" s="8">
        <f>SUM(G877:M877)</f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1</v>
      </c>
      <c r="Q877" s="8">
        <v>0</v>
      </c>
      <c r="R877" s="8">
        <v>0</v>
      </c>
      <c r="S877" s="8">
        <v>1</v>
      </c>
      <c r="T877" s="10">
        <v>-15.906000000000001</v>
      </c>
      <c r="U877" s="10">
        <v>-44.1</v>
      </c>
      <c r="V877" s="10">
        <v>-28.041</v>
      </c>
      <c r="W877" s="10">
        <f>IF(RIGHT(C877,2)="12",IF(ISNUMBER(T877),T877,""),IF(COUNT(T877,U877,V877)=3,T877+U877-V877,""))</f>
        <v>-31.965</v>
      </c>
      <c r="X877" s="10">
        <v>-31.965</v>
      </c>
      <c r="Y877" s="10">
        <v>-2.9209999999999998</v>
      </c>
      <c r="Z877" s="10">
        <v>-13.137</v>
      </c>
      <c r="AA877" s="10">
        <v>-17.698</v>
      </c>
      <c r="AB877" s="10">
        <v>1.7909999999999999</v>
      </c>
      <c r="AC877" s="8">
        <v>0</v>
      </c>
      <c r="AD877" s="8">
        <v>0</v>
      </c>
      <c r="AE877" s="8">
        <v>0</v>
      </c>
      <c r="AF877" s="10">
        <v>0</v>
      </c>
      <c r="AG877" s="8">
        <f>COUNTIF(Y877:AB877,"&gt;0")</f>
        <v>1</v>
      </c>
      <c r="AH877" s="10">
        <v>1.7909999999999999</v>
      </c>
      <c r="AI877" s="10">
        <v>0</v>
      </c>
      <c r="AJ877" s="8" t="str">
        <f>IF(ISNUMBER(X877),IF(X877&gt;0,"+",IF(X877&lt;0,"−","0")),IF(ISNUMBER(W877),IF(W877&gt;0,"+",IF(W877&lt;0,"−","0")),"yok"))</f>
        <v>−</v>
      </c>
      <c r="AK877" s="10">
        <f>IF(AND(RIGHT(C877,2)&lt;&gt;"12",ISNUMBER(U877),ISNUMBER(V877)),U877-V877,"")</f>
        <v>-16.059000000000001</v>
      </c>
      <c r="AL877" s="11">
        <f>IF(AND(ISNUMBER(AK877),ISNUMBER(V877)),IF(V877&lt;&gt;0,AK877/ABS(V877),""),"")</f>
        <v>-0.57269712207125278</v>
      </c>
      <c r="AM877" s="8">
        <f>IF(ISNUMBER(AK877),IF(AK877&gt;1,1,0),"")</f>
        <v>0</v>
      </c>
      <c r="AN877" s="8">
        <f>IF(ISNUMBER(AK877),IF(AK877&gt;0.05*ABS(V877),1,0),"")</f>
        <v>0</v>
      </c>
      <c r="AO877" s="10">
        <v>-31.966000000000001</v>
      </c>
      <c r="AP877" s="10">
        <v>31.966000000000001</v>
      </c>
      <c r="AQ877" s="8" t="s">
        <v>204</v>
      </c>
      <c r="AR877" s="8">
        <v>0</v>
      </c>
      <c r="AS877" s="10">
        <v>639.80799999999999</v>
      </c>
      <c r="AT877" s="10">
        <v>599.78700500000002</v>
      </c>
      <c r="AU877" s="8" t="s">
        <v>209</v>
      </c>
      <c r="AV877" s="10">
        <v>1.7909999999999999</v>
      </c>
      <c r="AW877" s="11">
        <f>IF(AND(ISNUMBER(AV877),ISNUMBER(AT877)),IF(AT877&lt;&gt;0,AV877/ABS(AT877),""),"")</f>
        <v>2.9860600264255471E-3</v>
      </c>
      <c r="AX877" s="8">
        <v>0</v>
      </c>
      <c r="AY877" s="8">
        <v>0</v>
      </c>
      <c r="AZ877" s="10"/>
      <c r="BA877" s="8">
        <v>1</v>
      </c>
    </row>
    <row r="878" spans="1:53" x14ac:dyDescent="0.2">
      <c r="A878" s="8" t="s">
        <v>469</v>
      </c>
      <c r="B878" s="8" t="s">
        <v>83</v>
      </c>
      <c r="C878" s="8" t="s">
        <v>215</v>
      </c>
      <c r="D878" s="8">
        <v>1</v>
      </c>
      <c r="E878" s="8">
        <v>0</v>
      </c>
      <c r="F878" s="8">
        <f>SUM(G878:M878)</f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1</v>
      </c>
      <c r="Q878" s="8">
        <v>0</v>
      </c>
      <c r="R878" s="8">
        <v>0</v>
      </c>
      <c r="S878" s="8">
        <v>1</v>
      </c>
      <c r="T878" s="10">
        <v>-8.7100000000000009</v>
      </c>
      <c r="U878" s="10">
        <v>-44.1</v>
      </c>
      <c r="V878" s="10">
        <v>-30.962</v>
      </c>
      <c r="W878" s="10">
        <f>IF(RIGHT(C878,2)="12",IF(ISNUMBER(T878),T878,""),IF(COUNT(T878,U878,V878)=3,T878+U878-V878,""))</f>
        <v>-21.848000000000003</v>
      </c>
      <c r="X878" s="10">
        <v>-21.847000000000001</v>
      </c>
      <c r="Y878" s="10">
        <v>-13.137</v>
      </c>
      <c r="Z878" s="10">
        <v>-17.698</v>
      </c>
      <c r="AA878" s="10">
        <v>1.7909999999999999</v>
      </c>
      <c r="AB878" s="10">
        <v>7.1959999999999997</v>
      </c>
      <c r="AC878" s="8">
        <v>0</v>
      </c>
      <c r="AD878" s="8">
        <v>0</v>
      </c>
      <c r="AE878" s="8">
        <v>0</v>
      </c>
      <c r="AF878" s="10">
        <v>0</v>
      </c>
      <c r="AG878" s="8">
        <f>COUNTIF(Y878:AB878,"&gt;0")</f>
        <v>2</v>
      </c>
      <c r="AH878" s="10">
        <v>8.9870000000000001</v>
      </c>
      <c r="AI878" s="10">
        <v>0</v>
      </c>
      <c r="AJ878" s="8" t="str">
        <f>IF(ISNUMBER(X878),IF(X878&gt;0,"+",IF(X878&lt;0,"−","0")),IF(ISNUMBER(W878),IF(W878&gt;0,"+",IF(W878&lt;0,"−","0")),"yok"))</f>
        <v>−</v>
      </c>
      <c r="AK878" s="10">
        <f>IF(AND(RIGHT(C878,2)&lt;&gt;"12",ISNUMBER(U878),ISNUMBER(V878)),U878-V878,"")</f>
        <v>-13.138000000000002</v>
      </c>
      <c r="AL878" s="11">
        <f>IF(AND(ISNUMBER(AK878),ISNUMBER(V878)),IF(V878&lt;&gt;0,AK878/ABS(V878),""),"")</f>
        <v>-0.42432659388928368</v>
      </c>
      <c r="AM878" s="8">
        <f>IF(ISNUMBER(AK878),IF(AK878&gt;1,1,0),"")</f>
        <v>0</v>
      </c>
      <c r="AN878" s="8">
        <f>IF(ISNUMBER(AK878),IF(AK878&gt;0.05*ABS(V878),1,0),"")</f>
        <v>0</v>
      </c>
      <c r="AO878" s="10">
        <v>-21.847999999999999</v>
      </c>
      <c r="AP878" s="10">
        <v>21.847999999999999</v>
      </c>
      <c r="AQ878" s="8" t="s">
        <v>204</v>
      </c>
      <c r="AR878" s="8">
        <v>0</v>
      </c>
      <c r="AS878" s="10">
        <v>820.55200000000002</v>
      </c>
      <c r="AT878" s="10"/>
      <c r="AU878" s="8" t="s">
        <v>207</v>
      </c>
      <c r="AV878" s="10">
        <v>7.1959999999999997</v>
      </c>
      <c r="AW878" s="11" t="str">
        <f>IF(AND(ISNUMBER(AV878),ISNUMBER(AT878)),IF(AT878&lt;&gt;0,AV878/ABS(AT878),""),"")</f>
        <v/>
      </c>
      <c r="AX878" s="8">
        <v>0</v>
      </c>
      <c r="AY878" s="8">
        <v>0</v>
      </c>
      <c r="AZ878" s="10"/>
      <c r="BA878" s="8">
        <v>1</v>
      </c>
    </row>
    <row r="879" spans="1:53" x14ac:dyDescent="0.2">
      <c r="A879" s="8" t="s">
        <v>469</v>
      </c>
      <c r="B879" s="8" t="s">
        <v>83</v>
      </c>
      <c r="C879" s="8" t="s">
        <v>290</v>
      </c>
      <c r="D879" s="8">
        <v>1</v>
      </c>
      <c r="E879" s="8">
        <v>0</v>
      </c>
      <c r="F879" s="8">
        <f>SUM(G879:M879)</f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1</v>
      </c>
      <c r="Q879" s="8">
        <v>0</v>
      </c>
      <c r="R879" s="8">
        <v>0</v>
      </c>
      <c r="S879" s="8">
        <v>1</v>
      </c>
      <c r="T879" s="10">
        <v>-14.971</v>
      </c>
      <c r="U879" s="10"/>
      <c r="V879" s="10"/>
      <c r="W879" s="10">
        <f>IF(RIGHT(C879,2)="12",IF(ISNUMBER(T879),T879,""),IF(COUNT(T879,U879,V879)=3,T879+U879-V879,""))</f>
        <v>-14.971</v>
      </c>
      <c r="X879" s="10">
        <v>-14.971</v>
      </c>
      <c r="Y879" s="10">
        <v>-17.698</v>
      </c>
      <c r="Z879" s="10">
        <v>1.7909999999999999</v>
      </c>
      <c r="AA879" s="10">
        <v>7.1959999999999997</v>
      </c>
      <c r="AB879" s="10">
        <v>-6.2610000000000001</v>
      </c>
      <c r="AC879" s="8">
        <v>0</v>
      </c>
      <c r="AD879" s="8">
        <v>0</v>
      </c>
      <c r="AE879" s="8">
        <v>0</v>
      </c>
      <c r="AF879" s="10">
        <v>0</v>
      </c>
      <c r="AG879" s="8">
        <f>COUNTIF(Y879:AB879,"&gt;0")</f>
        <v>2</v>
      </c>
      <c r="AH879" s="10">
        <v>8.9870000000000001</v>
      </c>
      <c r="AI879" s="10">
        <v>0</v>
      </c>
      <c r="AJ879" s="8" t="str">
        <f>IF(ISNUMBER(X879),IF(X879&gt;0,"+",IF(X879&lt;0,"−","0")),IF(ISNUMBER(W879),IF(W879&gt;0,"+",IF(W879&lt;0,"−","0")),"yok"))</f>
        <v>−</v>
      </c>
      <c r="AK879" s="10" t="str">
        <f>IF(AND(RIGHT(C879,2)&lt;&gt;"12",ISNUMBER(U879),ISNUMBER(V879)),U879-V879,"")</f>
        <v/>
      </c>
      <c r="AL879" s="11" t="str">
        <f>IF(AND(ISNUMBER(AK879),ISNUMBER(V879)),IF(V879&lt;&gt;0,AK879/ABS(V879),""),"")</f>
        <v/>
      </c>
      <c r="AM879" s="8" t="str">
        <f>IF(ISNUMBER(AK879),IF(AK879&gt;1,1,0),"")</f>
        <v/>
      </c>
      <c r="AN879" s="8" t="str">
        <f>IF(ISNUMBER(AK879),IF(AK879&gt;0.05*ABS(V879),1,0),"")</f>
        <v/>
      </c>
      <c r="AO879" s="10">
        <v>-14.972</v>
      </c>
      <c r="AP879" s="10">
        <v>14.972</v>
      </c>
      <c r="AQ879" s="8" t="s">
        <v>204</v>
      </c>
      <c r="AR879" s="8">
        <v>0</v>
      </c>
      <c r="AS879" s="10">
        <v>638.63199999999995</v>
      </c>
      <c r="AT879" s="10">
        <v>614.12900000000002</v>
      </c>
      <c r="AU879" s="8" t="s">
        <v>209</v>
      </c>
      <c r="AV879" s="10">
        <v>7.1959999999999997</v>
      </c>
      <c r="AW879" s="11">
        <f>IF(AND(ISNUMBER(AV879),ISNUMBER(AT879)),IF(AT879&lt;&gt;0,AV879/ABS(AT879),""),"")</f>
        <v>1.1717407906156524E-2</v>
      </c>
      <c r="AX879" s="8">
        <v>0</v>
      </c>
      <c r="AY879" s="8">
        <v>0</v>
      </c>
      <c r="AZ879" s="10"/>
      <c r="BA879" s="8">
        <v>1</v>
      </c>
    </row>
    <row r="880" spans="1:53" x14ac:dyDescent="0.2">
      <c r="A880" s="8" t="s">
        <v>470</v>
      </c>
      <c r="B880" s="8" t="s">
        <v>83</v>
      </c>
      <c r="C880" s="8" t="s">
        <v>205</v>
      </c>
      <c r="D880" s="8">
        <v>1</v>
      </c>
      <c r="E880" s="8">
        <v>0</v>
      </c>
      <c r="F880" s="8">
        <f>SUM(G880:M880)</f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1</v>
      </c>
      <c r="Q880" s="8">
        <v>0</v>
      </c>
      <c r="R880" s="8">
        <v>0</v>
      </c>
      <c r="S880" s="8">
        <v>1</v>
      </c>
      <c r="T880" s="10">
        <v>-40.587000000000003</v>
      </c>
      <c r="U880" s="10">
        <v>-593.28700000000003</v>
      </c>
      <c r="V880" s="10">
        <v>-35.664000000000001</v>
      </c>
      <c r="W880" s="10">
        <f>IF(RIGHT(C880,2)="12",IF(ISNUMBER(T880),T880,""),IF(COUNT(T880,U880,V880)=3,T880+U880-V880,""))</f>
        <v>-598.21</v>
      </c>
      <c r="X880" s="10">
        <v>-598.21100000000001</v>
      </c>
      <c r="Y880" s="10">
        <v>-24.741</v>
      </c>
      <c r="Z880" s="10">
        <v>-532.88099999999997</v>
      </c>
      <c r="AA880" s="10">
        <v>-52.78</v>
      </c>
      <c r="AB880" s="10">
        <v>12.192</v>
      </c>
      <c r="AC880" s="8">
        <v>0</v>
      </c>
      <c r="AD880" s="8">
        <v>0</v>
      </c>
      <c r="AE880" s="8">
        <v>0</v>
      </c>
      <c r="AF880" s="10">
        <v>0</v>
      </c>
      <c r="AG880" s="8">
        <f>COUNTIF(Y880:AB880,"&gt;0")</f>
        <v>1</v>
      </c>
      <c r="AH880" s="10">
        <v>12.192</v>
      </c>
      <c r="AI880" s="10">
        <v>0</v>
      </c>
      <c r="AJ880" s="8" t="str">
        <f>IF(ISNUMBER(X880),IF(X880&gt;0,"+",IF(X880&lt;0,"−","0")),IF(ISNUMBER(W880),IF(W880&gt;0,"+",IF(W880&lt;0,"−","0")),"yok"))</f>
        <v>−</v>
      </c>
      <c r="AK880" s="10">
        <f>IF(AND(RIGHT(C880,2)&lt;&gt;"12",ISNUMBER(U880),ISNUMBER(V880)),U880-V880,"")</f>
        <v>-557.62300000000005</v>
      </c>
      <c r="AL880" s="11">
        <f>IF(AND(ISNUMBER(AK880),ISNUMBER(V880)),IF(V880&lt;&gt;0,AK880/ABS(V880),""),"")</f>
        <v>-15.635458725886048</v>
      </c>
      <c r="AM880" s="8">
        <f>IF(ISNUMBER(AK880),IF(AK880&gt;1,1,0),"")</f>
        <v>0</v>
      </c>
      <c r="AN880" s="8">
        <f>IF(ISNUMBER(AK880),IF(AK880&gt;0.05*ABS(V880),1,0),"")</f>
        <v>0</v>
      </c>
      <c r="AO880" s="10">
        <v>-598.21100000000001</v>
      </c>
      <c r="AP880" s="10">
        <v>598.21100000000001</v>
      </c>
      <c r="AQ880" s="8" t="s">
        <v>204</v>
      </c>
      <c r="AR880" s="8">
        <v>0</v>
      </c>
      <c r="AS880" s="10">
        <v>410.721</v>
      </c>
      <c r="AT880" s="10">
        <v>-187.49</v>
      </c>
      <c r="AU880" s="8" t="s">
        <v>204</v>
      </c>
      <c r="AV880" s="10">
        <v>12.192</v>
      </c>
      <c r="AW880" s="11">
        <f>IF(AND(ISNUMBER(AV880),ISNUMBER(AT880)),IF(AT880&lt;&gt;0,AV880/ABS(AT880),""),"")</f>
        <v>6.5027468131633681E-2</v>
      </c>
      <c r="AX880" s="8">
        <v>0</v>
      </c>
      <c r="AY880" s="8">
        <v>0</v>
      </c>
      <c r="AZ880" s="10"/>
      <c r="BA880" s="8">
        <v>0</v>
      </c>
    </row>
    <row r="881" spans="1:53" x14ac:dyDescent="0.2">
      <c r="A881" s="8" t="s">
        <v>470</v>
      </c>
      <c r="B881" s="8" t="s">
        <v>83</v>
      </c>
      <c r="C881" s="8" t="s">
        <v>215</v>
      </c>
      <c r="D881" s="8">
        <v>1</v>
      </c>
      <c r="E881" s="8">
        <v>0</v>
      </c>
      <c r="F881" s="8">
        <f>SUM(G881:M881)</f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1</v>
      </c>
      <c r="Q881" s="8">
        <v>0</v>
      </c>
      <c r="R881" s="8">
        <v>0</v>
      </c>
      <c r="S881" s="8">
        <v>1</v>
      </c>
      <c r="T881" s="10">
        <v>-106.01300000000001</v>
      </c>
      <c r="U881" s="10">
        <v>-593.28700000000003</v>
      </c>
      <c r="V881" s="10">
        <v>-60.405999999999999</v>
      </c>
      <c r="W881" s="10">
        <f>IF(RIGHT(C881,2)="12",IF(ISNUMBER(T881),T881,""),IF(COUNT(T881,U881,V881)=3,T881+U881-V881,""))</f>
        <v>-638.89400000000012</v>
      </c>
      <c r="X881" s="10">
        <v>-638.89400000000001</v>
      </c>
      <c r="Y881" s="10">
        <v>-532.88099999999997</v>
      </c>
      <c r="Z881" s="10">
        <v>-52.78</v>
      </c>
      <c r="AA881" s="10">
        <v>12.192</v>
      </c>
      <c r="AB881" s="10">
        <v>-65.424999999999997</v>
      </c>
      <c r="AC881" s="8">
        <v>0</v>
      </c>
      <c r="AD881" s="8">
        <v>0</v>
      </c>
      <c r="AE881" s="8">
        <v>0</v>
      </c>
      <c r="AF881" s="10">
        <v>0</v>
      </c>
      <c r="AG881" s="8">
        <f>COUNTIF(Y881:AB881,"&gt;0")</f>
        <v>1</v>
      </c>
      <c r="AH881" s="10">
        <v>12.192</v>
      </c>
      <c r="AI881" s="10">
        <v>0</v>
      </c>
      <c r="AJ881" s="8" t="str">
        <f>IF(ISNUMBER(X881),IF(X881&gt;0,"+",IF(X881&lt;0,"−","0")),IF(ISNUMBER(W881),IF(W881&gt;0,"+",IF(W881&lt;0,"−","0")),"yok"))</f>
        <v>−</v>
      </c>
      <c r="AK881" s="10">
        <f>IF(AND(RIGHT(C881,2)&lt;&gt;"12",ISNUMBER(U881),ISNUMBER(V881)),U881-V881,"")</f>
        <v>-532.88100000000009</v>
      </c>
      <c r="AL881" s="11">
        <f>IF(AND(ISNUMBER(AK881),ISNUMBER(V881)),IF(V881&lt;&gt;0,AK881/ABS(V881),""),"")</f>
        <v>-8.8216567890606914</v>
      </c>
      <c r="AM881" s="8">
        <f>IF(ISNUMBER(AK881),IF(AK881&gt;1,1,0),"")</f>
        <v>0</v>
      </c>
      <c r="AN881" s="8">
        <f>IF(ISNUMBER(AK881),IF(AK881&gt;0.05*ABS(V881),1,0),"")</f>
        <v>0</v>
      </c>
      <c r="AO881" s="10">
        <v>-638.89499999999998</v>
      </c>
      <c r="AP881" s="10">
        <v>638.89499999999998</v>
      </c>
      <c r="AQ881" s="8" t="s">
        <v>204</v>
      </c>
      <c r="AR881" s="8">
        <v>0</v>
      </c>
      <c r="AS881" s="10">
        <v>842.38099999999997</v>
      </c>
      <c r="AT881" s="10">
        <v>203.48599999999999</v>
      </c>
      <c r="AU881" s="8" t="s">
        <v>204</v>
      </c>
      <c r="AV881" s="10">
        <v>12.192</v>
      </c>
      <c r="AW881" s="11">
        <f>IF(AND(ISNUMBER(AV881),ISNUMBER(AT881)),IF(AT881&lt;&gt;0,AV881/ABS(AT881),""),"")</f>
        <v>5.9915669874094538E-2</v>
      </c>
      <c r="AX881" s="8">
        <v>0</v>
      </c>
      <c r="AY881" s="8">
        <v>0</v>
      </c>
      <c r="AZ881" s="10"/>
      <c r="BA881" s="8">
        <v>0</v>
      </c>
    </row>
    <row r="882" spans="1:53" x14ac:dyDescent="0.2">
      <c r="A882" s="8" t="s">
        <v>470</v>
      </c>
      <c r="B882" s="8" t="s">
        <v>83</v>
      </c>
      <c r="C882" s="8" t="s">
        <v>290</v>
      </c>
      <c r="D882" s="8">
        <v>1</v>
      </c>
      <c r="E882" s="8">
        <v>0</v>
      </c>
      <c r="F882" s="8">
        <f>SUM(G882:M882)</f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1</v>
      </c>
      <c r="Q882" s="8">
        <v>0</v>
      </c>
      <c r="R882" s="8">
        <v>0</v>
      </c>
      <c r="S882" s="8">
        <v>1</v>
      </c>
      <c r="T882" s="10">
        <v>-163.672</v>
      </c>
      <c r="U882" s="10"/>
      <c r="V882" s="10"/>
      <c r="W882" s="10">
        <f>IF(RIGHT(C882,2)="12",IF(ISNUMBER(T882),T882,""),IF(COUNT(T882,U882,V882)=3,T882+U882-V882,""))</f>
        <v>-163.672</v>
      </c>
      <c r="X882" s="10">
        <v>-163.672</v>
      </c>
      <c r="Y882" s="10">
        <v>-52.78</v>
      </c>
      <c r="Z882" s="10">
        <v>12.192</v>
      </c>
      <c r="AA882" s="10">
        <v>-65.424999999999997</v>
      </c>
      <c r="AB882" s="10">
        <v>-57.658999999999999</v>
      </c>
      <c r="AC882" s="8">
        <v>0</v>
      </c>
      <c r="AD882" s="8">
        <v>0</v>
      </c>
      <c r="AE882" s="8">
        <v>0</v>
      </c>
      <c r="AF882" s="10">
        <v>0</v>
      </c>
      <c r="AG882" s="8">
        <f>COUNTIF(Y882:AB882,"&gt;0")</f>
        <v>1</v>
      </c>
      <c r="AH882" s="10">
        <v>12.192</v>
      </c>
      <c r="AI882" s="10">
        <v>0</v>
      </c>
      <c r="AJ882" s="8" t="str">
        <f>IF(ISNUMBER(X882),IF(X882&gt;0,"+",IF(X882&lt;0,"−","0")),IF(ISNUMBER(W882),IF(W882&gt;0,"+",IF(W882&lt;0,"−","0")),"yok"))</f>
        <v>−</v>
      </c>
      <c r="AK882" s="10" t="str">
        <f>IF(AND(RIGHT(C882,2)&lt;&gt;"12",ISNUMBER(U882),ISNUMBER(V882)),U882-V882,"")</f>
        <v/>
      </c>
      <c r="AL882" s="11" t="str">
        <f>IF(AND(ISNUMBER(AK882),ISNUMBER(V882)),IF(V882&lt;&gt;0,AK882/ABS(V882),""),"")</f>
        <v/>
      </c>
      <c r="AM882" s="8" t="str">
        <f>IF(ISNUMBER(AK882),IF(AK882&gt;1,1,0),"")</f>
        <v/>
      </c>
      <c r="AN882" s="8" t="str">
        <f>IF(ISNUMBER(AK882),IF(AK882&gt;0.05*ABS(V882),1,0),"")</f>
        <v/>
      </c>
      <c r="AO882" s="10">
        <v>-163.673</v>
      </c>
      <c r="AP882" s="10">
        <v>163.673</v>
      </c>
      <c r="AQ882" s="8" t="s">
        <v>204</v>
      </c>
      <c r="AR882" s="8">
        <v>0</v>
      </c>
      <c r="AS882" s="10">
        <v>242.89699999999999</v>
      </c>
      <c r="AT882" s="10">
        <v>79.224000000000004</v>
      </c>
      <c r="AU882" s="8" t="s">
        <v>204</v>
      </c>
      <c r="AV882" s="10">
        <v>12.192</v>
      </c>
      <c r="AW882" s="11">
        <f>IF(AND(ISNUMBER(AV882),ISNUMBER(AT882)),IF(AT882&lt;&gt;0,AV882/ABS(AT882),""),"")</f>
        <v>0.15389275976976674</v>
      </c>
      <c r="AX882" s="8">
        <v>0</v>
      </c>
      <c r="AY882" s="8">
        <v>0</v>
      </c>
      <c r="AZ882" s="10"/>
      <c r="BA882" s="8">
        <v>0</v>
      </c>
    </row>
    <row r="883" spans="1:53" x14ac:dyDescent="0.2">
      <c r="A883" s="8" t="s">
        <v>471</v>
      </c>
      <c r="B883" s="8" t="s">
        <v>83</v>
      </c>
      <c r="C883" s="8" t="s">
        <v>290</v>
      </c>
      <c r="D883" s="8">
        <v>1</v>
      </c>
      <c r="E883" s="8">
        <v>0</v>
      </c>
      <c r="F883" s="8">
        <f>SUM(G883:M883)</f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1</v>
      </c>
      <c r="Q883" s="8">
        <v>0</v>
      </c>
      <c r="R883" s="8">
        <v>0</v>
      </c>
      <c r="S883" s="8">
        <v>1</v>
      </c>
      <c r="T883" s="10">
        <v>-6103.9790000000003</v>
      </c>
      <c r="U883" s="10"/>
      <c r="V883" s="10"/>
      <c r="W883" s="10">
        <f>IF(RIGHT(C883,2)="12",IF(ISNUMBER(T883),T883,""),IF(COUNT(T883,U883,V883)=3,T883+U883-V883,""))</f>
        <v>-6103.9790000000003</v>
      </c>
      <c r="X883" s="10">
        <v>-6103.9790000000003</v>
      </c>
      <c r="Y883" s="10"/>
      <c r="Z883" s="10"/>
      <c r="AA883" s="10">
        <v>-3831.6350000000002</v>
      </c>
      <c r="AB883" s="10">
        <v>808.11199999999997</v>
      </c>
      <c r="AC883" s="8">
        <v>0</v>
      </c>
      <c r="AD883" s="8">
        <v>0</v>
      </c>
      <c r="AE883" s="8">
        <v>0</v>
      </c>
      <c r="AF883" s="10">
        <v>0</v>
      </c>
      <c r="AG883" s="8">
        <f>COUNTIF(Y883:AB883,"&gt;0")</f>
        <v>1</v>
      </c>
      <c r="AH883" s="10">
        <v>808.11199999999997</v>
      </c>
      <c r="AI883" s="10">
        <v>0</v>
      </c>
      <c r="AJ883" s="8" t="str">
        <f>IF(ISNUMBER(X883),IF(X883&gt;0,"+",IF(X883&lt;0,"−","0")),IF(ISNUMBER(W883),IF(W883&gt;0,"+",IF(W883&lt;0,"−","0")),"yok"))</f>
        <v>−</v>
      </c>
      <c r="AK883" s="10" t="str">
        <f>IF(AND(RIGHT(C883,2)&lt;&gt;"12",ISNUMBER(U883),ISNUMBER(V883)),U883-V883,"")</f>
        <v/>
      </c>
      <c r="AL883" s="11" t="str">
        <f>IF(AND(ISNUMBER(AK883),ISNUMBER(V883)),IF(V883&lt;&gt;0,AK883/ABS(V883),""),"")</f>
        <v/>
      </c>
      <c r="AM883" s="8" t="str">
        <f>IF(ISNUMBER(AK883),IF(AK883&gt;1,1,0),"")</f>
        <v/>
      </c>
      <c r="AN883" s="8" t="str">
        <f>IF(ISNUMBER(AK883),IF(AK883&gt;0.05*ABS(V883),1,0),"")</f>
        <v/>
      </c>
      <c r="AO883" s="10">
        <v>-6103.98</v>
      </c>
      <c r="AP883" s="10">
        <v>6103.98</v>
      </c>
      <c r="AQ883" s="8" t="s">
        <v>209</v>
      </c>
      <c r="AR883" s="8">
        <v>0</v>
      </c>
      <c r="AS883" s="10">
        <v>-7715.5159999999996</v>
      </c>
      <c r="AT883" s="10">
        <v>-14066.95</v>
      </c>
      <c r="AU883" s="8" t="s">
        <v>209</v>
      </c>
      <c r="AV883" s="10">
        <v>808.11199999999997</v>
      </c>
      <c r="AW883" s="11">
        <f>IF(AND(ISNUMBER(AV883),ISNUMBER(AT883)),IF(AT883&lt;&gt;0,AV883/ABS(AT883),""),"")</f>
        <v>5.7447563259981724E-2</v>
      </c>
      <c r="AX883" s="8">
        <v>0</v>
      </c>
      <c r="AY883" s="8">
        <v>0</v>
      </c>
      <c r="AZ883" s="10"/>
      <c r="BA883" s="8">
        <v>0</v>
      </c>
    </row>
    <row r="884" spans="1:53" x14ac:dyDescent="0.2">
      <c r="A884" s="8" t="s">
        <v>472</v>
      </c>
      <c r="B884" s="8" t="s">
        <v>82</v>
      </c>
      <c r="C884" s="8" t="s">
        <v>203</v>
      </c>
      <c r="D884" s="8">
        <v>1</v>
      </c>
      <c r="E884" s="8">
        <v>0</v>
      </c>
      <c r="F884" s="8">
        <f>SUM(G884:M884)</f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1</v>
      </c>
      <c r="Q884" s="8">
        <v>0</v>
      </c>
      <c r="R884" s="8">
        <v>1</v>
      </c>
      <c r="S884" s="8">
        <v>0</v>
      </c>
      <c r="T884" s="10">
        <v>-8.4819999999999993</v>
      </c>
      <c r="U884" s="10">
        <v>-20.373999999999999</v>
      </c>
      <c r="V884" s="10">
        <v>-4.9539999999999997</v>
      </c>
      <c r="W884" s="10">
        <f>IF(RIGHT(C884,2)="12",IF(ISNUMBER(T884),T884,""),IF(COUNT(T884,U884,V884)=3,T884+U884-V884,""))</f>
        <v>-23.901999999999997</v>
      </c>
      <c r="X884" s="10">
        <v>-23.902000000000001</v>
      </c>
      <c r="Y884" s="10">
        <v>-17.681999999999999</v>
      </c>
      <c r="Z884" s="10">
        <v>7.57</v>
      </c>
      <c r="AA884" s="10">
        <v>-5.3079999999999998</v>
      </c>
      <c r="AB884" s="10">
        <v>-8.4819999999999993</v>
      </c>
      <c r="AC884" s="8">
        <v>0</v>
      </c>
      <c r="AD884" s="8">
        <v>0</v>
      </c>
      <c r="AE884" s="8">
        <v>0</v>
      </c>
      <c r="AF884" s="10">
        <v>0</v>
      </c>
      <c r="AG884" s="8">
        <f>COUNTIF(Y884:AB884,"&gt;0")</f>
        <v>1</v>
      </c>
      <c r="AH884" s="10">
        <v>0</v>
      </c>
      <c r="AI884" s="10">
        <v>7.57</v>
      </c>
      <c r="AJ884" s="8" t="str">
        <f>IF(ISNUMBER(X884),IF(X884&gt;0,"+",IF(X884&lt;0,"−","0")),IF(ISNUMBER(W884),IF(W884&gt;0,"+",IF(W884&lt;0,"−","0")),"yok"))</f>
        <v>−</v>
      </c>
      <c r="AK884" s="10">
        <f>IF(AND(RIGHT(C884,2)&lt;&gt;"12",ISNUMBER(U884),ISNUMBER(V884)),U884-V884,"")</f>
        <v>-15.419999999999998</v>
      </c>
      <c r="AL884" s="11">
        <f>IF(AND(ISNUMBER(AK884),ISNUMBER(V884)),IF(V884&lt;&gt;0,AK884/ABS(V884),""),"")</f>
        <v>-3.1126362535324987</v>
      </c>
      <c r="AM884" s="8">
        <f>IF(ISNUMBER(AK884),IF(AK884&gt;1,1,0),"")</f>
        <v>0</v>
      </c>
      <c r="AN884" s="8">
        <f>IF(ISNUMBER(AK884),IF(AK884&gt;0.05*ABS(V884),1,0),"")</f>
        <v>0</v>
      </c>
      <c r="AO884" s="10">
        <v>-23.902999999999999</v>
      </c>
      <c r="AP884" s="10">
        <v>23.902999999999999</v>
      </c>
      <c r="AQ884" s="8" t="s">
        <v>204</v>
      </c>
      <c r="AR884" s="8">
        <v>0</v>
      </c>
      <c r="AS884" s="10">
        <v>1168.1590000000001</v>
      </c>
      <c r="AT884" s="10">
        <v>488.47199999999998</v>
      </c>
      <c r="AU884" s="8" t="s">
        <v>204</v>
      </c>
      <c r="AV884" s="10">
        <v>7.57</v>
      </c>
      <c r="AW884" s="11">
        <f>IF(AND(ISNUMBER(AV884),ISNUMBER(AT884)),IF(AT884&lt;&gt;0,AV884/ABS(AT884),""),"")</f>
        <v>1.5497305884472398E-2</v>
      </c>
      <c r="AX884" s="8">
        <v>0</v>
      </c>
      <c r="AY884" s="8">
        <v>0</v>
      </c>
      <c r="AZ884" s="10"/>
      <c r="BA884" s="8">
        <v>0</v>
      </c>
    </row>
    <row r="885" spans="1:53" x14ac:dyDescent="0.2">
      <c r="A885" s="8" t="s">
        <v>475</v>
      </c>
      <c r="B885" s="8" t="s">
        <v>83</v>
      </c>
      <c r="C885" s="8" t="s">
        <v>290</v>
      </c>
      <c r="D885" s="8">
        <v>1</v>
      </c>
      <c r="E885" s="8">
        <v>0</v>
      </c>
      <c r="F885" s="8">
        <f>SUM(G885:M885)</f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1</v>
      </c>
      <c r="Q885" s="8">
        <v>0</v>
      </c>
      <c r="R885" s="8">
        <v>0</v>
      </c>
      <c r="S885" s="8">
        <v>1</v>
      </c>
      <c r="T885" s="10">
        <v>-2298.7750000000001</v>
      </c>
      <c r="U885" s="10"/>
      <c r="V885" s="10"/>
      <c r="W885" s="10">
        <f>IF(RIGHT(C885,2)="12",IF(ISNUMBER(T885),T885,""),IF(COUNT(T885,U885,V885)=3,T885+U885-V885,""))</f>
        <v>-2298.7750000000001</v>
      </c>
      <c r="X885" s="10">
        <v>-2298.7750000000001</v>
      </c>
      <c r="Y885" s="10">
        <v>462.69600000000003</v>
      </c>
      <c r="Z885" s="10">
        <v>-1689.4359999999999</v>
      </c>
      <c r="AA885" s="10">
        <v>-1472.7449999999999</v>
      </c>
      <c r="AB885" s="10">
        <v>400.709</v>
      </c>
      <c r="AC885" s="8">
        <v>0</v>
      </c>
      <c r="AD885" s="8">
        <v>0</v>
      </c>
      <c r="AE885" s="8">
        <v>0</v>
      </c>
      <c r="AF885" s="10">
        <v>0</v>
      </c>
      <c r="AG885" s="8">
        <f>COUNTIF(Y885:AB885,"&gt;0")</f>
        <v>2</v>
      </c>
      <c r="AH885" s="10">
        <v>400.709</v>
      </c>
      <c r="AI885" s="10">
        <v>0</v>
      </c>
      <c r="AJ885" s="8" t="str">
        <f>IF(ISNUMBER(X885),IF(X885&gt;0,"+",IF(X885&lt;0,"−","0")),IF(ISNUMBER(W885),IF(W885&gt;0,"+",IF(W885&lt;0,"−","0")),"yok"))</f>
        <v>−</v>
      </c>
      <c r="AK885" s="10" t="str">
        <f>IF(AND(RIGHT(C885,2)&lt;&gt;"12",ISNUMBER(U885),ISNUMBER(V885)),U885-V885,"")</f>
        <v/>
      </c>
      <c r="AL885" s="11" t="str">
        <f>IF(AND(ISNUMBER(AK885),ISNUMBER(V885)),IF(V885&lt;&gt;0,AK885/ABS(V885),""),"")</f>
        <v/>
      </c>
      <c r="AM885" s="8" t="str">
        <f>IF(ISNUMBER(AK885),IF(AK885&gt;1,1,0),"")</f>
        <v/>
      </c>
      <c r="AN885" s="8" t="str">
        <f>IF(ISNUMBER(AK885),IF(AK885&gt;0.05*ABS(V885),1,0),"")</f>
        <v/>
      </c>
      <c r="AO885" s="10">
        <v>-2298.7750000000001</v>
      </c>
      <c r="AP885" s="10">
        <v>2298.7750000000001</v>
      </c>
      <c r="AQ885" s="8" t="s">
        <v>204</v>
      </c>
      <c r="AR885" s="8">
        <v>0</v>
      </c>
      <c r="AS885" s="10">
        <v>34541.652000000002</v>
      </c>
      <c r="AT885" s="10">
        <v>14273.27</v>
      </c>
      <c r="AU885" s="8" t="s">
        <v>204</v>
      </c>
      <c r="AV885" s="10">
        <v>462.69600000000003</v>
      </c>
      <c r="AW885" s="11">
        <f>IF(AND(ISNUMBER(AV885),ISNUMBER(AT885)),IF(AT885&lt;&gt;0,AV885/ABS(AT885),""),"")</f>
        <v>3.2416958412473107E-2</v>
      </c>
      <c r="AX885" s="8">
        <v>0</v>
      </c>
      <c r="AY885" s="8">
        <v>0</v>
      </c>
      <c r="AZ885" s="10"/>
      <c r="BA885" s="8">
        <v>1</v>
      </c>
    </row>
    <row r="886" spans="1:53" x14ac:dyDescent="0.2">
      <c r="A886" s="8" t="s">
        <v>480</v>
      </c>
      <c r="B886" s="8" t="s">
        <v>82</v>
      </c>
      <c r="C886" s="8" t="s">
        <v>203</v>
      </c>
      <c r="D886" s="8">
        <v>1</v>
      </c>
      <c r="E886" s="8">
        <v>0</v>
      </c>
      <c r="F886" s="8">
        <f>SUM(G886:M886)</f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1</v>
      </c>
      <c r="Q886" s="8">
        <v>0</v>
      </c>
      <c r="R886" s="8">
        <v>1</v>
      </c>
      <c r="S886" s="8">
        <v>0</v>
      </c>
      <c r="T886" s="10">
        <v>-56.795000000000002</v>
      </c>
      <c r="U886" s="10">
        <v>-103.699</v>
      </c>
      <c r="V886" s="10">
        <v>-16.265000000000001</v>
      </c>
      <c r="W886" s="10">
        <f>IF(RIGHT(C886,2)="12",IF(ISNUMBER(T886),T886,""),IF(COUNT(T886,U886,V886)=3,T886+U886-V886,""))</f>
        <v>-144.22899999999998</v>
      </c>
      <c r="X886" s="10">
        <v>-144.22900000000001</v>
      </c>
      <c r="Y886" s="10">
        <v>-41.226999999999997</v>
      </c>
      <c r="Z886" s="10">
        <v>-193.85599999999999</v>
      </c>
      <c r="AA886" s="10">
        <v>147.649</v>
      </c>
      <c r="AB886" s="10">
        <v>-56.795000000000002</v>
      </c>
      <c r="AC886" s="8">
        <v>0</v>
      </c>
      <c r="AD886" s="8">
        <v>0</v>
      </c>
      <c r="AE886" s="8">
        <v>0</v>
      </c>
      <c r="AF886" s="10">
        <v>0</v>
      </c>
      <c r="AG886" s="8">
        <f>COUNTIF(Y886:AB886,"&gt;0")</f>
        <v>1</v>
      </c>
      <c r="AH886" s="10">
        <v>0</v>
      </c>
      <c r="AI886" s="10">
        <v>147.649</v>
      </c>
      <c r="AJ886" s="8" t="str">
        <f>IF(ISNUMBER(X886),IF(X886&gt;0,"+",IF(X886&lt;0,"−","0")),IF(ISNUMBER(W886),IF(W886&gt;0,"+",IF(W886&lt;0,"−","0")),"yok"))</f>
        <v>−</v>
      </c>
      <c r="AK886" s="10">
        <f>IF(AND(RIGHT(C886,2)&lt;&gt;"12",ISNUMBER(U886),ISNUMBER(V886)),U886-V886,"")</f>
        <v>-87.433999999999997</v>
      </c>
      <c r="AL886" s="11">
        <f>IF(AND(ISNUMBER(AK886),ISNUMBER(V886)),IF(V886&lt;&gt;0,AK886/ABS(V886),""),"")</f>
        <v>-5.3755917614509681</v>
      </c>
      <c r="AM886" s="8">
        <f>IF(ISNUMBER(AK886),IF(AK886&gt;1,1,0),"")</f>
        <v>0</v>
      </c>
      <c r="AN886" s="8">
        <f>IF(ISNUMBER(AK886),IF(AK886&gt;0.05*ABS(V886),1,0),"")</f>
        <v>0</v>
      </c>
      <c r="AO886" s="10">
        <v>-144.22900000000001</v>
      </c>
      <c r="AP886" s="10">
        <v>144.22900000000001</v>
      </c>
      <c r="AQ886" s="8" t="s">
        <v>204</v>
      </c>
      <c r="AR886" s="8">
        <v>0</v>
      </c>
      <c r="AS886" s="10">
        <v>428.988</v>
      </c>
      <c r="AT886" s="10">
        <v>125.86799999999999</v>
      </c>
      <c r="AU886" s="8" t="s">
        <v>204</v>
      </c>
      <c r="AV886" s="10">
        <v>147.649</v>
      </c>
      <c r="AW886" s="11">
        <f>IF(AND(ISNUMBER(AV886),ISNUMBER(AT886)),IF(AT886&lt;&gt;0,AV886/ABS(AT886),""),"")</f>
        <v>1.1730463660342583</v>
      </c>
      <c r="AX886" s="8">
        <v>0</v>
      </c>
      <c r="AY886" s="8">
        <v>0</v>
      </c>
      <c r="AZ886" s="10"/>
      <c r="BA886" s="8">
        <v>0</v>
      </c>
    </row>
    <row r="887" spans="1:53" x14ac:dyDescent="0.2">
      <c r="A887" s="8" t="s">
        <v>480</v>
      </c>
      <c r="B887" s="8" t="s">
        <v>82</v>
      </c>
      <c r="C887" s="8" t="s">
        <v>205</v>
      </c>
      <c r="D887" s="8">
        <v>1</v>
      </c>
      <c r="E887" s="8">
        <v>0</v>
      </c>
      <c r="F887" s="8">
        <f>SUM(G887:M887)</f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  <c r="P887" s="8">
        <v>1</v>
      </c>
      <c r="Q887" s="8">
        <v>0</v>
      </c>
      <c r="R887" s="8">
        <v>1</v>
      </c>
      <c r="S887" s="8">
        <v>0</v>
      </c>
      <c r="T887" s="10">
        <v>-69.305999999999997</v>
      </c>
      <c r="U887" s="10">
        <v>-103.699</v>
      </c>
      <c r="V887" s="10">
        <v>-57.491999999999997</v>
      </c>
      <c r="W887" s="10">
        <f>IF(RIGHT(C887,2)="12",IF(ISNUMBER(T887),T887,""),IF(COUNT(T887,U887,V887)=3,T887+U887-V887,""))</f>
        <v>-115.51300000000001</v>
      </c>
      <c r="X887" s="10">
        <v>-115.51300000000001</v>
      </c>
      <c r="Y887" s="10">
        <v>-193.85599999999999</v>
      </c>
      <c r="Z887" s="10">
        <v>147.649</v>
      </c>
      <c r="AA887" s="10">
        <v>-56.795000000000002</v>
      </c>
      <c r="AB887" s="10">
        <v>-12.510999999999999</v>
      </c>
      <c r="AC887" s="8">
        <v>0</v>
      </c>
      <c r="AD887" s="8">
        <v>0</v>
      </c>
      <c r="AE887" s="8">
        <v>0</v>
      </c>
      <c r="AF887" s="10">
        <v>0</v>
      </c>
      <c r="AG887" s="8">
        <f>COUNTIF(Y887:AB887,"&gt;0")</f>
        <v>1</v>
      </c>
      <c r="AH887" s="10">
        <v>0</v>
      </c>
      <c r="AI887" s="10">
        <v>147.649</v>
      </c>
      <c r="AJ887" s="8" t="str">
        <f>IF(ISNUMBER(X887),IF(X887&gt;0,"+",IF(X887&lt;0,"−","0")),IF(ISNUMBER(W887),IF(W887&gt;0,"+",IF(W887&lt;0,"−","0")),"yok"))</f>
        <v>−</v>
      </c>
      <c r="AK887" s="10">
        <f>IF(AND(RIGHT(C887,2)&lt;&gt;"12",ISNUMBER(U887),ISNUMBER(V887)),U887-V887,"")</f>
        <v>-46.207000000000001</v>
      </c>
      <c r="AL887" s="11">
        <f>IF(AND(ISNUMBER(AK887),ISNUMBER(V887)),IF(V887&lt;&gt;0,AK887/ABS(V887),""),"")</f>
        <v>-0.80371182077506442</v>
      </c>
      <c r="AM887" s="8">
        <f>IF(ISNUMBER(AK887),IF(AK887&gt;1,1,0),"")</f>
        <v>0</v>
      </c>
      <c r="AN887" s="8">
        <f>IF(ISNUMBER(AK887),IF(AK887&gt;0.05*ABS(V887),1,0),"")</f>
        <v>0</v>
      </c>
      <c r="AO887" s="10">
        <v>-115.51300000000001</v>
      </c>
      <c r="AP887" s="10">
        <v>115.51300000000001</v>
      </c>
      <c r="AQ887" s="8" t="s">
        <v>204</v>
      </c>
      <c r="AR887" s="8">
        <v>0</v>
      </c>
      <c r="AS887" s="10">
        <v>508.608</v>
      </c>
      <c r="AT887" s="10">
        <v>258.27300000000002</v>
      </c>
      <c r="AU887" s="8" t="s">
        <v>204</v>
      </c>
      <c r="AV887" s="10">
        <v>147.649</v>
      </c>
      <c r="AW887" s="11">
        <f>IF(AND(ISNUMBER(AV887),ISNUMBER(AT887)),IF(AT887&lt;&gt;0,AV887/ABS(AT887),""),"")</f>
        <v>0.57167803061102007</v>
      </c>
      <c r="AX887" s="8">
        <v>0</v>
      </c>
      <c r="AY887" s="8">
        <v>0</v>
      </c>
      <c r="AZ887" s="10"/>
      <c r="BA887" s="8">
        <v>0</v>
      </c>
    </row>
    <row r="888" spans="1:53" x14ac:dyDescent="0.2">
      <c r="A888" s="8" t="s">
        <v>480</v>
      </c>
      <c r="B888" s="8" t="s">
        <v>82</v>
      </c>
      <c r="C888" s="8" t="s">
        <v>290</v>
      </c>
      <c r="D888" s="8">
        <v>1</v>
      </c>
      <c r="E888" s="8">
        <v>0</v>
      </c>
      <c r="F888" s="8">
        <f>SUM(G888:M888)</f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1</v>
      </c>
      <c r="Q888" s="8">
        <v>0</v>
      </c>
      <c r="R888" s="8">
        <v>0</v>
      </c>
      <c r="S888" s="8">
        <v>1</v>
      </c>
      <c r="T888" s="10">
        <v>-137.64699999999999</v>
      </c>
      <c r="U888" s="10"/>
      <c r="V888" s="10"/>
      <c r="W888" s="10">
        <f>IF(RIGHT(C888,2)="12",IF(ISNUMBER(T888),T888,""),IF(COUNT(T888,U888,V888)=3,T888+U888-V888,""))</f>
        <v>-137.64699999999999</v>
      </c>
      <c r="X888" s="10">
        <v>-137.64699999999999</v>
      </c>
      <c r="Y888" s="10">
        <v>-56.795000000000002</v>
      </c>
      <c r="Z888" s="10">
        <v>-12.510999999999999</v>
      </c>
      <c r="AA888" s="10">
        <v>-176.029</v>
      </c>
      <c r="AB888" s="10">
        <v>107.688</v>
      </c>
      <c r="AC888" s="8">
        <v>0</v>
      </c>
      <c r="AD888" s="8">
        <v>0</v>
      </c>
      <c r="AE888" s="8">
        <v>0</v>
      </c>
      <c r="AF888" s="10">
        <v>0</v>
      </c>
      <c r="AG888" s="8">
        <f>COUNTIF(Y888:AB888,"&gt;0")</f>
        <v>1</v>
      </c>
      <c r="AH888" s="10">
        <v>107.688</v>
      </c>
      <c r="AI888" s="10">
        <v>0</v>
      </c>
      <c r="AJ888" s="8" t="str">
        <f>IF(ISNUMBER(X888),IF(X888&gt;0,"+",IF(X888&lt;0,"−","0")),IF(ISNUMBER(W888),IF(W888&gt;0,"+",IF(W888&lt;0,"−","0")),"yok"))</f>
        <v>−</v>
      </c>
      <c r="AK888" s="10" t="str">
        <f>IF(AND(RIGHT(C888,2)&lt;&gt;"12",ISNUMBER(U888),ISNUMBER(V888)),U888-V888,"")</f>
        <v/>
      </c>
      <c r="AL888" s="11" t="str">
        <f>IF(AND(ISNUMBER(AK888),ISNUMBER(V888)),IF(V888&lt;&gt;0,AK888/ABS(V888),""),"")</f>
        <v/>
      </c>
      <c r="AM888" s="8" t="str">
        <f>IF(ISNUMBER(AK888),IF(AK888&gt;1,1,0),"")</f>
        <v/>
      </c>
      <c r="AN888" s="8" t="str">
        <f>IF(ISNUMBER(AK888),IF(AK888&gt;0.05*ABS(V888),1,0),"")</f>
        <v/>
      </c>
      <c r="AO888" s="10">
        <v>-137.64699999999999</v>
      </c>
      <c r="AP888" s="10">
        <v>137.64699999999999</v>
      </c>
      <c r="AQ888" s="8" t="s">
        <v>204</v>
      </c>
      <c r="AR888" s="8">
        <v>0</v>
      </c>
      <c r="AS888" s="10">
        <v>422.57799999999997</v>
      </c>
      <c r="AT888" s="10">
        <v>152.70400000000001</v>
      </c>
      <c r="AU888" s="8" t="s">
        <v>204</v>
      </c>
      <c r="AV888" s="10">
        <v>107.688</v>
      </c>
      <c r="AW888" s="11">
        <f>IF(AND(ISNUMBER(AV888),ISNUMBER(AT888)),IF(AT888&lt;&gt;0,AV888/ABS(AT888),""),"")</f>
        <v>0.70520746018440905</v>
      </c>
      <c r="AX888" s="8">
        <v>0</v>
      </c>
      <c r="AY888" s="8">
        <v>0</v>
      </c>
      <c r="AZ888" s="10"/>
      <c r="BA888" s="8">
        <v>0</v>
      </c>
    </row>
    <row r="889" spans="1:53" x14ac:dyDescent="0.2">
      <c r="A889" s="8" t="s">
        <v>480</v>
      </c>
      <c r="B889" s="8" t="s">
        <v>82</v>
      </c>
      <c r="C889" s="8" t="s">
        <v>208</v>
      </c>
      <c r="D889" s="8">
        <v>1</v>
      </c>
      <c r="E889" s="8">
        <v>0</v>
      </c>
      <c r="F889" s="8">
        <f>SUM(G889:M889)</f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1</v>
      </c>
      <c r="Q889" s="8">
        <v>0</v>
      </c>
      <c r="R889" s="8">
        <v>1</v>
      </c>
      <c r="S889" s="8">
        <v>0</v>
      </c>
      <c r="T889" s="10">
        <v>-32.914000000000001</v>
      </c>
      <c r="U889" s="10">
        <v>-137.64699999999999</v>
      </c>
      <c r="V889" s="10">
        <v>-56.795000000000002</v>
      </c>
      <c r="W889" s="10">
        <f>IF(RIGHT(C889,2)="12",IF(ISNUMBER(T889),T889,""),IF(COUNT(T889,U889,V889)=3,T889+U889-V889,""))</f>
        <v>-113.76599999999998</v>
      </c>
      <c r="X889" s="10">
        <v>-113.765</v>
      </c>
      <c r="Y889" s="10">
        <v>-12.510999999999999</v>
      </c>
      <c r="Z889" s="10">
        <v>-176.029</v>
      </c>
      <c r="AA889" s="10">
        <v>107.688</v>
      </c>
      <c r="AB889" s="10">
        <v>-32.914000000000001</v>
      </c>
      <c r="AC889" s="8">
        <v>0</v>
      </c>
      <c r="AD889" s="8">
        <v>0</v>
      </c>
      <c r="AE889" s="8">
        <v>0</v>
      </c>
      <c r="AF889" s="10">
        <v>0</v>
      </c>
      <c r="AG889" s="8">
        <f>COUNTIF(Y889:AB889,"&gt;0")</f>
        <v>1</v>
      </c>
      <c r="AH889" s="10">
        <v>0</v>
      </c>
      <c r="AI889" s="10">
        <v>107.688</v>
      </c>
      <c r="AJ889" s="8" t="str">
        <f>IF(ISNUMBER(X889),IF(X889&gt;0,"+",IF(X889&lt;0,"−","0")),IF(ISNUMBER(W889),IF(W889&gt;0,"+",IF(W889&lt;0,"−","0")),"yok"))</f>
        <v>−</v>
      </c>
      <c r="AK889" s="10">
        <f>IF(AND(RIGHT(C889,2)&lt;&gt;"12",ISNUMBER(U889),ISNUMBER(V889)),U889-V889,"")</f>
        <v>-80.85199999999999</v>
      </c>
      <c r="AL889" s="11">
        <f>IF(AND(ISNUMBER(AK889),ISNUMBER(V889)),IF(V889&lt;&gt;0,AK889/ABS(V889),""),"")</f>
        <v>-1.4235760190157583</v>
      </c>
      <c r="AM889" s="8">
        <f>IF(ISNUMBER(AK889),IF(AK889&gt;1,1,0),"")</f>
        <v>0</v>
      </c>
      <c r="AN889" s="8">
        <f>IF(ISNUMBER(AK889),IF(AK889&gt;0.05*ABS(V889),1,0),"")</f>
        <v>0</v>
      </c>
      <c r="AO889" s="10">
        <v>-113.76600000000001</v>
      </c>
      <c r="AP889" s="10">
        <v>113.76600000000001</v>
      </c>
      <c r="AQ889" s="8" t="s">
        <v>204</v>
      </c>
      <c r="AR889" s="8">
        <v>0</v>
      </c>
      <c r="AS889" s="10">
        <v>512.97799999999995</v>
      </c>
      <c r="AT889" s="10">
        <v>225.59200000000001</v>
      </c>
      <c r="AU889" s="8" t="s">
        <v>204</v>
      </c>
      <c r="AV889" s="10">
        <v>107.688</v>
      </c>
      <c r="AW889" s="11">
        <f>IF(AND(ISNUMBER(AV889),ISNUMBER(AT889)),IF(AT889&lt;&gt;0,AV889/ABS(AT889),""),"")</f>
        <v>0.47735735309762756</v>
      </c>
      <c r="AX889" s="8">
        <v>0</v>
      </c>
      <c r="AY889" s="8">
        <v>0</v>
      </c>
      <c r="AZ889" s="10"/>
      <c r="BA889" s="8">
        <v>0</v>
      </c>
    </row>
    <row r="890" spans="1:53" x14ac:dyDescent="0.2">
      <c r="A890" s="8" t="s">
        <v>480</v>
      </c>
      <c r="B890" s="8" t="s">
        <v>82</v>
      </c>
      <c r="C890" s="8" t="s">
        <v>210</v>
      </c>
      <c r="D890" s="8">
        <v>1</v>
      </c>
      <c r="E890" s="8">
        <v>0</v>
      </c>
      <c r="F890" s="8">
        <f>SUM(G890:M890)</f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1</v>
      </c>
      <c r="Q890" s="8">
        <v>0</v>
      </c>
      <c r="R890" s="8">
        <v>1</v>
      </c>
      <c r="S890" s="8">
        <v>0</v>
      </c>
      <c r="T890" s="10">
        <v>-63.661999999999999</v>
      </c>
      <c r="U890" s="10">
        <v>-137.64699999999999</v>
      </c>
      <c r="V890" s="10">
        <v>-69.305999999999997</v>
      </c>
      <c r="W890" s="10">
        <f>IF(RIGHT(C890,2)="12",IF(ISNUMBER(T890),T890,""),IF(COUNT(T890,U890,V890)=3,T890+U890-V890,""))</f>
        <v>-132.00299999999999</v>
      </c>
      <c r="X890" s="10">
        <v>-132.00200000000001</v>
      </c>
      <c r="Y890" s="10">
        <v>-176.029</v>
      </c>
      <c r="Z890" s="10">
        <v>107.688</v>
      </c>
      <c r="AA890" s="10">
        <v>-32.914000000000001</v>
      </c>
      <c r="AB890" s="10">
        <v>-30.748000000000001</v>
      </c>
      <c r="AC890" s="8">
        <v>0</v>
      </c>
      <c r="AD890" s="8">
        <v>0</v>
      </c>
      <c r="AE890" s="8">
        <v>0</v>
      </c>
      <c r="AF890" s="10">
        <v>0</v>
      </c>
      <c r="AG890" s="8">
        <f>COUNTIF(Y890:AB890,"&gt;0")</f>
        <v>1</v>
      </c>
      <c r="AH890" s="10">
        <v>0</v>
      </c>
      <c r="AI890" s="10">
        <v>107.688</v>
      </c>
      <c r="AJ890" s="8" t="str">
        <f>IF(ISNUMBER(X890),IF(X890&gt;0,"+",IF(X890&lt;0,"−","0")),IF(ISNUMBER(W890),IF(W890&gt;0,"+",IF(W890&lt;0,"−","0")),"yok"))</f>
        <v>−</v>
      </c>
      <c r="AK890" s="10">
        <f>IF(AND(RIGHT(C890,2)&lt;&gt;"12",ISNUMBER(U890),ISNUMBER(V890)),U890-V890,"")</f>
        <v>-68.340999999999994</v>
      </c>
      <c r="AL890" s="11">
        <f>IF(AND(ISNUMBER(AK890),ISNUMBER(V890)),IF(V890&lt;&gt;0,AK890/ABS(V890),""),"")</f>
        <v>-0.98607624159524421</v>
      </c>
      <c r="AM890" s="8">
        <f>IF(ISNUMBER(AK890),IF(AK890&gt;1,1,0),"")</f>
        <v>0</v>
      </c>
      <c r="AN890" s="8">
        <f>IF(ISNUMBER(AK890),IF(AK890&gt;0.05*ABS(V890),1,0),"")</f>
        <v>0</v>
      </c>
      <c r="AO890" s="10">
        <v>-132.00299999999999</v>
      </c>
      <c r="AP890" s="10">
        <v>132.00299999999999</v>
      </c>
      <c r="AQ890" s="8" t="s">
        <v>204</v>
      </c>
      <c r="AR890" s="8">
        <v>0</v>
      </c>
      <c r="AS890" s="10">
        <v>488.32600000000002</v>
      </c>
      <c r="AT890" s="10">
        <v>200.31200000000001</v>
      </c>
      <c r="AU890" s="8" t="s">
        <v>204</v>
      </c>
      <c r="AV890" s="10">
        <v>107.688</v>
      </c>
      <c r="AW890" s="11">
        <f>IF(AND(ISNUMBER(AV890),ISNUMBER(AT890)),IF(AT890&lt;&gt;0,AV890/ABS(AT890),""),"")</f>
        <v>0.53760134190662567</v>
      </c>
      <c r="AX890" s="8">
        <v>0</v>
      </c>
      <c r="AY890" s="8">
        <v>0</v>
      </c>
      <c r="AZ890" s="10"/>
      <c r="BA890" s="8">
        <v>0</v>
      </c>
    </row>
    <row r="891" spans="1:53" x14ac:dyDescent="0.2">
      <c r="A891" s="8" t="s">
        <v>482</v>
      </c>
      <c r="B891" s="8" t="s">
        <v>83</v>
      </c>
      <c r="C891" s="8" t="s">
        <v>290</v>
      </c>
      <c r="D891" s="8">
        <v>1</v>
      </c>
      <c r="E891" s="8">
        <v>0</v>
      </c>
      <c r="F891" s="8">
        <f>SUM(G891:M891)</f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1</v>
      </c>
      <c r="Q891" s="8">
        <v>0</v>
      </c>
      <c r="R891" s="8">
        <v>0</v>
      </c>
      <c r="S891" s="8">
        <v>1</v>
      </c>
      <c r="T891" s="10">
        <v>-48.095999999999997</v>
      </c>
      <c r="U891" s="10"/>
      <c r="V891" s="10"/>
      <c r="W891" s="10">
        <f>IF(RIGHT(C891,2)="12",IF(ISNUMBER(T891),T891,""),IF(COUNT(T891,U891,V891)=3,T891+U891-V891,""))</f>
        <v>-48.095999999999997</v>
      </c>
      <c r="X891" s="10">
        <v>-48.095999999999997</v>
      </c>
      <c r="Y891" s="10">
        <v>-276.142</v>
      </c>
      <c r="Z891" s="10">
        <v>-491.911</v>
      </c>
      <c r="AA891" s="10">
        <v>-311.44499999999999</v>
      </c>
      <c r="AB891" s="10">
        <v>1031.402</v>
      </c>
      <c r="AC891" s="8">
        <v>0</v>
      </c>
      <c r="AD891" s="8">
        <v>0</v>
      </c>
      <c r="AE891" s="8">
        <v>0</v>
      </c>
      <c r="AF891" s="10">
        <v>0</v>
      </c>
      <c r="AG891" s="8">
        <f>COUNTIF(Y891:AB891,"&gt;0")</f>
        <v>1</v>
      </c>
      <c r="AH891" s="10">
        <v>1031.402</v>
      </c>
      <c r="AI891" s="10">
        <v>0</v>
      </c>
      <c r="AJ891" s="8" t="str">
        <f>IF(ISNUMBER(X891),IF(X891&gt;0,"+",IF(X891&lt;0,"−","0")),IF(ISNUMBER(W891),IF(W891&gt;0,"+",IF(W891&lt;0,"−","0")),"yok"))</f>
        <v>−</v>
      </c>
      <c r="AK891" s="10" t="str">
        <f>IF(AND(RIGHT(C891,2)&lt;&gt;"12",ISNUMBER(U891),ISNUMBER(V891)),U891-V891,"")</f>
        <v/>
      </c>
      <c r="AL891" s="11" t="str">
        <f>IF(AND(ISNUMBER(AK891),ISNUMBER(V891)),IF(V891&lt;&gt;0,AK891/ABS(V891),""),"")</f>
        <v/>
      </c>
      <c r="AM891" s="8" t="str">
        <f>IF(ISNUMBER(AK891),IF(AK891&gt;1,1,0),"")</f>
        <v/>
      </c>
      <c r="AN891" s="8" t="str">
        <f>IF(ISNUMBER(AK891),IF(AK891&gt;0.05*ABS(V891),1,0),"")</f>
        <v/>
      </c>
      <c r="AO891" s="10">
        <v>-48.095999999999997</v>
      </c>
      <c r="AP891" s="10">
        <v>48.095999999999997</v>
      </c>
      <c r="AQ891" s="8" t="s">
        <v>204</v>
      </c>
      <c r="AR891" s="8">
        <v>0</v>
      </c>
      <c r="AS891" s="10">
        <v>646.01099999999997</v>
      </c>
      <c r="AT891" s="10">
        <v>428.22699999999998</v>
      </c>
      <c r="AU891" s="8" t="s">
        <v>204</v>
      </c>
      <c r="AV891" s="10">
        <v>1031.402</v>
      </c>
      <c r="AW891" s="11">
        <f>IF(AND(ISNUMBER(AV891),ISNUMBER(AT891)),IF(AT891&lt;&gt;0,AV891/ABS(AT891),""),"")</f>
        <v>2.4085403302454074</v>
      </c>
      <c r="AX891" s="8">
        <v>0</v>
      </c>
      <c r="AY891" s="8">
        <v>0</v>
      </c>
      <c r="AZ891" s="10"/>
      <c r="BA891" s="8">
        <v>0</v>
      </c>
    </row>
    <row r="892" spans="1:53" x14ac:dyDescent="0.2">
      <c r="A892" s="8" t="s">
        <v>483</v>
      </c>
      <c r="B892" s="8" t="s">
        <v>83</v>
      </c>
      <c r="C892" s="8" t="s">
        <v>290</v>
      </c>
      <c r="D892" s="8">
        <v>1</v>
      </c>
      <c r="E892" s="8">
        <v>0</v>
      </c>
      <c r="F892" s="8">
        <f>SUM(G892:M892)</f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1</v>
      </c>
      <c r="Q892" s="8">
        <v>0</v>
      </c>
      <c r="R892" s="8">
        <v>0</v>
      </c>
      <c r="S892" s="8">
        <v>1</v>
      </c>
      <c r="T892" s="10">
        <v>-231.90199999999999</v>
      </c>
      <c r="U892" s="10"/>
      <c r="V892" s="10"/>
      <c r="W892" s="10">
        <f>IF(RIGHT(C892,2)="12",IF(ISNUMBER(T892),T892,""),IF(COUNT(T892,U892,V892)=3,T892+U892-V892,""))</f>
        <v>-231.90199999999999</v>
      </c>
      <c r="X892" s="10">
        <v>-231.90199999999999</v>
      </c>
      <c r="Y892" s="10">
        <v>-51.021999999999998</v>
      </c>
      <c r="Z892" s="10">
        <v>-228.982</v>
      </c>
      <c r="AA892" s="10">
        <v>-14.25</v>
      </c>
      <c r="AB892" s="10">
        <v>62.354999999999997</v>
      </c>
      <c r="AC892" s="8">
        <v>0</v>
      </c>
      <c r="AD892" s="8">
        <v>0</v>
      </c>
      <c r="AE892" s="8">
        <v>0</v>
      </c>
      <c r="AF892" s="10">
        <v>0</v>
      </c>
      <c r="AG892" s="8">
        <f>COUNTIF(Y892:AB892,"&gt;0")</f>
        <v>1</v>
      </c>
      <c r="AH892" s="10">
        <v>62.354999999999997</v>
      </c>
      <c r="AI892" s="10">
        <v>0</v>
      </c>
      <c r="AJ892" s="8" t="str">
        <f>IF(ISNUMBER(X892),IF(X892&gt;0,"+",IF(X892&lt;0,"−","0")),IF(ISNUMBER(W892),IF(W892&gt;0,"+",IF(W892&lt;0,"−","0")),"yok"))</f>
        <v>−</v>
      </c>
      <c r="AK892" s="10" t="str">
        <f>IF(AND(RIGHT(C892,2)&lt;&gt;"12",ISNUMBER(U892),ISNUMBER(V892)),U892-V892,"")</f>
        <v/>
      </c>
      <c r="AL892" s="11" t="str">
        <f>IF(AND(ISNUMBER(AK892),ISNUMBER(V892)),IF(V892&lt;&gt;0,AK892/ABS(V892),""),"")</f>
        <v/>
      </c>
      <c r="AM892" s="8" t="str">
        <f>IF(ISNUMBER(AK892),IF(AK892&gt;1,1,0),"")</f>
        <v/>
      </c>
      <c r="AN892" s="8" t="str">
        <f>IF(ISNUMBER(AK892),IF(AK892&gt;0.05*ABS(V892),1,0),"")</f>
        <v/>
      </c>
      <c r="AO892" s="10">
        <v>-231.90299999999999</v>
      </c>
      <c r="AP892" s="10">
        <v>231.90299999999999</v>
      </c>
      <c r="AQ892" s="8" t="s">
        <v>204</v>
      </c>
      <c r="AR892" s="8">
        <v>0</v>
      </c>
      <c r="AS892" s="10">
        <v>130.43700000000001</v>
      </c>
      <c r="AT892" s="10">
        <v>-101.46599999999999</v>
      </c>
      <c r="AU892" s="8" t="s">
        <v>212</v>
      </c>
      <c r="AV892" s="10">
        <v>62.354999999999997</v>
      </c>
      <c r="AW892" s="11">
        <f>IF(AND(ISNUMBER(AV892),ISNUMBER(AT892)),IF(AT892&lt;&gt;0,AV892/ABS(AT892),""),"")</f>
        <v>0.61454083141150728</v>
      </c>
      <c r="AX892" s="8">
        <v>0</v>
      </c>
      <c r="AY892" s="8">
        <v>0</v>
      </c>
      <c r="AZ892" s="10"/>
      <c r="BA892" s="8">
        <v>0</v>
      </c>
    </row>
    <row r="893" spans="1:53" x14ac:dyDescent="0.2">
      <c r="A893" s="8" t="s">
        <v>484</v>
      </c>
      <c r="B893" s="8" t="s">
        <v>82</v>
      </c>
      <c r="C893" s="8" t="s">
        <v>215</v>
      </c>
      <c r="D893" s="8">
        <v>1</v>
      </c>
      <c r="E893" s="8">
        <v>0</v>
      </c>
      <c r="F893" s="8">
        <f>SUM(G893:M893)</f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1</v>
      </c>
      <c r="Q893" s="8">
        <v>0</v>
      </c>
      <c r="R893" s="8">
        <v>0</v>
      </c>
      <c r="S893" s="8">
        <v>1</v>
      </c>
      <c r="T893" s="10">
        <v>-49.415999999999997</v>
      </c>
      <c r="U893" s="10">
        <v>-89.543999999999997</v>
      </c>
      <c r="V893" s="10">
        <v>-68.902000000000001</v>
      </c>
      <c r="W893" s="10">
        <f>IF(RIGHT(C893,2)="12",IF(ISNUMBER(T893),T893,""),IF(COUNT(T893,U893,V893)=3,T893+U893-V893,""))</f>
        <v>-70.057999999999979</v>
      </c>
      <c r="X893" s="10">
        <v>-70.057000000000002</v>
      </c>
      <c r="Y893" s="10">
        <v>-20.640999999999998</v>
      </c>
      <c r="Z893" s="10">
        <v>-9.3170000000000002</v>
      </c>
      <c r="AA893" s="10">
        <v>-45.508000000000003</v>
      </c>
      <c r="AB893" s="10">
        <v>5.4089999999999998</v>
      </c>
      <c r="AC893" s="8">
        <v>0</v>
      </c>
      <c r="AD893" s="8">
        <v>0</v>
      </c>
      <c r="AE893" s="8">
        <v>0</v>
      </c>
      <c r="AF893" s="10">
        <v>0</v>
      </c>
      <c r="AG893" s="8">
        <f>COUNTIF(Y893:AB893,"&gt;0")</f>
        <v>1</v>
      </c>
      <c r="AH893" s="10">
        <v>5.4089999999999998</v>
      </c>
      <c r="AI893" s="10">
        <v>0</v>
      </c>
      <c r="AJ893" s="8" t="str">
        <f>IF(ISNUMBER(X893),IF(X893&gt;0,"+",IF(X893&lt;0,"−","0")),IF(ISNUMBER(W893),IF(W893&gt;0,"+",IF(W893&lt;0,"−","0")),"yok"))</f>
        <v>−</v>
      </c>
      <c r="AK893" s="10">
        <f>IF(AND(RIGHT(C893,2)&lt;&gt;"12",ISNUMBER(U893),ISNUMBER(V893)),U893-V893,"")</f>
        <v>-20.641999999999996</v>
      </c>
      <c r="AL893" s="11">
        <f>IF(AND(ISNUMBER(AK893),ISNUMBER(V893)),IF(V893&lt;&gt;0,AK893/ABS(V893),""),"")</f>
        <v>-0.29958491770921014</v>
      </c>
      <c r="AM893" s="8">
        <f>IF(ISNUMBER(AK893),IF(AK893&gt;1,1,0),"")</f>
        <v>0</v>
      </c>
      <c r="AN893" s="8">
        <f>IF(ISNUMBER(AK893),IF(AK893&gt;0.05*ABS(V893),1,0),"")</f>
        <v>0</v>
      </c>
      <c r="AO893" s="10">
        <v>-70.057000000000002</v>
      </c>
      <c r="AP893" s="10">
        <v>70.057000000000002</v>
      </c>
      <c r="AQ893" s="8" t="s">
        <v>204</v>
      </c>
      <c r="AR893" s="8">
        <v>0</v>
      </c>
      <c r="AS893" s="10">
        <v>512.82799999999997</v>
      </c>
      <c r="AT893" s="10">
        <v>-223.328</v>
      </c>
      <c r="AU893" s="8" t="s">
        <v>204</v>
      </c>
      <c r="AV893" s="10">
        <v>5.4089999999999998</v>
      </c>
      <c r="AW893" s="11">
        <f>IF(AND(ISNUMBER(AV893),ISNUMBER(AT893)),IF(AT893&lt;&gt;0,AV893/ABS(AT893),""),"")</f>
        <v>2.4219981372689495E-2</v>
      </c>
      <c r="AX893" s="8">
        <v>0</v>
      </c>
      <c r="AY893" s="8">
        <v>0</v>
      </c>
      <c r="AZ893" s="10"/>
      <c r="BA893" s="8">
        <v>0</v>
      </c>
    </row>
    <row r="894" spans="1:53" x14ac:dyDescent="0.2">
      <c r="A894" s="8" t="s">
        <v>484</v>
      </c>
      <c r="B894" s="8" t="s">
        <v>82</v>
      </c>
      <c r="C894" s="8" t="s">
        <v>290</v>
      </c>
      <c r="D894" s="8">
        <v>1</v>
      </c>
      <c r="E894" s="8">
        <v>0</v>
      </c>
      <c r="F894" s="8">
        <f>SUM(G894:M894)</f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1</v>
      </c>
      <c r="Q894" s="8">
        <v>0</v>
      </c>
      <c r="R894" s="8">
        <v>0</v>
      </c>
      <c r="S894" s="8">
        <v>1</v>
      </c>
      <c r="T894" s="10">
        <v>-66.370999999999995</v>
      </c>
      <c r="U894" s="10"/>
      <c r="V894" s="10"/>
      <c r="W894" s="10">
        <f>IF(RIGHT(C894,2)="12",IF(ISNUMBER(T894),T894,""),IF(COUNT(T894,U894,V894)=3,T894+U894-V894,""))</f>
        <v>-66.370999999999995</v>
      </c>
      <c r="X894" s="10">
        <v>-66.370999999999995</v>
      </c>
      <c r="Y894" s="10">
        <v>-9.3170000000000002</v>
      </c>
      <c r="Z894" s="10">
        <v>-45.508000000000003</v>
      </c>
      <c r="AA894" s="10">
        <v>5.4089999999999998</v>
      </c>
      <c r="AB894" s="10">
        <v>-16.954999999999998</v>
      </c>
      <c r="AC894" s="8">
        <v>0</v>
      </c>
      <c r="AD894" s="8">
        <v>0</v>
      </c>
      <c r="AE894" s="8">
        <v>0</v>
      </c>
      <c r="AF894" s="10">
        <v>0</v>
      </c>
      <c r="AG894" s="8">
        <f>COUNTIF(Y894:AB894,"&gt;0")</f>
        <v>1</v>
      </c>
      <c r="AH894" s="10">
        <v>5.4089999999999998</v>
      </c>
      <c r="AI894" s="10">
        <v>0</v>
      </c>
      <c r="AJ894" s="8" t="str">
        <f>IF(ISNUMBER(X894),IF(X894&gt;0,"+",IF(X894&lt;0,"−","0")),IF(ISNUMBER(W894),IF(W894&gt;0,"+",IF(W894&lt;0,"−","0")),"yok"))</f>
        <v>−</v>
      </c>
      <c r="AK894" s="10" t="str">
        <f>IF(AND(RIGHT(C894,2)&lt;&gt;"12",ISNUMBER(U894),ISNUMBER(V894)),U894-V894,"")</f>
        <v/>
      </c>
      <c r="AL894" s="11" t="str">
        <f>IF(AND(ISNUMBER(AK894),ISNUMBER(V894)),IF(V894&lt;&gt;0,AK894/ABS(V894),""),"")</f>
        <v/>
      </c>
      <c r="AM894" s="8" t="str">
        <f>IF(ISNUMBER(AK894),IF(AK894&gt;1,1,0),"")</f>
        <v/>
      </c>
      <c r="AN894" s="8" t="str">
        <f>IF(ISNUMBER(AK894),IF(AK894&gt;0.05*ABS(V894),1,0),"")</f>
        <v/>
      </c>
      <c r="AO894" s="10">
        <v>-66.370999999999995</v>
      </c>
      <c r="AP894" s="10">
        <v>66.370999999999995</v>
      </c>
      <c r="AQ894" s="8" t="s">
        <v>204</v>
      </c>
      <c r="AR894" s="8">
        <v>0</v>
      </c>
      <c r="AS894" s="10">
        <v>99.403999999999996</v>
      </c>
      <c r="AT894" s="10">
        <v>-590.83399999999995</v>
      </c>
      <c r="AU894" s="8" t="s">
        <v>204</v>
      </c>
      <c r="AV894" s="10">
        <v>5.4089999999999998</v>
      </c>
      <c r="AW894" s="11">
        <f>IF(AND(ISNUMBER(AV894),ISNUMBER(AT894)),IF(AT894&lt;&gt;0,AV894/ABS(AT894),""),"")</f>
        <v>9.1548556785831566E-3</v>
      </c>
      <c r="AX894" s="8">
        <v>0</v>
      </c>
      <c r="AY894" s="8">
        <v>0</v>
      </c>
      <c r="AZ894" s="10"/>
      <c r="BA894" s="8">
        <v>0</v>
      </c>
    </row>
    <row r="895" spans="1:53" x14ac:dyDescent="0.2">
      <c r="A895" s="8" t="s">
        <v>484</v>
      </c>
      <c r="B895" s="8" t="s">
        <v>82</v>
      </c>
      <c r="C895" s="8" t="s">
        <v>210</v>
      </c>
      <c r="D895" s="8">
        <v>1</v>
      </c>
      <c r="E895" s="8">
        <v>0</v>
      </c>
      <c r="F895" s="8">
        <f>SUM(G895:M895)</f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1</v>
      </c>
      <c r="Q895" s="8">
        <v>0</v>
      </c>
      <c r="R895" s="8">
        <v>1</v>
      </c>
      <c r="S895" s="8">
        <v>0</v>
      </c>
      <c r="T895" s="10">
        <v>-5.2030000000000003</v>
      </c>
      <c r="U895" s="10">
        <v>-66.370999999999995</v>
      </c>
      <c r="V895" s="10">
        <v>-54.825000000000003</v>
      </c>
      <c r="W895" s="10">
        <f>IF(RIGHT(C895,2)="12",IF(ISNUMBER(T895),T895,""),IF(COUNT(T895,U895,V895)=3,T895+U895-V895,""))</f>
        <v>-16.748999999999995</v>
      </c>
      <c r="X895" s="10">
        <v>-16.748999999999999</v>
      </c>
      <c r="Y895" s="10">
        <v>5.4089999999999998</v>
      </c>
      <c r="Z895" s="10">
        <v>-16.954999999999998</v>
      </c>
      <c r="AA895" s="10">
        <v>23.835000000000001</v>
      </c>
      <c r="AB895" s="10">
        <v>-29.039000000000001</v>
      </c>
      <c r="AC895" s="8">
        <v>0</v>
      </c>
      <c r="AD895" s="8">
        <v>0</v>
      </c>
      <c r="AE895" s="8">
        <v>0</v>
      </c>
      <c r="AF895" s="10">
        <v>0</v>
      </c>
      <c r="AG895" s="8">
        <f>COUNTIF(Y895:AB895,"&gt;0")</f>
        <v>2</v>
      </c>
      <c r="AH895" s="10">
        <v>0</v>
      </c>
      <c r="AI895" s="10">
        <v>5.4089999999999998</v>
      </c>
      <c r="AJ895" s="8" t="str">
        <f>IF(ISNUMBER(X895),IF(X895&gt;0,"+",IF(X895&lt;0,"−","0")),IF(ISNUMBER(W895),IF(W895&gt;0,"+",IF(W895&lt;0,"−","0")),"yok"))</f>
        <v>−</v>
      </c>
      <c r="AK895" s="10">
        <f>IF(AND(RIGHT(C895,2)&lt;&gt;"12",ISNUMBER(U895),ISNUMBER(V895)),U895-V895,"")</f>
        <v>-11.545999999999992</v>
      </c>
      <c r="AL895" s="11">
        <f>IF(AND(ISNUMBER(AK895),ISNUMBER(V895)),IF(V895&lt;&gt;0,AK895/ABS(V895),""),"")</f>
        <v>-0.21059735522115808</v>
      </c>
      <c r="AM895" s="8">
        <f>IF(ISNUMBER(AK895),IF(AK895&gt;1,1,0),"")</f>
        <v>0</v>
      </c>
      <c r="AN895" s="8">
        <f>IF(ISNUMBER(AK895),IF(AK895&gt;0.05*ABS(V895),1,0),"")</f>
        <v>0</v>
      </c>
      <c r="AO895" s="10">
        <v>-16.748999999999999</v>
      </c>
      <c r="AP895" s="10">
        <v>16.748999999999999</v>
      </c>
      <c r="AQ895" s="8" t="s">
        <v>204</v>
      </c>
      <c r="AR895" s="8">
        <v>0</v>
      </c>
      <c r="AS895" s="10">
        <v>674.66800000000001</v>
      </c>
      <c r="AT895" s="10">
        <v>88.894999999999996</v>
      </c>
      <c r="AU895" s="8" t="s">
        <v>204</v>
      </c>
      <c r="AV895" s="10">
        <v>23.835000000000001</v>
      </c>
      <c r="AW895" s="11">
        <f>IF(AND(ISNUMBER(AV895),ISNUMBER(AT895)),IF(AT895&lt;&gt;0,AV895/ABS(AT895),""),"")</f>
        <v>0.2681253163844986</v>
      </c>
      <c r="AX895" s="8">
        <v>0</v>
      </c>
      <c r="AY895" s="8">
        <v>0</v>
      </c>
      <c r="AZ895" s="10"/>
      <c r="BA895" s="8">
        <v>0</v>
      </c>
    </row>
    <row r="896" spans="1:53" x14ac:dyDescent="0.2">
      <c r="A896" s="8" t="s">
        <v>486</v>
      </c>
      <c r="B896" s="8" t="s">
        <v>82</v>
      </c>
      <c r="C896" s="8" t="s">
        <v>203</v>
      </c>
      <c r="D896" s="8">
        <v>1</v>
      </c>
      <c r="E896" s="8">
        <v>0</v>
      </c>
      <c r="F896" s="8">
        <f>SUM(G896:M896)</f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1</v>
      </c>
      <c r="Q896" s="8">
        <v>0</v>
      </c>
      <c r="R896" s="8">
        <v>1</v>
      </c>
      <c r="S896" s="8">
        <v>0</v>
      </c>
      <c r="T896" s="10">
        <v>-5.83</v>
      </c>
      <c r="U896" s="10">
        <v>-53.564999999999998</v>
      </c>
      <c r="V896" s="10">
        <v>-9.7810000000000006</v>
      </c>
      <c r="W896" s="10">
        <f>IF(RIGHT(C896,2)="12",IF(ISNUMBER(T896),T896,""),IF(COUNT(T896,U896,V896)=3,T896+U896-V896,""))</f>
        <v>-49.613999999999997</v>
      </c>
      <c r="X896" s="10">
        <v>-49.613999999999997</v>
      </c>
      <c r="Y896" s="10">
        <v>-30.103999999999999</v>
      </c>
      <c r="Z896" s="10">
        <v>-70.384</v>
      </c>
      <c r="AA896" s="10">
        <v>56.704999999999998</v>
      </c>
      <c r="AB896" s="10">
        <v>-5.83</v>
      </c>
      <c r="AC896" s="8">
        <v>0</v>
      </c>
      <c r="AD896" s="8">
        <v>0</v>
      </c>
      <c r="AE896" s="8">
        <v>0</v>
      </c>
      <c r="AF896" s="10">
        <v>0</v>
      </c>
      <c r="AG896" s="8">
        <f>COUNTIF(Y896:AB896,"&gt;0")</f>
        <v>1</v>
      </c>
      <c r="AH896" s="10">
        <v>0</v>
      </c>
      <c r="AI896" s="10">
        <v>56.704999999999998</v>
      </c>
      <c r="AJ896" s="8" t="str">
        <f>IF(ISNUMBER(X896),IF(X896&gt;0,"+",IF(X896&lt;0,"−","0")),IF(ISNUMBER(W896),IF(W896&gt;0,"+",IF(W896&lt;0,"−","0")),"yok"))</f>
        <v>−</v>
      </c>
      <c r="AK896" s="10">
        <f>IF(AND(RIGHT(C896,2)&lt;&gt;"12",ISNUMBER(U896),ISNUMBER(V896)),U896-V896,"")</f>
        <v>-43.783999999999999</v>
      </c>
      <c r="AL896" s="11">
        <f>IF(AND(ISNUMBER(AK896),ISNUMBER(V896)),IF(V896&lt;&gt;0,AK896/ABS(V896),""),"")</f>
        <v>-4.4764339024639606</v>
      </c>
      <c r="AM896" s="8">
        <f>IF(ISNUMBER(AK896),IF(AK896&gt;1,1,0),"")</f>
        <v>0</v>
      </c>
      <c r="AN896" s="8">
        <f>IF(ISNUMBER(AK896),IF(AK896&gt;0.05*ABS(V896),1,0),"")</f>
        <v>0</v>
      </c>
      <c r="AO896" s="10">
        <v>-49.615000000000002</v>
      </c>
      <c r="AP896" s="10">
        <v>49.615000000000002</v>
      </c>
      <c r="AQ896" s="8" t="s">
        <v>204</v>
      </c>
      <c r="AR896" s="8">
        <v>0</v>
      </c>
      <c r="AS896" s="10">
        <v>-206.44399999999999</v>
      </c>
      <c r="AT896" s="10">
        <v>-1455.5619999999999</v>
      </c>
      <c r="AU896" s="8" t="s">
        <v>204</v>
      </c>
      <c r="AV896" s="10">
        <v>56.704999999999998</v>
      </c>
      <c r="AW896" s="11">
        <f>IF(AND(ISNUMBER(AV896),ISNUMBER(AT896)),IF(AT896&lt;&gt;0,AV896/ABS(AT896),""),"")</f>
        <v>3.8957461104370684E-2</v>
      </c>
      <c r="AX896" s="8">
        <v>0</v>
      </c>
      <c r="AY896" s="8">
        <v>0</v>
      </c>
      <c r="AZ896" s="10"/>
      <c r="BA896" s="8">
        <v>0</v>
      </c>
    </row>
    <row r="897" spans="1:53" x14ac:dyDescent="0.2">
      <c r="A897" s="8" t="s">
        <v>486</v>
      </c>
      <c r="B897" s="8" t="s">
        <v>82</v>
      </c>
      <c r="C897" s="8" t="s">
        <v>205</v>
      </c>
      <c r="D897" s="8">
        <v>1</v>
      </c>
      <c r="E897" s="8">
        <v>0</v>
      </c>
      <c r="F897" s="8">
        <f>SUM(G897:M897)</f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1</v>
      </c>
      <c r="Q897" s="8">
        <v>0</v>
      </c>
      <c r="R897" s="8">
        <v>1</v>
      </c>
      <c r="S897" s="8">
        <v>0</v>
      </c>
      <c r="T897" s="10">
        <v>-34.933</v>
      </c>
      <c r="U897" s="10">
        <v>-53.564999999999998</v>
      </c>
      <c r="V897" s="10">
        <v>-39.884999999999998</v>
      </c>
      <c r="W897" s="10">
        <f>IF(RIGHT(C897,2)="12",IF(ISNUMBER(T897),T897,""),IF(COUNT(T897,U897,V897)=3,T897+U897-V897,""))</f>
        <v>-48.612999999999992</v>
      </c>
      <c r="X897" s="10">
        <v>-48.613</v>
      </c>
      <c r="Y897" s="10">
        <v>-70.384</v>
      </c>
      <c r="Z897" s="10">
        <v>56.704999999999998</v>
      </c>
      <c r="AA897" s="10">
        <v>-5.83</v>
      </c>
      <c r="AB897" s="10">
        <v>-29.102</v>
      </c>
      <c r="AC897" s="8">
        <v>0</v>
      </c>
      <c r="AD897" s="8">
        <v>0</v>
      </c>
      <c r="AE897" s="8">
        <v>0</v>
      </c>
      <c r="AF897" s="10">
        <v>0</v>
      </c>
      <c r="AG897" s="8">
        <f>COUNTIF(Y897:AB897,"&gt;0")</f>
        <v>1</v>
      </c>
      <c r="AH897" s="10">
        <v>0</v>
      </c>
      <c r="AI897" s="10">
        <v>56.704999999999998</v>
      </c>
      <c r="AJ897" s="8" t="str">
        <f>IF(ISNUMBER(X897),IF(X897&gt;0,"+",IF(X897&lt;0,"−","0")),IF(ISNUMBER(W897),IF(W897&gt;0,"+",IF(W897&lt;0,"−","0")),"yok"))</f>
        <v>−</v>
      </c>
      <c r="AK897" s="10">
        <f>IF(AND(RIGHT(C897,2)&lt;&gt;"12",ISNUMBER(U897),ISNUMBER(V897)),U897-V897,"")</f>
        <v>-13.68</v>
      </c>
      <c r="AL897" s="11">
        <f>IF(AND(ISNUMBER(AK897),ISNUMBER(V897)),IF(V897&lt;&gt;0,AK897/ABS(V897),""),"")</f>
        <v>-0.34298608499435879</v>
      </c>
      <c r="AM897" s="8">
        <f>IF(ISNUMBER(AK897),IF(AK897&gt;1,1,0),"")</f>
        <v>0</v>
      </c>
      <c r="AN897" s="8">
        <f>IF(ISNUMBER(AK897),IF(AK897&gt;0.05*ABS(V897),1,0),"")</f>
        <v>0</v>
      </c>
      <c r="AO897" s="10">
        <v>-48.613</v>
      </c>
      <c r="AP897" s="10">
        <v>48.613</v>
      </c>
      <c r="AQ897" s="8" t="s">
        <v>204</v>
      </c>
      <c r="AR897" s="8">
        <v>0</v>
      </c>
      <c r="AS897" s="10">
        <v>830.52</v>
      </c>
      <c r="AT897" s="10">
        <v>-286.43299999999999</v>
      </c>
      <c r="AU897" s="8" t="s">
        <v>204</v>
      </c>
      <c r="AV897" s="10">
        <v>56.704999999999998</v>
      </c>
      <c r="AW897" s="11">
        <f>IF(AND(ISNUMBER(AV897),ISNUMBER(AT897)),IF(AT897&lt;&gt;0,AV897/ABS(AT897),""),"")</f>
        <v>0.19796950770337216</v>
      </c>
      <c r="AX897" s="8">
        <v>0</v>
      </c>
      <c r="AY897" s="8">
        <v>0</v>
      </c>
      <c r="AZ897" s="10"/>
      <c r="BA897" s="8">
        <v>0</v>
      </c>
    </row>
    <row r="898" spans="1:53" x14ac:dyDescent="0.2">
      <c r="A898" s="8" t="s">
        <v>487</v>
      </c>
      <c r="B898" s="8" t="s">
        <v>83</v>
      </c>
      <c r="C898" s="8" t="s">
        <v>205</v>
      </c>
      <c r="D898" s="8">
        <v>1</v>
      </c>
      <c r="E898" s="8">
        <v>0</v>
      </c>
      <c r="F898" s="8">
        <f>SUM(G898:M898)</f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1</v>
      </c>
      <c r="Q898" s="8">
        <v>0</v>
      </c>
      <c r="R898" s="8">
        <v>0</v>
      </c>
      <c r="S898" s="8">
        <v>1</v>
      </c>
      <c r="T898" s="10">
        <v>-29.547999999999998</v>
      </c>
      <c r="U898" s="10">
        <v>-58.704999999999998</v>
      </c>
      <c r="V898" s="10">
        <v>0</v>
      </c>
      <c r="W898" s="10">
        <f>IF(RIGHT(C898,2)="12",IF(ISNUMBER(T898),T898,""),IF(COUNT(T898,U898,V898)=3,T898+U898-V898,""))</f>
        <v>-88.253</v>
      </c>
      <c r="X898" s="10">
        <v>-88.254000000000005</v>
      </c>
      <c r="Y898" s="10">
        <v>-14.079000000000001</v>
      </c>
      <c r="Z898" s="10">
        <v>-44.625</v>
      </c>
      <c r="AA898" s="10">
        <v>-40.101999999999997</v>
      </c>
      <c r="AB898" s="10">
        <v>10.553000000000001</v>
      </c>
      <c r="AC898" s="8">
        <v>0</v>
      </c>
      <c r="AD898" s="8">
        <v>0</v>
      </c>
      <c r="AE898" s="8">
        <v>0</v>
      </c>
      <c r="AF898" s="10">
        <v>0</v>
      </c>
      <c r="AG898" s="8">
        <f>COUNTIF(Y898:AB898,"&gt;0")</f>
        <v>1</v>
      </c>
      <c r="AH898" s="10">
        <v>10.553000000000001</v>
      </c>
      <c r="AI898" s="10">
        <v>0</v>
      </c>
      <c r="AJ898" s="8" t="str">
        <f>IF(ISNUMBER(X898),IF(X898&gt;0,"+",IF(X898&lt;0,"−","0")),IF(ISNUMBER(W898),IF(W898&gt;0,"+",IF(W898&lt;0,"−","0")),"yok"))</f>
        <v>−</v>
      </c>
      <c r="AK898" s="10">
        <f>IF(AND(RIGHT(C898,2)&lt;&gt;"12",ISNUMBER(U898),ISNUMBER(V898)),U898-V898,"")</f>
        <v>-58.704999999999998</v>
      </c>
      <c r="AL898" s="11" t="str">
        <f>IF(AND(ISNUMBER(AK898),ISNUMBER(V898)),IF(V898&lt;&gt;0,AK898/ABS(V898),""),"")</f>
        <v/>
      </c>
      <c r="AM898" s="8">
        <f>IF(ISNUMBER(AK898),IF(AK898&gt;1,1,0),"")</f>
        <v>0</v>
      </c>
      <c r="AN898" s="8">
        <f>IF(ISNUMBER(AK898),IF(AK898&gt;0.05*ABS(V898),1,0),"")</f>
        <v>0</v>
      </c>
      <c r="AO898" s="10">
        <v>-88.254999999999995</v>
      </c>
      <c r="AP898" s="10">
        <v>88.254999999999995</v>
      </c>
      <c r="AQ898" s="8" t="s">
        <v>204</v>
      </c>
      <c r="AR898" s="8">
        <v>0</v>
      </c>
      <c r="AS898" s="10">
        <v>-2896.7959999999998</v>
      </c>
      <c r="AT898" s="10">
        <v>-3090.0039999999999</v>
      </c>
      <c r="AU898" s="8" t="s">
        <v>204</v>
      </c>
      <c r="AV898" s="10">
        <v>10.553000000000001</v>
      </c>
      <c r="AW898" s="11">
        <f>IF(AND(ISNUMBER(AV898),ISNUMBER(AT898)),IF(AT898&lt;&gt;0,AV898/ABS(AT898),""),"")</f>
        <v>3.4152059350084987E-3</v>
      </c>
      <c r="AX898" s="8">
        <v>0</v>
      </c>
      <c r="AY898" s="8">
        <v>0</v>
      </c>
      <c r="AZ898" s="10"/>
      <c r="BA898" s="8">
        <v>0</v>
      </c>
    </row>
    <row r="899" spans="1:53" x14ac:dyDescent="0.2">
      <c r="A899" s="8" t="s">
        <v>487</v>
      </c>
      <c r="B899" s="8" t="s">
        <v>83</v>
      </c>
      <c r="C899" s="8" t="s">
        <v>215</v>
      </c>
      <c r="D899" s="8">
        <v>1</v>
      </c>
      <c r="E899" s="8">
        <v>0</v>
      </c>
      <c r="F899" s="8">
        <f>SUM(G899:M899)</f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1</v>
      </c>
      <c r="Q899" s="8">
        <v>0</v>
      </c>
      <c r="R899" s="8">
        <v>0</v>
      </c>
      <c r="S899" s="8">
        <v>1</v>
      </c>
      <c r="T899" s="10">
        <v>-41.06</v>
      </c>
      <c r="U899" s="10">
        <v>-58.704999999999998</v>
      </c>
      <c r="V899" s="10">
        <v>-14.079000000000001</v>
      </c>
      <c r="W899" s="10">
        <f>IF(RIGHT(C899,2)="12",IF(ISNUMBER(T899),T899,""),IF(COUNT(T899,U899,V899)=3,T899+U899-V899,""))</f>
        <v>-85.686000000000007</v>
      </c>
      <c r="X899" s="10">
        <v>-85.686000000000007</v>
      </c>
      <c r="Y899" s="10">
        <v>-44.625</v>
      </c>
      <c r="Z899" s="10">
        <v>-40.101999999999997</v>
      </c>
      <c r="AA899" s="10">
        <v>10.553000000000001</v>
      </c>
      <c r="AB899" s="10">
        <v>-11.510999999999999</v>
      </c>
      <c r="AC899" s="8">
        <v>0</v>
      </c>
      <c r="AD899" s="8">
        <v>0</v>
      </c>
      <c r="AE899" s="8">
        <v>0</v>
      </c>
      <c r="AF899" s="10">
        <v>0</v>
      </c>
      <c r="AG899" s="8">
        <f>COUNTIF(Y899:AB899,"&gt;0")</f>
        <v>1</v>
      </c>
      <c r="AH899" s="10">
        <v>10.553000000000001</v>
      </c>
      <c r="AI899" s="10">
        <v>0</v>
      </c>
      <c r="AJ899" s="8" t="str">
        <f>IF(ISNUMBER(X899),IF(X899&gt;0,"+",IF(X899&lt;0,"−","0")),IF(ISNUMBER(W899),IF(W899&gt;0,"+",IF(W899&lt;0,"−","0")),"yok"))</f>
        <v>−</v>
      </c>
      <c r="AK899" s="10">
        <f>IF(AND(RIGHT(C899,2)&lt;&gt;"12",ISNUMBER(U899),ISNUMBER(V899)),U899-V899,"")</f>
        <v>-44.625999999999998</v>
      </c>
      <c r="AL899" s="11">
        <f>IF(AND(ISNUMBER(AK899),ISNUMBER(V899)),IF(V899&lt;&gt;0,AK899/ABS(V899),""),"")</f>
        <v>-3.1696853469706654</v>
      </c>
      <c r="AM899" s="8">
        <f>IF(ISNUMBER(AK899),IF(AK899&gt;1,1,0),"")</f>
        <v>0</v>
      </c>
      <c r="AN899" s="8">
        <f>IF(ISNUMBER(AK899),IF(AK899&gt;0.05*ABS(V899),1,0),"")</f>
        <v>0</v>
      </c>
      <c r="AO899" s="10">
        <v>-85.686000000000007</v>
      </c>
      <c r="AP899" s="10">
        <v>85.686000000000007</v>
      </c>
      <c r="AQ899" s="8" t="s">
        <v>204</v>
      </c>
      <c r="AR899" s="8">
        <v>0</v>
      </c>
      <c r="AS899" s="10">
        <v>-1395.0609999999999</v>
      </c>
      <c r="AT899" s="10">
        <v>-1540.855</v>
      </c>
      <c r="AU899" s="8" t="s">
        <v>212</v>
      </c>
      <c r="AV899" s="10">
        <v>10.553000000000001</v>
      </c>
      <c r="AW899" s="11">
        <f>IF(AND(ISNUMBER(AV899),ISNUMBER(AT899)),IF(AT899&lt;&gt;0,AV899/ABS(AT899),""),"")</f>
        <v>6.8487949871986658E-3</v>
      </c>
      <c r="AX899" s="8">
        <v>0</v>
      </c>
      <c r="AY899" s="8">
        <v>0</v>
      </c>
      <c r="AZ899" s="10"/>
      <c r="BA899" s="8">
        <v>0</v>
      </c>
    </row>
    <row r="900" spans="1:53" x14ac:dyDescent="0.2">
      <c r="A900" s="8" t="s">
        <v>487</v>
      </c>
      <c r="B900" s="8" t="s">
        <v>83</v>
      </c>
      <c r="C900" s="8" t="s">
        <v>290</v>
      </c>
      <c r="D900" s="8">
        <v>1</v>
      </c>
      <c r="E900" s="8">
        <v>0</v>
      </c>
      <c r="F900" s="8">
        <f>SUM(G900:M900)</f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1</v>
      </c>
      <c r="Q900" s="8">
        <v>0</v>
      </c>
      <c r="R900" s="8">
        <v>0</v>
      </c>
      <c r="S900" s="8">
        <v>1</v>
      </c>
      <c r="T900" s="10">
        <v>-105.32</v>
      </c>
      <c r="U900" s="10"/>
      <c r="V900" s="10"/>
      <c r="W900" s="10">
        <f>IF(RIGHT(C900,2)="12",IF(ISNUMBER(T900),T900,""),IF(COUNT(T900,U900,V900)=3,T900+U900-V900,""))</f>
        <v>-105.32</v>
      </c>
      <c r="X900" s="10">
        <v>-105.32</v>
      </c>
      <c r="Y900" s="10">
        <v>-40.101999999999997</v>
      </c>
      <c r="Z900" s="10">
        <v>10.553000000000001</v>
      </c>
      <c r="AA900" s="10">
        <v>-11.510999999999999</v>
      </c>
      <c r="AB900" s="10">
        <v>-64.260000000000005</v>
      </c>
      <c r="AC900" s="8">
        <v>0</v>
      </c>
      <c r="AD900" s="8">
        <v>0</v>
      </c>
      <c r="AE900" s="8">
        <v>0</v>
      </c>
      <c r="AF900" s="10">
        <v>0</v>
      </c>
      <c r="AG900" s="8">
        <f>COUNTIF(Y900:AB900,"&gt;0")</f>
        <v>1</v>
      </c>
      <c r="AH900" s="10">
        <v>10.553000000000001</v>
      </c>
      <c r="AI900" s="10">
        <v>0</v>
      </c>
      <c r="AJ900" s="8" t="str">
        <f>IF(ISNUMBER(X900),IF(X900&gt;0,"+",IF(X900&lt;0,"−","0")),IF(ISNUMBER(W900),IF(W900&gt;0,"+",IF(W900&lt;0,"−","0")),"yok"))</f>
        <v>−</v>
      </c>
      <c r="AK900" s="10" t="str">
        <f>IF(AND(RIGHT(C900,2)&lt;&gt;"12",ISNUMBER(U900),ISNUMBER(V900)),U900-V900,"")</f>
        <v/>
      </c>
      <c r="AL900" s="11" t="str">
        <f>IF(AND(ISNUMBER(AK900),ISNUMBER(V900)),IF(V900&lt;&gt;0,AK900/ABS(V900),""),"")</f>
        <v/>
      </c>
      <c r="AM900" s="8" t="str">
        <f>IF(ISNUMBER(AK900),IF(AK900&gt;1,1,0),"")</f>
        <v/>
      </c>
      <c r="AN900" s="8" t="str">
        <f>IF(ISNUMBER(AK900),IF(AK900&gt;0.05*ABS(V900),1,0),"")</f>
        <v/>
      </c>
      <c r="AO900" s="10">
        <v>-105.321</v>
      </c>
      <c r="AP900" s="10">
        <v>105.321</v>
      </c>
      <c r="AQ900" s="8" t="s">
        <v>204</v>
      </c>
      <c r="AR900" s="8">
        <v>0</v>
      </c>
      <c r="AS900" s="10">
        <v>-2172.6080000000002</v>
      </c>
      <c r="AT900" s="10">
        <v>-2310.8609999999999</v>
      </c>
      <c r="AU900" s="8" t="s">
        <v>204</v>
      </c>
      <c r="AV900" s="10">
        <v>10.553000000000001</v>
      </c>
      <c r="AW900" s="11">
        <f>IF(AND(ISNUMBER(AV900),ISNUMBER(AT900)),IF(AT900&lt;&gt;0,AV900/ABS(AT900),""),"")</f>
        <v>4.5666961362020482E-3</v>
      </c>
      <c r="AX900" s="8">
        <v>0</v>
      </c>
      <c r="AY900" s="8">
        <v>0</v>
      </c>
      <c r="AZ900" s="10"/>
      <c r="BA900" s="8">
        <v>0</v>
      </c>
    </row>
    <row r="901" spans="1:53" x14ac:dyDescent="0.2">
      <c r="A901" s="8" t="s">
        <v>491</v>
      </c>
      <c r="B901" s="8" t="s">
        <v>83</v>
      </c>
      <c r="C901" s="8" t="s">
        <v>215</v>
      </c>
      <c r="D901" s="8">
        <v>1</v>
      </c>
      <c r="E901" s="8">
        <v>0</v>
      </c>
      <c r="F901" s="8">
        <f>SUM(G901:M901)</f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1</v>
      </c>
      <c r="Q901" s="8">
        <v>0</v>
      </c>
      <c r="R901" s="8">
        <v>0</v>
      </c>
      <c r="S901" s="8">
        <v>1</v>
      </c>
      <c r="T901" s="10">
        <v>-1.3759999999999999</v>
      </c>
      <c r="U901" s="10">
        <v>-0.72299999999999998</v>
      </c>
      <c r="V901" s="10">
        <v>-0.65900000000000003</v>
      </c>
      <c r="W901" s="10">
        <f>IF(RIGHT(C901,2)="12",IF(ISNUMBER(T901),T901,""),IF(COUNT(T901,U901,V901)=3,T901+U901-V901,""))</f>
        <v>-1.4399999999999997</v>
      </c>
      <c r="X901" s="10">
        <v>-1.44</v>
      </c>
      <c r="Y901" s="10">
        <v>-6.4000000000000001E-2</v>
      </c>
      <c r="Z901" s="10"/>
      <c r="AA901" s="10"/>
      <c r="AB901" s="10">
        <v>1.0109999999999999</v>
      </c>
      <c r="AC901" s="8">
        <v>0</v>
      </c>
      <c r="AD901" s="8">
        <v>0</v>
      </c>
      <c r="AE901" s="8">
        <v>0</v>
      </c>
      <c r="AF901" s="10">
        <v>0</v>
      </c>
      <c r="AG901" s="8">
        <f>COUNTIF(Y901:AB901,"&gt;0")</f>
        <v>1</v>
      </c>
      <c r="AH901" s="10">
        <v>1.0109999999999999</v>
      </c>
      <c r="AI901" s="10">
        <v>0</v>
      </c>
      <c r="AJ901" s="8" t="str">
        <f>IF(ISNUMBER(X901),IF(X901&gt;0,"+",IF(X901&lt;0,"−","0")),IF(ISNUMBER(W901),IF(W901&gt;0,"+",IF(W901&lt;0,"−","0")),"yok"))</f>
        <v>−</v>
      </c>
      <c r="AK901" s="10">
        <f>IF(AND(RIGHT(C901,2)&lt;&gt;"12",ISNUMBER(U901),ISNUMBER(V901)),U901-V901,"")</f>
        <v>-6.3999999999999946E-2</v>
      </c>
      <c r="AL901" s="11">
        <f>IF(AND(ISNUMBER(AK901),ISNUMBER(V901)),IF(V901&lt;&gt;0,AK901/ABS(V901),""),"")</f>
        <v>-9.7116843702579586E-2</v>
      </c>
      <c r="AM901" s="8">
        <f>IF(ISNUMBER(AK901),IF(AK901&gt;1,1,0),"")</f>
        <v>0</v>
      </c>
      <c r="AN901" s="8">
        <f>IF(ISNUMBER(AK901),IF(AK901&gt;0.05*ABS(V901),1,0),"")</f>
        <v>0</v>
      </c>
      <c r="AO901" s="10"/>
      <c r="AP901" s="10"/>
      <c r="AQ901" s="8" t="s">
        <v>207</v>
      </c>
      <c r="AR901" s="8">
        <v>0</v>
      </c>
      <c r="AS901" s="10">
        <v>-94.481999999999999</v>
      </c>
      <c r="AT901" s="10"/>
      <c r="AU901" s="8" t="s">
        <v>207</v>
      </c>
      <c r="AV901" s="10">
        <v>1.0109999999999999</v>
      </c>
      <c r="AW901" s="11" t="str">
        <f>IF(AND(ISNUMBER(AV901),ISNUMBER(AT901)),IF(AT901&lt;&gt;0,AV901/ABS(AT901),""),"")</f>
        <v/>
      </c>
      <c r="AX901" s="8">
        <v>0</v>
      </c>
      <c r="AY901" s="8">
        <v>0</v>
      </c>
      <c r="AZ901" s="10"/>
      <c r="BA901" s="8">
        <v>0</v>
      </c>
    </row>
    <row r="902" spans="1:53" x14ac:dyDescent="0.2">
      <c r="A902" s="8" t="s">
        <v>491</v>
      </c>
      <c r="B902" s="8" t="s">
        <v>83</v>
      </c>
      <c r="C902" s="8" t="s">
        <v>290</v>
      </c>
      <c r="D902" s="8">
        <v>1</v>
      </c>
      <c r="E902" s="8">
        <v>0</v>
      </c>
      <c r="F902" s="8">
        <f>SUM(G902:M902)</f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1</v>
      </c>
      <c r="Q902" s="8">
        <v>0</v>
      </c>
      <c r="R902" s="8">
        <v>0</v>
      </c>
      <c r="S902" s="8">
        <v>1</v>
      </c>
      <c r="T902" s="10">
        <v>-5.3949999999999996</v>
      </c>
      <c r="U902" s="10"/>
      <c r="V902" s="10"/>
      <c r="W902" s="10">
        <f>IF(RIGHT(C902,2)="12",IF(ISNUMBER(T902),T902,""),IF(COUNT(T902,U902,V902)=3,T902+U902-V902,""))</f>
        <v>-5.3949999999999996</v>
      </c>
      <c r="X902" s="10">
        <v>-5.3949999999999996</v>
      </c>
      <c r="Y902" s="10"/>
      <c r="Z902" s="10"/>
      <c r="AA902" s="10">
        <v>1.0109999999999999</v>
      </c>
      <c r="AB902" s="10">
        <v>-4.0190000000000001</v>
      </c>
      <c r="AC902" s="8">
        <v>0</v>
      </c>
      <c r="AD902" s="8">
        <v>0</v>
      </c>
      <c r="AE902" s="8">
        <v>0</v>
      </c>
      <c r="AF902" s="10">
        <v>0</v>
      </c>
      <c r="AG902" s="8">
        <f>COUNTIF(Y902:AB902,"&gt;0")</f>
        <v>1</v>
      </c>
      <c r="AH902" s="10">
        <v>1.0109999999999999</v>
      </c>
      <c r="AI902" s="10">
        <v>0</v>
      </c>
      <c r="AJ902" s="8" t="str">
        <f>IF(ISNUMBER(X902),IF(X902&gt;0,"+",IF(X902&lt;0,"−","0")),IF(ISNUMBER(W902),IF(W902&gt;0,"+",IF(W902&lt;0,"−","0")),"yok"))</f>
        <v>−</v>
      </c>
      <c r="AK902" s="10" t="str">
        <f>IF(AND(RIGHT(C902,2)&lt;&gt;"12",ISNUMBER(U902),ISNUMBER(V902)),U902-V902,"")</f>
        <v/>
      </c>
      <c r="AL902" s="11" t="str">
        <f>IF(AND(ISNUMBER(AK902),ISNUMBER(V902)),IF(V902&lt;&gt;0,AK902/ABS(V902),""),"")</f>
        <v/>
      </c>
      <c r="AM902" s="8" t="str">
        <f>IF(ISNUMBER(AK902),IF(AK902&gt;1,1,0),"")</f>
        <v/>
      </c>
      <c r="AN902" s="8" t="str">
        <f>IF(ISNUMBER(AK902),IF(AK902&gt;0.05*ABS(V902),1,0),"")</f>
        <v/>
      </c>
      <c r="AO902" s="10">
        <v>-5.3949999999999996</v>
      </c>
      <c r="AP902" s="10">
        <v>5.3949999999999996</v>
      </c>
      <c r="AQ902" s="8" t="s">
        <v>209</v>
      </c>
      <c r="AR902" s="8">
        <v>0</v>
      </c>
      <c r="AS902" s="10">
        <v>-79.245999999999995</v>
      </c>
      <c r="AT902" s="10">
        <v>-84.641000000000005</v>
      </c>
      <c r="AU902" s="8" t="s">
        <v>212</v>
      </c>
      <c r="AV902" s="10">
        <v>1.0109999999999999</v>
      </c>
      <c r="AW902" s="11">
        <f>IF(AND(ISNUMBER(AV902),ISNUMBER(AT902)),IF(AT902&lt;&gt;0,AV902/ABS(AT902),""),"")</f>
        <v>1.1944565872331375E-2</v>
      </c>
      <c r="AX902" s="8">
        <v>0</v>
      </c>
      <c r="AY902" s="8">
        <v>0</v>
      </c>
      <c r="AZ902" s="10"/>
      <c r="BA902" s="8">
        <v>0</v>
      </c>
    </row>
    <row r="903" spans="1:53" x14ac:dyDescent="0.2">
      <c r="A903" s="8" t="s">
        <v>492</v>
      </c>
      <c r="B903" s="8" t="s">
        <v>82</v>
      </c>
      <c r="C903" s="8" t="s">
        <v>203</v>
      </c>
      <c r="D903" s="8">
        <v>1</v>
      </c>
      <c r="E903" s="8">
        <v>0</v>
      </c>
      <c r="F903" s="8">
        <f>SUM(G903:M903)</f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1</v>
      </c>
      <c r="Q903" s="8">
        <v>0</v>
      </c>
      <c r="R903" s="8">
        <v>1</v>
      </c>
      <c r="S903" s="8">
        <v>0</v>
      </c>
      <c r="T903" s="10">
        <v>-152.089</v>
      </c>
      <c r="U903" s="10">
        <v>-293.67700000000002</v>
      </c>
      <c r="V903" s="10">
        <v>-84.111999999999995</v>
      </c>
      <c r="W903" s="10">
        <f>IF(RIGHT(C903,2)="12",IF(ISNUMBER(T903),T903,""),IF(COUNT(T903,U903,V903)=3,T903+U903-V903,""))</f>
        <v>-361.654</v>
      </c>
      <c r="X903" s="10">
        <v>-361.654</v>
      </c>
      <c r="Y903" s="10">
        <v>-62.872</v>
      </c>
      <c r="Z903" s="10">
        <v>-458.04199999999997</v>
      </c>
      <c r="AA903" s="10">
        <v>311.34899999999999</v>
      </c>
      <c r="AB903" s="10">
        <v>-152.089</v>
      </c>
      <c r="AC903" s="8">
        <v>0</v>
      </c>
      <c r="AD903" s="8">
        <v>0</v>
      </c>
      <c r="AE903" s="8">
        <v>0</v>
      </c>
      <c r="AF903" s="10">
        <v>0</v>
      </c>
      <c r="AG903" s="8">
        <f>COUNTIF(Y903:AB903,"&gt;0")</f>
        <v>1</v>
      </c>
      <c r="AH903" s="10">
        <v>0</v>
      </c>
      <c r="AI903" s="10">
        <v>311.34899999999999</v>
      </c>
      <c r="AJ903" s="8" t="str">
        <f>IF(ISNUMBER(X903),IF(X903&gt;0,"+",IF(X903&lt;0,"−","0")),IF(ISNUMBER(W903),IF(W903&gt;0,"+",IF(W903&lt;0,"−","0")),"yok"))</f>
        <v>−</v>
      </c>
      <c r="AK903" s="10">
        <f>IF(AND(RIGHT(C903,2)&lt;&gt;"12",ISNUMBER(U903),ISNUMBER(V903)),U903-V903,"")</f>
        <v>-209.56500000000003</v>
      </c>
      <c r="AL903" s="11">
        <f>IF(AND(ISNUMBER(AK903),ISNUMBER(V903)),IF(V903&lt;&gt;0,AK903/ABS(V903),""),"")</f>
        <v>-2.4914994293323192</v>
      </c>
      <c r="AM903" s="8">
        <f>IF(ISNUMBER(AK903),IF(AK903&gt;1,1,0),"")</f>
        <v>0</v>
      </c>
      <c r="AN903" s="8">
        <f>IF(ISNUMBER(AK903),IF(AK903&gt;0.05*ABS(V903),1,0),"")</f>
        <v>0</v>
      </c>
      <c r="AO903" s="10">
        <v>-361.65499999999997</v>
      </c>
      <c r="AP903" s="10">
        <v>361.65499999999997</v>
      </c>
      <c r="AQ903" s="8" t="s">
        <v>204</v>
      </c>
      <c r="AR903" s="8">
        <v>0</v>
      </c>
      <c r="AS903" s="10">
        <v>3921.0059999999999</v>
      </c>
      <c r="AT903" s="10">
        <v>2953.998</v>
      </c>
      <c r="AU903" s="8" t="s">
        <v>204</v>
      </c>
      <c r="AV903" s="10">
        <v>311.34899999999999</v>
      </c>
      <c r="AW903" s="11">
        <f>IF(AND(ISNUMBER(AV903),ISNUMBER(AT903)),IF(AT903&lt;&gt;0,AV903/ABS(AT903),""),"")</f>
        <v>0.10539919119782748</v>
      </c>
      <c r="AX903" s="8">
        <v>0</v>
      </c>
      <c r="AY903" s="8">
        <v>0</v>
      </c>
      <c r="AZ903" s="10"/>
      <c r="BA903" s="8">
        <v>0</v>
      </c>
    </row>
    <row r="904" spans="1:53" x14ac:dyDescent="0.2">
      <c r="A904" s="8" t="s">
        <v>492</v>
      </c>
      <c r="B904" s="8" t="s">
        <v>82</v>
      </c>
      <c r="C904" s="8" t="s">
        <v>205</v>
      </c>
      <c r="D904" s="8">
        <v>1</v>
      </c>
      <c r="E904" s="8">
        <v>0</v>
      </c>
      <c r="F904" s="8">
        <f>SUM(G904:M904)</f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1</v>
      </c>
      <c r="Q904" s="8">
        <v>0</v>
      </c>
      <c r="R904" s="8">
        <v>1</v>
      </c>
      <c r="S904" s="8">
        <v>0</v>
      </c>
      <c r="T904" s="10">
        <v>-171.255</v>
      </c>
      <c r="U904" s="10">
        <v>-293.67700000000002</v>
      </c>
      <c r="V904" s="10">
        <v>-146.98400000000001</v>
      </c>
      <c r="W904" s="10">
        <f>IF(RIGHT(C904,2)="12",IF(ISNUMBER(T904),T904,""),IF(COUNT(T904,U904,V904)=3,T904+U904-V904,""))</f>
        <v>-317.94799999999998</v>
      </c>
      <c r="X904" s="10">
        <v>-317.947</v>
      </c>
      <c r="Y904" s="10">
        <v>-458.04199999999997</v>
      </c>
      <c r="Z904" s="10">
        <v>311.34899999999999</v>
      </c>
      <c r="AA904" s="10">
        <v>-152.089</v>
      </c>
      <c r="AB904" s="10">
        <v>-19.164999999999999</v>
      </c>
      <c r="AC904" s="8">
        <v>0</v>
      </c>
      <c r="AD904" s="8">
        <v>0</v>
      </c>
      <c r="AE904" s="8">
        <v>0</v>
      </c>
      <c r="AF904" s="10">
        <v>0</v>
      </c>
      <c r="AG904" s="8">
        <f>COUNTIF(Y904:AB904,"&gt;0")</f>
        <v>1</v>
      </c>
      <c r="AH904" s="10">
        <v>0</v>
      </c>
      <c r="AI904" s="10">
        <v>311.34899999999999</v>
      </c>
      <c r="AJ904" s="8" t="str">
        <f>IF(ISNUMBER(X904),IF(X904&gt;0,"+",IF(X904&lt;0,"−","0")),IF(ISNUMBER(W904),IF(W904&gt;0,"+",IF(W904&lt;0,"−","0")),"yok"))</f>
        <v>−</v>
      </c>
      <c r="AK904" s="10">
        <f>IF(AND(RIGHT(C904,2)&lt;&gt;"12",ISNUMBER(U904),ISNUMBER(V904)),U904-V904,"")</f>
        <v>-146.69300000000001</v>
      </c>
      <c r="AL904" s="11">
        <f>IF(AND(ISNUMBER(AK904),ISNUMBER(V904)),IF(V904&lt;&gt;0,AK904/ABS(V904),""),"")</f>
        <v>-0.99802019267403252</v>
      </c>
      <c r="AM904" s="8">
        <f>IF(ISNUMBER(AK904),IF(AK904&gt;1,1,0),"")</f>
        <v>0</v>
      </c>
      <c r="AN904" s="8">
        <f>IF(ISNUMBER(AK904),IF(AK904&gt;0.05*ABS(V904),1,0),"")</f>
        <v>0</v>
      </c>
      <c r="AO904" s="10">
        <v>-317.94799999999998</v>
      </c>
      <c r="AP904" s="10">
        <v>317.94799999999998</v>
      </c>
      <c r="AQ904" s="8" t="s">
        <v>204</v>
      </c>
      <c r="AR904" s="8">
        <v>0</v>
      </c>
      <c r="AS904" s="10">
        <v>3677.0320000000002</v>
      </c>
      <c r="AT904" s="10">
        <v>2884.848</v>
      </c>
      <c r="AU904" s="8" t="s">
        <v>204</v>
      </c>
      <c r="AV904" s="10">
        <v>311.34899999999999</v>
      </c>
      <c r="AW904" s="11">
        <f>IF(AND(ISNUMBER(AV904),ISNUMBER(AT904)),IF(AT904&lt;&gt;0,AV904/ABS(AT904),""),"")</f>
        <v>0.10792561687825493</v>
      </c>
      <c r="AX904" s="8">
        <v>0</v>
      </c>
      <c r="AY904" s="8">
        <v>0</v>
      </c>
      <c r="AZ904" s="10"/>
      <c r="BA904" s="8">
        <v>0</v>
      </c>
    </row>
    <row r="905" spans="1:53" x14ac:dyDescent="0.2">
      <c r="A905" s="8" t="s">
        <v>492</v>
      </c>
      <c r="B905" s="8" t="s">
        <v>82</v>
      </c>
      <c r="C905" s="8" t="s">
        <v>290</v>
      </c>
      <c r="D905" s="8">
        <v>1</v>
      </c>
      <c r="E905" s="8">
        <v>0</v>
      </c>
      <c r="F905" s="8">
        <f>SUM(G905:M905)</f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1</v>
      </c>
      <c r="Q905" s="8">
        <v>0</v>
      </c>
      <c r="R905" s="8">
        <v>0</v>
      </c>
      <c r="S905" s="8">
        <v>1</v>
      </c>
      <c r="T905" s="10">
        <v>-321.988</v>
      </c>
      <c r="U905" s="10"/>
      <c r="V905" s="10"/>
      <c r="W905" s="10">
        <f>IF(RIGHT(C905,2)="12",IF(ISNUMBER(T905),T905,""),IF(COUNT(T905,U905,V905)=3,T905+U905-V905,""))</f>
        <v>-321.988</v>
      </c>
      <c r="X905" s="10">
        <v>-321.988</v>
      </c>
      <c r="Y905" s="10">
        <v>-152.089</v>
      </c>
      <c r="Z905" s="10">
        <v>-19.164999999999999</v>
      </c>
      <c r="AA905" s="10">
        <v>-215.90899999999999</v>
      </c>
      <c r="AB905" s="10">
        <v>65.176000000000002</v>
      </c>
      <c r="AC905" s="8">
        <v>0</v>
      </c>
      <c r="AD905" s="8">
        <v>0</v>
      </c>
      <c r="AE905" s="8">
        <v>0</v>
      </c>
      <c r="AF905" s="10">
        <v>0</v>
      </c>
      <c r="AG905" s="8">
        <f>COUNTIF(Y905:AB905,"&gt;0")</f>
        <v>1</v>
      </c>
      <c r="AH905" s="10">
        <v>65.176000000000002</v>
      </c>
      <c r="AI905" s="10">
        <v>0</v>
      </c>
      <c r="AJ905" s="8" t="str">
        <f>IF(ISNUMBER(X905),IF(X905&gt;0,"+",IF(X905&lt;0,"−","0")),IF(ISNUMBER(W905),IF(W905&gt;0,"+",IF(W905&lt;0,"−","0")),"yok"))</f>
        <v>−</v>
      </c>
      <c r="AK905" s="10" t="str">
        <f>IF(AND(RIGHT(C905,2)&lt;&gt;"12",ISNUMBER(U905),ISNUMBER(V905)),U905-V905,"")</f>
        <v/>
      </c>
      <c r="AL905" s="11" t="str">
        <f>IF(AND(ISNUMBER(AK905),ISNUMBER(V905)),IF(V905&lt;&gt;0,AK905/ABS(V905),""),"")</f>
        <v/>
      </c>
      <c r="AM905" s="8" t="str">
        <f>IF(ISNUMBER(AK905),IF(AK905&gt;1,1,0),"")</f>
        <v/>
      </c>
      <c r="AN905" s="8" t="str">
        <f>IF(ISNUMBER(AK905),IF(AK905&gt;0.05*ABS(V905),1,0),"")</f>
        <v/>
      </c>
      <c r="AO905" s="10">
        <v>-321.988</v>
      </c>
      <c r="AP905" s="10">
        <v>321.988</v>
      </c>
      <c r="AQ905" s="8" t="s">
        <v>204</v>
      </c>
      <c r="AR905" s="8">
        <v>0</v>
      </c>
      <c r="AS905" s="10">
        <v>1091.3579999999999</v>
      </c>
      <c r="AT905" s="10">
        <v>592.04200000000003</v>
      </c>
      <c r="AU905" s="8" t="s">
        <v>212</v>
      </c>
      <c r="AV905" s="10">
        <v>65.176000000000002</v>
      </c>
      <c r="AW905" s="11">
        <f>IF(AND(ISNUMBER(AV905),ISNUMBER(AT905)),IF(AT905&lt;&gt;0,AV905/ABS(AT905),""),"")</f>
        <v>0.11008678438354036</v>
      </c>
      <c r="AX905" s="8">
        <v>0</v>
      </c>
      <c r="AY905" s="8">
        <v>0</v>
      </c>
      <c r="AZ905" s="10"/>
      <c r="BA905" s="8">
        <v>0</v>
      </c>
    </row>
    <row r="906" spans="1:53" x14ac:dyDescent="0.2">
      <c r="A906" s="8" t="s">
        <v>492</v>
      </c>
      <c r="B906" s="8" t="s">
        <v>82</v>
      </c>
      <c r="C906" s="8" t="s">
        <v>208</v>
      </c>
      <c r="D906" s="8">
        <v>1</v>
      </c>
      <c r="E906" s="8">
        <v>0</v>
      </c>
      <c r="F906" s="8">
        <f>SUM(G906:M906)</f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1</v>
      </c>
      <c r="Q906" s="8">
        <v>0</v>
      </c>
      <c r="R906" s="8">
        <v>1</v>
      </c>
      <c r="S906" s="8">
        <v>0</v>
      </c>
      <c r="T906" s="10">
        <v>-84.477999999999994</v>
      </c>
      <c r="U906" s="10">
        <v>-321.988</v>
      </c>
      <c r="V906" s="10">
        <v>-152.089</v>
      </c>
      <c r="W906" s="10">
        <f>IF(RIGHT(C906,2)="12",IF(ISNUMBER(T906),T906,""),IF(COUNT(T906,U906,V906)=3,T906+U906-V906,""))</f>
        <v>-254.37700000000001</v>
      </c>
      <c r="X906" s="10">
        <v>-254.37700000000001</v>
      </c>
      <c r="Y906" s="10">
        <v>-19.164999999999999</v>
      </c>
      <c r="Z906" s="10">
        <v>-215.90899999999999</v>
      </c>
      <c r="AA906" s="10">
        <v>65.176000000000002</v>
      </c>
      <c r="AB906" s="10">
        <v>-84.477999999999994</v>
      </c>
      <c r="AC906" s="8">
        <v>0</v>
      </c>
      <c r="AD906" s="8">
        <v>0</v>
      </c>
      <c r="AE906" s="8">
        <v>0</v>
      </c>
      <c r="AF906" s="10">
        <v>0</v>
      </c>
      <c r="AG906" s="8">
        <f>COUNTIF(Y906:AB906,"&gt;0")</f>
        <v>1</v>
      </c>
      <c r="AH906" s="10">
        <v>0</v>
      </c>
      <c r="AI906" s="10">
        <v>65.176000000000002</v>
      </c>
      <c r="AJ906" s="8" t="str">
        <f>IF(ISNUMBER(X906),IF(X906&gt;0,"+",IF(X906&lt;0,"−","0")),IF(ISNUMBER(W906),IF(W906&gt;0,"+",IF(W906&lt;0,"−","0")),"yok"))</f>
        <v>−</v>
      </c>
      <c r="AK906" s="10">
        <f>IF(AND(RIGHT(C906,2)&lt;&gt;"12",ISNUMBER(U906),ISNUMBER(V906)),U906-V906,"")</f>
        <v>-169.899</v>
      </c>
      <c r="AL906" s="11">
        <f>IF(AND(ISNUMBER(AK906),ISNUMBER(V906)),IF(V906&lt;&gt;0,AK906/ABS(V906),""),"")</f>
        <v>-1.1171024860443557</v>
      </c>
      <c r="AM906" s="8">
        <f>IF(ISNUMBER(AK906),IF(AK906&gt;1,1,0),"")</f>
        <v>0</v>
      </c>
      <c r="AN906" s="8">
        <f>IF(ISNUMBER(AK906),IF(AK906&gt;0.05*ABS(V906),1,0),"")</f>
        <v>0</v>
      </c>
      <c r="AO906" s="10">
        <v>-254.37700000000001</v>
      </c>
      <c r="AP906" s="10">
        <v>254.37700000000001</v>
      </c>
      <c r="AQ906" s="8" t="s">
        <v>204</v>
      </c>
      <c r="AR906" s="8">
        <v>0</v>
      </c>
      <c r="AS906" s="10">
        <v>1453.3989999999999</v>
      </c>
      <c r="AT906" s="10">
        <v>1043.3800000000001</v>
      </c>
      <c r="AU906" s="8" t="s">
        <v>212</v>
      </c>
      <c r="AV906" s="10">
        <v>65.176000000000002</v>
      </c>
      <c r="AW906" s="11">
        <f>IF(AND(ISNUMBER(AV906),ISNUMBER(AT906)),IF(AT906&lt;&gt;0,AV906/ABS(AT906),""),"")</f>
        <v>6.2466215568632709E-2</v>
      </c>
      <c r="AX906" s="8">
        <v>0</v>
      </c>
      <c r="AY906" s="8">
        <v>0</v>
      </c>
      <c r="AZ906" s="10"/>
      <c r="BA906" s="8">
        <v>0</v>
      </c>
    </row>
    <row r="907" spans="1:53" x14ac:dyDescent="0.2">
      <c r="A907" s="8" t="s">
        <v>492</v>
      </c>
      <c r="B907" s="8" t="s">
        <v>82</v>
      </c>
      <c r="C907" s="8" t="s">
        <v>210</v>
      </c>
      <c r="D907" s="8">
        <v>1</v>
      </c>
      <c r="E907" s="8">
        <v>0</v>
      </c>
      <c r="F907" s="8">
        <f>SUM(G907:M907)</f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1</v>
      </c>
      <c r="Q907" s="8">
        <v>0</v>
      </c>
      <c r="R907" s="8">
        <v>1</v>
      </c>
      <c r="S907" s="8">
        <v>0</v>
      </c>
      <c r="T907" s="10">
        <v>-153.45599999999999</v>
      </c>
      <c r="U907" s="10">
        <v>-321.988</v>
      </c>
      <c r="V907" s="10">
        <v>-171.255</v>
      </c>
      <c r="W907" s="10">
        <f>IF(RIGHT(C907,2)="12",IF(ISNUMBER(T907),T907,""),IF(COUNT(T907,U907,V907)=3,T907+U907-V907,""))</f>
        <v>-304.18899999999996</v>
      </c>
      <c r="X907" s="10">
        <v>-304.18900000000002</v>
      </c>
      <c r="Y907" s="10">
        <v>-215.90899999999999</v>
      </c>
      <c r="Z907" s="10">
        <v>65.176000000000002</v>
      </c>
      <c r="AA907" s="10">
        <v>-84.477999999999994</v>
      </c>
      <c r="AB907" s="10">
        <v>-68.977999999999994</v>
      </c>
      <c r="AC907" s="8">
        <v>0</v>
      </c>
      <c r="AD907" s="8">
        <v>0</v>
      </c>
      <c r="AE907" s="8">
        <v>0</v>
      </c>
      <c r="AF907" s="10">
        <v>0</v>
      </c>
      <c r="AG907" s="8">
        <f>COUNTIF(Y907:AB907,"&gt;0")</f>
        <v>1</v>
      </c>
      <c r="AH907" s="10">
        <v>0</v>
      </c>
      <c r="AI907" s="10">
        <v>65.176000000000002</v>
      </c>
      <c r="AJ907" s="8" t="str">
        <f>IF(ISNUMBER(X907),IF(X907&gt;0,"+",IF(X907&lt;0,"−","0")),IF(ISNUMBER(W907),IF(W907&gt;0,"+",IF(W907&lt;0,"−","0")),"yok"))</f>
        <v>−</v>
      </c>
      <c r="AK907" s="10">
        <f>IF(AND(RIGHT(C907,2)&lt;&gt;"12",ISNUMBER(U907),ISNUMBER(V907)),U907-V907,"")</f>
        <v>-150.733</v>
      </c>
      <c r="AL907" s="11">
        <f>IF(AND(ISNUMBER(AK907),ISNUMBER(V907)),IF(V907&lt;&gt;0,AK907/ABS(V907),""),"")</f>
        <v>-0.88016700242328694</v>
      </c>
      <c r="AM907" s="8">
        <f>IF(ISNUMBER(AK907),IF(AK907&gt;1,1,0),"")</f>
        <v>0</v>
      </c>
      <c r="AN907" s="8">
        <f>IF(ISNUMBER(AK907),IF(AK907&gt;0.05*ABS(V907),1,0),"")</f>
        <v>0</v>
      </c>
      <c r="AO907" s="10">
        <v>-304.19</v>
      </c>
      <c r="AP907" s="10">
        <v>304.19</v>
      </c>
      <c r="AQ907" s="8" t="s">
        <v>204</v>
      </c>
      <c r="AR907" s="8">
        <v>0</v>
      </c>
      <c r="AS907" s="10">
        <v>524.93200000000002</v>
      </c>
      <c r="AT907" s="10">
        <v>106.163</v>
      </c>
      <c r="AU907" s="8" t="s">
        <v>212</v>
      </c>
      <c r="AV907" s="10">
        <v>65.176000000000002</v>
      </c>
      <c r="AW907" s="11">
        <f>IF(AND(ISNUMBER(AV907),ISNUMBER(AT907)),IF(AT907&lt;&gt;0,AV907/ABS(AT907),""),"")</f>
        <v>0.61392387178207097</v>
      </c>
      <c r="AX907" s="8">
        <v>0</v>
      </c>
      <c r="AY907" s="8">
        <v>0</v>
      </c>
      <c r="AZ907" s="10"/>
      <c r="BA907" s="8">
        <v>0</v>
      </c>
    </row>
    <row r="908" spans="1:53" x14ac:dyDescent="0.2">
      <c r="A908" s="8" t="s">
        <v>494</v>
      </c>
      <c r="B908" s="8" t="s">
        <v>82</v>
      </c>
      <c r="C908" s="8" t="s">
        <v>215</v>
      </c>
      <c r="D908" s="8">
        <v>1</v>
      </c>
      <c r="E908" s="8">
        <v>0</v>
      </c>
      <c r="F908" s="8">
        <f>SUM(G908:M908)</f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1</v>
      </c>
      <c r="Q908" s="8">
        <v>0</v>
      </c>
      <c r="R908" s="8">
        <v>0</v>
      </c>
      <c r="S908" s="8">
        <v>1</v>
      </c>
      <c r="T908" s="10">
        <v>-4.4390000000000001</v>
      </c>
      <c r="U908" s="10">
        <v>-4.923</v>
      </c>
      <c r="V908" s="10">
        <v>0</v>
      </c>
      <c r="W908" s="10">
        <f>IF(RIGHT(C908,2)="12",IF(ISNUMBER(T908),T908,""),IF(COUNT(T908,U908,V908)=3,T908+U908-V908,""))</f>
        <v>-9.3620000000000001</v>
      </c>
      <c r="X908" s="10">
        <v>-9.3620000000000001</v>
      </c>
      <c r="Y908" s="10">
        <v>-4.923</v>
      </c>
      <c r="Z908" s="10">
        <v>-5.6749999999999998</v>
      </c>
      <c r="AA908" s="10">
        <v>-11.250999999999999</v>
      </c>
      <c r="AB908" s="10">
        <v>12.487</v>
      </c>
      <c r="AC908" s="8">
        <v>0</v>
      </c>
      <c r="AD908" s="8">
        <v>0</v>
      </c>
      <c r="AE908" s="8">
        <v>0</v>
      </c>
      <c r="AF908" s="10">
        <v>0</v>
      </c>
      <c r="AG908" s="8">
        <f>COUNTIF(Y908:AB908,"&gt;0")</f>
        <v>1</v>
      </c>
      <c r="AH908" s="10">
        <v>12.487</v>
      </c>
      <c r="AI908" s="10">
        <v>0</v>
      </c>
      <c r="AJ908" s="8" t="str">
        <f>IF(ISNUMBER(X908),IF(X908&gt;0,"+",IF(X908&lt;0,"−","0")),IF(ISNUMBER(W908),IF(W908&gt;0,"+",IF(W908&lt;0,"−","0")),"yok"))</f>
        <v>−</v>
      </c>
      <c r="AK908" s="10">
        <f>IF(AND(RIGHT(C908,2)&lt;&gt;"12",ISNUMBER(U908),ISNUMBER(V908)),U908-V908,"")</f>
        <v>-4.923</v>
      </c>
      <c r="AL908" s="11" t="str">
        <f>IF(AND(ISNUMBER(AK908),ISNUMBER(V908)),IF(V908&lt;&gt;0,AK908/ABS(V908),""),"")</f>
        <v/>
      </c>
      <c r="AM908" s="8">
        <f>IF(ISNUMBER(AK908),IF(AK908&gt;1,1,0),"")</f>
        <v>0</v>
      </c>
      <c r="AN908" s="8">
        <f>IF(ISNUMBER(AK908),IF(AK908&gt;0.05*ABS(V908),1,0),"")</f>
        <v>0</v>
      </c>
      <c r="AO908" s="10">
        <v>-9.3620000000000001</v>
      </c>
      <c r="AP908" s="10">
        <v>9.3620000000000001</v>
      </c>
      <c r="AQ908" s="8" t="s">
        <v>204</v>
      </c>
      <c r="AR908" s="8">
        <v>0</v>
      </c>
      <c r="AS908" s="10">
        <v>305.93200000000002</v>
      </c>
      <c r="AT908" s="10">
        <v>148.70400000000001</v>
      </c>
      <c r="AU908" s="8" t="s">
        <v>204</v>
      </c>
      <c r="AV908" s="10">
        <v>12.487</v>
      </c>
      <c r="AW908" s="11">
        <f>IF(AND(ISNUMBER(AV908),ISNUMBER(AT908)),IF(AT908&lt;&gt;0,AV908/ABS(AT908),""),"")</f>
        <v>8.3972186356789325E-2</v>
      </c>
      <c r="AX908" s="8">
        <v>0</v>
      </c>
      <c r="AY908" s="8">
        <v>0</v>
      </c>
      <c r="AZ908" s="10"/>
      <c r="BA908" s="8">
        <v>1</v>
      </c>
    </row>
    <row r="909" spans="1:53" x14ac:dyDescent="0.2">
      <c r="A909" s="8" t="s">
        <v>494</v>
      </c>
      <c r="B909" s="8" t="s">
        <v>82</v>
      </c>
      <c r="C909" s="8" t="s">
        <v>290</v>
      </c>
      <c r="D909" s="8">
        <v>1</v>
      </c>
      <c r="E909" s="8">
        <v>0</v>
      </c>
      <c r="F909" s="8">
        <f>SUM(G909:M909)</f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1</v>
      </c>
      <c r="Q909" s="8">
        <v>0</v>
      </c>
      <c r="R909" s="8">
        <v>0</v>
      </c>
      <c r="S909" s="8">
        <v>1</v>
      </c>
      <c r="T909" s="10">
        <v>-5.657</v>
      </c>
      <c r="U909" s="10"/>
      <c r="V909" s="10"/>
      <c r="W909" s="10">
        <f>IF(RIGHT(C909,2)="12",IF(ISNUMBER(T909),T909,""),IF(COUNT(T909,U909,V909)=3,T909+U909-V909,""))</f>
        <v>-5.657</v>
      </c>
      <c r="X909" s="10">
        <v>-5.657</v>
      </c>
      <c r="Y909" s="10">
        <v>-5.6749999999999998</v>
      </c>
      <c r="Z909" s="10">
        <v>-11.250999999999999</v>
      </c>
      <c r="AA909" s="10">
        <v>12.487</v>
      </c>
      <c r="AB909" s="10">
        <v>-1.218</v>
      </c>
      <c r="AC909" s="8">
        <v>0</v>
      </c>
      <c r="AD909" s="8">
        <v>0</v>
      </c>
      <c r="AE909" s="8">
        <v>0</v>
      </c>
      <c r="AF909" s="10">
        <v>0</v>
      </c>
      <c r="AG909" s="8">
        <f>COUNTIF(Y909:AB909,"&gt;0")</f>
        <v>1</v>
      </c>
      <c r="AH909" s="10">
        <v>12.487</v>
      </c>
      <c r="AI909" s="10">
        <v>0</v>
      </c>
      <c r="AJ909" s="8" t="str">
        <f>IF(ISNUMBER(X909),IF(X909&gt;0,"+",IF(X909&lt;0,"−","0")),IF(ISNUMBER(W909),IF(W909&gt;0,"+",IF(W909&lt;0,"−","0")),"yok"))</f>
        <v>−</v>
      </c>
      <c r="AK909" s="10" t="str">
        <f>IF(AND(RIGHT(C909,2)&lt;&gt;"12",ISNUMBER(U909),ISNUMBER(V909)),U909-V909,"")</f>
        <v/>
      </c>
      <c r="AL909" s="11" t="str">
        <f>IF(AND(ISNUMBER(AK909),ISNUMBER(V909)),IF(V909&lt;&gt;0,AK909/ABS(V909),""),"")</f>
        <v/>
      </c>
      <c r="AM909" s="8" t="str">
        <f>IF(ISNUMBER(AK909),IF(AK909&gt;1,1,0),"")</f>
        <v/>
      </c>
      <c r="AN909" s="8" t="str">
        <f>IF(ISNUMBER(AK909),IF(AK909&gt;0.05*ABS(V909),1,0),"")</f>
        <v/>
      </c>
      <c r="AO909" s="10">
        <v>-5.657</v>
      </c>
      <c r="AP909" s="10">
        <v>5.657</v>
      </c>
      <c r="AQ909" s="8" t="s">
        <v>204</v>
      </c>
      <c r="AR909" s="8">
        <v>0</v>
      </c>
      <c r="AS909" s="10">
        <v>181.80699999999999</v>
      </c>
      <c r="AT909" s="10">
        <v>136.79400000000001</v>
      </c>
      <c r="AU909" s="8" t="s">
        <v>204</v>
      </c>
      <c r="AV909" s="10">
        <v>12.487</v>
      </c>
      <c r="AW909" s="11">
        <f>IF(AND(ISNUMBER(AV909),ISNUMBER(AT909)),IF(AT909&lt;&gt;0,AV909/ABS(AT909),""),"")</f>
        <v>9.1283243417108931E-2</v>
      </c>
      <c r="AX909" s="8">
        <v>0</v>
      </c>
      <c r="AY909" s="8">
        <v>0</v>
      </c>
      <c r="AZ909" s="10"/>
      <c r="BA909" s="8">
        <v>1</v>
      </c>
    </row>
    <row r="910" spans="1:53" x14ac:dyDescent="0.2">
      <c r="A910" s="8" t="s">
        <v>494</v>
      </c>
      <c r="B910" s="8" t="s">
        <v>82</v>
      </c>
      <c r="C910" s="8" t="s">
        <v>208</v>
      </c>
      <c r="D910" s="8">
        <v>1</v>
      </c>
      <c r="E910" s="8">
        <v>0</v>
      </c>
      <c r="F910" s="8">
        <f>SUM(G910:M910)</f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1</v>
      </c>
      <c r="Q910" s="8">
        <v>0</v>
      </c>
      <c r="R910" s="8">
        <v>1</v>
      </c>
      <c r="S910" s="8">
        <v>0</v>
      </c>
      <c r="T910" s="10">
        <v>-6.3029999999999999</v>
      </c>
      <c r="U910" s="10">
        <v>-5.657</v>
      </c>
      <c r="V910" s="10">
        <v>-5.6749999999999998</v>
      </c>
      <c r="W910" s="10">
        <f>IF(RIGHT(C910,2)="12",IF(ISNUMBER(T910),T910,""),IF(COUNT(T910,U910,V910)=3,T910+U910-V910,""))</f>
        <v>-6.285000000000001</v>
      </c>
      <c r="X910" s="10">
        <v>-6.2850000000000001</v>
      </c>
      <c r="Y910" s="10">
        <v>-11.250999999999999</v>
      </c>
      <c r="Z910" s="10">
        <v>12.487</v>
      </c>
      <c r="AA910" s="10">
        <v>-1.218</v>
      </c>
      <c r="AB910" s="10">
        <v>-6.3029999999999999</v>
      </c>
      <c r="AC910" s="8">
        <v>0</v>
      </c>
      <c r="AD910" s="8">
        <v>0</v>
      </c>
      <c r="AE910" s="8">
        <v>0</v>
      </c>
      <c r="AF910" s="10">
        <v>0</v>
      </c>
      <c r="AG910" s="8">
        <f>COUNTIF(Y910:AB910,"&gt;0")</f>
        <v>1</v>
      </c>
      <c r="AH910" s="10">
        <v>0</v>
      </c>
      <c r="AI910" s="10">
        <v>12.487</v>
      </c>
      <c r="AJ910" s="8" t="str">
        <f>IF(ISNUMBER(X910),IF(X910&gt;0,"+",IF(X910&lt;0,"−","0")),IF(ISNUMBER(W910),IF(W910&gt;0,"+",IF(W910&lt;0,"−","0")),"yok"))</f>
        <v>−</v>
      </c>
      <c r="AK910" s="10">
        <f>IF(AND(RIGHT(C910,2)&lt;&gt;"12",ISNUMBER(U910),ISNUMBER(V910)),U910-V910,"")</f>
        <v>1.7999999999999794E-2</v>
      </c>
      <c r="AL910" s="11">
        <f>IF(AND(ISNUMBER(AK910),ISNUMBER(V910)),IF(V910&lt;&gt;0,AK910/ABS(V910),""),"")</f>
        <v>3.171806167400845E-3</v>
      </c>
      <c r="AM910" s="8">
        <f>IF(ISNUMBER(AK910),IF(AK910&gt;1,1,0),"")</f>
        <v>0</v>
      </c>
      <c r="AN910" s="8">
        <f>IF(ISNUMBER(AK910),IF(AK910&gt;0.05*ABS(V910),1,0),"")</f>
        <v>0</v>
      </c>
      <c r="AO910" s="10">
        <v>-6.2850000000000001</v>
      </c>
      <c r="AP910" s="10">
        <v>6.2850000000000001</v>
      </c>
      <c r="AQ910" s="8" t="s">
        <v>204</v>
      </c>
      <c r="AR910" s="8">
        <v>0</v>
      </c>
      <c r="AS910" s="10">
        <v>146.798</v>
      </c>
      <c r="AT910" s="10">
        <v>105.51300000000001</v>
      </c>
      <c r="AU910" s="8" t="s">
        <v>204</v>
      </c>
      <c r="AV910" s="10">
        <v>1.7999999999999801E-2</v>
      </c>
      <c r="AW910" s="11">
        <f>IF(AND(ISNUMBER(AV910),ISNUMBER(AT910)),IF(AT910&lt;&gt;0,AV910/ABS(AT910),""),"")</f>
        <v>1.7059509254783583E-4</v>
      </c>
      <c r="AX910" s="8">
        <v>0</v>
      </c>
      <c r="AY910" s="8">
        <v>0</v>
      </c>
      <c r="AZ910" s="10"/>
      <c r="BA910" s="8">
        <v>1</v>
      </c>
    </row>
    <row r="911" spans="1:53" x14ac:dyDescent="0.2">
      <c r="A911" s="8" t="s">
        <v>631</v>
      </c>
      <c r="B911" s="8" t="s">
        <v>83</v>
      </c>
      <c r="C911" s="8" t="s">
        <v>210</v>
      </c>
      <c r="D911" s="8">
        <v>1</v>
      </c>
      <c r="E911" s="8">
        <v>0</v>
      </c>
      <c r="F911" s="8">
        <f>SUM(G911:M911)</f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1</v>
      </c>
      <c r="Q911" s="8">
        <v>0</v>
      </c>
      <c r="R911" s="8">
        <v>0</v>
      </c>
      <c r="S911" s="8">
        <v>1</v>
      </c>
      <c r="T911" s="10">
        <v>0</v>
      </c>
      <c r="U911" s="10">
        <v>-54.506999999999998</v>
      </c>
      <c r="V911" s="10">
        <v>-7.8929999999999998</v>
      </c>
      <c r="W911" s="10">
        <f>IF(RIGHT(C911,2)="12",IF(ISNUMBER(T911),T911,""),IF(COUNT(T911,U911,V911)=3,T911+U911-V911,""))</f>
        <v>-46.613999999999997</v>
      </c>
      <c r="X911" s="10">
        <v>-46.613999999999997</v>
      </c>
      <c r="Y911" s="10">
        <v>-5.9580000000000002</v>
      </c>
      <c r="Z911" s="10">
        <v>-40.655999999999999</v>
      </c>
      <c r="AA911" s="10">
        <v>-502.62299999999999</v>
      </c>
      <c r="AB911" s="10">
        <v>502.62299999999999</v>
      </c>
      <c r="AC911" s="8">
        <v>0</v>
      </c>
      <c r="AD911" s="8">
        <v>0</v>
      </c>
      <c r="AE911" s="8">
        <v>0</v>
      </c>
      <c r="AF911" s="10">
        <v>0</v>
      </c>
      <c r="AG911" s="8">
        <f>COUNTIF(Y911:AB911,"&gt;0")</f>
        <v>1</v>
      </c>
      <c r="AH911" s="10">
        <v>502.62299999999999</v>
      </c>
      <c r="AI911" s="10">
        <v>0</v>
      </c>
      <c r="AJ911" s="8" t="str">
        <f>IF(ISNUMBER(X911),IF(X911&gt;0,"+",IF(X911&lt;0,"−","0")),IF(ISNUMBER(W911),IF(W911&gt;0,"+",IF(W911&lt;0,"−","0")),"yok"))</f>
        <v>−</v>
      </c>
      <c r="AK911" s="10">
        <f>IF(AND(RIGHT(C911,2)&lt;&gt;"12",ISNUMBER(U911),ISNUMBER(V911)),U911-V911,"")</f>
        <v>-46.613999999999997</v>
      </c>
      <c r="AL911" s="11">
        <f>IF(AND(ISNUMBER(AK911),ISNUMBER(V911)),IF(V911&lt;&gt;0,AK911/ABS(V911),""),"")</f>
        <v>-5.9057392626377805</v>
      </c>
      <c r="AM911" s="8">
        <f>IF(ISNUMBER(AK911),IF(AK911&gt;1,1,0),"")</f>
        <v>0</v>
      </c>
      <c r="AN911" s="8">
        <f>IF(ISNUMBER(AK911),IF(AK911&gt;0.05*ABS(V911),1,0),"")</f>
        <v>0</v>
      </c>
      <c r="AO911" s="10">
        <v>-46.615000000000002</v>
      </c>
      <c r="AP911" s="10">
        <v>46.615000000000002</v>
      </c>
      <c r="AQ911" s="8" t="s">
        <v>204</v>
      </c>
      <c r="AR911" s="8">
        <v>0</v>
      </c>
      <c r="AS911" s="10">
        <v>-4780.9250000000002</v>
      </c>
      <c r="AT911" s="10">
        <v>-4827.54</v>
      </c>
      <c r="AU911" s="8" t="s">
        <v>209</v>
      </c>
      <c r="AV911" s="10">
        <v>502.62299999999999</v>
      </c>
      <c r="AW911" s="11">
        <f>IF(AND(ISNUMBER(AV911),ISNUMBER(AT911)),IF(AT911&lt;&gt;0,AV911/ABS(AT911),""),"")</f>
        <v>0.10411576082228216</v>
      </c>
      <c r="AX911" s="8">
        <v>0</v>
      </c>
      <c r="AY911" s="8">
        <v>0</v>
      </c>
      <c r="AZ911" s="10"/>
      <c r="BA911" s="8">
        <v>0</v>
      </c>
    </row>
    <row r="912" spans="1:53" x14ac:dyDescent="0.2">
      <c r="A912" s="8" t="s">
        <v>631</v>
      </c>
      <c r="B912" s="8" t="s">
        <v>84</v>
      </c>
      <c r="C912" s="8" t="s">
        <v>215</v>
      </c>
      <c r="D912" s="8">
        <v>1</v>
      </c>
      <c r="E912" s="8">
        <v>0</v>
      </c>
      <c r="F912" s="8">
        <f>SUM(G912:M912)</f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8">
        <v>1</v>
      </c>
      <c r="O912" s="8">
        <v>0</v>
      </c>
      <c r="P912" s="8">
        <v>1</v>
      </c>
      <c r="Q912" s="8">
        <v>0</v>
      </c>
      <c r="R912" s="8">
        <v>0</v>
      </c>
      <c r="S912" s="8">
        <v>0</v>
      </c>
      <c r="T912" s="10">
        <v>0</v>
      </c>
      <c r="U912" s="10">
        <v>-192.59700000000001</v>
      </c>
      <c r="V912" s="10">
        <v>-194.93600000000001</v>
      </c>
      <c r="W912" s="10">
        <f>IF(RIGHT(C912,2)="12",IF(ISNUMBER(T912),T912,""),IF(COUNT(T912,U912,V912)=3,T912+U912-V912,""))</f>
        <v>2.3389999999999986</v>
      </c>
      <c r="X912" s="10">
        <v>2.339</v>
      </c>
      <c r="Y912" s="10">
        <v>2.339</v>
      </c>
      <c r="Z912" s="10"/>
      <c r="AA912" s="10"/>
      <c r="AB912" s="10"/>
      <c r="AC912" s="8">
        <v>0</v>
      </c>
      <c r="AD912" s="8">
        <v>0</v>
      </c>
      <c r="AE912" s="8">
        <v>0</v>
      </c>
      <c r="AF912" s="10">
        <v>0</v>
      </c>
      <c r="AG912" s="8">
        <f>COUNTIF(Y912:AB912,"&gt;0")</f>
        <v>1</v>
      </c>
      <c r="AH912" s="10">
        <v>0</v>
      </c>
      <c r="AI912" s="10">
        <v>2.339</v>
      </c>
      <c r="AJ912" s="8" t="str">
        <f>IF(ISNUMBER(X912),IF(X912&gt;0,"+",IF(X912&lt;0,"−","0")),IF(ISNUMBER(W912),IF(W912&gt;0,"+",IF(W912&lt;0,"−","0")),"yok"))</f>
        <v>+</v>
      </c>
      <c r="AK912" s="10">
        <f>IF(AND(RIGHT(C912,2)&lt;&gt;"12",ISNUMBER(U912),ISNUMBER(V912)),U912-V912,"")</f>
        <v>2.3389999999999986</v>
      </c>
      <c r="AL912" s="11">
        <f>IF(AND(ISNUMBER(AK912),ISNUMBER(V912)),IF(V912&lt;&gt;0,AK912/ABS(V912),""),"")</f>
        <v>1.1998809865802103E-2</v>
      </c>
      <c r="AM912" s="8">
        <f>IF(ISNUMBER(AK912),IF(AK912&gt;1,1,0),"")</f>
        <v>1</v>
      </c>
      <c r="AN912" s="8">
        <f>IF(ISNUMBER(AK912),IF(AK912&gt;0.05*ABS(V912),1,0),"")</f>
        <v>0</v>
      </c>
      <c r="AO912" s="10"/>
      <c r="AP912" s="10"/>
      <c r="AQ912" s="8" t="s">
        <v>207</v>
      </c>
      <c r="AR912" s="8">
        <v>0</v>
      </c>
      <c r="AS912" s="10">
        <v>573.40200000000004</v>
      </c>
      <c r="AT912" s="10"/>
      <c r="AU912" s="8" t="s">
        <v>207</v>
      </c>
      <c r="AV912" s="10">
        <v>2.339</v>
      </c>
      <c r="AW912" s="11" t="str">
        <f>IF(AND(ISNUMBER(AV912),ISNUMBER(AT912)),IF(AT912&lt;&gt;0,AV912/ABS(AT912),""),"")</f>
        <v/>
      </c>
      <c r="AX912" s="8">
        <v>0</v>
      </c>
      <c r="AY912" s="8">
        <v>0</v>
      </c>
      <c r="AZ912" s="10"/>
      <c r="BA912" s="8">
        <v>0</v>
      </c>
    </row>
    <row r="913" spans="1:53" x14ac:dyDescent="0.2">
      <c r="A913" s="8" t="s">
        <v>632</v>
      </c>
      <c r="B913" s="8" t="s">
        <v>82</v>
      </c>
      <c r="C913" s="8" t="s">
        <v>215</v>
      </c>
      <c r="D913" s="8">
        <v>1</v>
      </c>
      <c r="E913" s="8">
        <v>0</v>
      </c>
      <c r="F913" s="8">
        <f>SUM(G913:M913)</f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1</v>
      </c>
      <c r="O913" s="8">
        <v>0</v>
      </c>
      <c r="P913" s="8">
        <v>1</v>
      </c>
      <c r="Q913" s="8">
        <v>0</v>
      </c>
      <c r="R913" s="8">
        <v>0</v>
      </c>
      <c r="S913" s="8">
        <v>0</v>
      </c>
      <c r="T913" s="10">
        <v>0</v>
      </c>
      <c r="U913" s="10">
        <v>-0.14199999999999999</v>
      </c>
      <c r="V913" s="10">
        <v>-0.15</v>
      </c>
      <c r="W913" s="10">
        <f>IF(RIGHT(C913,2)="12",IF(ISNUMBER(T913),T913,""),IF(COUNT(T913,U913,V913)=3,T913+U913-V913,""))</f>
        <v>8.0000000000000071E-3</v>
      </c>
      <c r="X913" s="10">
        <v>8.0000000000000002E-3</v>
      </c>
      <c r="Y913" s="10">
        <v>8.0000000000000002E-3</v>
      </c>
      <c r="Z913" s="10"/>
      <c r="AA913" s="10"/>
      <c r="AB913" s="10"/>
      <c r="AC913" s="8">
        <v>0</v>
      </c>
      <c r="AD913" s="8">
        <v>0</v>
      </c>
      <c r="AE913" s="8">
        <v>0</v>
      </c>
      <c r="AF913" s="10">
        <v>0</v>
      </c>
      <c r="AG913" s="8">
        <f>COUNTIF(Y913:AB913,"&gt;0")</f>
        <v>1</v>
      </c>
      <c r="AH913" s="10">
        <v>0</v>
      </c>
      <c r="AI913" s="10">
        <v>8.0000000000000002E-3</v>
      </c>
      <c r="AJ913" s="8" t="str">
        <f>IF(ISNUMBER(X913),IF(X913&gt;0,"+",IF(X913&lt;0,"−","0")),IF(ISNUMBER(W913),IF(W913&gt;0,"+",IF(W913&lt;0,"−","0")),"yok"))</f>
        <v>+</v>
      </c>
      <c r="AK913" s="10">
        <f>IF(AND(RIGHT(C913,2)&lt;&gt;"12",ISNUMBER(U913),ISNUMBER(V913)),U913-V913,"")</f>
        <v>8.0000000000000071E-3</v>
      </c>
      <c r="AL913" s="11">
        <f>IF(AND(ISNUMBER(AK913),ISNUMBER(V913)),IF(V913&lt;&gt;0,AK913/ABS(V913),""),"")</f>
        <v>5.3333333333333385E-2</v>
      </c>
      <c r="AM913" s="8">
        <f>IF(ISNUMBER(AK913),IF(AK913&gt;1,1,0),"")</f>
        <v>0</v>
      </c>
      <c r="AN913" s="8">
        <f>IF(ISNUMBER(AK913),IF(AK913&gt;0.05*ABS(V913),1,0),"")</f>
        <v>1</v>
      </c>
      <c r="AO913" s="10"/>
      <c r="AP913" s="10"/>
      <c r="AQ913" s="8" t="s">
        <v>207</v>
      </c>
      <c r="AR913" s="8">
        <v>0</v>
      </c>
      <c r="AS913" s="10">
        <v>-78.975999999999999</v>
      </c>
      <c r="AT913" s="10"/>
      <c r="AU913" s="8" t="s">
        <v>207</v>
      </c>
      <c r="AV913" s="10">
        <v>8.0000000000000106E-3</v>
      </c>
      <c r="AW913" s="11" t="str">
        <f>IF(AND(ISNUMBER(AV913),ISNUMBER(AT913)),IF(AT913&lt;&gt;0,AV913/ABS(AT913),""),"")</f>
        <v/>
      </c>
      <c r="AX913" s="8">
        <v>0</v>
      </c>
      <c r="AY913" s="8">
        <v>0</v>
      </c>
      <c r="AZ913" s="10"/>
      <c r="BA913" s="8">
        <v>0</v>
      </c>
    </row>
    <row r="914" spans="1:53" x14ac:dyDescent="0.2">
      <c r="A914" s="8" t="s">
        <v>495</v>
      </c>
      <c r="B914" s="8" t="s">
        <v>84</v>
      </c>
      <c r="C914" s="8" t="s">
        <v>205</v>
      </c>
      <c r="D914" s="8">
        <v>1</v>
      </c>
      <c r="E914" s="8">
        <v>0</v>
      </c>
      <c r="F914" s="8">
        <f>SUM(G914:M914)</f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1</v>
      </c>
      <c r="Q914" s="8">
        <v>0</v>
      </c>
      <c r="R914" s="8">
        <v>0</v>
      </c>
      <c r="S914" s="8">
        <v>1</v>
      </c>
      <c r="T914" s="10">
        <v>-214.85400000000001</v>
      </c>
      <c r="U914" s="10">
        <v>-2603.1370000000002</v>
      </c>
      <c r="V914" s="10">
        <v>0</v>
      </c>
      <c r="W914" s="10">
        <f>IF(RIGHT(C914,2)="12",IF(ISNUMBER(T914),T914,""),IF(COUNT(T914,U914,V914)=3,T914+U914-V914,""))</f>
        <v>-2817.991</v>
      </c>
      <c r="X914" s="10">
        <v>-2817.991</v>
      </c>
      <c r="Y914" s="10">
        <v>0</v>
      </c>
      <c r="Z914" s="10">
        <v>-2603.1370000000002</v>
      </c>
      <c r="AA914" s="10">
        <v>-287.52300000000002</v>
      </c>
      <c r="AB914" s="10">
        <v>72.668999999999997</v>
      </c>
      <c r="AC914" s="8">
        <v>0</v>
      </c>
      <c r="AD914" s="8">
        <v>0</v>
      </c>
      <c r="AE914" s="8">
        <v>0</v>
      </c>
      <c r="AF914" s="10">
        <v>0</v>
      </c>
      <c r="AG914" s="8">
        <f>COUNTIF(Y914:AB914,"&gt;0")</f>
        <v>1</v>
      </c>
      <c r="AH914" s="10">
        <v>72.668999999999997</v>
      </c>
      <c r="AI914" s="10">
        <v>0</v>
      </c>
      <c r="AJ914" s="8" t="str">
        <f>IF(ISNUMBER(X914),IF(X914&gt;0,"+",IF(X914&lt;0,"−","0")),IF(ISNUMBER(W914),IF(W914&gt;0,"+",IF(W914&lt;0,"−","0")),"yok"))</f>
        <v>−</v>
      </c>
      <c r="AK914" s="10">
        <f>IF(AND(RIGHT(C914,2)&lt;&gt;"12",ISNUMBER(U914),ISNUMBER(V914)),U914-V914,"")</f>
        <v>-2603.1370000000002</v>
      </c>
      <c r="AL914" s="11" t="str">
        <f>IF(AND(ISNUMBER(AK914),ISNUMBER(V914)),IF(V914&lt;&gt;0,AK914/ABS(V914),""),"")</f>
        <v/>
      </c>
      <c r="AM914" s="8">
        <f>IF(ISNUMBER(AK914),IF(AK914&gt;1,1,0),"")</f>
        <v>0</v>
      </c>
      <c r="AN914" s="8">
        <f>IF(ISNUMBER(AK914),IF(AK914&gt;0.05*ABS(V914),1,0),"")</f>
        <v>0</v>
      </c>
      <c r="AO914" s="10">
        <v>-2817.991</v>
      </c>
      <c r="AP914" s="10">
        <v>2817.991</v>
      </c>
      <c r="AQ914" s="8" t="s">
        <v>204</v>
      </c>
      <c r="AR914" s="8">
        <v>0</v>
      </c>
      <c r="AS914" s="10">
        <v>4815.241</v>
      </c>
      <c r="AT914" s="10">
        <v>82.421999999999599</v>
      </c>
      <c r="AU914" s="8" t="s">
        <v>204</v>
      </c>
      <c r="AV914" s="10">
        <v>72.668999999999997</v>
      </c>
      <c r="AW914" s="11">
        <f>IF(AND(ISNUMBER(AV914),ISNUMBER(AT914)),IF(AT914&lt;&gt;0,AV914/ABS(AT914),""),"")</f>
        <v>0.88166994249108677</v>
      </c>
      <c r="AX914" s="8">
        <v>0</v>
      </c>
      <c r="AY914" s="8">
        <v>0</v>
      </c>
      <c r="AZ914" s="10"/>
      <c r="BA914" s="8">
        <v>0</v>
      </c>
    </row>
    <row r="915" spans="1:53" x14ac:dyDescent="0.2">
      <c r="A915" s="8" t="s">
        <v>495</v>
      </c>
      <c r="B915" s="8" t="s">
        <v>84</v>
      </c>
      <c r="C915" s="8" t="s">
        <v>215</v>
      </c>
      <c r="D915" s="8">
        <v>1</v>
      </c>
      <c r="E915" s="8">
        <v>0</v>
      </c>
      <c r="F915" s="8">
        <f>SUM(G915:M915)</f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1</v>
      </c>
      <c r="Q915" s="8">
        <v>0</v>
      </c>
      <c r="R915" s="8">
        <v>0</v>
      </c>
      <c r="S915" s="8">
        <v>1</v>
      </c>
      <c r="T915" s="10">
        <v>-1423.588</v>
      </c>
      <c r="U915" s="10">
        <v>-2603.1370000000002</v>
      </c>
      <c r="V915" s="10">
        <v>0</v>
      </c>
      <c r="W915" s="10">
        <f>IF(RIGHT(C915,2)="12",IF(ISNUMBER(T915),T915,""),IF(COUNT(T915,U915,V915)=3,T915+U915-V915,""))</f>
        <v>-4026.7250000000004</v>
      </c>
      <c r="X915" s="10">
        <v>-4026.7249999999999</v>
      </c>
      <c r="Y915" s="10">
        <v>-2603.1370000000002</v>
      </c>
      <c r="Z915" s="10">
        <v>-287.52300000000002</v>
      </c>
      <c r="AA915" s="10">
        <v>72.668999999999997</v>
      </c>
      <c r="AB915" s="10">
        <v>-1208.7339999999999</v>
      </c>
      <c r="AC915" s="8">
        <v>0</v>
      </c>
      <c r="AD915" s="8">
        <v>0</v>
      </c>
      <c r="AE915" s="8">
        <v>0</v>
      </c>
      <c r="AF915" s="10">
        <v>0</v>
      </c>
      <c r="AG915" s="8">
        <f>COUNTIF(Y915:AB915,"&gt;0")</f>
        <v>1</v>
      </c>
      <c r="AH915" s="10">
        <v>72.668999999999997</v>
      </c>
      <c r="AI915" s="10">
        <v>0</v>
      </c>
      <c r="AJ915" s="8" t="str">
        <f>IF(ISNUMBER(X915),IF(X915&gt;0,"+",IF(X915&lt;0,"−","0")),IF(ISNUMBER(W915),IF(W915&gt;0,"+",IF(W915&lt;0,"−","0")),"yok"))</f>
        <v>−</v>
      </c>
      <c r="AK915" s="10">
        <f>IF(AND(RIGHT(C915,2)&lt;&gt;"12",ISNUMBER(U915),ISNUMBER(V915)),U915-V915,"")</f>
        <v>-2603.1370000000002</v>
      </c>
      <c r="AL915" s="11" t="str">
        <f>IF(AND(ISNUMBER(AK915),ISNUMBER(V915)),IF(V915&lt;&gt;0,AK915/ABS(V915),""),"")</f>
        <v/>
      </c>
      <c r="AM915" s="8">
        <f>IF(ISNUMBER(AK915),IF(AK915&gt;1,1,0),"")</f>
        <v>0</v>
      </c>
      <c r="AN915" s="8">
        <f>IF(ISNUMBER(AK915),IF(AK915&gt;0.05*ABS(V915),1,0),"")</f>
        <v>0</v>
      </c>
      <c r="AO915" s="10">
        <v>-4026.7260000000001</v>
      </c>
      <c r="AP915" s="10">
        <v>4026.7260000000001</v>
      </c>
      <c r="AQ915" s="8" t="s">
        <v>204</v>
      </c>
      <c r="AR915" s="8">
        <v>0</v>
      </c>
      <c r="AS915" s="10">
        <v>4688.8010000000004</v>
      </c>
      <c r="AT915" s="10">
        <v>-2317.3380000000002</v>
      </c>
      <c r="AU915" s="8" t="s">
        <v>204</v>
      </c>
      <c r="AV915" s="10">
        <v>72.668999999999997</v>
      </c>
      <c r="AW915" s="11">
        <f>IF(AND(ISNUMBER(AV915),ISNUMBER(AT915)),IF(AT915&lt;&gt;0,AV915/ABS(AT915),""),"")</f>
        <v>3.1358826377507289E-2</v>
      </c>
      <c r="AX915" s="8">
        <v>0</v>
      </c>
      <c r="AY915" s="8">
        <v>0</v>
      </c>
      <c r="AZ915" s="10"/>
      <c r="BA915" s="8">
        <v>0</v>
      </c>
    </row>
    <row r="916" spans="1:53" x14ac:dyDescent="0.2">
      <c r="A916" s="8" t="s">
        <v>495</v>
      </c>
      <c r="B916" s="8" t="s">
        <v>84</v>
      </c>
      <c r="C916" s="8" t="s">
        <v>290</v>
      </c>
      <c r="D916" s="8">
        <v>1</v>
      </c>
      <c r="E916" s="8">
        <v>0</v>
      </c>
      <c r="F916" s="8">
        <f>SUM(G916:M916)</f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1</v>
      </c>
      <c r="Q916" s="8">
        <v>0</v>
      </c>
      <c r="R916" s="8">
        <v>0</v>
      </c>
      <c r="S916" s="8">
        <v>1</v>
      </c>
      <c r="T916" s="10">
        <v>-4027.0039999999999</v>
      </c>
      <c r="U916" s="10"/>
      <c r="V916" s="10"/>
      <c r="W916" s="10">
        <f>IF(RIGHT(C916,2)="12",IF(ISNUMBER(T916),T916,""),IF(COUNT(T916,U916,V916)=3,T916+U916-V916,""))</f>
        <v>-4027.0039999999999</v>
      </c>
      <c r="X916" s="10">
        <v>-4027.0039999999999</v>
      </c>
      <c r="Y916" s="10">
        <v>-287.52300000000002</v>
      </c>
      <c r="Z916" s="10">
        <v>72.668999999999997</v>
      </c>
      <c r="AA916" s="10">
        <v>-1208.7339999999999</v>
      </c>
      <c r="AB916" s="10">
        <v>-2603.415</v>
      </c>
      <c r="AC916" s="8">
        <v>0</v>
      </c>
      <c r="AD916" s="8">
        <v>0</v>
      </c>
      <c r="AE916" s="8">
        <v>0</v>
      </c>
      <c r="AF916" s="10">
        <v>0</v>
      </c>
      <c r="AG916" s="8">
        <f>COUNTIF(Y916:AB916,"&gt;0")</f>
        <v>1</v>
      </c>
      <c r="AH916" s="10">
        <v>72.668999999999997</v>
      </c>
      <c r="AI916" s="10">
        <v>0</v>
      </c>
      <c r="AJ916" s="8" t="str">
        <f>IF(ISNUMBER(X916),IF(X916&gt;0,"+",IF(X916&lt;0,"−","0")),IF(ISNUMBER(W916),IF(W916&gt;0,"+",IF(W916&lt;0,"−","0")),"yok"))</f>
        <v>−</v>
      </c>
      <c r="AK916" s="10" t="str">
        <f>IF(AND(RIGHT(C916,2)&lt;&gt;"12",ISNUMBER(U916),ISNUMBER(V916)),U916-V916,"")</f>
        <v/>
      </c>
      <c r="AL916" s="11" t="str">
        <f>IF(AND(ISNUMBER(AK916),ISNUMBER(V916)),IF(V916&lt;&gt;0,AK916/ABS(V916),""),"")</f>
        <v/>
      </c>
      <c r="AM916" s="8" t="str">
        <f>IF(ISNUMBER(AK916),IF(AK916&gt;1,1,0),"")</f>
        <v/>
      </c>
      <c r="AN916" s="8" t="str">
        <f>IF(ISNUMBER(AK916),IF(AK916&gt;0.05*ABS(V916),1,0),"")</f>
        <v/>
      </c>
      <c r="AO916" s="10">
        <v>-4027.0039999999999</v>
      </c>
      <c r="AP916" s="10">
        <v>4027.0039999999999</v>
      </c>
      <c r="AQ916" s="8" t="s">
        <v>204</v>
      </c>
      <c r="AR916" s="8">
        <v>0</v>
      </c>
      <c r="AS916" s="10">
        <v>6999.5559999999996</v>
      </c>
      <c r="AT916" s="10">
        <v>1146.4459999999999</v>
      </c>
      <c r="AU916" s="8" t="s">
        <v>204</v>
      </c>
      <c r="AV916" s="10">
        <v>72.668999999999997</v>
      </c>
      <c r="AW916" s="11">
        <f>IF(AND(ISNUMBER(AV916),ISNUMBER(AT916)),IF(AT916&lt;&gt;0,AV916/ABS(AT916),""),"")</f>
        <v>6.3386326089497458E-2</v>
      </c>
      <c r="AX916" s="8">
        <v>0</v>
      </c>
      <c r="AY916" s="8">
        <v>0</v>
      </c>
      <c r="AZ916" s="10"/>
      <c r="BA916" s="8">
        <v>0</v>
      </c>
    </row>
    <row r="917" spans="1:53" x14ac:dyDescent="0.2">
      <c r="A917" s="8" t="s">
        <v>496</v>
      </c>
      <c r="B917" s="8" t="s">
        <v>83</v>
      </c>
      <c r="C917" s="8" t="s">
        <v>215</v>
      </c>
      <c r="D917" s="8">
        <v>1</v>
      </c>
      <c r="E917" s="8">
        <v>0</v>
      </c>
      <c r="F917" s="8">
        <f>SUM(G917:M917)</f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1</v>
      </c>
      <c r="Q917" s="8">
        <v>0</v>
      </c>
      <c r="R917" s="8">
        <v>0</v>
      </c>
      <c r="S917" s="8">
        <v>1</v>
      </c>
      <c r="T917" s="10">
        <v>-16.675000000000001</v>
      </c>
      <c r="U917" s="10">
        <v>-30.783999999999999</v>
      </c>
      <c r="V917" s="10">
        <v>-15.641</v>
      </c>
      <c r="W917" s="10">
        <f>IF(RIGHT(C917,2)="12",IF(ISNUMBER(T917),T917,""),IF(COUNT(T917,U917,V917)=3,T917+U917-V917,""))</f>
        <v>-31.818000000000005</v>
      </c>
      <c r="X917" s="10">
        <v>-31.818000000000001</v>
      </c>
      <c r="Y917" s="10">
        <v>-15.143000000000001</v>
      </c>
      <c r="Z917" s="10">
        <v>-11.37</v>
      </c>
      <c r="AA917" s="10">
        <v>-8.52</v>
      </c>
      <c r="AB917" s="10">
        <v>3.2149999999999999</v>
      </c>
      <c r="AC917" s="8">
        <v>0</v>
      </c>
      <c r="AD917" s="8">
        <v>0</v>
      </c>
      <c r="AE917" s="8">
        <v>0</v>
      </c>
      <c r="AF917" s="10">
        <v>0</v>
      </c>
      <c r="AG917" s="8">
        <f>COUNTIF(Y917:AB917,"&gt;0")</f>
        <v>1</v>
      </c>
      <c r="AH917" s="10">
        <v>3.2149999999999999</v>
      </c>
      <c r="AI917" s="10">
        <v>0</v>
      </c>
      <c r="AJ917" s="8" t="str">
        <f>IF(ISNUMBER(X917),IF(X917&gt;0,"+",IF(X917&lt;0,"−","0")),IF(ISNUMBER(W917),IF(W917&gt;0,"+",IF(W917&lt;0,"−","0")),"yok"))</f>
        <v>−</v>
      </c>
      <c r="AK917" s="10">
        <f>IF(AND(RIGHT(C917,2)&lt;&gt;"12",ISNUMBER(U917),ISNUMBER(V917)),U917-V917,"")</f>
        <v>-15.142999999999999</v>
      </c>
      <c r="AL917" s="11">
        <f>IF(AND(ISNUMBER(AK917),ISNUMBER(V917)),IF(V917&lt;&gt;0,AK917/ABS(V917),""),"")</f>
        <v>-0.96816060354197297</v>
      </c>
      <c r="AM917" s="8">
        <f>IF(ISNUMBER(AK917),IF(AK917&gt;1,1,0),"")</f>
        <v>0</v>
      </c>
      <c r="AN917" s="8">
        <f>IF(ISNUMBER(AK917),IF(AK917&gt;0.05*ABS(V917),1,0),"")</f>
        <v>0</v>
      </c>
      <c r="AO917" s="10">
        <v>-31.818999999999999</v>
      </c>
      <c r="AP917" s="10">
        <v>31.818999999999999</v>
      </c>
      <c r="AQ917" s="8" t="s">
        <v>204</v>
      </c>
      <c r="AR917" s="8">
        <v>0</v>
      </c>
      <c r="AS917" s="10">
        <v>122.914</v>
      </c>
      <c r="AT917" s="10">
        <v>91.094999999999999</v>
      </c>
      <c r="AU917" s="8" t="s">
        <v>204</v>
      </c>
      <c r="AV917" s="10">
        <v>3.2149999999999999</v>
      </c>
      <c r="AW917" s="11">
        <f>IF(AND(ISNUMBER(AV917),ISNUMBER(AT917)),IF(AT917&lt;&gt;0,AV917/ABS(AT917),""),"")</f>
        <v>3.5292826170481365E-2</v>
      </c>
      <c r="AX917" s="8">
        <v>0</v>
      </c>
      <c r="AY917" s="8">
        <v>0</v>
      </c>
      <c r="AZ917" s="10"/>
      <c r="BA917" s="8">
        <v>0</v>
      </c>
    </row>
    <row r="918" spans="1:53" x14ac:dyDescent="0.2">
      <c r="A918" s="8" t="s">
        <v>496</v>
      </c>
      <c r="B918" s="8" t="s">
        <v>83</v>
      </c>
      <c r="C918" s="8" t="s">
        <v>290</v>
      </c>
      <c r="D918" s="8">
        <v>1</v>
      </c>
      <c r="E918" s="8">
        <v>0</v>
      </c>
      <c r="F918" s="8">
        <f>SUM(G918:M918)</f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1</v>
      </c>
      <c r="Q918" s="8">
        <v>0</v>
      </c>
      <c r="R918" s="8">
        <v>0</v>
      </c>
      <c r="S918" s="8">
        <v>1</v>
      </c>
      <c r="T918" s="10">
        <v>-24.405999999999999</v>
      </c>
      <c r="U918" s="10"/>
      <c r="V918" s="10"/>
      <c r="W918" s="10">
        <f>IF(RIGHT(C918,2)="12",IF(ISNUMBER(T918),T918,""),IF(COUNT(T918,U918,V918)=3,T918+U918-V918,""))</f>
        <v>-24.405999999999999</v>
      </c>
      <c r="X918" s="10">
        <v>-24.405999999999999</v>
      </c>
      <c r="Y918" s="10">
        <v>-11.37</v>
      </c>
      <c r="Z918" s="10">
        <v>-8.52</v>
      </c>
      <c r="AA918" s="10">
        <v>3.2149999999999999</v>
      </c>
      <c r="AB918" s="10">
        <v>-7.7309999999999999</v>
      </c>
      <c r="AC918" s="8">
        <v>0</v>
      </c>
      <c r="AD918" s="8">
        <v>0</v>
      </c>
      <c r="AE918" s="8">
        <v>0</v>
      </c>
      <c r="AF918" s="10">
        <v>0</v>
      </c>
      <c r="AG918" s="8">
        <f>COUNTIF(Y918:AB918,"&gt;0")</f>
        <v>1</v>
      </c>
      <c r="AH918" s="10">
        <v>3.2149999999999999</v>
      </c>
      <c r="AI918" s="10">
        <v>0</v>
      </c>
      <c r="AJ918" s="8" t="str">
        <f>IF(ISNUMBER(X918),IF(X918&gt;0,"+",IF(X918&lt;0,"−","0")),IF(ISNUMBER(W918),IF(W918&gt;0,"+",IF(W918&lt;0,"−","0")),"yok"))</f>
        <v>−</v>
      </c>
      <c r="AK918" s="10" t="str">
        <f>IF(AND(RIGHT(C918,2)&lt;&gt;"12",ISNUMBER(U918),ISNUMBER(V918)),U918-V918,"")</f>
        <v/>
      </c>
      <c r="AL918" s="11" t="str">
        <f>IF(AND(ISNUMBER(AK918),ISNUMBER(V918)),IF(V918&lt;&gt;0,AK918/ABS(V918),""),"")</f>
        <v/>
      </c>
      <c r="AM918" s="8" t="str">
        <f>IF(ISNUMBER(AK918),IF(AK918&gt;1,1,0),"")</f>
        <v/>
      </c>
      <c r="AN918" s="8" t="str">
        <f>IF(ISNUMBER(AK918),IF(AK918&gt;0.05*ABS(V918),1,0),"")</f>
        <v/>
      </c>
      <c r="AO918" s="10">
        <v>-24.407</v>
      </c>
      <c r="AP918" s="10">
        <v>24.407</v>
      </c>
      <c r="AQ918" s="8" t="s">
        <v>204</v>
      </c>
      <c r="AR918" s="8">
        <v>0</v>
      </c>
      <c r="AS918" s="10">
        <v>126.33199999999999</v>
      </c>
      <c r="AT918" s="10">
        <v>101.925</v>
      </c>
      <c r="AU918" s="8" t="s">
        <v>204</v>
      </c>
      <c r="AV918" s="10">
        <v>3.2149999999999999</v>
      </c>
      <c r="AW918" s="11">
        <f>IF(AND(ISNUMBER(AV918),ISNUMBER(AT918)),IF(AT918&lt;&gt;0,AV918/ABS(AT918),""),"")</f>
        <v>3.1542801079224921E-2</v>
      </c>
      <c r="AX918" s="8">
        <v>0</v>
      </c>
      <c r="AY918" s="8">
        <v>0</v>
      </c>
      <c r="AZ918" s="10"/>
      <c r="BA918" s="8">
        <v>0</v>
      </c>
    </row>
    <row r="919" spans="1:53" x14ac:dyDescent="0.2">
      <c r="A919" s="8" t="s">
        <v>497</v>
      </c>
      <c r="B919" s="8" t="s">
        <v>83</v>
      </c>
      <c r="C919" s="8" t="s">
        <v>210</v>
      </c>
      <c r="D919" s="8">
        <v>1</v>
      </c>
      <c r="E919" s="8">
        <v>0</v>
      </c>
      <c r="F919" s="8">
        <f>SUM(G919:M919)</f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1</v>
      </c>
      <c r="Q919" s="8">
        <v>0</v>
      </c>
      <c r="R919" s="8">
        <v>0</v>
      </c>
      <c r="S919" s="8">
        <v>1</v>
      </c>
      <c r="T919" s="10">
        <v>-20.445</v>
      </c>
      <c r="U919" s="10">
        <v>-171.75800000000001</v>
      </c>
      <c r="V919" s="10">
        <v>-42.234000000000002</v>
      </c>
      <c r="W919" s="10">
        <f>IF(RIGHT(C919,2)="12",IF(ISNUMBER(T919),T919,""),IF(COUNT(T919,U919,V919)=3,T919+U919-V919,""))</f>
        <v>-149.96899999999999</v>
      </c>
      <c r="X919" s="10">
        <v>-149.96799999999999</v>
      </c>
      <c r="Y919" s="10">
        <v>-25.434999999999999</v>
      </c>
      <c r="Z919" s="10">
        <v>-104.08799999999999</v>
      </c>
      <c r="AA919" s="10">
        <v>-25.544</v>
      </c>
      <c r="AB919" s="10">
        <v>5.0990000000000002</v>
      </c>
      <c r="AC919" s="8">
        <v>0</v>
      </c>
      <c r="AD919" s="8">
        <v>0</v>
      </c>
      <c r="AE919" s="8">
        <v>0</v>
      </c>
      <c r="AF919" s="10">
        <v>0</v>
      </c>
      <c r="AG919" s="8">
        <f>COUNTIF(Y919:AB919,"&gt;0")</f>
        <v>1</v>
      </c>
      <c r="AH919" s="10">
        <v>5.0990000000000002</v>
      </c>
      <c r="AI919" s="10">
        <v>0</v>
      </c>
      <c r="AJ919" s="8" t="str">
        <f>IF(ISNUMBER(X919),IF(X919&gt;0,"+",IF(X919&lt;0,"−","0")),IF(ISNUMBER(W919),IF(W919&gt;0,"+",IF(W919&lt;0,"−","0")),"yok"))</f>
        <v>−</v>
      </c>
      <c r="AK919" s="10">
        <f>IF(AND(RIGHT(C919,2)&lt;&gt;"12",ISNUMBER(U919),ISNUMBER(V919)),U919-V919,"")</f>
        <v>-129.524</v>
      </c>
      <c r="AL919" s="11">
        <f>IF(AND(ISNUMBER(AK919),ISNUMBER(V919)),IF(V919&lt;&gt;0,AK919/ABS(V919),""),"")</f>
        <v>-3.0668182033432778</v>
      </c>
      <c r="AM919" s="8">
        <f>IF(ISNUMBER(AK919),IF(AK919&gt;1,1,0),"")</f>
        <v>0</v>
      </c>
      <c r="AN919" s="8">
        <f>IF(ISNUMBER(AK919),IF(AK919&gt;0.05*ABS(V919),1,0),"")</f>
        <v>0</v>
      </c>
      <c r="AO919" s="10">
        <v>-149.96899999999999</v>
      </c>
      <c r="AP919" s="10">
        <v>149.96899999999999</v>
      </c>
      <c r="AQ919" s="8" t="s">
        <v>204</v>
      </c>
      <c r="AR919" s="8">
        <v>0</v>
      </c>
      <c r="AS919" s="10">
        <v>300.30200000000002</v>
      </c>
      <c r="AT919" s="10">
        <v>150.333</v>
      </c>
      <c r="AU919" s="8" t="s">
        <v>204</v>
      </c>
      <c r="AV919" s="10">
        <v>5.0990000000000002</v>
      </c>
      <c r="AW919" s="11">
        <f>IF(AND(ISNUMBER(AV919),ISNUMBER(AT919)),IF(AT919&lt;&gt;0,AV919/ABS(AT919),""),"")</f>
        <v>3.3918035294978485E-2</v>
      </c>
      <c r="AX919" s="8">
        <v>0</v>
      </c>
      <c r="AY919" s="8">
        <v>0</v>
      </c>
      <c r="AZ919" s="10"/>
      <c r="BA919" s="8">
        <v>0</v>
      </c>
    </row>
    <row r="920" spans="1:53" x14ac:dyDescent="0.2">
      <c r="A920" s="8" t="s">
        <v>633</v>
      </c>
      <c r="B920" s="8" t="s">
        <v>82</v>
      </c>
      <c r="C920" s="8" t="s">
        <v>205</v>
      </c>
      <c r="D920" s="8">
        <v>1</v>
      </c>
      <c r="E920" s="8">
        <v>0</v>
      </c>
      <c r="F920" s="8">
        <f>SUM(G920:M920)</f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1</v>
      </c>
      <c r="Q920" s="8">
        <v>0</v>
      </c>
      <c r="R920" s="8">
        <v>0</v>
      </c>
      <c r="S920" s="8">
        <v>1</v>
      </c>
      <c r="T920" s="10">
        <v>-1.3120000000000001</v>
      </c>
      <c r="U920" s="10">
        <v>-39.843000000000004</v>
      </c>
      <c r="V920" s="10">
        <v>-11.721</v>
      </c>
      <c r="W920" s="10">
        <f>IF(RIGHT(C920,2)="12",IF(ISNUMBER(T920),T920,""),IF(COUNT(T920,U920,V920)=3,T920+U920-V920,""))</f>
        <v>-29.434000000000001</v>
      </c>
      <c r="X920" s="10">
        <v>-29.434000000000001</v>
      </c>
      <c r="Y920" s="10">
        <v>-4.3109999999999999</v>
      </c>
      <c r="Z920" s="10">
        <v>-23.81</v>
      </c>
      <c r="AA920" s="10">
        <v>-4.9160000000000004</v>
      </c>
      <c r="AB920" s="10">
        <v>3.6030000000000002</v>
      </c>
      <c r="AC920" s="8">
        <v>0</v>
      </c>
      <c r="AD920" s="8">
        <v>0</v>
      </c>
      <c r="AE920" s="8">
        <v>0</v>
      </c>
      <c r="AF920" s="10">
        <v>0</v>
      </c>
      <c r="AG920" s="8">
        <f>COUNTIF(Y920:AB920,"&gt;0")</f>
        <v>1</v>
      </c>
      <c r="AH920" s="10">
        <v>3.6030000000000002</v>
      </c>
      <c r="AI920" s="10">
        <v>0</v>
      </c>
      <c r="AJ920" s="8" t="str">
        <f>IF(ISNUMBER(X920),IF(X920&gt;0,"+",IF(X920&lt;0,"−","0")),IF(ISNUMBER(W920),IF(W920&gt;0,"+",IF(W920&lt;0,"−","0")),"yok"))</f>
        <v>−</v>
      </c>
      <c r="AK920" s="10">
        <f>IF(AND(RIGHT(C920,2)&lt;&gt;"12",ISNUMBER(U920),ISNUMBER(V920)),U920-V920,"")</f>
        <v>-28.122000000000003</v>
      </c>
      <c r="AL920" s="11">
        <f>IF(AND(ISNUMBER(AK920),ISNUMBER(V920)),IF(V920&lt;&gt;0,AK920/ABS(V920),""),"")</f>
        <v>-2.3992833375991811</v>
      </c>
      <c r="AM920" s="8">
        <f>IF(ISNUMBER(AK920),IF(AK920&gt;1,1,0),"")</f>
        <v>0</v>
      </c>
      <c r="AN920" s="8">
        <f>IF(ISNUMBER(AK920),IF(AK920&gt;0.05*ABS(V920),1,0),"")</f>
        <v>0</v>
      </c>
      <c r="AO920" s="10">
        <v>-29.434000000000001</v>
      </c>
      <c r="AP920" s="10">
        <v>29.434000000000001</v>
      </c>
      <c r="AQ920" s="8" t="s">
        <v>204</v>
      </c>
      <c r="AR920" s="8">
        <v>0</v>
      </c>
      <c r="AS920" s="10">
        <v>-264.35700000000003</v>
      </c>
      <c r="AT920" s="10">
        <v>-344.1</v>
      </c>
      <c r="AU920" s="8" t="s">
        <v>204</v>
      </c>
      <c r="AV920" s="10">
        <v>3.6030000000000002</v>
      </c>
      <c r="AW920" s="11">
        <f>IF(AND(ISNUMBER(AV920),ISNUMBER(AT920)),IF(AT920&lt;&gt;0,AV920/ABS(AT920),""),"")</f>
        <v>1.0470793374019181E-2</v>
      </c>
      <c r="AX920" s="8">
        <v>0</v>
      </c>
      <c r="AY920" s="8">
        <v>0</v>
      </c>
      <c r="AZ920" s="10"/>
      <c r="BA920" s="8">
        <v>0</v>
      </c>
    </row>
    <row r="921" spans="1:53" x14ac:dyDescent="0.2">
      <c r="A921" s="8" t="s">
        <v>633</v>
      </c>
      <c r="B921" s="8" t="s">
        <v>82</v>
      </c>
      <c r="C921" s="8" t="s">
        <v>215</v>
      </c>
      <c r="D921" s="8">
        <v>1</v>
      </c>
      <c r="E921" s="8">
        <v>0</v>
      </c>
      <c r="F921" s="8">
        <f>SUM(G921:M921)</f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1</v>
      </c>
      <c r="Q921" s="8">
        <v>0</v>
      </c>
      <c r="R921" s="8">
        <v>0</v>
      </c>
      <c r="S921" s="8">
        <v>1</v>
      </c>
      <c r="T921" s="10">
        <v>-4.1790000000000003</v>
      </c>
      <c r="U921" s="10">
        <v>-39.843000000000004</v>
      </c>
      <c r="V921" s="10">
        <v>-16.032</v>
      </c>
      <c r="W921" s="10">
        <f>IF(RIGHT(C921,2)="12",IF(ISNUMBER(T921),T921,""),IF(COUNT(T921,U921,V921)=3,T921+U921-V921,""))</f>
        <v>-27.990000000000006</v>
      </c>
      <c r="X921" s="10">
        <v>-27.989000000000001</v>
      </c>
      <c r="Y921" s="10">
        <v>-23.81</v>
      </c>
      <c r="Z921" s="10">
        <v>-4.9160000000000004</v>
      </c>
      <c r="AA921" s="10">
        <v>3.6030000000000002</v>
      </c>
      <c r="AB921" s="10">
        <v>-2.8660000000000001</v>
      </c>
      <c r="AC921" s="8">
        <v>0</v>
      </c>
      <c r="AD921" s="8">
        <v>0</v>
      </c>
      <c r="AE921" s="8">
        <v>0</v>
      </c>
      <c r="AF921" s="10">
        <v>0</v>
      </c>
      <c r="AG921" s="8">
        <f>COUNTIF(Y921:AB921,"&gt;0")</f>
        <v>1</v>
      </c>
      <c r="AH921" s="10">
        <v>3.6030000000000002</v>
      </c>
      <c r="AI921" s="10">
        <v>0</v>
      </c>
      <c r="AJ921" s="8" t="str">
        <f>IF(ISNUMBER(X921),IF(X921&gt;0,"+",IF(X921&lt;0,"−","0")),IF(ISNUMBER(W921),IF(W921&gt;0,"+",IF(W921&lt;0,"−","0")),"yok"))</f>
        <v>−</v>
      </c>
      <c r="AK921" s="10">
        <f>IF(AND(RIGHT(C921,2)&lt;&gt;"12",ISNUMBER(U921),ISNUMBER(V921)),U921-V921,"")</f>
        <v>-23.811000000000003</v>
      </c>
      <c r="AL921" s="11">
        <f>IF(AND(ISNUMBER(AK921),ISNUMBER(V921)),IF(V921&lt;&gt;0,AK921/ABS(V921),""),"")</f>
        <v>-1.4852170658682637</v>
      </c>
      <c r="AM921" s="8">
        <f>IF(ISNUMBER(AK921),IF(AK921&gt;1,1,0),"")</f>
        <v>0</v>
      </c>
      <c r="AN921" s="8">
        <f>IF(ISNUMBER(AK921),IF(AK921&gt;0.05*ABS(V921),1,0),"")</f>
        <v>0</v>
      </c>
      <c r="AO921" s="10">
        <v>-27.99</v>
      </c>
      <c r="AP921" s="10">
        <v>27.99</v>
      </c>
      <c r="AQ921" s="8" t="s">
        <v>204</v>
      </c>
      <c r="AR921" s="8">
        <v>0</v>
      </c>
      <c r="AS921" s="10">
        <v>-166.44200000000001</v>
      </c>
      <c r="AT921" s="10">
        <v>-350.42700000000002</v>
      </c>
      <c r="AU921" s="8" t="s">
        <v>204</v>
      </c>
      <c r="AV921" s="10">
        <v>3.6030000000000002</v>
      </c>
      <c r="AW921" s="11">
        <f>IF(AND(ISNUMBER(AV921),ISNUMBER(AT921)),IF(AT921&lt;&gt;0,AV921/ABS(AT921),""),"")</f>
        <v>1.0281741989059063E-2</v>
      </c>
      <c r="AX921" s="8">
        <v>0</v>
      </c>
      <c r="AY921" s="8">
        <v>0</v>
      </c>
      <c r="AZ921" s="10"/>
      <c r="BA921" s="8">
        <v>0</v>
      </c>
    </row>
    <row r="922" spans="1:53" x14ac:dyDescent="0.2">
      <c r="A922" s="8" t="s">
        <v>633</v>
      </c>
      <c r="B922" s="8" t="s">
        <v>82</v>
      </c>
      <c r="C922" s="8" t="s">
        <v>290</v>
      </c>
      <c r="D922" s="8">
        <v>1</v>
      </c>
      <c r="E922" s="8">
        <v>0</v>
      </c>
      <c r="F922" s="8">
        <f>SUM(G922:M922)</f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1</v>
      </c>
      <c r="Q922" s="8">
        <v>0</v>
      </c>
      <c r="R922" s="8">
        <v>0</v>
      </c>
      <c r="S922" s="8">
        <v>1</v>
      </c>
      <c r="T922" s="10">
        <v>-10.72</v>
      </c>
      <c r="U922" s="10"/>
      <c r="V922" s="10"/>
      <c r="W922" s="10">
        <f>IF(RIGHT(C922,2)="12",IF(ISNUMBER(T922),T922,""),IF(COUNT(T922,U922,V922)=3,T922+U922-V922,""))</f>
        <v>-10.72</v>
      </c>
      <c r="X922" s="10">
        <v>-10.72</v>
      </c>
      <c r="Y922" s="10">
        <v>-4.9160000000000004</v>
      </c>
      <c r="Z922" s="10">
        <v>3.6030000000000002</v>
      </c>
      <c r="AA922" s="10">
        <v>-2.8660000000000001</v>
      </c>
      <c r="AB922" s="10">
        <v>-6.5410000000000004</v>
      </c>
      <c r="AC922" s="8">
        <v>0</v>
      </c>
      <c r="AD922" s="8">
        <v>0</v>
      </c>
      <c r="AE922" s="8">
        <v>0</v>
      </c>
      <c r="AF922" s="10">
        <v>0</v>
      </c>
      <c r="AG922" s="8">
        <f>COUNTIF(Y922:AB922,"&gt;0")</f>
        <v>1</v>
      </c>
      <c r="AH922" s="10">
        <v>3.6030000000000002</v>
      </c>
      <c r="AI922" s="10">
        <v>0</v>
      </c>
      <c r="AJ922" s="8" t="str">
        <f>IF(ISNUMBER(X922),IF(X922&gt;0,"+",IF(X922&lt;0,"−","0")),IF(ISNUMBER(W922),IF(W922&gt;0,"+",IF(W922&lt;0,"−","0")),"yok"))</f>
        <v>−</v>
      </c>
      <c r="AK922" s="10" t="str">
        <f>IF(AND(RIGHT(C922,2)&lt;&gt;"12",ISNUMBER(U922),ISNUMBER(V922)),U922-V922,"")</f>
        <v/>
      </c>
      <c r="AL922" s="11" t="str">
        <f>IF(AND(ISNUMBER(AK922),ISNUMBER(V922)),IF(V922&lt;&gt;0,AK922/ABS(V922),""),"")</f>
        <v/>
      </c>
      <c r="AM922" s="8" t="str">
        <f>IF(ISNUMBER(AK922),IF(AK922&gt;1,1,0),"")</f>
        <v/>
      </c>
      <c r="AN922" s="8" t="str">
        <f>IF(ISNUMBER(AK922),IF(AK922&gt;0.05*ABS(V922),1,0),"")</f>
        <v/>
      </c>
      <c r="AO922" s="10">
        <v>-10.721</v>
      </c>
      <c r="AP922" s="10">
        <v>10.721</v>
      </c>
      <c r="AQ922" s="8" t="s">
        <v>204</v>
      </c>
      <c r="AR922" s="8">
        <v>0</v>
      </c>
      <c r="AS922" s="10">
        <v>22.872</v>
      </c>
      <c r="AT922" s="10">
        <v>-312.21300000000002</v>
      </c>
      <c r="AU922" s="8" t="s">
        <v>204</v>
      </c>
      <c r="AV922" s="10">
        <v>3.6030000000000002</v>
      </c>
      <c r="AW922" s="11">
        <f>IF(AND(ISNUMBER(AV922),ISNUMBER(AT922)),IF(AT922&lt;&gt;0,AV922/ABS(AT922),""),"")</f>
        <v>1.1540198518319224E-2</v>
      </c>
      <c r="AX922" s="8">
        <v>0</v>
      </c>
      <c r="AY922" s="8">
        <v>0</v>
      </c>
      <c r="AZ922" s="10"/>
      <c r="BA922" s="8">
        <v>0</v>
      </c>
    </row>
    <row r="923" spans="1:53" x14ac:dyDescent="0.2">
      <c r="A923" s="8" t="s">
        <v>633</v>
      </c>
      <c r="B923" s="8" t="s">
        <v>82</v>
      </c>
      <c r="C923" s="8" t="s">
        <v>208</v>
      </c>
      <c r="D923" s="8">
        <v>1</v>
      </c>
      <c r="E923" s="8">
        <v>0</v>
      </c>
      <c r="F923" s="8">
        <f>SUM(G923:M923)</f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1</v>
      </c>
      <c r="Q923" s="8">
        <v>0</v>
      </c>
      <c r="R923" s="8">
        <v>1</v>
      </c>
      <c r="S923" s="8">
        <v>0</v>
      </c>
      <c r="T923" s="10">
        <v>-8.234</v>
      </c>
      <c r="U923" s="10">
        <v>-10.72</v>
      </c>
      <c r="V923" s="10">
        <v>-4.9160000000000004</v>
      </c>
      <c r="W923" s="10">
        <f>IF(RIGHT(C923,2)="12",IF(ISNUMBER(T923),T923,""),IF(COUNT(T923,U923,V923)=3,T923+U923-V923,""))</f>
        <v>-14.038</v>
      </c>
      <c r="X923" s="10">
        <v>-14.039</v>
      </c>
      <c r="Y923" s="10">
        <v>3.6030000000000002</v>
      </c>
      <c r="Z923" s="10">
        <v>-2.8660000000000001</v>
      </c>
      <c r="AA923" s="10">
        <v>-6.5410000000000004</v>
      </c>
      <c r="AB923" s="10">
        <v>-8.234</v>
      </c>
      <c r="AC923" s="8">
        <v>0</v>
      </c>
      <c r="AD923" s="8">
        <v>0</v>
      </c>
      <c r="AE923" s="8">
        <v>0</v>
      </c>
      <c r="AF923" s="10">
        <v>0</v>
      </c>
      <c r="AG923" s="8">
        <f>COUNTIF(Y923:AB923,"&gt;0")</f>
        <v>1</v>
      </c>
      <c r="AH923" s="10">
        <v>0</v>
      </c>
      <c r="AI923" s="10">
        <v>3.6030000000000002</v>
      </c>
      <c r="AJ923" s="8" t="str">
        <f>IF(ISNUMBER(X923),IF(X923&gt;0,"+",IF(X923&lt;0,"−","0")),IF(ISNUMBER(W923),IF(W923&gt;0,"+",IF(W923&lt;0,"−","0")),"yok"))</f>
        <v>−</v>
      </c>
      <c r="AK923" s="10">
        <f>IF(AND(RIGHT(C923,2)&lt;&gt;"12",ISNUMBER(U923),ISNUMBER(V923)),U923-V923,"")</f>
        <v>-5.8040000000000003</v>
      </c>
      <c r="AL923" s="11">
        <f>IF(AND(ISNUMBER(AK923),ISNUMBER(V923)),IF(V923&lt;&gt;0,AK923/ABS(V923),""),"")</f>
        <v>-1.1806346623270951</v>
      </c>
      <c r="AM923" s="8">
        <f>IF(ISNUMBER(AK923),IF(AK923&gt;1,1,0),"")</f>
        <v>0</v>
      </c>
      <c r="AN923" s="8">
        <f>IF(ISNUMBER(AK923),IF(AK923&gt;0.05*ABS(V923),1,0),"")</f>
        <v>0</v>
      </c>
      <c r="AO923" s="10">
        <v>-14.039</v>
      </c>
      <c r="AP923" s="10">
        <v>14.039</v>
      </c>
      <c r="AQ923" s="8" t="s">
        <v>204</v>
      </c>
      <c r="AR923" s="8">
        <v>0</v>
      </c>
      <c r="AS923" s="10">
        <v>294.78199999999998</v>
      </c>
      <c r="AT923" s="10">
        <v>-70.492999999999995</v>
      </c>
      <c r="AU923" s="8" t="s">
        <v>204</v>
      </c>
      <c r="AV923" s="10">
        <v>3.6030000000000002</v>
      </c>
      <c r="AW923" s="11">
        <f>IF(AND(ISNUMBER(AV923),ISNUMBER(AT923)),IF(AT923&lt;&gt;0,AV923/ABS(AT923),""),"")</f>
        <v>5.1111457875250031E-2</v>
      </c>
      <c r="AX923" s="8">
        <v>0</v>
      </c>
      <c r="AY923" s="8">
        <v>0</v>
      </c>
      <c r="AZ923" s="10"/>
      <c r="BA923" s="8">
        <v>0</v>
      </c>
    </row>
    <row r="924" spans="1:53" x14ac:dyDescent="0.2">
      <c r="A924" s="8" t="s">
        <v>498</v>
      </c>
      <c r="B924" s="8" t="s">
        <v>83</v>
      </c>
      <c r="C924" s="8" t="s">
        <v>205</v>
      </c>
      <c r="D924" s="8">
        <v>1</v>
      </c>
      <c r="E924" s="8">
        <v>0</v>
      </c>
      <c r="F924" s="8">
        <f>SUM(G924:M924)</f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1</v>
      </c>
      <c r="Q924" s="8">
        <v>0</v>
      </c>
      <c r="R924" s="8">
        <v>0</v>
      </c>
      <c r="S924" s="8">
        <v>1</v>
      </c>
      <c r="T924" s="10">
        <v>-177.20400000000001</v>
      </c>
      <c r="U924" s="10">
        <v>-291.26799999999997</v>
      </c>
      <c r="V924" s="10"/>
      <c r="W924" s="10" t="str">
        <f>IF(RIGHT(C924,2)="12",IF(ISNUMBER(T924),T924,""),IF(COUNT(T924,U924,V924)=3,T924+U924-V924,""))</f>
        <v/>
      </c>
      <c r="X924" s="10"/>
      <c r="Y924" s="10"/>
      <c r="Z924" s="10"/>
      <c r="AA924" s="10">
        <v>-312.21100000000001</v>
      </c>
      <c r="AB924" s="10">
        <v>135.00700000000001</v>
      </c>
      <c r="AC924" s="8">
        <v>0</v>
      </c>
      <c r="AD924" s="8">
        <v>0</v>
      </c>
      <c r="AE924" s="8">
        <v>0</v>
      </c>
      <c r="AF924" s="10">
        <v>0</v>
      </c>
      <c r="AG924" s="8">
        <f>COUNTIF(Y924:AB924,"&gt;0")</f>
        <v>1</v>
      </c>
      <c r="AH924" s="10">
        <v>135.00700000000001</v>
      </c>
      <c r="AI924" s="10">
        <v>0</v>
      </c>
      <c r="AJ924" s="8" t="str">
        <f>IF(ISNUMBER(X924),IF(X924&gt;0,"+",IF(X924&lt;0,"−","0")),IF(ISNUMBER(W924),IF(W924&gt;0,"+",IF(W924&lt;0,"−","0")),"yok"))</f>
        <v>yok</v>
      </c>
      <c r="AK924" s="10" t="str">
        <f>IF(AND(RIGHT(C924,2)&lt;&gt;"12",ISNUMBER(U924),ISNUMBER(V924)),U924-V924,"")</f>
        <v/>
      </c>
      <c r="AL924" s="11" t="str">
        <f>IF(AND(ISNUMBER(AK924),ISNUMBER(V924)),IF(V924&lt;&gt;0,AK924/ABS(V924),""),"")</f>
        <v/>
      </c>
      <c r="AM924" s="8" t="str">
        <f>IF(ISNUMBER(AK924),IF(AK924&gt;1,1,0),"")</f>
        <v/>
      </c>
      <c r="AN924" s="8" t="str">
        <f>IF(ISNUMBER(AK924),IF(AK924&gt;0.05*ABS(V924),1,0),"")</f>
        <v/>
      </c>
      <c r="AO924" s="10"/>
      <c r="AP924" s="10"/>
      <c r="AQ924" s="8" t="s">
        <v>207</v>
      </c>
      <c r="AR924" s="8">
        <v>0</v>
      </c>
      <c r="AS924" s="10"/>
      <c r="AT924" s="10"/>
      <c r="AU924" s="8" t="s">
        <v>207</v>
      </c>
      <c r="AV924" s="10">
        <v>135.00700000000001</v>
      </c>
      <c r="AW924" s="11" t="str">
        <f>IF(AND(ISNUMBER(AV924),ISNUMBER(AT924)),IF(AT924&lt;&gt;0,AV924/ABS(AT924),""),"")</f>
        <v/>
      </c>
      <c r="AX924" s="8">
        <v>0</v>
      </c>
      <c r="AY924" s="8">
        <v>0</v>
      </c>
      <c r="AZ924" s="10"/>
      <c r="BA924" s="8">
        <v>0</v>
      </c>
    </row>
    <row r="925" spans="1:53" x14ac:dyDescent="0.2">
      <c r="A925" s="8" t="s">
        <v>498</v>
      </c>
      <c r="B925" s="8" t="s">
        <v>83</v>
      </c>
      <c r="C925" s="8" t="s">
        <v>290</v>
      </c>
      <c r="D925" s="8">
        <v>1</v>
      </c>
      <c r="E925" s="8">
        <v>0</v>
      </c>
      <c r="F925" s="8">
        <f>SUM(G925:M925)</f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1</v>
      </c>
      <c r="Q925" s="8">
        <v>0</v>
      </c>
      <c r="R925" s="8">
        <v>0</v>
      </c>
      <c r="S925" s="8">
        <v>1</v>
      </c>
      <c r="T925" s="10">
        <v>-125.74</v>
      </c>
      <c r="U925" s="10"/>
      <c r="V925" s="10"/>
      <c r="W925" s="10">
        <f>IF(RIGHT(C925,2)="12",IF(ISNUMBER(T925),T925,""),IF(COUNT(T925,U925,V925)=3,T925+U925-V925,""))</f>
        <v>-125.74</v>
      </c>
      <c r="X925" s="10">
        <v>-125.74</v>
      </c>
      <c r="Y925" s="10">
        <v>-312.21100000000001</v>
      </c>
      <c r="Z925" s="10">
        <v>135.00700000000001</v>
      </c>
      <c r="AA925" s="10"/>
      <c r="AB925" s="10"/>
      <c r="AC925" s="8">
        <v>0</v>
      </c>
      <c r="AD925" s="8">
        <v>0</v>
      </c>
      <c r="AE925" s="8">
        <v>0</v>
      </c>
      <c r="AF925" s="10">
        <v>0</v>
      </c>
      <c r="AG925" s="8">
        <f>COUNTIF(Y925:AB925,"&gt;0")</f>
        <v>1</v>
      </c>
      <c r="AH925" s="10">
        <v>135.00700000000001</v>
      </c>
      <c r="AI925" s="10">
        <v>0</v>
      </c>
      <c r="AJ925" s="8" t="str">
        <f>IF(ISNUMBER(X925),IF(X925&gt;0,"+",IF(X925&lt;0,"−","0")),IF(ISNUMBER(W925),IF(W925&gt;0,"+",IF(W925&lt;0,"−","0")),"yok"))</f>
        <v>−</v>
      </c>
      <c r="AK925" s="10" t="str">
        <f>IF(AND(RIGHT(C925,2)&lt;&gt;"12",ISNUMBER(U925),ISNUMBER(V925)),U925-V925,"")</f>
        <v/>
      </c>
      <c r="AL925" s="11" t="str">
        <f>IF(AND(ISNUMBER(AK925),ISNUMBER(V925)),IF(V925&lt;&gt;0,AK925/ABS(V925),""),"")</f>
        <v/>
      </c>
      <c r="AM925" s="8" t="str">
        <f>IF(ISNUMBER(AK925),IF(AK925&gt;1,1,0),"")</f>
        <v/>
      </c>
      <c r="AN925" s="8" t="str">
        <f>IF(ISNUMBER(AK925),IF(AK925&gt;0.05*ABS(V925),1,0),"")</f>
        <v/>
      </c>
      <c r="AO925" s="10"/>
      <c r="AP925" s="10"/>
      <c r="AQ925" s="8" t="s">
        <v>207</v>
      </c>
      <c r="AR925" s="8">
        <v>0</v>
      </c>
      <c r="AS925" s="10"/>
      <c r="AT925" s="10"/>
      <c r="AU925" s="8" t="s">
        <v>207</v>
      </c>
      <c r="AV925" s="10">
        <v>135.00700000000001</v>
      </c>
      <c r="AW925" s="11" t="str">
        <f>IF(AND(ISNUMBER(AV925),ISNUMBER(AT925)),IF(AT925&lt;&gt;0,AV925/ABS(AT925),""),"")</f>
        <v/>
      </c>
      <c r="AX925" s="8">
        <v>0</v>
      </c>
      <c r="AY925" s="8">
        <v>0</v>
      </c>
      <c r="AZ925" s="10"/>
      <c r="BA925" s="8">
        <v>0</v>
      </c>
    </row>
    <row r="926" spans="1:53" x14ac:dyDescent="0.2">
      <c r="A926" s="8" t="s">
        <v>634</v>
      </c>
      <c r="B926" s="8" t="s">
        <v>83</v>
      </c>
      <c r="C926" s="8" t="s">
        <v>215</v>
      </c>
      <c r="D926" s="8">
        <v>1</v>
      </c>
      <c r="E926" s="8">
        <v>0</v>
      </c>
      <c r="F926" s="8">
        <f>SUM(G926:M926)</f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1</v>
      </c>
      <c r="Q926" s="8">
        <v>0</v>
      </c>
      <c r="R926" s="8">
        <v>0</v>
      </c>
      <c r="S926" s="8">
        <v>1</v>
      </c>
      <c r="T926" s="10">
        <v>-16627.053</v>
      </c>
      <c r="U926" s="10">
        <v>-46338.322</v>
      </c>
      <c r="V926" s="10">
        <v>-37221.61</v>
      </c>
      <c r="W926" s="10">
        <f>IF(RIGHT(C926,2)="12",IF(ISNUMBER(T926),T926,""),IF(COUNT(T926,U926,V926)=3,T926+U926-V926,""))</f>
        <v>-25743.764999999999</v>
      </c>
      <c r="X926" s="10">
        <v>-25743.764999999999</v>
      </c>
      <c r="Y926" s="10">
        <v>-9116.7109999999993</v>
      </c>
      <c r="Z926" s="10">
        <v>-11284.538</v>
      </c>
      <c r="AA926" s="10">
        <v>-5635.9279999999999</v>
      </c>
      <c r="AB926" s="10">
        <v>293.41300000000001</v>
      </c>
      <c r="AC926" s="8">
        <v>0</v>
      </c>
      <c r="AD926" s="8">
        <v>0</v>
      </c>
      <c r="AE926" s="8">
        <v>0</v>
      </c>
      <c r="AF926" s="10">
        <v>0</v>
      </c>
      <c r="AG926" s="8">
        <f>COUNTIF(Y926:AB926,"&gt;0")</f>
        <v>1</v>
      </c>
      <c r="AH926" s="10">
        <v>293.41300000000001</v>
      </c>
      <c r="AI926" s="10">
        <v>0</v>
      </c>
      <c r="AJ926" s="8" t="str">
        <f>IF(ISNUMBER(X926),IF(X926&gt;0,"+",IF(X926&lt;0,"−","0")),IF(ISNUMBER(W926),IF(W926&gt;0,"+",IF(W926&lt;0,"−","0")),"yok"))</f>
        <v>−</v>
      </c>
      <c r="AK926" s="10">
        <f>IF(AND(RIGHT(C926,2)&lt;&gt;"12",ISNUMBER(U926),ISNUMBER(V926)),U926-V926,"")</f>
        <v>-9116.7119999999995</v>
      </c>
      <c r="AL926" s="11">
        <f>IF(AND(ISNUMBER(AK926),ISNUMBER(V926)),IF(V926&lt;&gt;0,AK926/ABS(V926),""),"")</f>
        <v>-0.24493061960511647</v>
      </c>
      <c r="AM926" s="8">
        <f>IF(ISNUMBER(AK926),IF(AK926&gt;1,1,0),"")</f>
        <v>0</v>
      </c>
      <c r="AN926" s="8">
        <f>IF(ISNUMBER(AK926),IF(AK926&gt;0.05*ABS(V926),1,0),"")</f>
        <v>0</v>
      </c>
      <c r="AO926" s="10">
        <v>-25743.764999999999</v>
      </c>
      <c r="AP926" s="10">
        <v>25743.764999999999</v>
      </c>
      <c r="AQ926" s="8" t="s">
        <v>204</v>
      </c>
      <c r="AR926" s="8">
        <v>0</v>
      </c>
      <c r="AS926" s="10">
        <v>27937.547999999999</v>
      </c>
      <c r="AT926" s="10">
        <v>2193.7829999999999</v>
      </c>
      <c r="AU926" s="8" t="s">
        <v>212</v>
      </c>
      <c r="AV926" s="10">
        <v>293.41300000000001</v>
      </c>
      <c r="AW926" s="11">
        <f>IF(AND(ISNUMBER(AV926),ISNUMBER(AT926)),IF(AT926&lt;&gt;0,AV926/ABS(AT926),""),"")</f>
        <v>0.13374750374125427</v>
      </c>
      <c r="AX926" s="8">
        <v>0</v>
      </c>
      <c r="AY926" s="8">
        <v>0</v>
      </c>
      <c r="AZ926" s="10"/>
      <c r="BA926" s="8">
        <v>0</v>
      </c>
    </row>
    <row r="927" spans="1:53" x14ac:dyDescent="0.2">
      <c r="A927" s="8" t="s">
        <v>634</v>
      </c>
      <c r="B927" s="8" t="s">
        <v>83</v>
      </c>
      <c r="C927" s="8" t="s">
        <v>290</v>
      </c>
      <c r="D927" s="8">
        <v>1</v>
      </c>
      <c r="E927" s="8">
        <v>0</v>
      </c>
      <c r="F927" s="8">
        <f>SUM(G927:M927)</f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1</v>
      </c>
      <c r="Q927" s="8">
        <v>0</v>
      </c>
      <c r="R927" s="8">
        <v>0</v>
      </c>
      <c r="S927" s="8">
        <v>1</v>
      </c>
      <c r="T927" s="10">
        <v>-16568.170999999998</v>
      </c>
      <c r="U927" s="10"/>
      <c r="V927" s="10"/>
      <c r="W927" s="10">
        <f>IF(RIGHT(C927,2)="12",IF(ISNUMBER(T927),T927,""),IF(COUNT(T927,U927,V927)=3,T927+U927-V927,""))</f>
        <v>-16568.170999999998</v>
      </c>
      <c r="X927" s="10">
        <v>-16568.170999999998</v>
      </c>
      <c r="Y927" s="10">
        <v>-11284.538</v>
      </c>
      <c r="Z927" s="10">
        <v>-5635.9279999999999</v>
      </c>
      <c r="AA927" s="10">
        <v>293.41300000000001</v>
      </c>
      <c r="AB927" s="10">
        <v>58.881999999999998</v>
      </c>
      <c r="AC927" s="8">
        <v>0</v>
      </c>
      <c r="AD927" s="8">
        <v>0</v>
      </c>
      <c r="AE927" s="8">
        <v>0</v>
      </c>
      <c r="AF927" s="10">
        <v>0</v>
      </c>
      <c r="AG927" s="8">
        <f>COUNTIF(Y927:AB927,"&gt;0")</f>
        <v>2</v>
      </c>
      <c r="AH927" s="10">
        <v>352.29500000000002</v>
      </c>
      <c r="AI927" s="10">
        <v>0</v>
      </c>
      <c r="AJ927" s="8" t="str">
        <f>IF(ISNUMBER(X927),IF(X927&gt;0,"+",IF(X927&lt;0,"−","0")),IF(ISNUMBER(W927),IF(W927&gt;0,"+",IF(W927&lt;0,"−","0")),"yok"))</f>
        <v>−</v>
      </c>
      <c r="AK927" s="10" t="str">
        <f>IF(AND(RIGHT(C927,2)&lt;&gt;"12",ISNUMBER(U927),ISNUMBER(V927)),U927-V927,"")</f>
        <v/>
      </c>
      <c r="AL927" s="11" t="str">
        <f>IF(AND(ISNUMBER(AK927),ISNUMBER(V927)),IF(V927&lt;&gt;0,AK927/ABS(V927),""),"")</f>
        <v/>
      </c>
      <c r="AM927" s="8" t="str">
        <f>IF(ISNUMBER(AK927),IF(AK927&gt;1,1,0),"")</f>
        <v/>
      </c>
      <c r="AN927" s="8" t="str">
        <f>IF(ISNUMBER(AK927),IF(AK927&gt;0.05*ABS(V927),1,0),"")</f>
        <v/>
      </c>
      <c r="AO927" s="10">
        <v>-16568.170999999998</v>
      </c>
      <c r="AP927" s="10">
        <v>16568.170999999998</v>
      </c>
      <c r="AQ927" s="8" t="s">
        <v>204</v>
      </c>
      <c r="AR927" s="8">
        <v>0</v>
      </c>
      <c r="AS927" s="10">
        <v>12746.17</v>
      </c>
      <c r="AT927" s="10">
        <v>-3822.0010000000002</v>
      </c>
      <c r="AU927" s="8" t="s">
        <v>204</v>
      </c>
      <c r="AV927" s="10">
        <v>293.41300000000001</v>
      </c>
      <c r="AW927" s="11">
        <f>IF(AND(ISNUMBER(AV927),ISNUMBER(AT927)),IF(AT927&lt;&gt;0,AV927/ABS(AT927),""),"")</f>
        <v>7.6769472326145394E-2</v>
      </c>
      <c r="AX927" s="8">
        <v>0</v>
      </c>
      <c r="AY927" s="8">
        <v>0</v>
      </c>
      <c r="AZ927" s="10"/>
      <c r="BA927" s="8">
        <v>0</v>
      </c>
    </row>
    <row r="928" spans="1:53" x14ac:dyDescent="0.2">
      <c r="A928" s="8" t="s">
        <v>499</v>
      </c>
      <c r="B928" s="8" t="s">
        <v>82</v>
      </c>
      <c r="C928" s="8" t="s">
        <v>215</v>
      </c>
      <c r="D928" s="8">
        <v>1</v>
      </c>
      <c r="E928" s="8">
        <v>0</v>
      </c>
      <c r="F928" s="8">
        <f>SUM(G928:M928)</f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1</v>
      </c>
      <c r="Q928" s="8">
        <v>0</v>
      </c>
      <c r="R928" s="8">
        <v>0</v>
      </c>
      <c r="S928" s="8">
        <v>1</v>
      </c>
      <c r="T928" s="10">
        <v>-17.859000000000002</v>
      </c>
      <c r="U928" s="10">
        <v>-7.4039999999999999</v>
      </c>
      <c r="V928" s="10">
        <v>0</v>
      </c>
      <c r="W928" s="10">
        <f>IF(RIGHT(C928,2)="12",IF(ISNUMBER(T928),T928,""),IF(COUNT(T928,U928,V928)=3,T928+U928-V928,""))</f>
        <v>-25.263000000000002</v>
      </c>
      <c r="X928" s="10">
        <v>-25.263999999999999</v>
      </c>
      <c r="Y928" s="10">
        <v>-7.4039999999999999</v>
      </c>
      <c r="Z928" s="10">
        <v>0</v>
      </c>
      <c r="AA928" s="10">
        <v>-51.749000000000002</v>
      </c>
      <c r="AB928" s="10">
        <v>33.889000000000003</v>
      </c>
      <c r="AC928" s="8">
        <v>0</v>
      </c>
      <c r="AD928" s="8">
        <v>0</v>
      </c>
      <c r="AE928" s="8">
        <v>0</v>
      </c>
      <c r="AF928" s="10">
        <v>0</v>
      </c>
      <c r="AG928" s="8">
        <f>COUNTIF(Y928:AB928,"&gt;0")</f>
        <v>1</v>
      </c>
      <c r="AH928" s="10">
        <v>33.889000000000003</v>
      </c>
      <c r="AI928" s="10">
        <v>0</v>
      </c>
      <c r="AJ928" s="8" t="str">
        <f>IF(ISNUMBER(X928),IF(X928&gt;0,"+",IF(X928&lt;0,"−","0")),IF(ISNUMBER(W928),IF(W928&gt;0,"+",IF(W928&lt;0,"−","0")),"yok"))</f>
        <v>−</v>
      </c>
      <c r="AK928" s="10">
        <f>IF(AND(RIGHT(C928,2)&lt;&gt;"12",ISNUMBER(U928),ISNUMBER(V928)),U928-V928,"")</f>
        <v>-7.4039999999999999</v>
      </c>
      <c r="AL928" s="11" t="str">
        <f>IF(AND(ISNUMBER(AK928),ISNUMBER(V928)),IF(V928&lt;&gt;0,AK928/ABS(V928),""),"")</f>
        <v/>
      </c>
      <c r="AM928" s="8">
        <f>IF(ISNUMBER(AK928),IF(AK928&gt;1,1,0),"")</f>
        <v>0</v>
      </c>
      <c r="AN928" s="8">
        <f>IF(ISNUMBER(AK928),IF(AK928&gt;0.05*ABS(V928),1,0),"")</f>
        <v>0</v>
      </c>
      <c r="AO928" s="10">
        <v>-25.263999999999999</v>
      </c>
      <c r="AP928" s="10">
        <v>25.263999999999999</v>
      </c>
      <c r="AQ928" s="8" t="s">
        <v>204</v>
      </c>
      <c r="AR928" s="8">
        <v>0</v>
      </c>
      <c r="AS928" s="10">
        <v>458.65</v>
      </c>
      <c r="AT928" s="10">
        <v>8.7309999999999999</v>
      </c>
      <c r="AU928" s="8" t="s">
        <v>204</v>
      </c>
      <c r="AV928" s="10">
        <v>33.889000000000003</v>
      </c>
      <c r="AW928" s="11">
        <f>IF(AND(ISNUMBER(AV928),ISNUMBER(AT928)),IF(AT928&lt;&gt;0,AV928/ABS(AT928),""),"")</f>
        <v>3.8814568777917766</v>
      </c>
      <c r="AX928" s="8">
        <v>0</v>
      </c>
      <c r="AY928" s="8">
        <v>0</v>
      </c>
      <c r="AZ928" s="10"/>
      <c r="BA928" s="8">
        <v>0</v>
      </c>
    </row>
    <row r="929" spans="1:53" x14ac:dyDescent="0.2">
      <c r="A929" s="8" t="s">
        <v>499</v>
      </c>
      <c r="B929" s="8" t="s">
        <v>82</v>
      </c>
      <c r="C929" s="8" t="s">
        <v>290</v>
      </c>
      <c r="D929" s="8">
        <v>1</v>
      </c>
      <c r="E929" s="8">
        <v>0</v>
      </c>
      <c r="F929" s="8">
        <f>SUM(G929:M929)</f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1</v>
      </c>
      <c r="Q929" s="8">
        <v>0</v>
      </c>
      <c r="R929" s="8">
        <v>0</v>
      </c>
      <c r="S929" s="8">
        <v>1</v>
      </c>
      <c r="T929" s="10">
        <v>-13.27</v>
      </c>
      <c r="U929" s="10"/>
      <c r="V929" s="10"/>
      <c r="W929" s="10">
        <f>IF(RIGHT(C929,2)="12",IF(ISNUMBER(T929),T929,""),IF(COUNT(T929,U929,V929)=3,T929+U929-V929,""))</f>
        <v>-13.27</v>
      </c>
      <c r="X929" s="10">
        <v>-13.27</v>
      </c>
      <c r="Y929" s="10">
        <v>0</v>
      </c>
      <c r="Z929" s="10">
        <v>-51.749000000000002</v>
      </c>
      <c r="AA929" s="10">
        <v>33.889000000000003</v>
      </c>
      <c r="AB929" s="10">
        <v>4.5890000000000004</v>
      </c>
      <c r="AC929" s="8">
        <v>0</v>
      </c>
      <c r="AD929" s="8">
        <v>0</v>
      </c>
      <c r="AE929" s="8">
        <v>0</v>
      </c>
      <c r="AF929" s="10">
        <v>0</v>
      </c>
      <c r="AG929" s="8">
        <f>COUNTIF(Y929:AB929,"&gt;0")</f>
        <v>2</v>
      </c>
      <c r="AH929" s="10">
        <v>38.478000000000002</v>
      </c>
      <c r="AI929" s="10">
        <v>0</v>
      </c>
      <c r="AJ929" s="8" t="str">
        <f>IF(ISNUMBER(X929),IF(X929&gt;0,"+",IF(X929&lt;0,"−","0")),IF(ISNUMBER(W929),IF(W929&gt;0,"+",IF(W929&lt;0,"−","0")),"yok"))</f>
        <v>−</v>
      </c>
      <c r="AK929" s="10" t="str">
        <f>IF(AND(RIGHT(C929,2)&lt;&gt;"12",ISNUMBER(U929),ISNUMBER(V929)),U929-V929,"")</f>
        <v/>
      </c>
      <c r="AL929" s="11" t="str">
        <f>IF(AND(ISNUMBER(AK929),ISNUMBER(V929)),IF(V929&lt;&gt;0,AK929/ABS(V929),""),"")</f>
        <v/>
      </c>
      <c r="AM929" s="8" t="str">
        <f>IF(ISNUMBER(AK929),IF(AK929&gt;1,1,0),"")</f>
        <v/>
      </c>
      <c r="AN929" s="8" t="str">
        <f>IF(ISNUMBER(AK929),IF(AK929&gt;0.05*ABS(V929),1,0),"")</f>
        <v/>
      </c>
      <c r="AO929" s="10">
        <v>-13.27</v>
      </c>
      <c r="AP929" s="10">
        <v>13.27</v>
      </c>
      <c r="AQ929" s="8" t="s">
        <v>204</v>
      </c>
      <c r="AR929" s="8">
        <v>0</v>
      </c>
      <c r="AS929" s="10">
        <v>-580.90700000000004</v>
      </c>
      <c r="AT929" s="10">
        <v>-969.71799999999996</v>
      </c>
      <c r="AU929" s="8" t="s">
        <v>204</v>
      </c>
      <c r="AV929" s="10">
        <v>33.889000000000003</v>
      </c>
      <c r="AW929" s="11">
        <f>IF(AND(ISNUMBER(AV929),ISNUMBER(AT929)),IF(AT929&lt;&gt;0,AV929/ABS(AT929),""),"")</f>
        <v>3.4947273331009637E-2</v>
      </c>
      <c r="AX929" s="8">
        <v>0</v>
      </c>
      <c r="AY929" s="8">
        <v>0</v>
      </c>
      <c r="AZ929" s="10"/>
      <c r="BA929" s="8">
        <v>0</v>
      </c>
    </row>
    <row r="930" spans="1:53" x14ac:dyDescent="0.2">
      <c r="A930" s="8" t="s">
        <v>499</v>
      </c>
      <c r="B930" s="8" t="s">
        <v>82</v>
      </c>
      <c r="C930" s="8" t="s">
        <v>208</v>
      </c>
      <c r="D930" s="8">
        <v>1</v>
      </c>
      <c r="E930" s="8">
        <v>0</v>
      </c>
      <c r="F930" s="8">
        <f>SUM(G930:M930)</f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1</v>
      </c>
      <c r="Q930" s="8">
        <v>0</v>
      </c>
      <c r="R930" s="8">
        <v>1</v>
      </c>
      <c r="S930" s="8">
        <v>0</v>
      </c>
      <c r="T930" s="10">
        <v>-6.08</v>
      </c>
      <c r="U930" s="10">
        <v>-13.27</v>
      </c>
      <c r="V930" s="10">
        <v>0</v>
      </c>
      <c r="W930" s="10">
        <f>IF(RIGHT(C930,2)="12",IF(ISNUMBER(T930),T930,""),IF(COUNT(T930,U930,V930)=3,T930+U930-V930,""))</f>
        <v>-19.350000000000001</v>
      </c>
      <c r="X930" s="10">
        <v>-19.350000000000001</v>
      </c>
      <c r="Y930" s="10">
        <v>-51.749000000000002</v>
      </c>
      <c r="Z930" s="10">
        <v>33.889000000000003</v>
      </c>
      <c r="AA930" s="10">
        <v>4.5890000000000004</v>
      </c>
      <c r="AB930" s="10">
        <v>-6.08</v>
      </c>
      <c r="AC930" s="8">
        <v>0</v>
      </c>
      <c r="AD930" s="8">
        <v>0</v>
      </c>
      <c r="AE930" s="8">
        <v>0</v>
      </c>
      <c r="AF930" s="10">
        <v>0</v>
      </c>
      <c r="AG930" s="8">
        <f>COUNTIF(Y930:AB930,"&gt;0")</f>
        <v>2</v>
      </c>
      <c r="AH930" s="10">
        <v>0</v>
      </c>
      <c r="AI930" s="10">
        <v>38.478000000000002</v>
      </c>
      <c r="AJ930" s="8" t="str">
        <f>IF(ISNUMBER(X930),IF(X930&gt;0,"+",IF(X930&lt;0,"−","0")),IF(ISNUMBER(W930),IF(W930&gt;0,"+",IF(W930&lt;0,"−","0")),"yok"))</f>
        <v>−</v>
      </c>
      <c r="AK930" s="10">
        <f>IF(AND(RIGHT(C930,2)&lt;&gt;"12",ISNUMBER(U930),ISNUMBER(V930)),U930-V930,"")</f>
        <v>-13.27</v>
      </c>
      <c r="AL930" s="11" t="str">
        <f>IF(AND(ISNUMBER(AK930),ISNUMBER(V930)),IF(V930&lt;&gt;0,AK930/ABS(V930),""),"")</f>
        <v/>
      </c>
      <c r="AM930" s="8">
        <f>IF(ISNUMBER(AK930),IF(AK930&gt;1,1,0),"")</f>
        <v>0</v>
      </c>
      <c r="AN930" s="8">
        <f>IF(ISNUMBER(AK930),IF(AK930&gt;0.05*ABS(V930),1,0),"")</f>
        <v>0</v>
      </c>
      <c r="AO930" s="10">
        <v>-19.350999999999999</v>
      </c>
      <c r="AP930" s="10">
        <v>19.350999999999999</v>
      </c>
      <c r="AQ930" s="8" t="s">
        <v>204</v>
      </c>
      <c r="AR930" s="8">
        <v>0</v>
      </c>
      <c r="AS930" s="10">
        <v>-776.16600000000005</v>
      </c>
      <c r="AT930" s="10">
        <v>-947.46500000000003</v>
      </c>
      <c r="AU930" s="8" t="s">
        <v>204</v>
      </c>
      <c r="AV930" s="10">
        <v>33.889000000000003</v>
      </c>
      <c r="AW930" s="11">
        <f>IF(AND(ISNUMBER(AV930),ISNUMBER(AT930)),IF(AT930&lt;&gt;0,AV930/ABS(AT930),""),"")</f>
        <v>3.5768075865599262E-2</v>
      </c>
      <c r="AX930" s="8">
        <v>0</v>
      </c>
      <c r="AY930" s="8">
        <v>0</v>
      </c>
      <c r="AZ930" s="10"/>
      <c r="BA930" s="8">
        <v>0</v>
      </c>
    </row>
    <row r="931" spans="1:53" x14ac:dyDescent="0.2">
      <c r="A931" s="8" t="s">
        <v>499</v>
      </c>
      <c r="B931" s="8" t="s">
        <v>83</v>
      </c>
      <c r="C931" s="8" t="s">
        <v>290</v>
      </c>
      <c r="D931" s="8">
        <v>1</v>
      </c>
      <c r="E931" s="8">
        <v>0</v>
      </c>
      <c r="F931" s="8">
        <f>SUM(G931:M931)</f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1</v>
      </c>
      <c r="Q931" s="8">
        <v>0</v>
      </c>
      <c r="R931" s="8">
        <v>0</v>
      </c>
      <c r="S931" s="8">
        <v>1</v>
      </c>
      <c r="T931" s="10">
        <v>-375.541</v>
      </c>
      <c r="U931" s="10"/>
      <c r="V931" s="10"/>
      <c r="W931" s="10">
        <f>IF(RIGHT(C931,2)="12",IF(ISNUMBER(T931),T931,""),IF(COUNT(T931,U931,V931)=3,T931+U931-V931,""))</f>
        <v>-375.541</v>
      </c>
      <c r="X931" s="10">
        <v>-375.541</v>
      </c>
      <c r="Y931" s="10">
        <v>-392.88299999999998</v>
      </c>
      <c r="Z931" s="10">
        <v>-172.34700000000001</v>
      </c>
      <c r="AA931" s="10">
        <v>5.5810000000000004</v>
      </c>
      <c r="AB931" s="10">
        <v>184.108</v>
      </c>
      <c r="AC931" s="8">
        <v>0</v>
      </c>
      <c r="AD931" s="8">
        <v>0</v>
      </c>
      <c r="AE931" s="8">
        <v>0</v>
      </c>
      <c r="AF931" s="10">
        <v>0</v>
      </c>
      <c r="AG931" s="8">
        <f>COUNTIF(Y931:AB931,"&gt;0")</f>
        <v>2</v>
      </c>
      <c r="AH931" s="10">
        <v>189.68899999999999</v>
      </c>
      <c r="AI931" s="10">
        <v>0</v>
      </c>
      <c r="AJ931" s="8" t="str">
        <f>IF(ISNUMBER(X931),IF(X931&gt;0,"+",IF(X931&lt;0,"−","0")),IF(ISNUMBER(W931),IF(W931&gt;0,"+",IF(W931&lt;0,"−","0")),"yok"))</f>
        <v>−</v>
      </c>
      <c r="AK931" s="10" t="str">
        <f>IF(AND(RIGHT(C931,2)&lt;&gt;"12",ISNUMBER(U931),ISNUMBER(V931)),U931-V931,"")</f>
        <v/>
      </c>
      <c r="AL931" s="11" t="str">
        <f>IF(AND(ISNUMBER(AK931),ISNUMBER(V931)),IF(V931&lt;&gt;0,AK931/ABS(V931),""),"")</f>
        <v/>
      </c>
      <c r="AM931" s="8" t="str">
        <f>IF(ISNUMBER(AK931),IF(AK931&gt;1,1,0),"")</f>
        <v/>
      </c>
      <c r="AN931" s="8" t="str">
        <f>IF(ISNUMBER(AK931),IF(AK931&gt;0.05*ABS(V931),1,0),"")</f>
        <v/>
      </c>
      <c r="AO931" s="10">
        <v>-375.541</v>
      </c>
      <c r="AP931" s="10">
        <v>375.541</v>
      </c>
      <c r="AQ931" s="8" t="s">
        <v>204</v>
      </c>
      <c r="AR931" s="8">
        <v>0</v>
      </c>
      <c r="AS931" s="10">
        <v>-580.90700000000004</v>
      </c>
      <c r="AT931" s="10">
        <v>-969.71799999999996</v>
      </c>
      <c r="AU931" s="8" t="s">
        <v>204</v>
      </c>
      <c r="AV931" s="10">
        <v>184.108</v>
      </c>
      <c r="AW931" s="11">
        <f>IF(AND(ISNUMBER(AV931),ISNUMBER(AT931)),IF(AT931&lt;&gt;0,AV931/ABS(AT931),""),"")</f>
        <v>0.18985725747072862</v>
      </c>
      <c r="AX931" s="8">
        <v>0</v>
      </c>
      <c r="AY931" s="8">
        <v>0</v>
      </c>
      <c r="AZ931" s="10"/>
      <c r="BA931" s="8">
        <v>0</v>
      </c>
    </row>
    <row r="932" spans="1:53" x14ac:dyDescent="0.2">
      <c r="A932" s="8" t="s">
        <v>501</v>
      </c>
      <c r="B932" s="8" t="s">
        <v>82</v>
      </c>
      <c r="C932" s="8" t="s">
        <v>290</v>
      </c>
      <c r="D932" s="8">
        <v>1</v>
      </c>
      <c r="E932" s="8">
        <v>0</v>
      </c>
      <c r="F932" s="8">
        <f>SUM(G932:M932)</f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1</v>
      </c>
      <c r="Q932" s="8">
        <v>0</v>
      </c>
      <c r="R932" s="8">
        <v>0</v>
      </c>
      <c r="S932" s="8">
        <v>1</v>
      </c>
      <c r="T932" s="10">
        <v>-0.63</v>
      </c>
      <c r="U932" s="10"/>
      <c r="V932" s="10"/>
      <c r="W932" s="10">
        <f>IF(RIGHT(C932,2)="12",IF(ISNUMBER(T932),T932,""),IF(COUNT(T932,U932,V932)=3,T932+U932-V932,""))</f>
        <v>-0.63</v>
      </c>
      <c r="X932" s="10">
        <v>-0.63</v>
      </c>
      <c r="Y932" s="10">
        <v>-2.944</v>
      </c>
      <c r="Z932" s="10">
        <v>10.403</v>
      </c>
      <c r="AA932" s="10">
        <v>-4.0979999999999999</v>
      </c>
      <c r="AB932" s="10">
        <v>-3.99</v>
      </c>
      <c r="AC932" s="8">
        <v>0</v>
      </c>
      <c r="AD932" s="8">
        <v>0</v>
      </c>
      <c r="AE932" s="8">
        <v>0</v>
      </c>
      <c r="AF932" s="10">
        <v>0</v>
      </c>
      <c r="AG932" s="8">
        <f>COUNTIF(Y932:AB932,"&gt;0")</f>
        <v>1</v>
      </c>
      <c r="AH932" s="10">
        <v>10.403</v>
      </c>
      <c r="AI932" s="10">
        <v>0</v>
      </c>
      <c r="AJ932" s="8" t="str">
        <f>IF(ISNUMBER(X932),IF(X932&gt;0,"+",IF(X932&lt;0,"−","0")),IF(ISNUMBER(W932),IF(W932&gt;0,"+",IF(W932&lt;0,"−","0")),"yok"))</f>
        <v>−</v>
      </c>
      <c r="AK932" s="10" t="str">
        <f>IF(AND(RIGHT(C932,2)&lt;&gt;"12",ISNUMBER(U932),ISNUMBER(V932)),U932-V932,"")</f>
        <v/>
      </c>
      <c r="AL932" s="11" t="str">
        <f>IF(AND(ISNUMBER(AK932),ISNUMBER(V932)),IF(V932&lt;&gt;0,AK932/ABS(V932),""),"")</f>
        <v/>
      </c>
      <c r="AM932" s="8" t="str">
        <f>IF(ISNUMBER(AK932),IF(AK932&gt;1,1,0),"")</f>
        <v/>
      </c>
      <c r="AN932" s="8" t="str">
        <f>IF(ISNUMBER(AK932),IF(AK932&gt;0.05*ABS(V932),1,0),"")</f>
        <v/>
      </c>
      <c r="AO932" s="10">
        <v>-0.63</v>
      </c>
      <c r="AP932" s="10">
        <v>0.63</v>
      </c>
      <c r="AQ932" s="8" t="s">
        <v>204</v>
      </c>
      <c r="AR932" s="8">
        <v>0</v>
      </c>
      <c r="AS932" s="10">
        <v>182.40299999999999</v>
      </c>
      <c r="AT932" s="10">
        <v>96.67</v>
      </c>
      <c r="AU932" s="8" t="s">
        <v>204</v>
      </c>
      <c r="AV932" s="10">
        <v>10.403</v>
      </c>
      <c r="AW932" s="11">
        <f>IF(AND(ISNUMBER(AV932),ISNUMBER(AT932)),IF(AT932&lt;&gt;0,AV932/ABS(AT932),""),"")</f>
        <v>0.10761353056791145</v>
      </c>
      <c r="AX932" s="8">
        <v>0</v>
      </c>
      <c r="AY932" s="8">
        <v>0</v>
      </c>
      <c r="AZ932" s="10"/>
      <c r="BA932" s="8">
        <v>0</v>
      </c>
    </row>
    <row r="933" spans="1:53" x14ac:dyDescent="0.2">
      <c r="A933" s="8" t="s">
        <v>501</v>
      </c>
      <c r="B933" s="8" t="s">
        <v>83</v>
      </c>
      <c r="C933" s="8" t="s">
        <v>210</v>
      </c>
      <c r="D933" s="8">
        <v>1</v>
      </c>
      <c r="E933" s="8">
        <v>0</v>
      </c>
      <c r="F933" s="8">
        <f>SUM(G933:M933)</f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1</v>
      </c>
      <c r="Q933" s="8">
        <v>0</v>
      </c>
      <c r="R933" s="8">
        <v>0</v>
      </c>
      <c r="S933" s="8">
        <v>1</v>
      </c>
      <c r="T933" s="10">
        <v>-9.0239999999999991</v>
      </c>
      <c r="U933" s="10">
        <v>-85.102000000000004</v>
      </c>
      <c r="V933" s="10">
        <v>-44.313000000000002</v>
      </c>
      <c r="W933" s="10">
        <f>IF(RIGHT(C933,2)="12",IF(ISNUMBER(T933),T933,""),IF(COUNT(T933,U933,V933)=3,T933+U933-V933,""))</f>
        <v>-49.813000000000002</v>
      </c>
      <c r="X933" s="10">
        <v>-49.813000000000002</v>
      </c>
      <c r="Y933" s="10">
        <v>-22.545999999999999</v>
      </c>
      <c r="Z933" s="10">
        <v>-18.242000000000001</v>
      </c>
      <c r="AA933" s="10">
        <v>-38.341999999999999</v>
      </c>
      <c r="AB933" s="10">
        <v>29.318000000000001</v>
      </c>
      <c r="AC933" s="8">
        <v>0</v>
      </c>
      <c r="AD933" s="8">
        <v>0</v>
      </c>
      <c r="AE933" s="8">
        <v>0</v>
      </c>
      <c r="AF933" s="10">
        <v>0</v>
      </c>
      <c r="AG933" s="8">
        <f>COUNTIF(Y933:AB933,"&gt;0")</f>
        <v>1</v>
      </c>
      <c r="AH933" s="10">
        <v>29.318000000000001</v>
      </c>
      <c r="AI933" s="10">
        <v>0</v>
      </c>
      <c r="AJ933" s="8" t="str">
        <f>IF(ISNUMBER(X933),IF(X933&gt;0,"+",IF(X933&lt;0,"−","0")),IF(ISNUMBER(W933),IF(W933&gt;0,"+",IF(W933&lt;0,"−","0")),"yok"))</f>
        <v>−</v>
      </c>
      <c r="AK933" s="10">
        <f>IF(AND(RIGHT(C933,2)&lt;&gt;"12",ISNUMBER(U933),ISNUMBER(V933)),U933-V933,"")</f>
        <v>-40.789000000000001</v>
      </c>
      <c r="AL933" s="11">
        <f>IF(AND(ISNUMBER(AK933),ISNUMBER(V933)),IF(V933&lt;&gt;0,AK933/ABS(V933),""),"")</f>
        <v>-0.92047480423352057</v>
      </c>
      <c r="AM933" s="8">
        <f>IF(ISNUMBER(AK933),IF(AK933&gt;1,1,0),"")</f>
        <v>0</v>
      </c>
      <c r="AN933" s="8">
        <f>IF(ISNUMBER(AK933),IF(AK933&gt;0.05*ABS(V933),1,0),"")</f>
        <v>0</v>
      </c>
      <c r="AO933" s="10">
        <v>-49.814</v>
      </c>
      <c r="AP933" s="10">
        <v>49.814</v>
      </c>
      <c r="AQ933" s="8" t="s">
        <v>204</v>
      </c>
      <c r="AR933" s="8">
        <v>0</v>
      </c>
      <c r="AS933" s="10">
        <v>149.727</v>
      </c>
      <c r="AT933" s="10">
        <v>85.194000000000003</v>
      </c>
      <c r="AU933" s="8" t="s">
        <v>204</v>
      </c>
      <c r="AV933" s="10">
        <v>29.318000000000001</v>
      </c>
      <c r="AW933" s="11">
        <f>IF(AND(ISNUMBER(AV933),ISNUMBER(AT933)),IF(AT933&lt;&gt;0,AV933/ABS(AT933),""),"")</f>
        <v>0.34413221588374771</v>
      </c>
      <c r="AX933" s="8">
        <v>0</v>
      </c>
      <c r="AY933" s="8">
        <v>0</v>
      </c>
      <c r="AZ933" s="10"/>
      <c r="BA933" s="8">
        <v>0</v>
      </c>
    </row>
    <row r="934" spans="1:53" x14ac:dyDescent="0.2">
      <c r="A934" s="8" t="s">
        <v>506</v>
      </c>
      <c r="B934" s="8" t="s">
        <v>82</v>
      </c>
      <c r="C934" s="8" t="s">
        <v>203</v>
      </c>
      <c r="D934" s="8">
        <v>1</v>
      </c>
      <c r="E934" s="8">
        <v>0</v>
      </c>
      <c r="F934" s="8">
        <f>SUM(G934:M934)</f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1</v>
      </c>
      <c r="Q934" s="8">
        <v>0</v>
      </c>
      <c r="R934" s="8">
        <v>1</v>
      </c>
      <c r="S934" s="8">
        <v>0</v>
      </c>
      <c r="T934" s="10">
        <v>-4.4459999999999997</v>
      </c>
      <c r="U934" s="10">
        <v>-56.738</v>
      </c>
      <c r="V934" s="10">
        <v>-12.256</v>
      </c>
      <c r="W934" s="10">
        <f>IF(RIGHT(C934,2)="12",IF(ISNUMBER(T934),T934,""),IF(COUNT(T934,U934,V934)=3,T934+U934-V934,""))</f>
        <v>-48.927999999999997</v>
      </c>
      <c r="X934" s="10">
        <v>-48.927999999999997</v>
      </c>
      <c r="Y934" s="10">
        <v>-7.8710000000000004</v>
      </c>
      <c r="Z934" s="10">
        <v>4.452</v>
      </c>
      <c r="AA934" s="10">
        <v>-41.063000000000002</v>
      </c>
      <c r="AB934" s="10">
        <v>-4.4459999999999997</v>
      </c>
      <c r="AC934" s="8">
        <v>0</v>
      </c>
      <c r="AD934" s="8">
        <v>0</v>
      </c>
      <c r="AE934" s="8">
        <v>0</v>
      </c>
      <c r="AF934" s="10">
        <v>0</v>
      </c>
      <c r="AG934" s="8">
        <f>COUNTIF(Y934:AB934,"&gt;0")</f>
        <v>1</v>
      </c>
      <c r="AH934" s="10">
        <v>0</v>
      </c>
      <c r="AI934" s="10">
        <v>4.452</v>
      </c>
      <c r="AJ934" s="8" t="str">
        <f>IF(ISNUMBER(X934),IF(X934&gt;0,"+",IF(X934&lt;0,"−","0")),IF(ISNUMBER(W934),IF(W934&gt;0,"+",IF(W934&lt;0,"−","0")),"yok"))</f>
        <v>−</v>
      </c>
      <c r="AK934" s="10">
        <f>IF(AND(RIGHT(C934,2)&lt;&gt;"12",ISNUMBER(U934),ISNUMBER(V934)),U934-V934,"")</f>
        <v>-44.481999999999999</v>
      </c>
      <c r="AL934" s="11">
        <f>IF(AND(ISNUMBER(AK934),ISNUMBER(V934)),IF(V934&lt;&gt;0,AK934/ABS(V934),""),"")</f>
        <v>-3.6294060052219321</v>
      </c>
      <c r="AM934" s="8">
        <f>IF(ISNUMBER(AK934),IF(AK934&gt;1,1,0),"")</f>
        <v>0</v>
      </c>
      <c r="AN934" s="8">
        <f>IF(ISNUMBER(AK934),IF(AK934&gt;0.05*ABS(V934),1,0),"")</f>
        <v>0</v>
      </c>
      <c r="AO934" s="10">
        <v>-48.927999999999997</v>
      </c>
      <c r="AP934" s="10">
        <v>48.927999999999997</v>
      </c>
      <c r="AQ934" s="8" t="s">
        <v>204</v>
      </c>
      <c r="AR934" s="8">
        <v>0</v>
      </c>
      <c r="AS934" s="10">
        <v>-54.021999999999998</v>
      </c>
      <c r="AT934" s="10">
        <v>-126.56</v>
      </c>
      <c r="AU934" s="8" t="s">
        <v>204</v>
      </c>
      <c r="AV934" s="10">
        <v>4.452</v>
      </c>
      <c r="AW934" s="11">
        <f>IF(AND(ISNUMBER(AV934),ISNUMBER(AT934)),IF(AT934&lt;&gt;0,AV934/ABS(AT934),""),"")</f>
        <v>3.5176991150442476E-2</v>
      </c>
      <c r="AX934" s="8">
        <v>0</v>
      </c>
      <c r="AY934" s="8">
        <v>0</v>
      </c>
      <c r="AZ934" s="10"/>
      <c r="BA934" s="8">
        <v>0</v>
      </c>
    </row>
    <row r="935" spans="1:53" x14ac:dyDescent="0.2">
      <c r="A935" s="8" t="s">
        <v>506</v>
      </c>
      <c r="B935" s="8" t="s">
        <v>82</v>
      </c>
      <c r="C935" s="8" t="s">
        <v>205</v>
      </c>
      <c r="D935" s="8">
        <v>1</v>
      </c>
      <c r="E935" s="8">
        <v>0</v>
      </c>
      <c r="F935" s="8">
        <f>SUM(G935:M935)</f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1</v>
      </c>
      <c r="Q935" s="8">
        <v>0</v>
      </c>
      <c r="R935" s="8">
        <v>1</v>
      </c>
      <c r="S935" s="8">
        <v>0</v>
      </c>
      <c r="T935" s="10">
        <v>-18.832000000000001</v>
      </c>
      <c r="U935" s="10">
        <v>-56.738</v>
      </c>
      <c r="V935" s="10">
        <v>-20.126999999999999</v>
      </c>
      <c r="W935" s="10">
        <f>IF(RIGHT(C935,2)="12",IF(ISNUMBER(T935),T935,""),IF(COUNT(T935,U935,V935)=3,T935+U935-V935,""))</f>
        <v>-55.442999999999998</v>
      </c>
      <c r="X935" s="10">
        <v>-55.442999999999998</v>
      </c>
      <c r="Y935" s="10">
        <v>4.452</v>
      </c>
      <c r="Z935" s="10">
        <v>-41.063000000000002</v>
      </c>
      <c r="AA935" s="10">
        <v>-4.4459999999999997</v>
      </c>
      <c r="AB935" s="10">
        <v>-14.385999999999999</v>
      </c>
      <c r="AC935" s="8">
        <v>0</v>
      </c>
      <c r="AD935" s="8">
        <v>0</v>
      </c>
      <c r="AE935" s="8">
        <v>0</v>
      </c>
      <c r="AF935" s="10">
        <v>0</v>
      </c>
      <c r="AG935" s="8">
        <f>COUNTIF(Y935:AB935,"&gt;0")</f>
        <v>1</v>
      </c>
      <c r="AH935" s="10">
        <v>0</v>
      </c>
      <c r="AI935" s="10">
        <v>4.452</v>
      </c>
      <c r="AJ935" s="8" t="str">
        <f>IF(ISNUMBER(X935),IF(X935&gt;0,"+",IF(X935&lt;0,"−","0")),IF(ISNUMBER(W935),IF(W935&gt;0,"+",IF(W935&lt;0,"−","0")),"yok"))</f>
        <v>−</v>
      </c>
      <c r="AK935" s="10">
        <f>IF(AND(RIGHT(C935,2)&lt;&gt;"12",ISNUMBER(U935),ISNUMBER(V935)),U935-V935,"")</f>
        <v>-36.611000000000004</v>
      </c>
      <c r="AL935" s="11">
        <f>IF(AND(ISNUMBER(AK935),ISNUMBER(V935)),IF(V935&lt;&gt;0,AK935/ABS(V935),""),"")</f>
        <v>-1.818999354101456</v>
      </c>
      <c r="AM935" s="8">
        <f>IF(ISNUMBER(AK935),IF(AK935&gt;1,1,0),"")</f>
        <v>0</v>
      </c>
      <c r="AN935" s="8">
        <f>IF(ISNUMBER(AK935),IF(AK935&gt;0.05*ABS(V935),1,0),"")</f>
        <v>0</v>
      </c>
      <c r="AO935" s="10">
        <v>-55.444000000000003</v>
      </c>
      <c r="AP935" s="10">
        <v>55.444000000000003</v>
      </c>
      <c r="AQ935" s="8" t="s">
        <v>204</v>
      </c>
      <c r="AR935" s="8">
        <v>0</v>
      </c>
      <c r="AS935" s="10">
        <v>-377.767</v>
      </c>
      <c r="AT935" s="10">
        <v>-463.14299999999997</v>
      </c>
      <c r="AU935" s="8" t="s">
        <v>204</v>
      </c>
      <c r="AV935" s="10">
        <v>4.452</v>
      </c>
      <c r="AW935" s="11">
        <f>IF(AND(ISNUMBER(AV935),ISNUMBER(AT935)),IF(AT935&lt;&gt;0,AV935/ABS(AT935),""),"")</f>
        <v>9.6125818591666079E-3</v>
      </c>
      <c r="AX935" s="8">
        <v>0</v>
      </c>
      <c r="AY935" s="8">
        <v>0</v>
      </c>
      <c r="AZ935" s="10"/>
      <c r="BA935" s="8">
        <v>0</v>
      </c>
    </row>
    <row r="936" spans="1:53" x14ac:dyDescent="0.2">
      <c r="A936" s="8" t="s">
        <v>506</v>
      </c>
      <c r="B936" s="8" t="s">
        <v>82</v>
      </c>
      <c r="C936" s="8" t="s">
        <v>290</v>
      </c>
      <c r="D936" s="8">
        <v>1</v>
      </c>
      <c r="E936" s="8">
        <v>0</v>
      </c>
      <c r="F936" s="8">
        <f>SUM(G936:M936)</f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1</v>
      </c>
      <c r="Q936" s="8">
        <v>0</v>
      </c>
      <c r="R936" s="8">
        <v>0</v>
      </c>
      <c r="S936" s="8">
        <v>1</v>
      </c>
      <c r="T936" s="10">
        <v>-36.475999999999999</v>
      </c>
      <c r="U936" s="10"/>
      <c r="V936" s="10"/>
      <c r="W936" s="10">
        <f>IF(RIGHT(C936,2)="12",IF(ISNUMBER(T936),T936,""),IF(COUNT(T936,U936,V936)=3,T936+U936-V936,""))</f>
        <v>-36.475999999999999</v>
      </c>
      <c r="X936" s="10">
        <v>-36.475999999999999</v>
      </c>
      <c r="Y936" s="10">
        <v>-4.4459999999999997</v>
      </c>
      <c r="Z936" s="10">
        <v>-14.385999999999999</v>
      </c>
      <c r="AA936" s="10">
        <v>-25.346</v>
      </c>
      <c r="AB936" s="10">
        <v>7.702</v>
      </c>
      <c r="AC936" s="8">
        <v>0</v>
      </c>
      <c r="AD936" s="8">
        <v>0</v>
      </c>
      <c r="AE936" s="8">
        <v>0</v>
      </c>
      <c r="AF936" s="10">
        <v>0</v>
      </c>
      <c r="AG936" s="8">
        <f>COUNTIF(Y936:AB936,"&gt;0")</f>
        <v>1</v>
      </c>
      <c r="AH936" s="10">
        <v>7.702</v>
      </c>
      <c r="AI936" s="10">
        <v>0</v>
      </c>
      <c r="AJ936" s="8" t="str">
        <f>IF(ISNUMBER(X936),IF(X936&gt;0,"+",IF(X936&lt;0,"−","0")),IF(ISNUMBER(W936),IF(W936&gt;0,"+",IF(W936&lt;0,"−","0")),"yok"))</f>
        <v>−</v>
      </c>
      <c r="AK936" s="10" t="str">
        <f>IF(AND(RIGHT(C936,2)&lt;&gt;"12",ISNUMBER(U936),ISNUMBER(V936)),U936-V936,"")</f>
        <v/>
      </c>
      <c r="AL936" s="11" t="str">
        <f>IF(AND(ISNUMBER(AK936),ISNUMBER(V936)),IF(V936&lt;&gt;0,AK936/ABS(V936),""),"")</f>
        <v/>
      </c>
      <c r="AM936" s="8" t="str">
        <f>IF(ISNUMBER(AK936),IF(AK936&gt;1,1,0),"")</f>
        <v/>
      </c>
      <c r="AN936" s="8" t="str">
        <f>IF(ISNUMBER(AK936),IF(AK936&gt;0.05*ABS(V936),1,0),"")</f>
        <v/>
      </c>
      <c r="AO936" s="10">
        <v>-36.476999999999997</v>
      </c>
      <c r="AP936" s="10">
        <v>36.476999999999997</v>
      </c>
      <c r="AQ936" s="8" t="s">
        <v>204</v>
      </c>
      <c r="AR936" s="8">
        <v>0</v>
      </c>
      <c r="AS936" s="10">
        <v>-373.03699999999998</v>
      </c>
      <c r="AT936" s="10">
        <v>-607.33399999999995</v>
      </c>
      <c r="AU936" s="8" t="s">
        <v>204</v>
      </c>
      <c r="AV936" s="10">
        <v>7.702</v>
      </c>
      <c r="AW936" s="11">
        <f>IF(AND(ISNUMBER(AV936),ISNUMBER(AT936)),IF(AT936&lt;&gt;0,AV936/ABS(AT936),""),"")</f>
        <v>1.2681654575571268E-2</v>
      </c>
      <c r="AX936" s="8">
        <v>0</v>
      </c>
      <c r="AY936" s="8">
        <v>0</v>
      </c>
      <c r="AZ936" s="10"/>
      <c r="BA936" s="8">
        <v>0</v>
      </c>
    </row>
    <row r="937" spans="1:53" x14ac:dyDescent="0.2">
      <c r="A937" s="8" t="s">
        <v>506</v>
      </c>
      <c r="B937" s="8" t="s">
        <v>82</v>
      </c>
      <c r="C937" s="8" t="s">
        <v>208</v>
      </c>
      <c r="D937" s="8">
        <v>1</v>
      </c>
      <c r="E937" s="8">
        <v>0</v>
      </c>
      <c r="F937" s="8">
        <f>SUM(G937:M937)</f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1</v>
      </c>
      <c r="Q937" s="8">
        <v>0</v>
      </c>
      <c r="R937" s="8">
        <v>1</v>
      </c>
      <c r="S937" s="8">
        <v>0</v>
      </c>
      <c r="T937" s="10">
        <v>-11.222</v>
      </c>
      <c r="U937" s="10">
        <v>-36.475999999999999</v>
      </c>
      <c r="V937" s="10">
        <v>-4.4459999999999997</v>
      </c>
      <c r="W937" s="10">
        <f>IF(RIGHT(C937,2)="12",IF(ISNUMBER(T937),T937,""),IF(COUNT(T937,U937,V937)=3,T937+U937-V937,""))</f>
        <v>-43.252000000000002</v>
      </c>
      <c r="X937" s="10">
        <v>-43.252000000000002</v>
      </c>
      <c r="Y937" s="10">
        <v>-14.385999999999999</v>
      </c>
      <c r="Z937" s="10">
        <v>-25.346</v>
      </c>
      <c r="AA937" s="10">
        <v>7.702</v>
      </c>
      <c r="AB937" s="10">
        <v>-11.222</v>
      </c>
      <c r="AC937" s="8">
        <v>0</v>
      </c>
      <c r="AD937" s="8">
        <v>0</v>
      </c>
      <c r="AE937" s="8">
        <v>0</v>
      </c>
      <c r="AF937" s="10">
        <v>0</v>
      </c>
      <c r="AG937" s="8">
        <f>COUNTIF(Y937:AB937,"&gt;0")</f>
        <v>1</v>
      </c>
      <c r="AH937" s="10">
        <v>0</v>
      </c>
      <c r="AI937" s="10">
        <v>7.702</v>
      </c>
      <c r="AJ937" s="8" t="str">
        <f>IF(ISNUMBER(X937),IF(X937&gt;0,"+",IF(X937&lt;0,"−","0")),IF(ISNUMBER(W937),IF(W937&gt;0,"+",IF(W937&lt;0,"−","0")),"yok"))</f>
        <v>−</v>
      </c>
      <c r="AK937" s="10">
        <f>IF(AND(RIGHT(C937,2)&lt;&gt;"12",ISNUMBER(U937),ISNUMBER(V937)),U937-V937,"")</f>
        <v>-32.03</v>
      </c>
      <c r="AL937" s="11">
        <f>IF(AND(ISNUMBER(AK937),ISNUMBER(V937)),IF(V937&lt;&gt;0,AK937/ABS(V937),""),"")</f>
        <v>-7.2042285200179945</v>
      </c>
      <c r="AM937" s="8">
        <f>IF(ISNUMBER(AK937),IF(AK937&gt;1,1,0),"")</f>
        <v>0</v>
      </c>
      <c r="AN937" s="8">
        <f>IF(ISNUMBER(AK937),IF(AK937&gt;0.05*ABS(V937),1,0),"")</f>
        <v>0</v>
      </c>
      <c r="AO937" s="10">
        <v>-43.253</v>
      </c>
      <c r="AP937" s="10">
        <v>43.253</v>
      </c>
      <c r="AQ937" s="8" t="s">
        <v>204</v>
      </c>
      <c r="AR937" s="8">
        <v>0</v>
      </c>
      <c r="AS937" s="10">
        <v>-335.47300000000001</v>
      </c>
      <c r="AT937" s="10">
        <v>-605.71799999999996</v>
      </c>
      <c r="AU937" s="8" t="s">
        <v>204</v>
      </c>
      <c r="AV937" s="10">
        <v>7.702</v>
      </c>
      <c r="AW937" s="11">
        <f>IF(AND(ISNUMBER(AV937),ISNUMBER(AT937)),IF(AT937&lt;&gt;0,AV937/ABS(AT937),""),"")</f>
        <v>1.2715488065403372E-2</v>
      </c>
      <c r="AX937" s="8">
        <v>0</v>
      </c>
      <c r="AY937" s="8">
        <v>0</v>
      </c>
      <c r="AZ937" s="10"/>
      <c r="BA937" s="8">
        <v>0</v>
      </c>
    </row>
    <row r="938" spans="1:53" x14ac:dyDescent="0.2">
      <c r="A938" s="8" t="s">
        <v>506</v>
      </c>
      <c r="B938" s="8" t="s">
        <v>82</v>
      </c>
      <c r="C938" s="8" t="s">
        <v>210</v>
      </c>
      <c r="D938" s="8">
        <v>1</v>
      </c>
      <c r="E938" s="8">
        <v>0</v>
      </c>
      <c r="F938" s="8">
        <f>SUM(G938:M938)</f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1</v>
      </c>
      <c r="Q938" s="8">
        <v>0</v>
      </c>
      <c r="R938" s="8">
        <v>1</v>
      </c>
      <c r="S938" s="8">
        <v>0</v>
      </c>
      <c r="T938" s="10">
        <v>-28.966000000000001</v>
      </c>
      <c r="U938" s="10">
        <v>-36.475999999999999</v>
      </c>
      <c r="V938" s="10">
        <v>-18.832000000000001</v>
      </c>
      <c r="W938" s="10">
        <f>IF(RIGHT(C938,2)="12",IF(ISNUMBER(T938),T938,""),IF(COUNT(T938,U938,V938)=3,T938+U938-V938,""))</f>
        <v>-46.610000000000007</v>
      </c>
      <c r="X938" s="10">
        <v>-46.61</v>
      </c>
      <c r="Y938" s="10">
        <v>-25.346</v>
      </c>
      <c r="Z938" s="10">
        <v>7.702</v>
      </c>
      <c r="AA938" s="10">
        <v>-11.222</v>
      </c>
      <c r="AB938" s="10">
        <v>-17.744</v>
      </c>
      <c r="AC938" s="8">
        <v>0</v>
      </c>
      <c r="AD938" s="8">
        <v>0</v>
      </c>
      <c r="AE938" s="8">
        <v>0</v>
      </c>
      <c r="AF938" s="10">
        <v>0</v>
      </c>
      <c r="AG938" s="8">
        <f>COUNTIF(Y938:AB938,"&gt;0")</f>
        <v>1</v>
      </c>
      <c r="AH938" s="10">
        <v>0</v>
      </c>
      <c r="AI938" s="10">
        <v>7.702</v>
      </c>
      <c r="AJ938" s="8" t="str">
        <f>IF(ISNUMBER(X938),IF(X938&gt;0,"+",IF(X938&lt;0,"−","0")),IF(ISNUMBER(W938),IF(W938&gt;0,"+",IF(W938&lt;0,"−","0")),"yok"))</f>
        <v>−</v>
      </c>
      <c r="AK938" s="10">
        <f>IF(AND(RIGHT(C938,2)&lt;&gt;"12",ISNUMBER(U938),ISNUMBER(V938)),U938-V938,"")</f>
        <v>-17.643999999999998</v>
      </c>
      <c r="AL938" s="11">
        <f>IF(AND(ISNUMBER(AK938),ISNUMBER(V938)),IF(V938&lt;&gt;0,AK938/ABS(V938),""),"")</f>
        <v>-0.9369158878504672</v>
      </c>
      <c r="AM938" s="8">
        <f>IF(ISNUMBER(AK938),IF(AK938&gt;1,1,0),"")</f>
        <v>0</v>
      </c>
      <c r="AN938" s="8">
        <f>IF(ISNUMBER(AK938),IF(AK938&gt;0.05*ABS(V938),1,0),"")</f>
        <v>0</v>
      </c>
      <c r="AO938" s="10">
        <v>-46.610999999999997</v>
      </c>
      <c r="AP938" s="10">
        <v>46.610999999999997</v>
      </c>
      <c r="AQ938" s="8" t="s">
        <v>204</v>
      </c>
      <c r="AR938" s="8">
        <v>0</v>
      </c>
      <c r="AS938" s="10">
        <v>-241.76499999999999</v>
      </c>
      <c r="AT938" s="10">
        <v>-548.03599999999994</v>
      </c>
      <c r="AU938" s="8" t="s">
        <v>204</v>
      </c>
      <c r="AV938" s="10">
        <v>7.702</v>
      </c>
      <c r="AW938" s="11">
        <f>IF(AND(ISNUMBER(AV938),ISNUMBER(AT938)),IF(AT938&lt;&gt;0,AV938/ABS(AT938),""),"")</f>
        <v>1.4053821281813605E-2</v>
      </c>
      <c r="AX938" s="8">
        <v>0</v>
      </c>
      <c r="AY938" s="8">
        <v>0</v>
      </c>
      <c r="AZ938" s="10"/>
      <c r="BA938" s="8">
        <v>0</v>
      </c>
    </row>
    <row r="939" spans="1:53" x14ac:dyDescent="0.2">
      <c r="A939" s="8" t="s">
        <v>635</v>
      </c>
      <c r="B939" s="8" t="s">
        <v>82</v>
      </c>
      <c r="C939" s="8" t="s">
        <v>203</v>
      </c>
      <c r="D939" s="8">
        <v>1</v>
      </c>
      <c r="E939" s="8">
        <v>0</v>
      </c>
      <c r="F939" s="8">
        <f>SUM(G939:M939)</f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1</v>
      </c>
      <c r="Q939" s="8">
        <v>0</v>
      </c>
      <c r="R939" s="8">
        <v>1</v>
      </c>
      <c r="S939" s="8">
        <v>0</v>
      </c>
      <c r="T939" s="10">
        <v>-3.1779999999999999</v>
      </c>
      <c r="U939" s="10">
        <v>-7.7519999999999998</v>
      </c>
      <c r="V939" s="10">
        <v>-4.4740000000000002</v>
      </c>
      <c r="W939" s="10">
        <f>IF(RIGHT(C939,2)="12",IF(ISNUMBER(T939),T939,""),IF(COUNT(T939,U939,V939)=3,T939+U939-V939,""))</f>
        <v>-6.4559999999999995</v>
      </c>
      <c r="X939" s="10">
        <v>-6.4560000000000004</v>
      </c>
      <c r="Y939" s="10">
        <v>-2.4649999999999999</v>
      </c>
      <c r="Z939" s="10">
        <v>2.665</v>
      </c>
      <c r="AA939" s="10">
        <v>-3.4769999999999999</v>
      </c>
      <c r="AB939" s="10">
        <v>-3.1779999999999999</v>
      </c>
      <c r="AC939" s="8">
        <v>0</v>
      </c>
      <c r="AD939" s="8">
        <v>0</v>
      </c>
      <c r="AE939" s="8">
        <v>0</v>
      </c>
      <c r="AF939" s="10">
        <v>0</v>
      </c>
      <c r="AG939" s="8">
        <f>COUNTIF(Y939:AB939,"&gt;0")</f>
        <v>1</v>
      </c>
      <c r="AH939" s="10">
        <v>0</v>
      </c>
      <c r="AI939" s="10">
        <v>2.665</v>
      </c>
      <c r="AJ939" s="8" t="str">
        <f>IF(ISNUMBER(X939),IF(X939&gt;0,"+",IF(X939&lt;0,"−","0")),IF(ISNUMBER(W939),IF(W939&gt;0,"+",IF(W939&lt;0,"−","0")),"yok"))</f>
        <v>−</v>
      </c>
      <c r="AK939" s="10">
        <f>IF(AND(RIGHT(C939,2)&lt;&gt;"12",ISNUMBER(U939),ISNUMBER(V939)),U939-V939,"")</f>
        <v>-3.2779999999999996</v>
      </c>
      <c r="AL939" s="11">
        <f>IF(AND(ISNUMBER(AK939),ISNUMBER(V939)),IF(V939&lt;&gt;0,AK939/ABS(V939),""),"")</f>
        <v>-0.73267769333929356</v>
      </c>
      <c r="AM939" s="8">
        <f>IF(ISNUMBER(AK939),IF(AK939&gt;1,1,0),"")</f>
        <v>0</v>
      </c>
      <c r="AN939" s="8">
        <f>IF(ISNUMBER(AK939),IF(AK939&gt;0.05*ABS(V939),1,0),"")</f>
        <v>0</v>
      </c>
      <c r="AO939" s="10">
        <v>-6.4560000000000004</v>
      </c>
      <c r="AP939" s="10">
        <v>6.4560000000000004</v>
      </c>
      <c r="AQ939" s="8" t="s">
        <v>204</v>
      </c>
      <c r="AR939" s="8">
        <v>0</v>
      </c>
      <c r="AS939" s="10">
        <v>230.083</v>
      </c>
      <c r="AT939" s="10">
        <v>9.4750000000000103</v>
      </c>
      <c r="AU939" s="8" t="s">
        <v>204</v>
      </c>
      <c r="AV939" s="10">
        <v>2.665</v>
      </c>
      <c r="AW939" s="11">
        <f>IF(AND(ISNUMBER(AV939),ISNUMBER(AT939)),IF(AT939&lt;&gt;0,AV939/ABS(AT939),""),"")</f>
        <v>0.28126649076517118</v>
      </c>
      <c r="AX939" s="8">
        <v>0</v>
      </c>
      <c r="AY939" s="8">
        <v>0</v>
      </c>
      <c r="AZ939" s="10"/>
      <c r="BA939" s="8">
        <v>0</v>
      </c>
    </row>
    <row r="940" spans="1:53" x14ac:dyDescent="0.2">
      <c r="A940" s="8" t="s">
        <v>635</v>
      </c>
      <c r="B940" s="8" t="s">
        <v>82</v>
      </c>
      <c r="C940" s="8" t="s">
        <v>205</v>
      </c>
      <c r="D940" s="8">
        <v>1</v>
      </c>
      <c r="E940" s="8">
        <v>0</v>
      </c>
      <c r="F940" s="8">
        <f>SUM(G940:M940)</f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1</v>
      </c>
      <c r="Q940" s="8">
        <v>0</v>
      </c>
      <c r="R940" s="8">
        <v>1</v>
      </c>
      <c r="S940" s="8">
        <v>0</v>
      </c>
      <c r="T940" s="10">
        <v>-5.8170000000000002</v>
      </c>
      <c r="U940" s="10">
        <v>-7.7519999999999998</v>
      </c>
      <c r="V940" s="10">
        <v>-6.94</v>
      </c>
      <c r="W940" s="10">
        <f>IF(RIGHT(C940,2)="12",IF(ISNUMBER(T940),T940,""),IF(COUNT(T940,U940,V940)=3,T940+U940-V940,""))</f>
        <v>-6.6289999999999987</v>
      </c>
      <c r="X940" s="10">
        <v>-6.6289999999999996</v>
      </c>
      <c r="Y940" s="10">
        <v>2.665</v>
      </c>
      <c r="Z940" s="10">
        <v>-3.4769999999999999</v>
      </c>
      <c r="AA940" s="10">
        <v>-3.1779999999999999</v>
      </c>
      <c r="AB940" s="10">
        <v>-2.6379999999999999</v>
      </c>
      <c r="AC940" s="8">
        <v>0</v>
      </c>
      <c r="AD940" s="8">
        <v>0</v>
      </c>
      <c r="AE940" s="8">
        <v>0</v>
      </c>
      <c r="AF940" s="10">
        <v>0</v>
      </c>
      <c r="AG940" s="8">
        <f>COUNTIF(Y940:AB940,"&gt;0")</f>
        <v>1</v>
      </c>
      <c r="AH940" s="10">
        <v>0</v>
      </c>
      <c r="AI940" s="10">
        <v>2.665</v>
      </c>
      <c r="AJ940" s="8" t="str">
        <f>IF(ISNUMBER(X940),IF(X940&gt;0,"+",IF(X940&lt;0,"−","0")),IF(ISNUMBER(W940),IF(W940&gt;0,"+",IF(W940&lt;0,"−","0")),"yok"))</f>
        <v>−</v>
      </c>
      <c r="AK940" s="10">
        <f>IF(AND(RIGHT(C940,2)&lt;&gt;"12",ISNUMBER(U940),ISNUMBER(V940)),U940-V940,"")</f>
        <v>-0.81199999999999939</v>
      </c>
      <c r="AL940" s="11">
        <f>IF(AND(ISNUMBER(AK940),ISNUMBER(V940)),IF(V940&lt;&gt;0,AK940/ABS(V940),""),"")</f>
        <v>-0.1170028818443803</v>
      </c>
      <c r="AM940" s="8">
        <f>IF(ISNUMBER(AK940),IF(AK940&gt;1,1,0),"")</f>
        <v>0</v>
      </c>
      <c r="AN940" s="8">
        <f>IF(ISNUMBER(AK940),IF(AK940&gt;0.05*ABS(V940),1,0),"")</f>
        <v>0</v>
      </c>
      <c r="AO940" s="10">
        <v>-6.6289999999999996</v>
      </c>
      <c r="AP940" s="10">
        <v>6.6289999999999996</v>
      </c>
      <c r="AQ940" s="8" t="s">
        <v>204</v>
      </c>
      <c r="AR940" s="8">
        <v>0</v>
      </c>
      <c r="AS940" s="10">
        <v>212.95099999999999</v>
      </c>
      <c r="AT940" s="10">
        <v>7.3250000000000099</v>
      </c>
      <c r="AU940" s="8" t="s">
        <v>204</v>
      </c>
      <c r="AV940" s="10">
        <v>2.665</v>
      </c>
      <c r="AW940" s="11">
        <f>IF(AND(ISNUMBER(AV940),ISNUMBER(AT940)),IF(AT940&lt;&gt;0,AV940/ABS(AT940),""),"")</f>
        <v>0.36382252559726913</v>
      </c>
      <c r="AX940" s="8">
        <v>0</v>
      </c>
      <c r="AY940" s="8">
        <v>0</v>
      </c>
      <c r="AZ940" s="10"/>
      <c r="BA940" s="8">
        <v>0</v>
      </c>
    </row>
    <row r="941" spans="1:53" x14ac:dyDescent="0.2">
      <c r="A941" s="8" t="s">
        <v>507</v>
      </c>
      <c r="B941" s="8" t="s">
        <v>82</v>
      </c>
      <c r="C941" s="8" t="s">
        <v>205</v>
      </c>
      <c r="D941" s="8">
        <v>1</v>
      </c>
      <c r="E941" s="8">
        <v>0</v>
      </c>
      <c r="F941" s="8">
        <f>SUM(G941:M941)</f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1</v>
      </c>
      <c r="Q941" s="8">
        <v>0</v>
      </c>
      <c r="R941" s="8">
        <v>1</v>
      </c>
      <c r="S941" s="8">
        <v>0</v>
      </c>
      <c r="T941" s="10">
        <v>-67.751000000000005</v>
      </c>
      <c r="U941" s="10">
        <v>-36.308999999999997</v>
      </c>
      <c r="V941" s="10">
        <v>-35.591000000000001</v>
      </c>
      <c r="W941" s="10">
        <f>IF(RIGHT(C941,2)="12",IF(ISNUMBER(T941),T941,""),IF(COUNT(T941,U941,V941)=3,T941+U941-V941,""))</f>
        <v>-68.468999999999994</v>
      </c>
      <c r="X941" s="10">
        <v>-68.47</v>
      </c>
      <c r="Y941" s="10">
        <v>4.3940000000000001</v>
      </c>
      <c r="Z941" s="10">
        <v>-5.1120000000000001</v>
      </c>
      <c r="AA941" s="10">
        <v>-51.398000000000003</v>
      </c>
      <c r="AB941" s="10">
        <v>-16.353000000000002</v>
      </c>
      <c r="AC941" s="8">
        <v>0</v>
      </c>
      <c r="AD941" s="8">
        <v>0</v>
      </c>
      <c r="AE941" s="8">
        <v>0</v>
      </c>
      <c r="AF941" s="10">
        <v>0</v>
      </c>
      <c r="AG941" s="8">
        <f>COUNTIF(Y941:AB941,"&gt;0")</f>
        <v>1</v>
      </c>
      <c r="AH941" s="10">
        <v>0</v>
      </c>
      <c r="AI941" s="10">
        <v>4.3940000000000001</v>
      </c>
      <c r="AJ941" s="8" t="str">
        <f>IF(ISNUMBER(X941),IF(X941&gt;0,"+",IF(X941&lt;0,"−","0")),IF(ISNUMBER(W941),IF(W941&gt;0,"+",IF(W941&lt;0,"−","0")),"yok"))</f>
        <v>−</v>
      </c>
      <c r="AK941" s="10">
        <f>IF(AND(RIGHT(C941,2)&lt;&gt;"12",ISNUMBER(U941),ISNUMBER(V941)),U941-V941,"")</f>
        <v>-0.71799999999999642</v>
      </c>
      <c r="AL941" s="11">
        <f>IF(AND(ISNUMBER(AK941),ISNUMBER(V941)),IF(V941&lt;&gt;0,AK941/ABS(V941),""),"")</f>
        <v>-2.0173639403219815E-2</v>
      </c>
      <c r="AM941" s="8">
        <f>IF(ISNUMBER(AK941),IF(AK941&gt;1,1,0),"")</f>
        <v>0</v>
      </c>
      <c r="AN941" s="8">
        <f>IF(ISNUMBER(AK941),IF(AK941&gt;0.05*ABS(V941),1,0),"")</f>
        <v>0</v>
      </c>
      <c r="AO941" s="10">
        <v>-68.471000000000004</v>
      </c>
      <c r="AP941" s="10">
        <v>68.471000000000004</v>
      </c>
      <c r="AQ941" s="8" t="s">
        <v>204</v>
      </c>
      <c r="AR941" s="8">
        <v>0</v>
      </c>
      <c r="AS941" s="10">
        <v>3462.7710000000002</v>
      </c>
      <c r="AT941" s="10">
        <v>-2200.9070000000002</v>
      </c>
      <c r="AU941" s="8" t="s">
        <v>204</v>
      </c>
      <c r="AV941" s="10">
        <v>4.3940000000000001</v>
      </c>
      <c r="AW941" s="11">
        <f>IF(AND(ISNUMBER(AV941),ISNUMBER(AT941)),IF(AT941&lt;&gt;0,AV941/ABS(AT941),""),"")</f>
        <v>1.9964496455325007E-3</v>
      </c>
      <c r="AX941" s="8">
        <v>0</v>
      </c>
      <c r="AY941" s="8">
        <v>0</v>
      </c>
      <c r="AZ941" s="10"/>
      <c r="BA941" s="8">
        <v>0</v>
      </c>
    </row>
    <row r="942" spans="1:53" x14ac:dyDescent="0.2">
      <c r="A942" s="8" t="s">
        <v>508</v>
      </c>
      <c r="B942" s="8" t="s">
        <v>83</v>
      </c>
      <c r="C942" s="8" t="s">
        <v>290</v>
      </c>
      <c r="D942" s="8">
        <v>1</v>
      </c>
      <c r="E942" s="8">
        <v>0</v>
      </c>
      <c r="F942" s="8">
        <f>SUM(G942:M942)</f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1</v>
      </c>
      <c r="Q942" s="8">
        <v>0</v>
      </c>
      <c r="R942" s="8">
        <v>0</v>
      </c>
      <c r="S942" s="8">
        <v>1</v>
      </c>
      <c r="T942" s="10">
        <v>-136.40899999999999</v>
      </c>
      <c r="U942" s="10"/>
      <c r="V942" s="10"/>
      <c r="W942" s="10">
        <f>IF(RIGHT(C942,2)="12",IF(ISNUMBER(T942),T942,""),IF(COUNT(T942,U942,V942)=3,T942+U942-V942,""))</f>
        <v>-136.40899999999999</v>
      </c>
      <c r="X942" s="10">
        <v>-136.40899999999999</v>
      </c>
      <c r="Y942" s="10">
        <v>-13.257999999999999</v>
      </c>
      <c r="Z942" s="10">
        <v>-55.512</v>
      </c>
      <c r="AA942" s="10">
        <v>-78.929000000000002</v>
      </c>
      <c r="AB942" s="10">
        <v>11.291</v>
      </c>
      <c r="AC942" s="8">
        <v>0</v>
      </c>
      <c r="AD942" s="8">
        <v>0</v>
      </c>
      <c r="AE942" s="8">
        <v>0</v>
      </c>
      <c r="AF942" s="10">
        <v>0</v>
      </c>
      <c r="AG942" s="8">
        <f>COUNTIF(Y942:AB942,"&gt;0")</f>
        <v>1</v>
      </c>
      <c r="AH942" s="10">
        <v>11.291</v>
      </c>
      <c r="AI942" s="10">
        <v>0</v>
      </c>
      <c r="AJ942" s="8" t="str">
        <f>IF(ISNUMBER(X942),IF(X942&gt;0,"+",IF(X942&lt;0,"−","0")),IF(ISNUMBER(W942),IF(W942&gt;0,"+",IF(W942&lt;0,"−","0")),"yok"))</f>
        <v>−</v>
      </c>
      <c r="AK942" s="10" t="str">
        <f>IF(AND(RIGHT(C942,2)&lt;&gt;"12",ISNUMBER(U942),ISNUMBER(V942)),U942-V942,"")</f>
        <v/>
      </c>
      <c r="AL942" s="11" t="str">
        <f>IF(AND(ISNUMBER(AK942),ISNUMBER(V942)),IF(V942&lt;&gt;0,AK942/ABS(V942),""),"")</f>
        <v/>
      </c>
      <c r="AM942" s="8" t="str">
        <f>IF(ISNUMBER(AK942),IF(AK942&gt;1,1,0),"")</f>
        <v/>
      </c>
      <c r="AN942" s="8" t="str">
        <f>IF(ISNUMBER(AK942),IF(AK942&gt;0.05*ABS(V942),1,0),"")</f>
        <v/>
      </c>
      <c r="AO942" s="10">
        <v>-136.41</v>
      </c>
      <c r="AP942" s="10">
        <v>136.41</v>
      </c>
      <c r="AQ942" s="8" t="s">
        <v>204</v>
      </c>
      <c r="AR942" s="8">
        <v>0</v>
      </c>
      <c r="AS942" s="10">
        <v>196.66800000000001</v>
      </c>
      <c r="AT942" s="10">
        <v>60.258000000000003</v>
      </c>
      <c r="AU942" s="8" t="s">
        <v>204</v>
      </c>
      <c r="AV942" s="10">
        <v>11.291</v>
      </c>
      <c r="AW942" s="11">
        <f>IF(AND(ISNUMBER(AV942),ISNUMBER(AT942)),IF(AT942&lt;&gt;0,AV942/ABS(AT942),""),"")</f>
        <v>0.18737760961200173</v>
      </c>
      <c r="AX942" s="8">
        <v>0</v>
      </c>
      <c r="AY942" s="8">
        <v>0</v>
      </c>
      <c r="AZ942" s="10"/>
      <c r="BA942" s="8">
        <v>0</v>
      </c>
    </row>
    <row r="943" spans="1:53" x14ac:dyDescent="0.2">
      <c r="A943" s="8" t="s">
        <v>510</v>
      </c>
      <c r="B943" s="8" t="s">
        <v>83</v>
      </c>
      <c r="C943" s="8" t="s">
        <v>290</v>
      </c>
      <c r="D943" s="8">
        <v>1</v>
      </c>
      <c r="E943" s="8">
        <v>0</v>
      </c>
      <c r="F943" s="8">
        <f>SUM(G943:M943)</f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1</v>
      </c>
      <c r="Q943" s="8">
        <v>0</v>
      </c>
      <c r="R943" s="8">
        <v>0</v>
      </c>
      <c r="S943" s="8">
        <v>1</v>
      </c>
      <c r="T943" s="10">
        <v>-2.1800000000000002</v>
      </c>
      <c r="U943" s="10"/>
      <c r="V943" s="10"/>
      <c r="W943" s="10">
        <f>IF(RIGHT(C943,2)="12",IF(ISNUMBER(T943),T943,""),IF(COUNT(T943,U943,V943)=3,T943+U943-V943,""))</f>
        <v>-2.1800000000000002</v>
      </c>
      <c r="X943" s="10">
        <v>-2.1800000000000002</v>
      </c>
      <c r="Y943" s="10"/>
      <c r="Z943" s="10">
        <v>-3.4649999999999999</v>
      </c>
      <c r="AA943" s="10"/>
      <c r="AB943" s="10">
        <v>1.284</v>
      </c>
      <c r="AC943" s="8">
        <v>0</v>
      </c>
      <c r="AD943" s="8">
        <v>0</v>
      </c>
      <c r="AE943" s="8">
        <v>0</v>
      </c>
      <c r="AF943" s="10">
        <v>0</v>
      </c>
      <c r="AG943" s="8">
        <f>COUNTIF(Y943:AB943,"&gt;0")</f>
        <v>1</v>
      </c>
      <c r="AH943" s="10">
        <v>1.284</v>
      </c>
      <c r="AI943" s="10">
        <v>0</v>
      </c>
      <c r="AJ943" s="8" t="str">
        <f>IF(ISNUMBER(X943),IF(X943&gt;0,"+",IF(X943&lt;0,"−","0")),IF(ISNUMBER(W943),IF(W943&gt;0,"+",IF(W943&lt;0,"−","0")),"yok"))</f>
        <v>−</v>
      </c>
      <c r="AK943" s="10" t="str">
        <f>IF(AND(RIGHT(C943,2)&lt;&gt;"12",ISNUMBER(U943),ISNUMBER(V943)),U943-V943,"")</f>
        <v/>
      </c>
      <c r="AL943" s="11" t="str">
        <f>IF(AND(ISNUMBER(AK943),ISNUMBER(V943)),IF(V943&lt;&gt;0,AK943/ABS(V943),""),"")</f>
        <v/>
      </c>
      <c r="AM943" s="8" t="str">
        <f>IF(ISNUMBER(AK943),IF(AK943&gt;1,1,0),"")</f>
        <v/>
      </c>
      <c r="AN943" s="8" t="str">
        <f>IF(ISNUMBER(AK943),IF(AK943&gt;0.05*ABS(V943),1,0),"")</f>
        <v/>
      </c>
      <c r="AO943" s="10">
        <v>-2.181</v>
      </c>
      <c r="AP943" s="10">
        <v>2.181</v>
      </c>
      <c r="AQ943" s="8" t="s">
        <v>209</v>
      </c>
      <c r="AR943" s="8">
        <v>0</v>
      </c>
      <c r="AS943" s="10">
        <v>-24.344999999999999</v>
      </c>
      <c r="AT943" s="10">
        <v>-27.59</v>
      </c>
      <c r="AU943" s="8" t="s">
        <v>209</v>
      </c>
      <c r="AV943" s="10">
        <v>1.284</v>
      </c>
      <c r="AW943" s="11">
        <f>IF(AND(ISNUMBER(AV943),ISNUMBER(AT943)),IF(AT943&lt;&gt;0,AV943/ABS(AT943),""),"")</f>
        <v>4.6538600942370424E-2</v>
      </c>
      <c r="AX943" s="8">
        <v>0</v>
      </c>
      <c r="AY943" s="8">
        <v>0</v>
      </c>
      <c r="AZ943" s="10"/>
      <c r="BA943" s="8">
        <v>0</v>
      </c>
    </row>
    <row r="944" spans="1:53" x14ac:dyDescent="0.2">
      <c r="A944" s="8" t="s">
        <v>636</v>
      </c>
      <c r="B944" s="8" t="s">
        <v>83</v>
      </c>
      <c r="C944" s="8" t="s">
        <v>210</v>
      </c>
      <c r="D944" s="8">
        <v>1</v>
      </c>
      <c r="E944" s="8">
        <v>0</v>
      </c>
      <c r="F944" s="8">
        <f>SUM(G944:M944)</f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1</v>
      </c>
      <c r="Q944" s="8">
        <v>0</v>
      </c>
      <c r="R944" s="8">
        <v>0</v>
      </c>
      <c r="S944" s="8">
        <v>1</v>
      </c>
      <c r="T944" s="10">
        <v>-2.2480000000000002</v>
      </c>
      <c r="U944" s="10">
        <v>-256.85199999999998</v>
      </c>
      <c r="V944" s="10">
        <v>-52.334000000000003</v>
      </c>
      <c r="W944" s="10">
        <f>IF(RIGHT(C944,2)="12",IF(ISNUMBER(T944),T944,""),IF(COUNT(T944,U944,V944)=3,T944+U944-V944,""))</f>
        <v>-206.76599999999996</v>
      </c>
      <c r="X944" s="10">
        <v>-206.76599999999999</v>
      </c>
      <c r="Y944" s="10"/>
      <c r="Z944" s="10"/>
      <c r="AA944" s="10">
        <v>-15.48</v>
      </c>
      <c r="AB944" s="10">
        <v>13.231999999999999</v>
      </c>
      <c r="AC944" s="8">
        <v>0</v>
      </c>
      <c r="AD944" s="8">
        <v>0</v>
      </c>
      <c r="AE944" s="8">
        <v>0</v>
      </c>
      <c r="AF944" s="10">
        <v>0</v>
      </c>
      <c r="AG944" s="8">
        <f>COUNTIF(Y944:AB944,"&gt;0")</f>
        <v>1</v>
      </c>
      <c r="AH944" s="10">
        <v>13.231999999999999</v>
      </c>
      <c r="AI944" s="10">
        <v>0</v>
      </c>
      <c r="AJ944" s="8" t="str">
        <f>IF(ISNUMBER(X944),IF(X944&gt;0,"+",IF(X944&lt;0,"−","0")),IF(ISNUMBER(W944),IF(W944&gt;0,"+",IF(W944&lt;0,"−","0")),"yok"))</f>
        <v>−</v>
      </c>
      <c r="AK944" s="10">
        <f>IF(AND(RIGHT(C944,2)&lt;&gt;"12",ISNUMBER(U944),ISNUMBER(V944)),U944-V944,"")</f>
        <v>-204.51799999999997</v>
      </c>
      <c r="AL944" s="11">
        <f>IF(AND(ISNUMBER(AK944),ISNUMBER(V944)),IF(V944&lt;&gt;0,AK944/ABS(V944),""),"")</f>
        <v>-3.9079374785034577</v>
      </c>
      <c r="AM944" s="8">
        <f>IF(ISNUMBER(AK944),IF(AK944&gt;1,1,0),"")</f>
        <v>0</v>
      </c>
      <c r="AN944" s="8">
        <f>IF(ISNUMBER(AK944),IF(AK944&gt;0.05*ABS(V944),1,0),"")</f>
        <v>0</v>
      </c>
      <c r="AO944" s="10"/>
      <c r="AP944" s="10"/>
      <c r="AQ944" s="8" t="s">
        <v>207</v>
      </c>
      <c r="AR944" s="8">
        <v>0</v>
      </c>
      <c r="AS944" s="10"/>
      <c r="AT944" s="10"/>
      <c r="AU944" s="8" t="s">
        <v>207</v>
      </c>
      <c r="AV944" s="10">
        <v>13.231999999999999</v>
      </c>
      <c r="AW944" s="11" t="str">
        <f>IF(AND(ISNUMBER(AV944),ISNUMBER(AT944)),IF(AT944&lt;&gt;0,AV944/ABS(AT944),""),"")</f>
        <v/>
      </c>
      <c r="AX944" s="8">
        <v>0</v>
      </c>
      <c r="AY944" s="8">
        <v>0</v>
      </c>
      <c r="AZ944" s="10"/>
      <c r="BA944" s="8">
        <v>0</v>
      </c>
    </row>
    <row r="945" spans="1:53" x14ac:dyDescent="0.2">
      <c r="A945" s="8" t="s">
        <v>511</v>
      </c>
      <c r="B945" s="8" t="s">
        <v>83</v>
      </c>
      <c r="C945" s="8" t="s">
        <v>215</v>
      </c>
      <c r="D945" s="8">
        <v>1</v>
      </c>
      <c r="E945" s="8">
        <v>0</v>
      </c>
      <c r="F945" s="8">
        <f>SUM(G945:M945)</f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1</v>
      </c>
      <c r="Q945" s="8">
        <v>0</v>
      </c>
      <c r="R945" s="8">
        <v>0</v>
      </c>
      <c r="S945" s="8">
        <v>1</v>
      </c>
      <c r="T945" s="10">
        <v>-117.32899999999999</v>
      </c>
      <c r="U945" s="10">
        <v>-492.08199999999999</v>
      </c>
      <c r="V945" s="10">
        <v>-428.01600000000002</v>
      </c>
      <c r="W945" s="10">
        <f>IF(RIGHT(C945,2)="12",IF(ISNUMBER(T945),T945,""),IF(COUNT(T945,U945,V945)=3,T945+U945-V945,""))</f>
        <v>-181.39499999999992</v>
      </c>
      <c r="X945" s="10">
        <v>-181.39500000000001</v>
      </c>
      <c r="Y945" s="10">
        <v>-64.064999999999998</v>
      </c>
      <c r="Z945" s="10">
        <v>-31.77</v>
      </c>
      <c r="AA945" s="10">
        <v>-106.86199999999999</v>
      </c>
      <c r="AB945" s="10">
        <v>21.303000000000001</v>
      </c>
      <c r="AC945" s="8">
        <v>0</v>
      </c>
      <c r="AD945" s="8">
        <v>0</v>
      </c>
      <c r="AE945" s="8">
        <v>0</v>
      </c>
      <c r="AF945" s="10">
        <v>0</v>
      </c>
      <c r="AG945" s="8">
        <f>COUNTIF(Y945:AB945,"&gt;0")</f>
        <v>1</v>
      </c>
      <c r="AH945" s="10">
        <v>21.303000000000001</v>
      </c>
      <c r="AI945" s="10">
        <v>0</v>
      </c>
      <c r="AJ945" s="8" t="str">
        <f>IF(ISNUMBER(X945),IF(X945&gt;0,"+",IF(X945&lt;0,"−","0")),IF(ISNUMBER(W945),IF(W945&gt;0,"+",IF(W945&lt;0,"−","0")),"yok"))</f>
        <v>−</v>
      </c>
      <c r="AK945" s="10">
        <f>IF(AND(RIGHT(C945,2)&lt;&gt;"12",ISNUMBER(U945),ISNUMBER(V945)),U945-V945,"")</f>
        <v>-64.065999999999974</v>
      </c>
      <c r="AL945" s="11">
        <f>IF(AND(ISNUMBER(AK945),ISNUMBER(V945)),IF(V945&lt;&gt;0,AK945/ABS(V945),""),"")</f>
        <v>-0.14968132032447379</v>
      </c>
      <c r="AM945" s="8">
        <f>IF(ISNUMBER(AK945),IF(AK945&gt;1,1,0),"")</f>
        <v>0</v>
      </c>
      <c r="AN945" s="8">
        <f>IF(ISNUMBER(AK945),IF(AK945&gt;0.05*ABS(V945),1,0),"")</f>
        <v>0</v>
      </c>
      <c r="AO945" s="10">
        <v>-181.39599999999999</v>
      </c>
      <c r="AP945" s="10">
        <v>181.39599999999999</v>
      </c>
      <c r="AQ945" s="8" t="s">
        <v>204</v>
      </c>
      <c r="AR945" s="8">
        <v>0</v>
      </c>
      <c r="AS945" s="10">
        <v>159.25</v>
      </c>
      <c r="AT945" s="10">
        <v>-29.585999999999999</v>
      </c>
      <c r="AU945" s="8" t="s">
        <v>204</v>
      </c>
      <c r="AV945" s="10">
        <v>21.303000000000001</v>
      </c>
      <c r="AW945" s="11">
        <f>IF(AND(ISNUMBER(AV945),ISNUMBER(AT945)),IF(AT945&lt;&gt;0,AV945/ABS(AT945),""),"")</f>
        <v>0.72003650375177453</v>
      </c>
      <c r="AX945" s="8">
        <v>0</v>
      </c>
      <c r="AY945" s="8">
        <v>0</v>
      </c>
      <c r="AZ945" s="10"/>
      <c r="BA945" s="8">
        <v>0</v>
      </c>
    </row>
    <row r="946" spans="1:53" x14ac:dyDescent="0.2">
      <c r="A946" s="8" t="s">
        <v>511</v>
      </c>
      <c r="B946" s="8" t="s">
        <v>83</v>
      </c>
      <c r="C946" s="8" t="s">
        <v>290</v>
      </c>
      <c r="D946" s="8">
        <v>1</v>
      </c>
      <c r="E946" s="8">
        <v>0</v>
      </c>
      <c r="F946" s="8">
        <f>SUM(G946:M946)</f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1</v>
      </c>
      <c r="Q946" s="8">
        <v>0</v>
      </c>
      <c r="R946" s="8">
        <v>0</v>
      </c>
      <c r="S946" s="8">
        <v>1</v>
      </c>
      <c r="T946" s="10">
        <v>-177.49799999999999</v>
      </c>
      <c r="U946" s="10"/>
      <c r="V946" s="10"/>
      <c r="W946" s="10">
        <f>IF(RIGHT(C946,2)="12",IF(ISNUMBER(T946),T946,""),IF(COUNT(T946,U946,V946)=3,T946+U946-V946,""))</f>
        <v>-177.49799999999999</v>
      </c>
      <c r="X946" s="10">
        <v>-177.49799999999999</v>
      </c>
      <c r="Y946" s="10">
        <v>-31.77</v>
      </c>
      <c r="Z946" s="10">
        <v>-106.86199999999999</v>
      </c>
      <c r="AA946" s="10">
        <v>21.303000000000001</v>
      </c>
      <c r="AB946" s="10">
        <v>-60.167999999999999</v>
      </c>
      <c r="AC946" s="8">
        <v>0</v>
      </c>
      <c r="AD946" s="8">
        <v>0</v>
      </c>
      <c r="AE946" s="8">
        <v>0</v>
      </c>
      <c r="AF946" s="10">
        <v>0</v>
      </c>
      <c r="AG946" s="8">
        <f>COUNTIF(Y946:AB946,"&gt;0")</f>
        <v>1</v>
      </c>
      <c r="AH946" s="10">
        <v>21.303000000000001</v>
      </c>
      <c r="AI946" s="10">
        <v>0</v>
      </c>
      <c r="AJ946" s="8" t="str">
        <f>IF(ISNUMBER(X946),IF(X946&gt;0,"+",IF(X946&lt;0,"−","0")),IF(ISNUMBER(W946),IF(W946&gt;0,"+",IF(W946&lt;0,"−","0")),"yok"))</f>
        <v>−</v>
      </c>
      <c r="AK946" s="10" t="str">
        <f>IF(AND(RIGHT(C946,2)&lt;&gt;"12",ISNUMBER(U946),ISNUMBER(V946)),U946-V946,"")</f>
        <v/>
      </c>
      <c r="AL946" s="11" t="str">
        <f>IF(AND(ISNUMBER(AK946),ISNUMBER(V946)),IF(V946&lt;&gt;0,AK946/ABS(V946),""),"")</f>
        <v/>
      </c>
      <c r="AM946" s="8" t="str">
        <f>IF(ISNUMBER(AK946),IF(AK946&gt;1,1,0),"")</f>
        <v/>
      </c>
      <c r="AN946" s="8" t="str">
        <f>IF(ISNUMBER(AK946),IF(AK946&gt;0.05*ABS(V946),1,0),"")</f>
        <v/>
      </c>
      <c r="AO946" s="10">
        <v>-177.49799999999999</v>
      </c>
      <c r="AP946" s="10">
        <v>177.49799999999999</v>
      </c>
      <c r="AQ946" s="8" t="s">
        <v>204</v>
      </c>
      <c r="AR946" s="8">
        <v>0</v>
      </c>
      <c r="AS946" s="10">
        <v>79.733999999999995</v>
      </c>
      <c r="AT946" s="10">
        <v>-105.251</v>
      </c>
      <c r="AU946" s="8" t="s">
        <v>204</v>
      </c>
      <c r="AV946" s="10">
        <v>21.303000000000001</v>
      </c>
      <c r="AW946" s="11">
        <f>IF(AND(ISNUMBER(AV946),ISNUMBER(AT946)),IF(AT946&lt;&gt;0,AV946/ABS(AT946),""),"")</f>
        <v>0.20240187741684165</v>
      </c>
      <c r="AX946" s="8">
        <v>0</v>
      </c>
      <c r="AY946" s="8">
        <v>0</v>
      </c>
      <c r="AZ946" s="10"/>
      <c r="BA946" s="8">
        <v>0</v>
      </c>
    </row>
    <row r="947" spans="1:53" x14ac:dyDescent="0.2">
      <c r="A947" s="8" t="s">
        <v>513</v>
      </c>
      <c r="B947" s="8" t="s">
        <v>83</v>
      </c>
      <c r="C947" s="8" t="s">
        <v>290</v>
      </c>
      <c r="D947" s="8">
        <v>1</v>
      </c>
      <c r="E947" s="8">
        <v>0</v>
      </c>
      <c r="F947" s="8">
        <f>SUM(G947:M947)</f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1</v>
      </c>
      <c r="Q947" s="8">
        <v>0</v>
      </c>
      <c r="R947" s="8">
        <v>0</v>
      </c>
      <c r="S947" s="8">
        <v>1</v>
      </c>
      <c r="T947" s="10">
        <v>-716.71199999999999</v>
      </c>
      <c r="U947" s="10"/>
      <c r="V947" s="10"/>
      <c r="W947" s="10">
        <f>IF(RIGHT(C947,2)="12",IF(ISNUMBER(T947),T947,""),IF(COUNT(T947,U947,V947)=3,T947+U947-V947,""))</f>
        <v>-716.71199999999999</v>
      </c>
      <c r="X947" s="10">
        <v>-716.71199999999999</v>
      </c>
      <c r="Y947" s="10">
        <v>-343.245</v>
      </c>
      <c r="Z947" s="10">
        <v>-364.41899999999998</v>
      </c>
      <c r="AA947" s="10">
        <v>-247.83</v>
      </c>
      <c r="AB947" s="10">
        <v>238.78299999999999</v>
      </c>
      <c r="AC947" s="8">
        <v>0</v>
      </c>
      <c r="AD947" s="8">
        <v>0</v>
      </c>
      <c r="AE947" s="8">
        <v>0</v>
      </c>
      <c r="AF947" s="10">
        <v>0</v>
      </c>
      <c r="AG947" s="8">
        <f>COUNTIF(Y947:AB947,"&gt;0")</f>
        <v>1</v>
      </c>
      <c r="AH947" s="10">
        <v>238.78299999999999</v>
      </c>
      <c r="AI947" s="10">
        <v>0</v>
      </c>
      <c r="AJ947" s="8" t="str">
        <f>IF(ISNUMBER(X947),IF(X947&gt;0,"+",IF(X947&lt;0,"−","0")),IF(ISNUMBER(W947),IF(W947&gt;0,"+",IF(W947&lt;0,"−","0")),"yok"))</f>
        <v>−</v>
      </c>
      <c r="AK947" s="10" t="str">
        <f>IF(AND(RIGHT(C947,2)&lt;&gt;"12",ISNUMBER(U947),ISNUMBER(V947)),U947-V947,"")</f>
        <v/>
      </c>
      <c r="AL947" s="11" t="str">
        <f>IF(AND(ISNUMBER(AK947),ISNUMBER(V947)),IF(V947&lt;&gt;0,AK947/ABS(V947),""),"")</f>
        <v/>
      </c>
      <c r="AM947" s="8" t="str">
        <f>IF(ISNUMBER(AK947),IF(AK947&gt;1,1,0),"")</f>
        <v/>
      </c>
      <c r="AN947" s="8" t="str">
        <f>IF(ISNUMBER(AK947),IF(AK947&gt;0.05*ABS(V947),1,0),"")</f>
        <v/>
      </c>
      <c r="AO947" s="10">
        <v>-716.71199999999999</v>
      </c>
      <c r="AP947" s="10">
        <v>716.71199999999999</v>
      </c>
      <c r="AQ947" s="8" t="s">
        <v>204</v>
      </c>
      <c r="AR947" s="8">
        <v>0</v>
      </c>
      <c r="AS947" s="10">
        <v>712.01700000000005</v>
      </c>
      <c r="AT947" s="10">
        <v>-647.42999999999995</v>
      </c>
      <c r="AU947" s="8" t="s">
        <v>212</v>
      </c>
      <c r="AV947" s="10">
        <v>238.78299999999999</v>
      </c>
      <c r="AW947" s="11">
        <f>IF(AND(ISNUMBER(AV947),ISNUMBER(AT947)),IF(AT947&lt;&gt;0,AV947/ABS(AT947),""),"")</f>
        <v>0.36881670605316408</v>
      </c>
      <c r="AX947" s="8">
        <v>0</v>
      </c>
      <c r="AY947" s="8">
        <v>0</v>
      </c>
      <c r="AZ947" s="10"/>
      <c r="BA947" s="8">
        <v>0</v>
      </c>
    </row>
    <row r="948" spans="1:53" x14ac:dyDescent="0.2">
      <c r="A948" s="8" t="s">
        <v>637</v>
      </c>
      <c r="B948" s="8" t="s">
        <v>82</v>
      </c>
      <c r="C948" s="8" t="s">
        <v>203</v>
      </c>
      <c r="D948" s="8">
        <v>1</v>
      </c>
      <c r="E948" s="8">
        <v>0</v>
      </c>
      <c r="F948" s="8">
        <f>SUM(G948:M948)</f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1</v>
      </c>
      <c r="Q948" s="8">
        <v>0</v>
      </c>
      <c r="R948" s="8">
        <v>1</v>
      </c>
      <c r="S948" s="8">
        <v>0</v>
      </c>
      <c r="T948" s="10">
        <v>-317.245</v>
      </c>
      <c r="U948" s="10">
        <v>-791.45899999999995</v>
      </c>
      <c r="V948" s="10">
        <v>-496.416</v>
      </c>
      <c r="W948" s="10">
        <f>IF(RIGHT(C948,2)="12",IF(ISNUMBER(T948),T948,""),IF(COUNT(T948,U948,V948)=3,T948+U948-V948,""))</f>
        <v>-612.28800000000001</v>
      </c>
      <c r="X948" s="10">
        <v>-612.28800000000001</v>
      </c>
      <c r="Y948" s="10">
        <v>188.613</v>
      </c>
      <c r="Z948" s="10">
        <v>-153.417</v>
      </c>
      <c r="AA948" s="10">
        <v>-330.23899999999998</v>
      </c>
      <c r="AB948" s="10">
        <v>-317.245</v>
      </c>
      <c r="AC948" s="8">
        <v>0</v>
      </c>
      <c r="AD948" s="8">
        <v>0</v>
      </c>
      <c r="AE948" s="8">
        <v>0</v>
      </c>
      <c r="AF948" s="10">
        <v>0</v>
      </c>
      <c r="AG948" s="8">
        <f>COUNTIF(Y948:AB948,"&gt;0")</f>
        <v>1</v>
      </c>
      <c r="AH948" s="10">
        <v>0</v>
      </c>
      <c r="AI948" s="10">
        <v>188.613</v>
      </c>
      <c r="AJ948" s="8" t="str">
        <f>IF(ISNUMBER(X948),IF(X948&gt;0,"+",IF(X948&lt;0,"−","0")),IF(ISNUMBER(W948),IF(W948&gt;0,"+",IF(W948&lt;0,"−","0")),"yok"))</f>
        <v>−</v>
      </c>
      <c r="AK948" s="10">
        <f>IF(AND(RIGHT(C948,2)&lt;&gt;"12",ISNUMBER(U948),ISNUMBER(V948)),U948-V948,"")</f>
        <v>-295.04299999999995</v>
      </c>
      <c r="AL948" s="11">
        <f>IF(AND(ISNUMBER(AK948),ISNUMBER(V948)),IF(V948&lt;&gt;0,AK948/ABS(V948),""),"")</f>
        <v>-0.59434627409269636</v>
      </c>
      <c r="AM948" s="8">
        <f>IF(ISNUMBER(AK948),IF(AK948&gt;1,1,0),"")</f>
        <v>0</v>
      </c>
      <c r="AN948" s="8">
        <f>IF(ISNUMBER(AK948),IF(AK948&gt;0.05*ABS(V948),1,0),"")</f>
        <v>0</v>
      </c>
      <c r="AO948" s="10">
        <v>-612.28800000000001</v>
      </c>
      <c r="AP948" s="10">
        <v>612.28800000000001</v>
      </c>
      <c r="AQ948" s="8" t="s">
        <v>204</v>
      </c>
      <c r="AR948" s="8">
        <v>0</v>
      </c>
      <c r="AS948" s="10">
        <v>9723.2569999999996</v>
      </c>
      <c r="AT948" s="10">
        <v>621.35899999999901</v>
      </c>
      <c r="AU948" s="8" t="s">
        <v>204</v>
      </c>
      <c r="AV948" s="10">
        <v>188.613</v>
      </c>
      <c r="AW948" s="11">
        <f>IF(AND(ISNUMBER(AV948),ISNUMBER(AT948)),IF(AT948&lt;&gt;0,AV948/ABS(AT948),""),"")</f>
        <v>0.30354915596297838</v>
      </c>
      <c r="AX948" s="8">
        <v>0</v>
      </c>
      <c r="AY948" s="8">
        <v>0</v>
      </c>
      <c r="AZ948" s="10"/>
      <c r="BA948" s="8">
        <v>0</v>
      </c>
    </row>
    <row r="949" spans="1:53" x14ac:dyDescent="0.2">
      <c r="A949" s="8" t="s">
        <v>516</v>
      </c>
      <c r="B949" s="8" t="s">
        <v>82</v>
      </c>
      <c r="C949" s="8" t="s">
        <v>205</v>
      </c>
      <c r="D949" s="8">
        <v>1</v>
      </c>
      <c r="E949" s="8">
        <v>0</v>
      </c>
      <c r="F949" s="8">
        <f>SUM(G949:M949)</f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1</v>
      </c>
      <c r="Q949" s="8">
        <v>0</v>
      </c>
      <c r="R949" s="8">
        <v>0</v>
      </c>
      <c r="S949" s="8">
        <v>1</v>
      </c>
      <c r="T949" s="10">
        <v>0</v>
      </c>
      <c r="U949" s="10">
        <v>-16.193000000000001</v>
      </c>
      <c r="V949" s="10">
        <v>-1.0109999999999999</v>
      </c>
      <c r="W949" s="10">
        <f>IF(RIGHT(C949,2)="12",IF(ISNUMBER(T949),T949,""),IF(COUNT(T949,U949,V949)=3,T949+U949-V949,""))</f>
        <v>-15.182000000000002</v>
      </c>
      <c r="X949" s="10">
        <v>-15.180999999999999</v>
      </c>
      <c r="Y949" s="10">
        <v>0</v>
      </c>
      <c r="Z949" s="10">
        <v>-15.180999999999999</v>
      </c>
      <c r="AA949" s="10">
        <v>-32.533000000000001</v>
      </c>
      <c r="AB949" s="10">
        <v>32.533000000000001</v>
      </c>
      <c r="AC949" s="8">
        <v>0</v>
      </c>
      <c r="AD949" s="8">
        <v>0</v>
      </c>
      <c r="AE949" s="8">
        <v>0</v>
      </c>
      <c r="AF949" s="10">
        <v>0</v>
      </c>
      <c r="AG949" s="8">
        <f>COUNTIF(Y949:AB949,"&gt;0")</f>
        <v>1</v>
      </c>
      <c r="AH949" s="10">
        <v>32.533000000000001</v>
      </c>
      <c r="AI949" s="10">
        <v>0</v>
      </c>
      <c r="AJ949" s="8" t="str">
        <f>IF(ISNUMBER(X949),IF(X949&gt;0,"+",IF(X949&lt;0,"−","0")),IF(ISNUMBER(W949),IF(W949&gt;0,"+",IF(W949&lt;0,"−","0")),"yok"))</f>
        <v>−</v>
      </c>
      <c r="AK949" s="10">
        <f>IF(AND(RIGHT(C949,2)&lt;&gt;"12",ISNUMBER(U949),ISNUMBER(V949)),U949-V949,"")</f>
        <v>-15.182000000000002</v>
      </c>
      <c r="AL949" s="11">
        <f>IF(AND(ISNUMBER(AK949),ISNUMBER(V949)),IF(V949&lt;&gt;0,AK949/ABS(V949),""),"")</f>
        <v>-15.016815034619192</v>
      </c>
      <c r="AM949" s="8">
        <f>IF(ISNUMBER(AK949),IF(AK949&gt;1,1,0),"")</f>
        <v>0</v>
      </c>
      <c r="AN949" s="8">
        <f>IF(ISNUMBER(AK949),IF(AK949&gt;0.05*ABS(V949),1,0),"")</f>
        <v>0</v>
      </c>
      <c r="AO949" s="10">
        <v>-15.180999999999999</v>
      </c>
      <c r="AP949" s="10">
        <v>15.180999999999999</v>
      </c>
      <c r="AQ949" s="8" t="s">
        <v>204</v>
      </c>
      <c r="AR949" s="8">
        <v>0</v>
      </c>
      <c r="AS949" s="10">
        <v>-0.45399999999999402</v>
      </c>
      <c r="AT949" s="10">
        <v>-859.71</v>
      </c>
      <c r="AU949" s="8" t="s">
        <v>204</v>
      </c>
      <c r="AV949" s="10">
        <v>32.533000000000001</v>
      </c>
      <c r="AW949" s="11">
        <f>IF(AND(ISNUMBER(AV949),ISNUMBER(AT949)),IF(AT949&lt;&gt;0,AV949/ABS(AT949),""),"")</f>
        <v>3.7841830384664599E-2</v>
      </c>
      <c r="AX949" s="8">
        <v>0</v>
      </c>
      <c r="AY949" s="8">
        <v>0</v>
      </c>
      <c r="AZ949" s="10"/>
      <c r="BA949" s="8">
        <v>0</v>
      </c>
    </row>
    <row r="950" spans="1:53" x14ac:dyDescent="0.2">
      <c r="A950" s="8" t="s">
        <v>516</v>
      </c>
      <c r="B950" s="8" t="s">
        <v>82</v>
      </c>
      <c r="C950" s="8" t="s">
        <v>215</v>
      </c>
      <c r="D950" s="8">
        <v>1</v>
      </c>
      <c r="E950" s="8">
        <v>0</v>
      </c>
      <c r="F950" s="8">
        <f>SUM(G950:M950)</f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1</v>
      </c>
      <c r="Q950" s="8">
        <v>0</v>
      </c>
      <c r="R950" s="8">
        <v>0</v>
      </c>
      <c r="S950" s="8">
        <v>1</v>
      </c>
      <c r="T950" s="10">
        <v>0</v>
      </c>
      <c r="U950" s="10">
        <v>-16.193000000000001</v>
      </c>
      <c r="V950" s="10">
        <v>-1.0109999999999999</v>
      </c>
      <c r="W950" s="10">
        <f>IF(RIGHT(C950,2)="12",IF(ISNUMBER(T950),T950,""),IF(COUNT(T950,U950,V950)=3,T950+U950-V950,""))</f>
        <v>-15.182000000000002</v>
      </c>
      <c r="X950" s="10">
        <v>-15.180999999999999</v>
      </c>
      <c r="Y950" s="10">
        <v>-15.180999999999999</v>
      </c>
      <c r="Z950" s="10">
        <v>-32.533000000000001</v>
      </c>
      <c r="AA950" s="10">
        <v>32.533000000000001</v>
      </c>
      <c r="AB950" s="10">
        <v>0</v>
      </c>
      <c r="AC950" s="8">
        <v>0</v>
      </c>
      <c r="AD950" s="8">
        <v>0</v>
      </c>
      <c r="AE950" s="8">
        <v>0</v>
      </c>
      <c r="AF950" s="10">
        <v>0</v>
      </c>
      <c r="AG950" s="8">
        <f>COUNTIF(Y950:AB950,"&gt;0")</f>
        <v>1</v>
      </c>
      <c r="AH950" s="10">
        <v>32.533000000000001</v>
      </c>
      <c r="AI950" s="10">
        <v>0</v>
      </c>
      <c r="AJ950" s="8" t="str">
        <f>IF(ISNUMBER(X950),IF(X950&gt;0,"+",IF(X950&lt;0,"−","0")),IF(ISNUMBER(W950),IF(W950&gt;0,"+",IF(W950&lt;0,"−","0")),"yok"))</f>
        <v>−</v>
      </c>
      <c r="AK950" s="10">
        <f>IF(AND(RIGHT(C950,2)&lt;&gt;"12",ISNUMBER(U950),ISNUMBER(V950)),U950-V950,"")</f>
        <v>-15.182000000000002</v>
      </c>
      <c r="AL950" s="11">
        <f>IF(AND(ISNUMBER(AK950),ISNUMBER(V950)),IF(V950&lt;&gt;0,AK950/ABS(V950),""),"")</f>
        <v>-15.016815034619192</v>
      </c>
      <c r="AM950" s="8">
        <f>IF(ISNUMBER(AK950),IF(AK950&gt;1,1,0),"")</f>
        <v>0</v>
      </c>
      <c r="AN950" s="8">
        <f>IF(ISNUMBER(AK950),IF(AK950&gt;0.05*ABS(V950),1,0),"")</f>
        <v>0</v>
      </c>
      <c r="AO950" s="10">
        <v>-15.180999999999999</v>
      </c>
      <c r="AP950" s="10">
        <v>15.180999999999999</v>
      </c>
      <c r="AQ950" s="8" t="s">
        <v>204</v>
      </c>
      <c r="AR950" s="8">
        <v>0</v>
      </c>
      <c r="AS950" s="10">
        <v>-75.271000000000001</v>
      </c>
      <c r="AT950" s="10">
        <v>-851.43</v>
      </c>
      <c r="AU950" s="8" t="s">
        <v>204</v>
      </c>
      <c r="AV950" s="10">
        <v>32.533000000000001</v>
      </c>
      <c r="AW950" s="11">
        <f>IF(AND(ISNUMBER(AV950),ISNUMBER(AT950)),IF(AT950&lt;&gt;0,AV950/ABS(AT950),""),"")</f>
        <v>3.8209835218397291E-2</v>
      </c>
      <c r="AX950" s="8">
        <v>0</v>
      </c>
      <c r="AY950" s="8">
        <v>0</v>
      </c>
      <c r="AZ950" s="10"/>
      <c r="BA950" s="8">
        <v>0</v>
      </c>
    </row>
    <row r="951" spans="1:53" x14ac:dyDescent="0.2">
      <c r="A951" s="8" t="s">
        <v>516</v>
      </c>
      <c r="B951" s="8" t="s">
        <v>82</v>
      </c>
      <c r="C951" s="8" t="s">
        <v>290</v>
      </c>
      <c r="D951" s="8">
        <v>1</v>
      </c>
      <c r="E951" s="8">
        <v>0</v>
      </c>
      <c r="F951" s="8">
        <f>SUM(G951:M951)</f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1</v>
      </c>
      <c r="Q951" s="8">
        <v>0</v>
      </c>
      <c r="R951" s="8">
        <v>0</v>
      </c>
      <c r="S951" s="8">
        <v>1</v>
      </c>
      <c r="T951" s="10">
        <v>-0.63700000000000001</v>
      </c>
      <c r="U951" s="10"/>
      <c r="V951" s="10"/>
      <c r="W951" s="10">
        <f>IF(RIGHT(C951,2)="12",IF(ISNUMBER(T951),T951,""),IF(COUNT(T951,U951,V951)=3,T951+U951-V951,""))</f>
        <v>-0.63700000000000001</v>
      </c>
      <c r="X951" s="10">
        <v>-0.63700000000000001</v>
      </c>
      <c r="Y951" s="10">
        <v>-32.533000000000001</v>
      </c>
      <c r="Z951" s="10">
        <v>32.533000000000001</v>
      </c>
      <c r="AA951" s="10">
        <v>0</v>
      </c>
      <c r="AB951" s="10">
        <v>-0.63700000000000001</v>
      </c>
      <c r="AC951" s="8">
        <v>0</v>
      </c>
      <c r="AD951" s="8">
        <v>0</v>
      </c>
      <c r="AE951" s="8">
        <v>0</v>
      </c>
      <c r="AF951" s="10">
        <v>0</v>
      </c>
      <c r="AG951" s="8">
        <f>COUNTIF(Y951:AB951,"&gt;0")</f>
        <v>1</v>
      </c>
      <c r="AH951" s="10">
        <v>32.533000000000001</v>
      </c>
      <c r="AI951" s="10">
        <v>0</v>
      </c>
      <c r="AJ951" s="8" t="str">
        <f>IF(ISNUMBER(X951),IF(X951&gt;0,"+",IF(X951&lt;0,"−","0")),IF(ISNUMBER(W951),IF(W951&gt;0,"+",IF(W951&lt;0,"−","0")),"yok"))</f>
        <v>−</v>
      </c>
      <c r="AK951" s="10" t="str">
        <f>IF(AND(RIGHT(C951,2)&lt;&gt;"12",ISNUMBER(U951),ISNUMBER(V951)),U951-V951,"")</f>
        <v/>
      </c>
      <c r="AL951" s="11" t="str">
        <f>IF(AND(ISNUMBER(AK951),ISNUMBER(V951)),IF(V951&lt;&gt;0,AK951/ABS(V951),""),"")</f>
        <v/>
      </c>
      <c r="AM951" s="8" t="str">
        <f>IF(ISNUMBER(AK951),IF(AK951&gt;1,1,0),"")</f>
        <v/>
      </c>
      <c r="AN951" s="8" t="str">
        <f>IF(ISNUMBER(AK951),IF(AK951&gt;0.05*ABS(V951),1,0),"")</f>
        <v/>
      </c>
      <c r="AO951" s="10">
        <v>-0.63800000000000001</v>
      </c>
      <c r="AP951" s="10">
        <v>0.63800000000000001</v>
      </c>
      <c r="AQ951" s="8" t="s">
        <v>204</v>
      </c>
      <c r="AR951" s="8">
        <v>0</v>
      </c>
      <c r="AS951" s="10">
        <v>860.17399999999998</v>
      </c>
      <c r="AT951" s="10">
        <v>-654.601</v>
      </c>
      <c r="AU951" s="8" t="s">
        <v>204</v>
      </c>
      <c r="AV951" s="10">
        <v>32.533000000000001</v>
      </c>
      <c r="AW951" s="11">
        <f>IF(AND(ISNUMBER(AV951),ISNUMBER(AT951)),IF(AT951&lt;&gt;0,AV951/ABS(AT951),""),"")</f>
        <v>4.9698976934040739E-2</v>
      </c>
      <c r="AX951" s="8">
        <v>0</v>
      </c>
      <c r="AY951" s="8">
        <v>0</v>
      </c>
      <c r="AZ951" s="10"/>
      <c r="BA951" s="8">
        <v>0</v>
      </c>
    </row>
    <row r="952" spans="1:53" x14ac:dyDescent="0.2">
      <c r="A952" s="8" t="s">
        <v>516</v>
      </c>
      <c r="B952" s="8" t="s">
        <v>82</v>
      </c>
      <c r="C952" s="8" t="s">
        <v>210</v>
      </c>
      <c r="D952" s="8">
        <v>1</v>
      </c>
      <c r="E952" s="8">
        <v>0</v>
      </c>
      <c r="F952" s="8">
        <f>SUM(G952:M952)</f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1</v>
      </c>
      <c r="Q952" s="8">
        <v>0</v>
      </c>
      <c r="R952" s="8">
        <v>0</v>
      </c>
      <c r="S952" s="8">
        <v>1</v>
      </c>
      <c r="T952" s="10">
        <v>0</v>
      </c>
      <c r="U952" s="10">
        <v>-0.63700000000000001</v>
      </c>
      <c r="V952" s="10">
        <v>0</v>
      </c>
      <c r="W952" s="10">
        <f>IF(RIGHT(C952,2)="12",IF(ISNUMBER(T952),T952,""),IF(COUNT(T952,U952,V952)=3,T952+U952-V952,""))</f>
        <v>-0.63700000000000001</v>
      </c>
      <c r="X952" s="10">
        <v>-0.63700000000000001</v>
      </c>
      <c r="Y952" s="10">
        <v>0</v>
      </c>
      <c r="Z952" s="10">
        <v>-0.63700000000000001</v>
      </c>
      <c r="AA952" s="10">
        <v>-27.591000000000001</v>
      </c>
      <c r="AB952" s="10">
        <v>27.591000000000001</v>
      </c>
      <c r="AC952" s="8">
        <v>0</v>
      </c>
      <c r="AD952" s="8">
        <v>0</v>
      </c>
      <c r="AE952" s="8">
        <v>0</v>
      </c>
      <c r="AF952" s="10">
        <v>0</v>
      </c>
      <c r="AG952" s="8">
        <f>COUNTIF(Y952:AB952,"&gt;0")</f>
        <v>1</v>
      </c>
      <c r="AH952" s="10">
        <v>27.591000000000001</v>
      </c>
      <c r="AI952" s="10">
        <v>0</v>
      </c>
      <c r="AJ952" s="8" t="str">
        <f>IF(ISNUMBER(X952),IF(X952&gt;0,"+",IF(X952&lt;0,"−","0")),IF(ISNUMBER(W952),IF(W952&gt;0,"+",IF(W952&lt;0,"−","0")),"yok"))</f>
        <v>−</v>
      </c>
      <c r="AK952" s="10">
        <f>IF(AND(RIGHT(C952,2)&lt;&gt;"12",ISNUMBER(U952),ISNUMBER(V952)),U952-V952,"")</f>
        <v>-0.63700000000000001</v>
      </c>
      <c r="AL952" s="11" t="str">
        <f>IF(AND(ISNUMBER(AK952),ISNUMBER(V952)),IF(V952&lt;&gt;0,AK952/ABS(V952),""),"")</f>
        <v/>
      </c>
      <c r="AM952" s="8">
        <f>IF(ISNUMBER(AK952),IF(AK952&gt;1,1,0),"")</f>
        <v>0</v>
      </c>
      <c r="AN952" s="8">
        <f>IF(ISNUMBER(AK952),IF(AK952&gt;0.05*ABS(V952),1,0),"")</f>
        <v>0</v>
      </c>
      <c r="AO952" s="10">
        <v>-0.63800000000000001</v>
      </c>
      <c r="AP952" s="10">
        <v>0.63800000000000001</v>
      </c>
      <c r="AQ952" s="8" t="s">
        <v>204</v>
      </c>
      <c r="AR952" s="8">
        <v>0</v>
      </c>
      <c r="AS952" s="10">
        <v>989.73599999999999</v>
      </c>
      <c r="AT952" s="10">
        <v>-171.60400000000001</v>
      </c>
      <c r="AU952" s="8" t="s">
        <v>204</v>
      </c>
      <c r="AV952" s="10">
        <v>27.591000000000001</v>
      </c>
      <c r="AW952" s="11">
        <f>IF(AND(ISNUMBER(AV952),ISNUMBER(AT952)),IF(AT952&lt;&gt;0,AV952/ABS(AT952),""),"")</f>
        <v>0.16078296543204121</v>
      </c>
      <c r="AX952" s="8">
        <v>0</v>
      </c>
      <c r="AY952" s="8">
        <v>0</v>
      </c>
      <c r="AZ952" s="10"/>
      <c r="BA952" s="8">
        <v>0</v>
      </c>
    </row>
    <row r="953" spans="1:53" x14ac:dyDescent="0.2">
      <c r="A953" s="8" t="s">
        <v>517</v>
      </c>
      <c r="B953" s="8" t="s">
        <v>82</v>
      </c>
      <c r="C953" s="8" t="s">
        <v>290</v>
      </c>
      <c r="D953" s="8">
        <v>1</v>
      </c>
      <c r="E953" s="8">
        <v>0</v>
      </c>
      <c r="F953" s="8">
        <f>SUM(G953:M953)</f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1</v>
      </c>
      <c r="Q953" s="8">
        <v>0</v>
      </c>
      <c r="R953" s="8">
        <v>0</v>
      </c>
      <c r="S953" s="8">
        <v>1</v>
      </c>
      <c r="T953" s="10">
        <v>-177.47800000000001</v>
      </c>
      <c r="U953" s="10"/>
      <c r="V953" s="10"/>
      <c r="W953" s="10">
        <f>IF(RIGHT(C953,2)="12",IF(ISNUMBER(T953),T953,""),IF(COUNT(T953,U953,V953)=3,T953+U953-V953,""))</f>
        <v>-177.47800000000001</v>
      </c>
      <c r="X953" s="10">
        <v>-177.47800000000001</v>
      </c>
      <c r="Y953" s="10">
        <v>-213.52699999999999</v>
      </c>
      <c r="Z953" s="10">
        <v>-119.511</v>
      </c>
      <c r="AA953" s="10">
        <v>173.94800000000001</v>
      </c>
      <c r="AB953" s="10">
        <v>-18.387</v>
      </c>
      <c r="AC953" s="8">
        <v>0</v>
      </c>
      <c r="AD953" s="8">
        <v>0</v>
      </c>
      <c r="AE953" s="8">
        <v>0</v>
      </c>
      <c r="AF953" s="10">
        <v>0</v>
      </c>
      <c r="AG953" s="8">
        <f>COUNTIF(Y953:AB953,"&gt;0")</f>
        <v>1</v>
      </c>
      <c r="AH953" s="10">
        <v>173.94800000000001</v>
      </c>
      <c r="AI953" s="10">
        <v>0</v>
      </c>
      <c r="AJ953" s="8" t="str">
        <f>IF(ISNUMBER(X953),IF(X953&gt;0,"+",IF(X953&lt;0,"−","0")),IF(ISNUMBER(W953),IF(W953&gt;0,"+",IF(W953&lt;0,"−","0")),"yok"))</f>
        <v>−</v>
      </c>
      <c r="AK953" s="10" t="str">
        <f>IF(AND(RIGHT(C953,2)&lt;&gt;"12",ISNUMBER(U953),ISNUMBER(V953)),U953-V953,"")</f>
        <v/>
      </c>
      <c r="AL953" s="11" t="str">
        <f>IF(AND(ISNUMBER(AK953),ISNUMBER(V953)),IF(V953&lt;&gt;0,AK953/ABS(V953),""),"")</f>
        <v/>
      </c>
      <c r="AM953" s="8" t="str">
        <f>IF(ISNUMBER(AK953),IF(AK953&gt;1,1,0),"")</f>
        <v/>
      </c>
      <c r="AN953" s="8" t="str">
        <f>IF(ISNUMBER(AK953),IF(AK953&gt;0.05*ABS(V953),1,0),"")</f>
        <v/>
      </c>
      <c r="AO953" s="10">
        <v>-177.47900000000001</v>
      </c>
      <c r="AP953" s="10">
        <v>177.47900000000001</v>
      </c>
      <c r="AQ953" s="8" t="s">
        <v>204</v>
      </c>
      <c r="AR953" s="8">
        <v>0</v>
      </c>
      <c r="AS953" s="10">
        <v>2766.0410000000002</v>
      </c>
      <c r="AT953" s="10">
        <v>-1559.7260000000001</v>
      </c>
      <c r="AU953" s="8" t="s">
        <v>204</v>
      </c>
      <c r="AV953" s="10">
        <v>173.94800000000001</v>
      </c>
      <c r="AW953" s="11">
        <f>IF(AND(ISNUMBER(AV953),ISNUMBER(AT953)),IF(AT953&lt;&gt;0,AV953/ABS(AT953),""),"")</f>
        <v>0.11152471652072223</v>
      </c>
      <c r="AX953" s="8">
        <v>0</v>
      </c>
      <c r="AY953" s="8">
        <v>0</v>
      </c>
      <c r="AZ953" s="10"/>
      <c r="BA953" s="8">
        <v>0</v>
      </c>
    </row>
    <row r="954" spans="1:53" x14ac:dyDescent="0.2">
      <c r="A954" s="8" t="s">
        <v>521</v>
      </c>
      <c r="B954" s="8" t="s">
        <v>82</v>
      </c>
      <c r="C954" s="8" t="s">
        <v>203</v>
      </c>
      <c r="D954" s="8">
        <v>1</v>
      </c>
      <c r="E954" s="8">
        <v>0</v>
      </c>
      <c r="F954" s="8">
        <f>SUM(G954:M954)</f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1</v>
      </c>
      <c r="Q954" s="8">
        <v>0</v>
      </c>
      <c r="R954" s="8">
        <v>1</v>
      </c>
      <c r="S954" s="8">
        <v>0</v>
      </c>
      <c r="T954" s="10">
        <v>-15.726000000000001</v>
      </c>
      <c r="U954" s="10">
        <v>-18.823</v>
      </c>
      <c r="V954" s="10">
        <v>-6.9669999999999996</v>
      </c>
      <c r="W954" s="10">
        <f>IF(RIGHT(C954,2)="12",IF(ISNUMBER(T954),T954,""),IF(COUNT(T954,U954,V954)=3,T954+U954-V954,""))</f>
        <v>-27.582000000000001</v>
      </c>
      <c r="X954" s="10">
        <v>-27.582999999999998</v>
      </c>
      <c r="Y954" s="10">
        <v>4.968</v>
      </c>
      <c r="Z954" s="10">
        <v>0.11899999999999999</v>
      </c>
      <c r="AA954" s="10">
        <v>-16.943999999999999</v>
      </c>
      <c r="AB954" s="10">
        <v>-15.726000000000001</v>
      </c>
      <c r="AC954" s="8">
        <v>0</v>
      </c>
      <c r="AD954" s="8">
        <v>0</v>
      </c>
      <c r="AE954" s="8">
        <v>0</v>
      </c>
      <c r="AF954" s="10">
        <v>0</v>
      </c>
      <c r="AG954" s="8">
        <f>COUNTIF(Y954:AB954,"&gt;0")</f>
        <v>2</v>
      </c>
      <c r="AH954" s="10">
        <v>0</v>
      </c>
      <c r="AI954" s="10">
        <v>5.0869999999999997</v>
      </c>
      <c r="AJ954" s="8" t="str">
        <f>IF(ISNUMBER(X954),IF(X954&gt;0,"+",IF(X954&lt;0,"−","0")),IF(ISNUMBER(W954),IF(W954&gt;0,"+",IF(W954&lt;0,"−","0")),"yok"))</f>
        <v>−</v>
      </c>
      <c r="AK954" s="10">
        <f>IF(AND(RIGHT(C954,2)&lt;&gt;"12",ISNUMBER(U954),ISNUMBER(V954)),U954-V954,"")</f>
        <v>-11.856000000000002</v>
      </c>
      <c r="AL954" s="11">
        <f>IF(AND(ISNUMBER(AK954),ISNUMBER(V954)),IF(V954&lt;&gt;0,AK954/ABS(V954),""),"")</f>
        <v>-1.7017367590067465</v>
      </c>
      <c r="AM954" s="8">
        <f>IF(ISNUMBER(AK954),IF(AK954&gt;1,1,0),"")</f>
        <v>0</v>
      </c>
      <c r="AN954" s="8">
        <f>IF(ISNUMBER(AK954),IF(AK954&gt;0.05*ABS(V954),1,0),"")</f>
        <v>0</v>
      </c>
      <c r="AO954" s="10">
        <v>-27.584</v>
      </c>
      <c r="AP954" s="10">
        <v>27.584</v>
      </c>
      <c r="AQ954" s="8" t="s">
        <v>204</v>
      </c>
      <c r="AR954" s="8">
        <v>0</v>
      </c>
      <c r="AS954" s="10">
        <v>533.03399999999999</v>
      </c>
      <c r="AT954" s="10">
        <v>261.63099999999997</v>
      </c>
      <c r="AU954" s="8" t="s">
        <v>212</v>
      </c>
      <c r="AV954" s="10">
        <v>4.968</v>
      </c>
      <c r="AW954" s="11">
        <f>IF(AND(ISNUMBER(AV954),ISNUMBER(AT954)),IF(AT954&lt;&gt;0,AV954/ABS(AT954),""),"")</f>
        <v>1.8988575512840607E-2</v>
      </c>
      <c r="AX954" s="8">
        <v>0</v>
      </c>
      <c r="AY954" s="8">
        <v>0</v>
      </c>
      <c r="AZ954" s="10"/>
      <c r="BA954" s="8">
        <v>0</v>
      </c>
    </row>
    <row r="955" spans="1:53" x14ac:dyDescent="0.2">
      <c r="A955" s="8" t="s">
        <v>521</v>
      </c>
      <c r="B955" s="8" t="s">
        <v>82</v>
      </c>
      <c r="C955" s="8" t="s">
        <v>215</v>
      </c>
      <c r="D955" s="8">
        <v>1</v>
      </c>
      <c r="E955" s="8">
        <v>0</v>
      </c>
      <c r="F955" s="8">
        <f>SUM(G955:M955)</f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1</v>
      </c>
      <c r="Q955" s="8">
        <v>0</v>
      </c>
      <c r="R955" s="8">
        <v>0</v>
      </c>
      <c r="S955" s="8">
        <v>1</v>
      </c>
      <c r="T955" s="10">
        <v>-17.446999999999999</v>
      </c>
      <c r="U955" s="10">
        <v>-18.823</v>
      </c>
      <c r="V955" s="10">
        <v>-1.8779999999999999</v>
      </c>
      <c r="W955" s="10">
        <f>IF(RIGHT(C955,2)="12",IF(ISNUMBER(T955),T955,""),IF(COUNT(T955,U955,V955)=3,T955+U955-V955,""))</f>
        <v>-34.391999999999996</v>
      </c>
      <c r="X955" s="10">
        <v>-34.392000000000003</v>
      </c>
      <c r="Y955" s="10">
        <v>-16.943999999999999</v>
      </c>
      <c r="Z955" s="10">
        <v>-15.726000000000001</v>
      </c>
      <c r="AA955" s="10">
        <v>-3.03</v>
      </c>
      <c r="AB955" s="10">
        <v>1.3089999999999999</v>
      </c>
      <c r="AC955" s="8">
        <v>0</v>
      </c>
      <c r="AD955" s="8">
        <v>0</v>
      </c>
      <c r="AE955" s="8">
        <v>0</v>
      </c>
      <c r="AF955" s="10">
        <v>0</v>
      </c>
      <c r="AG955" s="8">
        <f>COUNTIF(Y955:AB955,"&gt;0")</f>
        <v>1</v>
      </c>
      <c r="AH955" s="10">
        <v>1.3089999999999999</v>
      </c>
      <c r="AI955" s="10">
        <v>0</v>
      </c>
      <c r="AJ955" s="8" t="str">
        <f>IF(ISNUMBER(X955),IF(X955&gt;0,"+",IF(X955&lt;0,"−","0")),IF(ISNUMBER(W955),IF(W955&gt;0,"+",IF(W955&lt;0,"−","0")),"yok"))</f>
        <v>−</v>
      </c>
      <c r="AK955" s="10">
        <f>IF(AND(RIGHT(C955,2)&lt;&gt;"12",ISNUMBER(U955),ISNUMBER(V955)),U955-V955,"")</f>
        <v>-16.945</v>
      </c>
      <c r="AL955" s="11">
        <f>IF(AND(ISNUMBER(AK955),ISNUMBER(V955)),IF(V955&lt;&gt;0,AK955/ABS(V955),""),"")</f>
        <v>-9.0228966986155488</v>
      </c>
      <c r="AM955" s="8">
        <f>IF(ISNUMBER(AK955),IF(AK955&gt;1,1,0),"")</f>
        <v>0</v>
      </c>
      <c r="AN955" s="8">
        <f>IF(ISNUMBER(AK955),IF(AK955&gt;0.05*ABS(V955),1,0),"")</f>
        <v>0</v>
      </c>
      <c r="AO955" s="10">
        <v>-34.393000000000001</v>
      </c>
      <c r="AP955" s="10">
        <v>34.393000000000001</v>
      </c>
      <c r="AQ955" s="8" t="s">
        <v>204</v>
      </c>
      <c r="AR955" s="8">
        <v>0</v>
      </c>
      <c r="AS955" s="10">
        <v>1203.146</v>
      </c>
      <c r="AT955" s="10">
        <v>1049.8920000000001</v>
      </c>
      <c r="AU955" s="8" t="s">
        <v>212</v>
      </c>
      <c r="AV955" s="10">
        <v>1.3089999999999999</v>
      </c>
      <c r="AW955" s="11">
        <f>IF(AND(ISNUMBER(AV955),ISNUMBER(AT955)),IF(AT955&lt;&gt;0,AV955/ABS(AT955),""),"")</f>
        <v>1.2467949084286763E-3</v>
      </c>
      <c r="AX955" s="8">
        <v>0</v>
      </c>
      <c r="AY955" s="8">
        <v>0</v>
      </c>
      <c r="AZ955" s="10"/>
      <c r="BA955" s="8">
        <v>0</v>
      </c>
    </row>
    <row r="956" spans="1:53" x14ac:dyDescent="0.2">
      <c r="A956" s="8" t="s">
        <v>521</v>
      </c>
      <c r="B956" s="8" t="s">
        <v>82</v>
      </c>
      <c r="C956" s="8" t="s">
        <v>290</v>
      </c>
      <c r="D956" s="8">
        <v>1</v>
      </c>
      <c r="E956" s="8">
        <v>0</v>
      </c>
      <c r="F956" s="8">
        <f>SUM(G956:M956)</f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1</v>
      </c>
      <c r="Q956" s="8">
        <v>0</v>
      </c>
      <c r="R956" s="8">
        <v>0</v>
      </c>
      <c r="S956" s="8">
        <v>1</v>
      </c>
      <c r="T956" s="10">
        <v>-13.125999999999999</v>
      </c>
      <c r="U956" s="10"/>
      <c r="V956" s="10"/>
      <c r="W956" s="10">
        <f>IF(RIGHT(C956,2)="12",IF(ISNUMBER(T956),T956,""),IF(COUNT(T956,U956,V956)=3,T956+U956-V956,""))</f>
        <v>-13.125999999999999</v>
      </c>
      <c r="X956" s="10">
        <v>-13.125999999999999</v>
      </c>
      <c r="Y956" s="10">
        <v>-15.726000000000001</v>
      </c>
      <c r="Z956" s="10">
        <v>-3.03</v>
      </c>
      <c r="AA956" s="10">
        <v>1.3089999999999999</v>
      </c>
      <c r="AB956" s="10">
        <v>4.3209999999999997</v>
      </c>
      <c r="AC956" s="8">
        <v>0</v>
      </c>
      <c r="AD956" s="8">
        <v>0</v>
      </c>
      <c r="AE956" s="8">
        <v>0</v>
      </c>
      <c r="AF956" s="10">
        <v>0</v>
      </c>
      <c r="AG956" s="8">
        <f>COUNTIF(Y956:AB956,"&gt;0")</f>
        <v>2</v>
      </c>
      <c r="AH956" s="10">
        <v>5.63</v>
      </c>
      <c r="AI956" s="10">
        <v>0</v>
      </c>
      <c r="AJ956" s="8" t="str">
        <f>IF(ISNUMBER(X956),IF(X956&gt;0,"+",IF(X956&lt;0,"−","0")),IF(ISNUMBER(W956),IF(W956&gt;0,"+",IF(W956&lt;0,"−","0")),"yok"))</f>
        <v>−</v>
      </c>
      <c r="AK956" s="10" t="str">
        <f>IF(AND(RIGHT(C956,2)&lt;&gt;"12",ISNUMBER(U956),ISNUMBER(V956)),U956-V956,"")</f>
        <v/>
      </c>
      <c r="AL956" s="11" t="str">
        <f>IF(AND(ISNUMBER(AK956),ISNUMBER(V956)),IF(V956&lt;&gt;0,AK956/ABS(V956),""),"")</f>
        <v/>
      </c>
      <c r="AM956" s="8" t="str">
        <f>IF(ISNUMBER(AK956),IF(AK956&gt;1,1,0),"")</f>
        <v/>
      </c>
      <c r="AN956" s="8" t="str">
        <f>IF(ISNUMBER(AK956),IF(AK956&gt;0.05*ABS(V956),1,0),"")</f>
        <v/>
      </c>
      <c r="AO956" s="10">
        <v>-13.127000000000001</v>
      </c>
      <c r="AP956" s="10">
        <v>13.127000000000001</v>
      </c>
      <c r="AQ956" s="8" t="s">
        <v>204</v>
      </c>
      <c r="AR956" s="8">
        <v>0</v>
      </c>
      <c r="AS956" s="10">
        <v>1100.059</v>
      </c>
      <c r="AT956" s="10">
        <v>984.06799999999998</v>
      </c>
      <c r="AU956" s="8" t="s">
        <v>212</v>
      </c>
      <c r="AV956" s="10">
        <v>4.3209999999999997</v>
      </c>
      <c r="AW956" s="11">
        <f>IF(AND(ISNUMBER(AV956),ISNUMBER(AT956)),IF(AT956&lt;&gt;0,AV956/ABS(AT956),""),"")</f>
        <v>4.3909567225029165E-3</v>
      </c>
      <c r="AX956" s="8">
        <v>0</v>
      </c>
      <c r="AY956" s="8">
        <v>0</v>
      </c>
      <c r="AZ956" s="10"/>
      <c r="BA956" s="8">
        <v>0</v>
      </c>
    </row>
    <row r="957" spans="1:53" x14ac:dyDescent="0.2">
      <c r="A957" s="8" t="s">
        <v>522</v>
      </c>
      <c r="B957" s="8" t="s">
        <v>82</v>
      </c>
      <c r="C957" s="8" t="s">
        <v>210</v>
      </c>
      <c r="D957" s="8">
        <v>1</v>
      </c>
      <c r="E957" s="8">
        <v>0</v>
      </c>
      <c r="F957" s="8">
        <f>SUM(G957:M957)</f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1</v>
      </c>
      <c r="Q957" s="8">
        <v>0</v>
      </c>
      <c r="R957" s="8">
        <v>0</v>
      </c>
      <c r="S957" s="8">
        <v>1</v>
      </c>
      <c r="T957" s="10">
        <v>-2.3530000000000002</v>
      </c>
      <c r="U957" s="10"/>
      <c r="V957" s="10">
        <v>0</v>
      </c>
      <c r="W957" s="10" t="str">
        <f>IF(RIGHT(C957,2)="12",IF(ISNUMBER(T957),T957,""),IF(COUNT(T957,U957,V957)=3,T957+U957-V957,""))</f>
        <v/>
      </c>
      <c r="X957" s="10"/>
      <c r="Y957" s="10"/>
      <c r="Z957" s="10"/>
      <c r="AA957" s="10">
        <v>-17.681000000000001</v>
      </c>
      <c r="AB957" s="10">
        <v>15.327</v>
      </c>
      <c r="AC957" s="8">
        <v>0</v>
      </c>
      <c r="AD957" s="8">
        <v>0</v>
      </c>
      <c r="AE957" s="8">
        <v>0</v>
      </c>
      <c r="AF957" s="10">
        <v>0</v>
      </c>
      <c r="AG957" s="8">
        <f>COUNTIF(Y957:AB957,"&gt;0")</f>
        <v>1</v>
      </c>
      <c r="AH957" s="10">
        <v>15.327</v>
      </c>
      <c r="AI957" s="10">
        <v>0</v>
      </c>
      <c r="AJ957" s="8" t="str">
        <f>IF(ISNUMBER(X957),IF(X957&gt;0,"+",IF(X957&lt;0,"−","0")),IF(ISNUMBER(W957),IF(W957&gt;0,"+",IF(W957&lt;0,"−","0")),"yok"))</f>
        <v>yok</v>
      </c>
      <c r="AK957" s="10" t="str">
        <f>IF(AND(RIGHT(C957,2)&lt;&gt;"12",ISNUMBER(U957),ISNUMBER(V957)),U957-V957,"")</f>
        <v/>
      </c>
      <c r="AL957" s="11" t="str">
        <f>IF(AND(ISNUMBER(AK957),ISNUMBER(V957)),IF(V957&lt;&gt;0,AK957/ABS(V957),""),"")</f>
        <v/>
      </c>
      <c r="AM957" s="8" t="str">
        <f>IF(ISNUMBER(AK957),IF(AK957&gt;1,1,0),"")</f>
        <v/>
      </c>
      <c r="AN957" s="8" t="str">
        <f>IF(ISNUMBER(AK957),IF(AK957&gt;0.05*ABS(V957),1,0),"")</f>
        <v/>
      </c>
      <c r="AO957" s="10"/>
      <c r="AP957" s="10"/>
      <c r="AQ957" s="8" t="s">
        <v>207</v>
      </c>
      <c r="AR957" s="8">
        <v>0</v>
      </c>
      <c r="AS957" s="10">
        <v>64.36</v>
      </c>
      <c r="AT957" s="10"/>
      <c r="AU957" s="8" t="s">
        <v>207</v>
      </c>
      <c r="AV957" s="10">
        <v>15.327</v>
      </c>
      <c r="AW957" s="11" t="str">
        <f>IF(AND(ISNUMBER(AV957),ISNUMBER(AT957)),IF(AT957&lt;&gt;0,AV957/ABS(AT957),""),"")</f>
        <v/>
      </c>
      <c r="AX957" s="8">
        <v>0</v>
      </c>
      <c r="AY957" s="8">
        <v>0</v>
      </c>
      <c r="AZ957" s="10"/>
      <c r="BA957" s="8">
        <v>0</v>
      </c>
    </row>
    <row r="958" spans="1:53" x14ac:dyDescent="0.2">
      <c r="A958" s="8" t="s">
        <v>522</v>
      </c>
      <c r="B958" s="8" t="s">
        <v>83</v>
      </c>
      <c r="C958" s="8" t="s">
        <v>205</v>
      </c>
      <c r="D958" s="8">
        <v>1</v>
      </c>
      <c r="E958" s="8">
        <v>0</v>
      </c>
      <c r="F958" s="8">
        <f>SUM(G958:M958)</f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1</v>
      </c>
      <c r="Q958" s="8">
        <v>0</v>
      </c>
      <c r="R958" s="8">
        <v>0</v>
      </c>
      <c r="S958" s="8">
        <v>1</v>
      </c>
      <c r="T958" s="10">
        <v>-9.5719999999999992</v>
      </c>
      <c r="U958" s="10">
        <v>-9.1080000000000005</v>
      </c>
      <c r="V958" s="10"/>
      <c r="W958" s="10" t="str">
        <f>IF(RIGHT(C958,2)="12",IF(ISNUMBER(T958),T958,""),IF(COUNT(T958,U958,V958)=3,T958+U958-V958,""))</f>
        <v/>
      </c>
      <c r="X958" s="10"/>
      <c r="Y958" s="10"/>
      <c r="Z958" s="10"/>
      <c r="AA958" s="10">
        <v>-20.83</v>
      </c>
      <c r="AB958" s="10">
        <v>11.257999999999999</v>
      </c>
      <c r="AC958" s="8">
        <v>0</v>
      </c>
      <c r="AD958" s="8">
        <v>0</v>
      </c>
      <c r="AE958" s="8">
        <v>0</v>
      </c>
      <c r="AF958" s="10">
        <v>0</v>
      </c>
      <c r="AG958" s="8">
        <f>COUNTIF(Y958:AB958,"&gt;0")</f>
        <v>1</v>
      </c>
      <c r="AH958" s="10">
        <v>11.257999999999999</v>
      </c>
      <c r="AI958" s="10">
        <v>0</v>
      </c>
      <c r="AJ958" s="8" t="str">
        <f>IF(ISNUMBER(X958),IF(X958&gt;0,"+",IF(X958&lt;0,"−","0")),IF(ISNUMBER(W958),IF(W958&gt;0,"+",IF(W958&lt;0,"−","0")),"yok"))</f>
        <v>yok</v>
      </c>
      <c r="AK958" s="10" t="str">
        <f>IF(AND(RIGHT(C958,2)&lt;&gt;"12",ISNUMBER(U958),ISNUMBER(V958)),U958-V958,"")</f>
        <v/>
      </c>
      <c r="AL958" s="11" t="str">
        <f>IF(AND(ISNUMBER(AK958),ISNUMBER(V958)),IF(V958&lt;&gt;0,AK958/ABS(V958),""),"")</f>
        <v/>
      </c>
      <c r="AM958" s="8" t="str">
        <f>IF(ISNUMBER(AK958),IF(AK958&gt;1,1,0),"")</f>
        <v/>
      </c>
      <c r="AN958" s="8" t="str">
        <f>IF(ISNUMBER(AK958),IF(AK958&gt;0.05*ABS(V958),1,0),"")</f>
        <v/>
      </c>
      <c r="AO958" s="10"/>
      <c r="AP958" s="10"/>
      <c r="AQ958" s="8" t="s">
        <v>207</v>
      </c>
      <c r="AR958" s="8">
        <v>0</v>
      </c>
      <c r="AS958" s="10">
        <v>27.172000000000001</v>
      </c>
      <c r="AT958" s="10"/>
      <c r="AU958" s="8" t="s">
        <v>207</v>
      </c>
      <c r="AV958" s="10">
        <v>11.257999999999999</v>
      </c>
      <c r="AW958" s="11" t="str">
        <f>IF(AND(ISNUMBER(AV958),ISNUMBER(AT958)),IF(AT958&lt;&gt;0,AV958/ABS(AT958),""),"")</f>
        <v/>
      </c>
      <c r="AX958" s="8">
        <v>0</v>
      </c>
      <c r="AY958" s="8">
        <v>0</v>
      </c>
      <c r="AZ958" s="10"/>
      <c r="BA958" s="8">
        <v>0</v>
      </c>
    </row>
    <row r="959" spans="1:53" x14ac:dyDescent="0.2">
      <c r="A959" s="8" t="s">
        <v>523</v>
      </c>
      <c r="B959" s="8" t="s">
        <v>82</v>
      </c>
      <c r="C959" s="8" t="s">
        <v>210</v>
      </c>
      <c r="D959" s="8">
        <v>1</v>
      </c>
      <c r="E959" s="8">
        <v>0</v>
      </c>
      <c r="F959" s="8">
        <f>SUM(G959:M959)</f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1</v>
      </c>
      <c r="Q959" s="8">
        <v>0</v>
      </c>
      <c r="R959" s="8">
        <v>0</v>
      </c>
      <c r="S959" s="8">
        <v>1</v>
      </c>
      <c r="T959" s="10">
        <v>-76.840999999999994</v>
      </c>
      <c r="U959" s="10">
        <v>-256.62</v>
      </c>
      <c r="V959" s="10">
        <v>-109.167</v>
      </c>
      <c r="W959" s="10">
        <f>IF(RIGHT(C959,2)="12",IF(ISNUMBER(T959),T959,""),IF(COUNT(T959,U959,V959)=3,T959+U959-V959,""))</f>
        <v>-224.29400000000001</v>
      </c>
      <c r="X959" s="10">
        <v>-224.29400000000001</v>
      </c>
      <c r="Y959" s="10">
        <v>-32.881</v>
      </c>
      <c r="Z959" s="10">
        <v>-114.571</v>
      </c>
      <c r="AA959" s="10">
        <v>-99.025000000000006</v>
      </c>
      <c r="AB959" s="10">
        <v>22.184000000000001</v>
      </c>
      <c r="AC959" s="8">
        <v>0</v>
      </c>
      <c r="AD959" s="8">
        <v>0</v>
      </c>
      <c r="AE959" s="8">
        <v>0</v>
      </c>
      <c r="AF959" s="10">
        <v>0</v>
      </c>
      <c r="AG959" s="8">
        <f>COUNTIF(Y959:AB959,"&gt;0")</f>
        <v>1</v>
      </c>
      <c r="AH959" s="10">
        <v>22.184000000000001</v>
      </c>
      <c r="AI959" s="10">
        <v>0</v>
      </c>
      <c r="AJ959" s="8" t="str">
        <f>IF(ISNUMBER(X959),IF(X959&gt;0,"+",IF(X959&lt;0,"−","0")),IF(ISNUMBER(W959),IF(W959&gt;0,"+",IF(W959&lt;0,"−","0")),"yok"))</f>
        <v>−</v>
      </c>
      <c r="AK959" s="10">
        <f>IF(AND(RIGHT(C959,2)&lt;&gt;"12",ISNUMBER(U959),ISNUMBER(V959)),U959-V959,"")</f>
        <v>-147.453</v>
      </c>
      <c r="AL959" s="11">
        <f>IF(AND(ISNUMBER(AK959),ISNUMBER(V959)),IF(V959&lt;&gt;0,AK959/ABS(V959),""),"")</f>
        <v>-1.3507103795102915</v>
      </c>
      <c r="AM959" s="8">
        <f>IF(ISNUMBER(AK959),IF(AK959&gt;1,1,0),"")</f>
        <v>0</v>
      </c>
      <c r="AN959" s="8">
        <f>IF(ISNUMBER(AK959),IF(AK959&gt;0.05*ABS(V959),1,0),"")</f>
        <v>0</v>
      </c>
      <c r="AO959" s="10">
        <v>-224.29400000000001</v>
      </c>
      <c r="AP959" s="10">
        <v>224.29400000000001</v>
      </c>
      <c r="AQ959" s="8" t="s">
        <v>204</v>
      </c>
      <c r="AR959" s="8">
        <v>0</v>
      </c>
      <c r="AS959" s="10">
        <v>3998.0120000000002</v>
      </c>
      <c r="AT959" s="10">
        <v>2096.1729999999998</v>
      </c>
      <c r="AU959" s="8" t="s">
        <v>204</v>
      </c>
      <c r="AV959" s="10">
        <v>22.184000000000001</v>
      </c>
      <c r="AW959" s="11">
        <f>IF(AND(ISNUMBER(AV959),ISNUMBER(AT959)),IF(AT959&lt;&gt;0,AV959/ABS(AT959),""),"")</f>
        <v>1.0583095956297502E-2</v>
      </c>
      <c r="AX959" s="8">
        <v>0</v>
      </c>
      <c r="AY959" s="8">
        <v>0</v>
      </c>
      <c r="AZ959" s="10"/>
      <c r="BA959" s="8">
        <v>0</v>
      </c>
    </row>
    <row r="960" spans="1:53" x14ac:dyDescent="0.2">
      <c r="A960" s="8" t="s">
        <v>523</v>
      </c>
      <c r="B960" s="8" t="s">
        <v>84</v>
      </c>
      <c r="C960" s="8" t="s">
        <v>215</v>
      </c>
      <c r="D960" s="8">
        <v>1</v>
      </c>
      <c r="E960" s="8">
        <v>0</v>
      </c>
      <c r="F960" s="8">
        <f>SUM(G960:M960)</f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1</v>
      </c>
      <c r="Q960" s="8">
        <v>0</v>
      </c>
      <c r="R960" s="8">
        <v>0</v>
      </c>
      <c r="S960" s="8">
        <v>1</v>
      </c>
      <c r="T960" s="10">
        <v>-29.215</v>
      </c>
      <c r="U960" s="10">
        <v>-66.930999999999997</v>
      </c>
      <c r="V960" s="10">
        <v>-66.930999999999997</v>
      </c>
      <c r="W960" s="10">
        <f>IF(RIGHT(C960,2)="12",IF(ISNUMBER(T960),T960,""),IF(COUNT(T960,U960,V960)=3,T960+U960-V960,""))</f>
        <v>-29.215000000000003</v>
      </c>
      <c r="X960" s="10">
        <v>-29.215</v>
      </c>
      <c r="Y960" s="10">
        <v>0</v>
      </c>
      <c r="Z960" s="10">
        <v>-13.784000000000001</v>
      </c>
      <c r="AA960" s="10">
        <v>13.784000000000001</v>
      </c>
      <c r="AB960" s="10">
        <v>-29.215</v>
      </c>
      <c r="AC960" s="8">
        <v>0</v>
      </c>
      <c r="AD960" s="8">
        <v>0</v>
      </c>
      <c r="AE960" s="8">
        <v>0</v>
      </c>
      <c r="AF960" s="10">
        <v>0</v>
      </c>
      <c r="AG960" s="8">
        <f>COUNTIF(Y960:AB960,"&gt;0")</f>
        <v>1</v>
      </c>
      <c r="AH960" s="10">
        <v>13.784000000000001</v>
      </c>
      <c r="AI960" s="10">
        <v>0</v>
      </c>
      <c r="AJ960" s="8" t="str">
        <f>IF(ISNUMBER(X960),IF(X960&gt;0,"+",IF(X960&lt;0,"−","0")),IF(ISNUMBER(W960),IF(W960&gt;0,"+",IF(W960&lt;0,"−","0")),"yok"))</f>
        <v>−</v>
      </c>
      <c r="AK960" s="10">
        <f>IF(AND(RIGHT(C960,2)&lt;&gt;"12",ISNUMBER(U960),ISNUMBER(V960)),U960-V960,"")</f>
        <v>0</v>
      </c>
      <c r="AL960" s="11">
        <f>IF(AND(ISNUMBER(AK960),ISNUMBER(V960)),IF(V960&lt;&gt;0,AK960/ABS(V960),""),"")</f>
        <v>0</v>
      </c>
      <c r="AM960" s="8">
        <f>IF(ISNUMBER(AK960),IF(AK960&gt;1,1,0),"")</f>
        <v>0</v>
      </c>
      <c r="AN960" s="8">
        <f>IF(ISNUMBER(AK960),IF(AK960&gt;0.05*ABS(V960),1,0),"")</f>
        <v>0</v>
      </c>
      <c r="AO960" s="10">
        <v>-29.216000000000001</v>
      </c>
      <c r="AP960" s="10">
        <v>29.216000000000001</v>
      </c>
      <c r="AQ960" s="8" t="s">
        <v>204</v>
      </c>
      <c r="AR960" s="8">
        <v>0</v>
      </c>
      <c r="AS960" s="10">
        <v>1592.549</v>
      </c>
      <c r="AT960" s="10">
        <v>-2785.3470000000002</v>
      </c>
      <c r="AU960" s="8" t="s">
        <v>204</v>
      </c>
      <c r="AV960" s="10">
        <v>13.784000000000001</v>
      </c>
      <c r="AW960" s="11">
        <f>IF(AND(ISNUMBER(AV960),ISNUMBER(AT960)),IF(AT960&lt;&gt;0,AV960/ABS(AT960),""),"")</f>
        <v>4.9487550384207067E-3</v>
      </c>
      <c r="AX960" s="8">
        <v>0</v>
      </c>
      <c r="AY960" s="8">
        <v>0</v>
      </c>
      <c r="AZ960" s="10"/>
      <c r="BA960" s="8">
        <v>0</v>
      </c>
    </row>
    <row r="961" spans="1:53" x14ac:dyDescent="0.2">
      <c r="A961" s="8" t="s">
        <v>523</v>
      </c>
      <c r="B961" s="8" t="s">
        <v>84</v>
      </c>
      <c r="C961" s="8" t="s">
        <v>290</v>
      </c>
      <c r="D961" s="8">
        <v>1</v>
      </c>
      <c r="E961" s="8">
        <v>0</v>
      </c>
      <c r="F961" s="8">
        <f>SUM(G961:M961)</f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1</v>
      </c>
      <c r="Q961" s="8">
        <v>0</v>
      </c>
      <c r="R961" s="8">
        <v>0</v>
      </c>
      <c r="S961" s="8">
        <v>1</v>
      </c>
      <c r="T961" s="10">
        <v>-33.493000000000002</v>
      </c>
      <c r="U961" s="10"/>
      <c r="V961" s="10"/>
      <c r="W961" s="10">
        <f>IF(RIGHT(C961,2)="12",IF(ISNUMBER(T961),T961,""),IF(COUNT(T961,U961,V961)=3,T961+U961-V961,""))</f>
        <v>-33.493000000000002</v>
      </c>
      <c r="X961" s="10">
        <v>-33.493000000000002</v>
      </c>
      <c r="Y961" s="10">
        <v>-13.784000000000001</v>
      </c>
      <c r="Z961" s="10">
        <v>13.784000000000001</v>
      </c>
      <c r="AA961" s="10">
        <v>-29.215</v>
      </c>
      <c r="AB961" s="10">
        <v>-4.2770000000000001</v>
      </c>
      <c r="AC961" s="8">
        <v>0</v>
      </c>
      <c r="AD961" s="8">
        <v>0</v>
      </c>
      <c r="AE961" s="8">
        <v>0</v>
      </c>
      <c r="AF961" s="10">
        <v>0</v>
      </c>
      <c r="AG961" s="8">
        <f>COUNTIF(Y961:AB961,"&gt;0")</f>
        <v>1</v>
      </c>
      <c r="AH961" s="10">
        <v>13.784000000000001</v>
      </c>
      <c r="AI961" s="10">
        <v>0</v>
      </c>
      <c r="AJ961" s="8" t="str">
        <f>IF(ISNUMBER(X961),IF(X961&gt;0,"+",IF(X961&lt;0,"−","0")),IF(ISNUMBER(W961),IF(W961&gt;0,"+",IF(W961&lt;0,"−","0")),"yok"))</f>
        <v>−</v>
      </c>
      <c r="AK961" s="10" t="str">
        <f>IF(AND(RIGHT(C961,2)&lt;&gt;"12",ISNUMBER(U961),ISNUMBER(V961)),U961-V961,"")</f>
        <v/>
      </c>
      <c r="AL961" s="11" t="str">
        <f>IF(AND(ISNUMBER(AK961),ISNUMBER(V961)),IF(V961&lt;&gt;0,AK961/ABS(V961),""),"")</f>
        <v/>
      </c>
      <c r="AM961" s="8" t="str">
        <f>IF(ISNUMBER(AK961),IF(AK961&gt;1,1,0),"")</f>
        <v/>
      </c>
      <c r="AN961" s="8" t="str">
        <f>IF(ISNUMBER(AK961),IF(AK961&gt;0.05*ABS(V961),1,0),"")</f>
        <v/>
      </c>
      <c r="AO961" s="10">
        <v>-33.493000000000002</v>
      </c>
      <c r="AP961" s="10">
        <v>33.493000000000002</v>
      </c>
      <c r="AQ961" s="8" t="s">
        <v>204</v>
      </c>
      <c r="AR961" s="8">
        <v>0</v>
      </c>
      <c r="AS961" s="10">
        <v>5403.8410000000003</v>
      </c>
      <c r="AT961" s="10">
        <v>1934.2370000000001</v>
      </c>
      <c r="AU961" s="8" t="s">
        <v>204</v>
      </c>
      <c r="AV961" s="10">
        <v>13.784000000000001</v>
      </c>
      <c r="AW961" s="11">
        <f>IF(AND(ISNUMBER(AV961),ISNUMBER(AT961)),IF(AT961&lt;&gt;0,AV961/ABS(AT961),""),"")</f>
        <v>7.1263242301744826E-3</v>
      </c>
      <c r="AX961" s="8">
        <v>0</v>
      </c>
      <c r="AY961" s="8">
        <v>0</v>
      </c>
      <c r="AZ961" s="10"/>
      <c r="BA961" s="8">
        <v>0</v>
      </c>
    </row>
    <row r="962" spans="1:53" x14ac:dyDescent="0.2">
      <c r="A962" s="8" t="s">
        <v>638</v>
      </c>
      <c r="B962" s="8" t="s">
        <v>83</v>
      </c>
      <c r="C962" s="8" t="s">
        <v>210</v>
      </c>
      <c r="D962" s="8">
        <v>1</v>
      </c>
      <c r="E962" s="8">
        <v>0</v>
      </c>
      <c r="F962" s="8">
        <f>SUM(G962:M962)</f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1</v>
      </c>
      <c r="Q962" s="8">
        <v>0</v>
      </c>
      <c r="R962" s="8">
        <v>0</v>
      </c>
      <c r="S962" s="8">
        <v>1</v>
      </c>
      <c r="T962" s="10">
        <v>-389.31099999999998</v>
      </c>
      <c r="U962" s="10">
        <v>-821.22900000000004</v>
      </c>
      <c r="V962" s="10">
        <v>-251.45699999999999</v>
      </c>
      <c r="W962" s="10">
        <f>IF(RIGHT(C962,2)="12",IF(ISNUMBER(T962),T962,""),IF(COUNT(T962,U962,V962)=3,T962+U962-V962,""))</f>
        <v>-959.08299999999997</v>
      </c>
      <c r="X962" s="10">
        <v>-959.08299999999997</v>
      </c>
      <c r="Y962" s="10">
        <v>-240.244</v>
      </c>
      <c r="Z962" s="10">
        <v>-329.52699999999999</v>
      </c>
      <c r="AA962" s="10">
        <v>-898.00099999999998</v>
      </c>
      <c r="AB962" s="10">
        <v>508.69</v>
      </c>
      <c r="AC962" s="8">
        <v>0</v>
      </c>
      <c r="AD962" s="8">
        <v>0</v>
      </c>
      <c r="AE962" s="8">
        <v>0</v>
      </c>
      <c r="AF962" s="10">
        <v>0</v>
      </c>
      <c r="AG962" s="8">
        <f>COUNTIF(Y962:AB962,"&gt;0")</f>
        <v>1</v>
      </c>
      <c r="AH962" s="10">
        <v>508.69</v>
      </c>
      <c r="AI962" s="10">
        <v>0</v>
      </c>
      <c r="AJ962" s="8" t="str">
        <f>IF(ISNUMBER(X962),IF(X962&gt;0,"+",IF(X962&lt;0,"−","0")),IF(ISNUMBER(W962),IF(W962&gt;0,"+",IF(W962&lt;0,"−","0")),"yok"))</f>
        <v>−</v>
      </c>
      <c r="AK962" s="10">
        <f>IF(AND(RIGHT(C962,2)&lt;&gt;"12",ISNUMBER(U962),ISNUMBER(V962)),U962-V962,"")</f>
        <v>-569.77200000000005</v>
      </c>
      <c r="AL962" s="11">
        <f>IF(AND(ISNUMBER(AK962),ISNUMBER(V962)),IF(V962&lt;&gt;0,AK962/ABS(V962),""),"")</f>
        <v>-2.2658824371562538</v>
      </c>
      <c r="AM962" s="8">
        <f>IF(ISNUMBER(AK962),IF(AK962&gt;1,1,0),"")</f>
        <v>0</v>
      </c>
      <c r="AN962" s="8">
        <f>IF(ISNUMBER(AK962),IF(AK962&gt;0.05*ABS(V962),1,0),"")</f>
        <v>0</v>
      </c>
      <c r="AO962" s="10">
        <v>-959.08399999999995</v>
      </c>
      <c r="AP962" s="10">
        <v>959.08399999999995</v>
      </c>
      <c r="AQ962" s="8" t="s">
        <v>204</v>
      </c>
      <c r="AR962" s="8">
        <v>0</v>
      </c>
      <c r="AS962" s="10">
        <v>95.129000000000104</v>
      </c>
      <c r="AT962" s="10">
        <v>-863.95500000000004</v>
      </c>
      <c r="AU962" s="8" t="s">
        <v>204</v>
      </c>
      <c r="AV962" s="10">
        <v>508.69</v>
      </c>
      <c r="AW962" s="11">
        <f>IF(AND(ISNUMBER(AV962),ISNUMBER(AT962)),IF(AT962&lt;&gt;0,AV962/ABS(AT962),""),"")</f>
        <v>0.58879224033659161</v>
      </c>
      <c r="AX962" s="8">
        <v>0</v>
      </c>
      <c r="AY962" s="8">
        <v>0</v>
      </c>
      <c r="AZ962" s="10"/>
      <c r="BA962" s="8">
        <v>0</v>
      </c>
    </row>
    <row r="963" spans="1:53" x14ac:dyDescent="0.2">
      <c r="A963" s="8" t="s">
        <v>524</v>
      </c>
      <c r="B963" s="8" t="s">
        <v>82</v>
      </c>
      <c r="C963" s="8" t="s">
        <v>203</v>
      </c>
      <c r="D963" s="8">
        <v>1</v>
      </c>
      <c r="E963" s="8">
        <v>0</v>
      </c>
      <c r="F963" s="8">
        <f>SUM(G963:M963)</f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1</v>
      </c>
      <c r="Q963" s="8">
        <v>0</v>
      </c>
      <c r="R963" s="8">
        <v>1</v>
      </c>
      <c r="S963" s="8">
        <v>0</v>
      </c>
      <c r="T963" s="10">
        <v>-5.2409999999999997</v>
      </c>
      <c r="U963" s="10">
        <v>-13.741</v>
      </c>
      <c r="V963" s="10">
        <v>-9.1370000000000005</v>
      </c>
      <c r="W963" s="10">
        <f>IF(RIGHT(C963,2)="12",IF(ISNUMBER(T963),T963,""),IF(COUNT(T963,U963,V963)=3,T963+U963-V963,""))</f>
        <v>-9.8449999999999989</v>
      </c>
      <c r="X963" s="10">
        <v>-9.8460000000000001</v>
      </c>
      <c r="Y963" s="10">
        <v>8.798</v>
      </c>
      <c r="Z963" s="10">
        <v>-13.401999999999999</v>
      </c>
      <c r="AA963" s="10">
        <v>0</v>
      </c>
      <c r="AB963" s="10">
        <v>-5.2409999999999997</v>
      </c>
      <c r="AC963" s="8">
        <v>0</v>
      </c>
      <c r="AD963" s="8">
        <v>0</v>
      </c>
      <c r="AE963" s="8">
        <v>0</v>
      </c>
      <c r="AF963" s="10">
        <v>0</v>
      </c>
      <c r="AG963" s="8">
        <f>COUNTIF(Y963:AB963,"&gt;0")</f>
        <v>1</v>
      </c>
      <c r="AH963" s="10">
        <v>0</v>
      </c>
      <c r="AI963" s="10">
        <v>8.798</v>
      </c>
      <c r="AJ963" s="8" t="str">
        <f>IF(ISNUMBER(X963),IF(X963&gt;0,"+",IF(X963&lt;0,"−","0")),IF(ISNUMBER(W963),IF(W963&gt;0,"+",IF(W963&lt;0,"−","0")),"yok"))</f>
        <v>−</v>
      </c>
      <c r="AK963" s="10">
        <f>IF(AND(RIGHT(C963,2)&lt;&gt;"12",ISNUMBER(U963),ISNUMBER(V963)),U963-V963,"")</f>
        <v>-4.6039999999999992</v>
      </c>
      <c r="AL963" s="11">
        <f>IF(AND(ISNUMBER(AK963),ISNUMBER(V963)),IF(V963&lt;&gt;0,AK963/ABS(V963),""),"")</f>
        <v>-0.50388530152128697</v>
      </c>
      <c r="AM963" s="8">
        <f>IF(ISNUMBER(AK963),IF(AK963&gt;1,1,0),"")</f>
        <v>0</v>
      </c>
      <c r="AN963" s="8">
        <f>IF(ISNUMBER(AK963),IF(AK963&gt;0.05*ABS(V963),1,0),"")</f>
        <v>0</v>
      </c>
      <c r="AO963" s="10">
        <v>-9.8460000000000001</v>
      </c>
      <c r="AP963" s="10">
        <v>9.8460000000000001</v>
      </c>
      <c r="AQ963" s="8" t="s">
        <v>204</v>
      </c>
      <c r="AR963" s="8">
        <v>0</v>
      </c>
      <c r="AS963" s="10">
        <v>-1311.171</v>
      </c>
      <c r="AT963" s="10">
        <v>-1412.2329999999999</v>
      </c>
      <c r="AU963" s="8" t="s">
        <v>204</v>
      </c>
      <c r="AV963" s="10">
        <v>8.798</v>
      </c>
      <c r="AW963" s="11">
        <f>IF(AND(ISNUMBER(AV963),ISNUMBER(AT963)),IF(AT963&lt;&gt;0,AV963/ABS(AT963),""),"")</f>
        <v>6.2298501734487158E-3</v>
      </c>
      <c r="AX963" s="8">
        <v>0</v>
      </c>
      <c r="AY963" s="8">
        <v>0</v>
      </c>
      <c r="AZ963" s="10"/>
      <c r="BA963" s="8">
        <v>0</v>
      </c>
    </row>
    <row r="964" spans="1:53" x14ac:dyDescent="0.2">
      <c r="A964" s="8" t="s">
        <v>524</v>
      </c>
      <c r="B964" s="8" t="s">
        <v>83</v>
      </c>
      <c r="C964" s="8" t="s">
        <v>215</v>
      </c>
      <c r="D964" s="8">
        <v>1</v>
      </c>
      <c r="E964" s="8">
        <v>0</v>
      </c>
      <c r="F964" s="8">
        <f>SUM(G964:M964)</f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1</v>
      </c>
      <c r="Q964" s="8">
        <v>0</v>
      </c>
      <c r="R964" s="8">
        <v>0</v>
      </c>
      <c r="S964" s="8">
        <v>1</v>
      </c>
      <c r="T964" s="10">
        <v>-268.14299999999997</v>
      </c>
      <c r="U964" s="10">
        <v>-105.941</v>
      </c>
      <c r="V964" s="10">
        <v>-52.558999999999997</v>
      </c>
      <c r="W964" s="10">
        <f>IF(RIGHT(C964,2)="12",IF(ISNUMBER(T964),T964,""),IF(COUNT(T964,U964,V964)=3,T964+U964-V964,""))</f>
        <v>-321.52499999999998</v>
      </c>
      <c r="X964" s="10">
        <v>-321.52600000000001</v>
      </c>
      <c r="Y964" s="10">
        <v>-53.381999999999998</v>
      </c>
      <c r="Z964" s="10">
        <v>-1.59</v>
      </c>
      <c r="AA964" s="10">
        <v>-309.29599999999999</v>
      </c>
      <c r="AB964" s="10">
        <v>42.743000000000002</v>
      </c>
      <c r="AC964" s="8">
        <v>0</v>
      </c>
      <c r="AD964" s="8">
        <v>0</v>
      </c>
      <c r="AE964" s="8">
        <v>0</v>
      </c>
      <c r="AF964" s="10">
        <v>0</v>
      </c>
      <c r="AG964" s="8">
        <f>COUNTIF(Y964:AB964,"&gt;0")</f>
        <v>1</v>
      </c>
      <c r="AH964" s="10">
        <v>42.743000000000002</v>
      </c>
      <c r="AI964" s="10">
        <v>0</v>
      </c>
      <c r="AJ964" s="8" t="str">
        <f>IF(ISNUMBER(X964),IF(X964&gt;0,"+",IF(X964&lt;0,"−","0")),IF(ISNUMBER(W964),IF(W964&gt;0,"+",IF(W964&lt;0,"−","0")),"yok"))</f>
        <v>−</v>
      </c>
      <c r="AK964" s="10">
        <f>IF(AND(RIGHT(C964,2)&lt;&gt;"12",ISNUMBER(U964),ISNUMBER(V964)),U964-V964,"")</f>
        <v>-53.382000000000005</v>
      </c>
      <c r="AL964" s="11">
        <f>IF(AND(ISNUMBER(AK964),ISNUMBER(V964)),IF(V964&lt;&gt;0,AK964/ABS(V964),""),"")</f>
        <v>-1.0156585932000231</v>
      </c>
      <c r="AM964" s="8">
        <f>IF(ISNUMBER(AK964),IF(AK964&gt;1,1,0),"")</f>
        <v>0</v>
      </c>
      <c r="AN964" s="8">
        <f>IF(ISNUMBER(AK964),IF(AK964&gt;0.05*ABS(V964),1,0),"")</f>
        <v>0</v>
      </c>
      <c r="AO964" s="10">
        <v>-321.52699999999999</v>
      </c>
      <c r="AP964" s="10">
        <v>321.52699999999999</v>
      </c>
      <c r="AQ964" s="8" t="s">
        <v>204</v>
      </c>
      <c r="AR964" s="8">
        <v>0</v>
      </c>
      <c r="AS964" s="10">
        <v>-905.66300000000001</v>
      </c>
      <c r="AT964" s="10"/>
      <c r="AU964" s="8" t="s">
        <v>207</v>
      </c>
      <c r="AV964" s="10">
        <v>42.743000000000002</v>
      </c>
      <c r="AW964" s="11" t="str">
        <f>IF(AND(ISNUMBER(AV964),ISNUMBER(AT964)),IF(AT964&lt;&gt;0,AV964/ABS(AT964),""),"")</f>
        <v/>
      </c>
      <c r="AX964" s="8">
        <v>0</v>
      </c>
      <c r="AY964" s="8">
        <v>0</v>
      </c>
      <c r="AZ964" s="10"/>
      <c r="BA964" s="8">
        <v>0</v>
      </c>
    </row>
    <row r="965" spans="1:53" x14ac:dyDescent="0.2">
      <c r="A965" s="8" t="s">
        <v>524</v>
      </c>
      <c r="B965" s="8" t="s">
        <v>83</v>
      </c>
      <c r="C965" s="8" t="s">
        <v>290</v>
      </c>
      <c r="D965" s="8">
        <v>1</v>
      </c>
      <c r="E965" s="8">
        <v>0</v>
      </c>
      <c r="F965" s="8">
        <f>SUM(G965:M965)</f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1</v>
      </c>
      <c r="Q965" s="8">
        <v>0</v>
      </c>
      <c r="R965" s="8">
        <v>0</v>
      </c>
      <c r="S965" s="8">
        <v>1</v>
      </c>
      <c r="T965" s="10">
        <v>-328.37099999999998</v>
      </c>
      <c r="U965" s="10"/>
      <c r="V965" s="10"/>
      <c r="W965" s="10">
        <f>IF(RIGHT(C965,2)="12",IF(ISNUMBER(T965),T965,""),IF(COUNT(T965,U965,V965)=3,T965+U965-V965,""))</f>
        <v>-328.37099999999998</v>
      </c>
      <c r="X965" s="10">
        <v>-328.37099999999998</v>
      </c>
      <c r="Y965" s="10">
        <v>-1.59</v>
      </c>
      <c r="Z965" s="10">
        <v>-309.29599999999999</v>
      </c>
      <c r="AA965" s="10">
        <v>42.743000000000002</v>
      </c>
      <c r="AB965" s="10">
        <v>-60.226999999999997</v>
      </c>
      <c r="AC965" s="8">
        <v>0</v>
      </c>
      <c r="AD965" s="8">
        <v>0</v>
      </c>
      <c r="AE965" s="8">
        <v>0</v>
      </c>
      <c r="AF965" s="10">
        <v>0</v>
      </c>
      <c r="AG965" s="8">
        <f>COUNTIF(Y965:AB965,"&gt;0")</f>
        <v>1</v>
      </c>
      <c r="AH965" s="10">
        <v>42.743000000000002</v>
      </c>
      <c r="AI965" s="10">
        <v>0</v>
      </c>
      <c r="AJ965" s="8" t="str">
        <f>IF(ISNUMBER(X965),IF(X965&gt;0,"+",IF(X965&lt;0,"−","0")),IF(ISNUMBER(W965),IF(W965&gt;0,"+",IF(W965&lt;0,"−","0")),"yok"))</f>
        <v>−</v>
      </c>
      <c r="AK965" s="10" t="str">
        <f>IF(AND(RIGHT(C965,2)&lt;&gt;"12",ISNUMBER(U965),ISNUMBER(V965)),U965-V965,"")</f>
        <v/>
      </c>
      <c r="AL965" s="11" t="str">
        <f>IF(AND(ISNUMBER(AK965),ISNUMBER(V965)),IF(V965&lt;&gt;0,AK965/ABS(V965),""),"")</f>
        <v/>
      </c>
      <c r="AM965" s="8" t="str">
        <f>IF(ISNUMBER(AK965),IF(AK965&gt;1,1,0),"")</f>
        <v/>
      </c>
      <c r="AN965" s="8" t="str">
        <f>IF(ISNUMBER(AK965),IF(AK965&gt;0.05*ABS(V965),1,0),"")</f>
        <v/>
      </c>
      <c r="AO965" s="10">
        <v>-328.37099999999998</v>
      </c>
      <c r="AP965" s="10">
        <v>328.37099999999998</v>
      </c>
      <c r="AQ965" s="8" t="s">
        <v>204</v>
      </c>
      <c r="AR965" s="8">
        <v>0</v>
      </c>
      <c r="AS965" s="10">
        <v>681.12900000000002</v>
      </c>
      <c r="AT965" s="10"/>
      <c r="AU965" s="8" t="s">
        <v>207</v>
      </c>
      <c r="AV965" s="10">
        <v>42.743000000000002</v>
      </c>
      <c r="AW965" s="11" t="str">
        <f>IF(AND(ISNUMBER(AV965),ISNUMBER(AT965)),IF(AT965&lt;&gt;0,AV965/ABS(AT965),""),"")</f>
        <v/>
      </c>
      <c r="AX965" s="8">
        <v>0</v>
      </c>
      <c r="AY965" s="8">
        <v>0</v>
      </c>
      <c r="AZ965" s="10"/>
      <c r="BA965" s="8">
        <v>0</v>
      </c>
    </row>
    <row r="966" spans="1:53" x14ac:dyDescent="0.2">
      <c r="A966" s="8" t="s">
        <v>524</v>
      </c>
      <c r="B966" s="8" t="s">
        <v>84</v>
      </c>
      <c r="C966" s="8" t="s">
        <v>215</v>
      </c>
      <c r="D966" s="8">
        <v>1</v>
      </c>
      <c r="E966" s="8">
        <v>0</v>
      </c>
      <c r="F966" s="8">
        <f>SUM(G966:M966)</f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1</v>
      </c>
      <c r="O966" s="8">
        <v>0</v>
      </c>
      <c r="P966" s="8">
        <v>1</v>
      </c>
      <c r="Q966" s="8">
        <v>0</v>
      </c>
      <c r="R966" s="8">
        <v>0</v>
      </c>
      <c r="S966" s="8">
        <v>0</v>
      </c>
      <c r="T966" s="10">
        <v>0</v>
      </c>
      <c r="U966" s="10">
        <v>-5.72</v>
      </c>
      <c r="V966" s="10">
        <v>-6.0789999999999997</v>
      </c>
      <c r="W966" s="10">
        <f>IF(RIGHT(C966,2)="12",IF(ISNUMBER(T966),T966,""),IF(COUNT(T966,U966,V966)=3,T966+U966-V966,""))</f>
        <v>0.35899999999999999</v>
      </c>
      <c r="X966" s="10">
        <v>0.35799999999999998</v>
      </c>
      <c r="Y966" s="10">
        <v>0.35799999999999998</v>
      </c>
      <c r="Z966" s="10"/>
      <c r="AA966" s="10"/>
      <c r="AB966" s="10"/>
      <c r="AC966" s="8">
        <v>0</v>
      </c>
      <c r="AD966" s="8">
        <v>0</v>
      </c>
      <c r="AE966" s="8">
        <v>0</v>
      </c>
      <c r="AF966" s="10">
        <v>0</v>
      </c>
      <c r="AG966" s="8">
        <f>COUNTIF(Y966:AB966,"&gt;0")</f>
        <v>1</v>
      </c>
      <c r="AH966" s="10">
        <v>0</v>
      </c>
      <c r="AI966" s="10">
        <v>0.35799999999999998</v>
      </c>
      <c r="AJ966" s="8" t="str">
        <f>IF(ISNUMBER(X966),IF(X966&gt;0,"+",IF(X966&lt;0,"−","0")),IF(ISNUMBER(W966),IF(W966&gt;0,"+",IF(W966&lt;0,"−","0")),"yok"))</f>
        <v>+</v>
      </c>
      <c r="AK966" s="10">
        <f>IF(AND(RIGHT(C966,2)&lt;&gt;"12",ISNUMBER(U966),ISNUMBER(V966)),U966-V966,"")</f>
        <v>0.35899999999999999</v>
      </c>
      <c r="AL966" s="11">
        <f>IF(AND(ISNUMBER(AK966),ISNUMBER(V966)),IF(V966&lt;&gt;0,AK966/ABS(V966),""),"")</f>
        <v>5.9055765750945878E-2</v>
      </c>
      <c r="AM966" s="8">
        <f>IF(ISNUMBER(AK966),IF(AK966&gt;1,1,0),"")</f>
        <v>0</v>
      </c>
      <c r="AN966" s="8">
        <f>IF(ISNUMBER(AK966),IF(AK966&gt;0.05*ABS(V966),1,0),"")</f>
        <v>1</v>
      </c>
      <c r="AO966" s="10"/>
      <c r="AP966" s="10"/>
      <c r="AQ966" s="8" t="s">
        <v>207</v>
      </c>
      <c r="AR966" s="8">
        <v>0</v>
      </c>
      <c r="AS966" s="10">
        <v>-905.66300000000001</v>
      </c>
      <c r="AT966" s="10"/>
      <c r="AU966" s="8" t="s">
        <v>207</v>
      </c>
      <c r="AV966" s="10">
        <v>0.35899999999999999</v>
      </c>
      <c r="AW966" s="11" t="str">
        <f>IF(AND(ISNUMBER(AV966),ISNUMBER(AT966)),IF(AT966&lt;&gt;0,AV966/ABS(AT966),""),"")</f>
        <v/>
      </c>
      <c r="AX966" s="8">
        <v>0</v>
      </c>
      <c r="AY966" s="8">
        <v>0</v>
      </c>
      <c r="AZ966" s="10"/>
      <c r="BA966" s="8">
        <v>0</v>
      </c>
    </row>
    <row r="967" spans="1:53" x14ac:dyDescent="0.2">
      <c r="A967" s="8" t="s">
        <v>525</v>
      </c>
      <c r="B967" s="8" t="s">
        <v>82</v>
      </c>
      <c r="C967" s="8" t="s">
        <v>290</v>
      </c>
      <c r="D967" s="8">
        <v>1</v>
      </c>
      <c r="E967" s="8">
        <v>0</v>
      </c>
      <c r="F967" s="8">
        <f>SUM(G967:M967)</f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1</v>
      </c>
      <c r="Q967" s="8">
        <v>0</v>
      </c>
      <c r="R967" s="8">
        <v>0</v>
      </c>
      <c r="S967" s="8">
        <v>1</v>
      </c>
      <c r="T967" s="10">
        <v>-27.5</v>
      </c>
      <c r="U967" s="10"/>
      <c r="V967" s="10"/>
      <c r="W967" s="10">
        <f>IF(RIGHT(C967,2)="12",IF(ISNUMBER(T967),T967,""),IF(COUNT(T967,U967,V967)=3,T967+U967-V967,""))</f>
        <v>-27.5</v>
      </c>
      <c r="X967" s="10">
        <v>-27.5</v>
      </c>
      <c r="Y967" s="10">
        <v>-1.6839999999999999</v>
      </c>
      <c r="Z967" s="10">
        <v>-36.649000000000001</v>
      </c>
      <c r="AA967" s="10">
        <v>-0.44800000000000001</v>
      </c>
      <c r="AB967" s="10">
        <v>11.281000000000001</v>
      </c>
      <c r="AC967" s="8">
        <v>0</v>
      </c>
      <c r="AD967" s="8">
        <v>0</v>
      </c>
      <c r="AE967" s="8">
        <v>0</v>
      </c>
      <c r="AF967" s="10">
        <v>0</v>
      </c>
      <c r="AG967" s="8">
        <f>COUNTIF(Y967:AB967,"&gt;0")</f>
        <v>1</v>
      </c>
      <c r="AH967" s="10">
        <v>11.281000000000001</v>
      </c>
      <c r="AI967" s="10">
        <v>0</v>
      </c>
      <c r="AJ967" s="8" t="str">
        <f>IF(ISNUMBER(X967),IF(X967&gt;0,"+",IF(X967&lt;0,"−","0")),IF(ISNUMBER(W967),IF(W967&gt;0,"+",IF(W967&lt;0,"−","0")),"yok"))</f>
        <v>−</v>
      </c>
      <c r="AK967" s="10" t="str">
        <f>IF(AND(RIGHT(C967,2)&lt;&gt;"12",ISNUMBER(U967),ISNUMBER(V967)),U967-V967,"")</f>
        <v/>
      </c>
      <c r="AL967" s="11" t="str">
        <f>IF(AND(ISNUMBER(AK967),ISNUMBER(V967)),IF(V967&lt;&gt;0,AK967/ABS(V967),""),"")</f>
        <v/>
      </c>
      <c r="AM967" s="8" t="str">
        <f>IF(ISNUMBER(AK967),IF(AK967&gt;1,1,0),"")</f>
        <v/>
      </c>
      <c r="AN967" s="8" t="str">
        <f>IF(ISNUMBER(AK967),IF(AK967&gt;0.05*ABS(V967),1,0),"")</f>
        <v/>
      </c>
      <c r="AO967" s="10">
        <v>-27.5</v>
      </c>
      <c r="AP967" s="10">
        <v>27.5</v>
      </c>
      <c r="AQ967" s="8" t="s">
        <v>204</v>
      </c>
      <c r="AR967" s="8">
        <v>0</v>
      </c>
      <c r="AS967" s="10">
        <v>3126.9659999999999</v>
      </c>
      <c r="AT967" s="10">
        <v>-7173.424</v>
      </c>
      <c r="AU967" s="8" t="s">
        <v>204</v>
      </c>
      <c r="AV967" s="10">
        <v>11.281000000000001</v>
      </c>
      <c r="AW967" s="11">
        <f>IF(AND(ISNUMBER(AV967),ISNUMBER(AT967)),IF(AT967&lt;&gt;0,AV967/ABS(AT967),""),"")</f>
        <v>1.572610234666179E-3</v>
      </c>
      <c r="AX967" s="8">
        <v>0</v>
      </c>
      <c r="AY967" s="8">
        <v>0</v>
      </c>
      <c r="AZ967" s="10"/>
      <c r="BA967" s="8">
        <v>1</v>
      </c>
    </row>
    <row r="968" spans="1:53" x14ac:dyDescent="0.2">
      <c r="A968" s="8" t="s">
        <v>525</v>
      </c>
      <c r="B968" s="8" t="s">
        <v>82</v>
      </c>
      <c r="C968" s="8" t="s">
        <v>208</v>
      </c>
      <c r="D968" s="8">
        <v>1</v>
      </c>
      <c r="E968" s="8">
        <v>0</v>
      </c>
      <c r="F968" s="8">
        <f>SUM(G968:M968)</f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1</v>
      </c>
      <c r="Q968" s="8">
        <v>0</v>
      </c>
      <c r="R968" s="8">
        <v>1</v>
      </c>
      <c r="S968" s="8">
        <v>0</v>
      </c>
      <c r="T968" s="10">
        <v>0</v>
      </c>
      <c r="U968" s="10">
        <v>-27.5</v>
      </c>
      <c r="V968" s="10">
        <v>-1.6839999999999999</v>
      </c>
      <c r="W968" s="10">
        <f>IF(RIGHT(C968,2)="12",IF(ISNUMBER(T968),T968,""),IF(COUNT(T968,U968,V968)=3,T968+U968-V968,""))</f>
        <v>-25.815999999999999</v>
      </c>
      <c r="X968" s="10">
        <v>-25.815999999999999</v>
      </c>
      <c r="Y968" s="10">
        <v>-36.649000000000001</v>
      </c>
      <c r="Z968" s="10">
        <v>-0.44800000000000001</v>
      </c>
      <c r="AA968" s="10">
        <v>11.281000000000001</v>
      </c>
      <c r="AB968" s="10">
        <v>0</v>
      </c>
      <c r="AC968" s="8">
        <v>0</v>
      </c>
      <c r="AD968" s="8">
        <v>0</v>
      </c>
      <c r="AE968" s="8">
        <v>0</v>
      </c>
      <c r="AF968" s="10">
        <v>0</v>
      </c>
      <c r="AG968" s="8">
        <f>COUNTIF(Y968:AB968,"&gt;0")</f>
        <v>1</v>
      </c>
      <c r="AH968" s="10">
        <v>0</v>
      </c>
      <c r="AI968" s="10">
        <v>11.281000000000001</v>
      </c>
      <c r="AJ968" s="8" t="str">
        <f>IF(ISNUMBER(X968),IF(X968&gt;0,"+",IF(X968&lt;0,"−","0")),IF(ISNUMBER(W968),IF(W968&gt;0,"+",IF(W968&lt;0,"−","0")),"yok"))</f>
        <v>−</v>
      </c>
      <c r="AK968" s="10">
        <f>IF(AND(RIGHT(C968,2)&lt;&gt;"12",ISNUMBER(U968),ISNUMBER(V968)),U968-V968,"")</f>
        <v>-25.815999999999999</v>
      </c>
      <c r="AL968" s="11">
        <f>IF(AND(ISNUMBER(AK968),ISNUMBER(V968)),IF(V968&lt;&gt;0,AK968/ABS(V968),""),"")</f>
        <v>-15.330166270783847</v>
      </c>
      <c r="AM968" s="8">
        <f>IF(ISNUMBER(AK968),IF(AK968&gt;1,1,0),"")</f>
        <v>0</v>
      </c>
      <c r="AN968" s="8">
        <f>IF(ISNUMBER(AK968),IF(AK968&gt;0.05*ABS(V968),1,0),"")</f>
        <v>0</v>
      </c>
      <c r="AO968" s="10">
        <v>-25.815999999999999</v>
      </c>
      <c r="AP968" s="10">
        <v>25.815999999999999</v>
      </c>
      <c r="AQ968" s="8" t="s">
        <v>204</v>
      </c>
      <c r="AR968" s="8">
        <v>0</v>
      </c>
      <c r="AS968" s="10">
        <v>-5757.8549999999996</v>
      </c>
      <c r="AT968" s="10">
        <v>-16113.521000000001</v>
      </c>
      <c r="AU968" s="8" t="s">
        <v>204</v>
      </c>
      <c r="AV968" s="10">
        <v>11.281000000000001</v>
      </c>
      <c r="AW968" s="11">
        <f>IF(AND(ISNUMBER(AV968),ISNUMBER(AT968)),IF(AT968&lt;&gt;0,AV968/ABS(AT968),""),"")</f>
        <v>7.0009528023080739E-4</v>
      </c>
      <c r="AX968" s="8">
        <v>0</v>
      </c>
      <c r="AY968" s="8">
        <v>0</v>
      </c>
      <c r="AZ968" s="10"/>
      <c r="BA968" s="8">
        <v>1</v>
      </c>
    </row>
    <row r="969" spans="1:53" x14ac:dyDescent="0.2">
      <c r="A969" s="8" t="s">
        <v>639</v>
      </c>
      <c r="B969" s="8" t="s">
        <v>82</v>
      </c>
      <c r="C969" s="8" t="s">
        <v>203</v>
      </c>
      <c r="D969" s="8">
        <v>1</v>
      </c>
      <c r="E969" s="8">
        <v>0</v>
      </c>
      <c r="F969" s="8">
        <f>SUM(G969:M969)</f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1</v>
      </c>
      <c r="Q969" s="8">
        <v>0</v>
      </c>
      <c r="R969" s="8">
        <v>1</v>
      </c>
      <c r="S969" s="8">
        <v>0</v>
      </c>
      <c r="T969" s="10">
        <v>-2.6560000000000001</v>
      </c>
      <c r="U969" s="10">
        <v>-21.024000000000001</v>
      </c>
      <c r="V969" s="10">
        <v>-21.015000000000001</v>
      </c>
      <c r="W969" s="10">
        <f>IF(RIGHT(C969,2)="12",IF(ISNUMBER(T969),T969,""),IF(COUNT(T969,U969,V969)=3,T969+U969-V969,""))</f>
        <v>-2.6649999999999991</v>
      </c>
      <c r="X969" s="10">
        <v>-2.665</v>
      </c>
      <c r="Y969" s="10">
        <v>9.077</v>
      </c>
      <c r="Z969" s="10">
        <v>-5.798</v>
      </c>
      <c r="AA969" s="10">
        <v>-3.2879999999999998</v>
      </c>
      <c r="AB969" s="10">
        <v>-2.6560000000000001</v>
      </c>
      <c r="AC969" s="8">
        <v>0</v>
      </c>
      <c r="AD969" s="8">
        <v>0</v>
      </c>
      <c r="AE969" s="8">
        <v>0</v>
      </c>
      <c r="AF969" s="10">
        <v>0</v>
      </c>
      <c r="AG969" s="8">
        <f>COUNTIF(Y969:AB969,"&gt;0")</f>
        <v>1</v>
      </c>
      <c r="AH969" s="10">
        <v>0</v>
      </c>
      <c r="AI969" s="10">
        <v>9.077</v>
      </c>
      <c r="AJ969" s="8" t="str">
        <f>IF(ISNUMBER(X969),IF(X969&gt;0,"+",IF(X969&lt;0,"−","0")),IF(ISNUMBER(W969),IF(W969&gt;0,"+",IF(W969&lt;0,"−","0")),"yok"))</f>
        <v>−</v>
      </c>
      <c r="AK969" s="10">
        <f>IF(AND(RIGHT(C969,2)&lt;&gt;"12",ISNUMBER(U969),ISNUMBER(V969)),U969-V969,"")</f>
        <v>-9.0000000000003411E-3</v>
      </c>
      <c r="AL969" s="11">
        <f>IF(AND(ISNUMBER(AK969),ISNUMBER(V969)),IF(V969&lt;&gt;0,AK969/ABS(V969),""),"")</f>
        <v>-4.2826552462528391E-4</v>
      </c>
      <c r="AM969" s="8">
        <f>IF(ISNUMBER(AK969),IF(AK969&gt;1,1,0),"")</f>
        <v>0</v>
      </c>
      <c r="AN969" s="8">
        <f>IF(ISNUMBER(AK969),IF(AK969&gt;0.05*ABS(V969),1,0),"")</f>
        <v>0</v>
      </c>
      <c r="AO969" s="10">
        <v>-2.6659999999999999</v>
      </c>
      <c r="AP969" s="10">
        <v>2.6659999999999999</v>
      </c>
      <c r="AQ969" s="8" t="s">
        <v>204</v>
      </c>
      <c r="AR969" s="8">
        <v>0</v>
      </c>
      <c r="AS969" s="10">
        <v>2396.4299999999998</v>
      </c>
      <c r="AT969" s="10">
        <v>-5948.4430000000002</v>
      </c>
      <c r="AU969" s="8" t="s">
        <v>212</v>
      </c>
      <c r="AV969" s="10">
        <v>9.077</v>
      </c>
      <c r="AW969" s="11">
        <f>IF(AND(ISNUMBER(AV969),ISNUMBER(AT969)),IF(AT969&lt;&gt;0,AV969/ABS(AT969),""),"")</f>
        <v>1.5259455289392534E-3</v>
      </c>
      <c r="AX969" s="8">
        <v>0</v>
      </c>
      <c r="AY969" s="8">
        <v>0</v>
      </c>
      <c r="AZ969" s="10"/>
      <c r="BA969" s="8">
        <v>0</v>
      </c>
    </row>
    <row r="970" spans="1:53" x14ac:dyDescent="0.2">
      <c r="A970" s="8" t="s">
        <v>526</v>
      </c>
      <c r="B970" s="8" t="s">
        <v>82</v>
      </c>
      <c r="C970" s="8" t="s">
        <v>205</v>
      </c>
      <c r="D970" s="8">
        <v>1</v>
      </c>
      <c r="E970" s="8">
        <v>0</v>
      </c>
      <c r="F970" s="8">
        <f>SUM(G970:M970)</f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1</v>
      </c>
      <c r="Q970" s="8">
        <v>0</v>
      </c>
      <c r="R970" s="8">
        <v>1</v>
      </c>
      <c r="S970" s="8">
        <v>0</v>
      </c>
      <c r="T970" s="10">
        <v>-5.2169999999999996</v>
      </c>
      <c r="U970" s="10">
        <v>-15.552</v>
      </c>
      <c r="V970" s="10">
        <v>-8.8339999999999996</v>
      </c>
      <c r="W970" s="10">
        <f>IF(RIGHT(C970,2)="12",IF(ISNUMBER(T970),T970,""),IF(COUNT(T970,U970,V970)=3,T970+U970-V970,""))</f>
        <v>-11.934999999999999</v>
      </c>
      <c r="X970" s="10">
        <v>-11.935</v>
      </c>
      <c r="Y970" s="10">
        <v>-10.448</v>
      </c>
      <c r="Z970" s="10">
        <v>3.7290000000000001</v>
      </c>
      <c r="AA970" s="10">
        <v>-2.1549999999999998</v>
      </c>
      <c r="AB970" s="10">
        <v>-3.0609999999999999</v>
      </c>
      <c r="AC970" s="8">
        <v>0</v>
      </c>
      <c r="AD970" s="8">
        <v>0</v>
      </c>
      <c r="AE970" s="8">
        <v>0</v>
      </c>
      <c r="AF970" s="10">
        <v>0</v>
      </c>
      <c r="AG970" s="8">
        <f>COUNTIF(Y970:AB970,"&gt;0")</f>
        <v>1</v>
      </c>
      <c r="AH970" s="10">
        <v>0</v>
      </c>
      <c r="AI970" s="10">
        <v>3.7290000000000001</v>
      </c>
      <c r="AJ970" s="8" t="str">
        <f>IF(ISNUMBER(X970),IF(X970&gt;0,"+",IF(X970&lt;0,"−","0")),IF(ISNUMBER(W970),IF(W970&gt;0,"+",IF(W970&lt;0,"−","0")),"yok"))</f>
        <v>−</v>
      </c>
      <c r="AK970" s="10">
        <f>IF(AND(RIGHT(C970,2)&lt;&gt;"12",ISNUMBER(U970),ISNUMBER(V970)),U970-V970,"")</f>
        <v>-6.718</v>
      </c>
      <c r="AL970" s="11">
        <f>IF(AND(ISNUMBER(AK970),ISNUMBER(V970)),IF(V970&lt;&gt;0,AK970/ABS(V970),""),"")</f>
        <v>-0.7604709078560109</v>
      </c>
      <c r="AM970" s="8">
        <f>IF(ISNUMBER(AK970),IF(AK970&gt;1,1,0),"")</f>
        <v>0</v>
      </c>
      <c r="AN970" s="8">
        <f>IF(ISNUMBER(AK970),IF(AK970&gt;0.05*ABS(V970),1,0),"")</f>
        <v>0</v>
      </c>
      <c r="AO970" s="10">
        <v>-11.936</v>
      </c>
      <c r="AP970" s="10">
        <v>11.936</v>
      </c>
      <c r="AQ970" s="8" t="s">
        <v>204</v>
      </c>
      <c r="AR970" s="8">
        <v>0</v>
      </c>
      <c r="AS970" s="10">
        <v>4111.7870000000003</v>
      </c>
      <c r="AT970" s="10"/>
      <c r="AU970" s="8" t="s">
        <v>207</v>
      </c>
      <c r="AV970" s="10">
        <v>3.7290000000000001</v>
      </c>
      <c r="AW970" s="11" t="str">
        <f>IF(AND(ISNUMBER(AV970),ISNUMBER(AT970)),IF(AT970&lt;&gt;0,AV970/ABS(AT970),""),"")</f>
        <v/>
      </c>
      <c r="AX970" s="8">
        <v>0</v>
      </c>
      <c r="AY970" s="8">
        <v>0</v>
      </c>
      <c r="AZ970" s="10"/>
      <c r="BA970" s="8">
        <v>0</v>
      </c>
    </row>
    <row r="971" spans="1:53" x14ac:dyDescent="0.2">
      <c r="A971" s="8" t="s">
        <v>527</v>
      </c>
      <c r="B971" s="8" t="s">
        <v>82</v>
      </c>
      <c r="C971" s="8" t="s">
        <v>208</v>
      </c>
      <c r="D971" s="8">
        <v>1</v>
      </c>
      <c r="E971" s="8">
        <v>0</v>
      </c>
      <c r="F971" s="8">
        <f>SUM(G971:M971)</f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1</v>
      </c>
      <c r="Q971" s="8">
        <v>0</v>
      </c>
      <c r="R971" s="8">
        <v>1</v>
      </c>
      <c r="S971" s="8">
        <v>0</v>
      </c>
      <c r="T971" s="10"/>
      <c r="U971" s="10"/>
      <c r="V971" s="10">
        <v>-0.214</v>
      </c>
      <c r="W971" s="10" t="str">
        <f>IF(RIGHT(C971,2)="12",IF(ISNUMBER(T971),T971,""),IF(COUNT(T971,U971,V971)=3,T971+U971-V971,""))</f>
        <v/>
      </c>
      <c r="X971" s="10"/>
      <c r="Y971" s="10">
        <v>3.262</v>
      </c>
      <c r="Z971" s="10"/>
      <c r="AA971" s="10"/>
      <c r="AB971" s="10"/>
      <c r="AC971" s="8">
        <v>0</v>
      </c>
      <c r="AD971" s="8">
        <v>0</v>
      </c>
      <c r="AE971" s="8">
        <v>0</v>
      </c>
      <c r="AF971" s="10">
        <v>0</v>
      </c>
      <c r="AG971" s="8">
        <f>COUNTIF(Y971:AB971,"&gt;0")</f>
        <v>1</v>
      </c>
      <c r="AH971" s="10">
        <v>0</v>
      </c>
      <c r="AI971" s="10">
        <v>3.262</v>
      </c>
      <c r="AJ971" s="8" t="str">
        <f>IF(ISNUMBER(X971),IF(X971&gt;0,"+",IF(X971&lt;0,"−","0")),IF(ISNUMBER(W971),IF(W971&gt;0,"+",IF(W971&lt;0,"−","0")),"yok"))</f>
        <v>yok</v>
      </c>
      <c r="AK971" s="10" t="str">
        <f>IF(AND(RIGHT(C971,2)&lt;&gt;"12",ISNUMBER(U971),ISNUMBER(V971)),U971-V971,"")</f>
        <v/>
      </c>
      <c r="AL971" s="11" t="str">
        <f>IF(AND(ISNUMBER(AK971),ISNUMBER(V971)),IF(V971&lt;&gt;0,AK971/ABS(V971),""),"")</f>
        <v/>
      </c>
      <c r="AM971" s="8" t="str">
        <f>IF(ISNUMBER(AK971),IF(AK971&gt;1,1,0),"")</f>
        <v/>
      </c>
      <c r="AN971" s="8" t="str">
        <f>IF(ISNUMBER(AK971),IF(AK971&gt;0.05*ABS(V971),1,0),"")</f>
        <v/>
      </c>
      <c r="AO971" s="10"/>
      <c r="AP971" s="10"/>
      <c r="AQ971" s="8" t="s">
        <v>207</v>
      </c>
      <c r="AR971" s="8">
        <v>0</v>
      </c>
      <c r="AS971" s="10">
        <v>421.46</v>
      </c>
      <c r="AT971" s="10"/>
      <c r="AU971" s="8" t="s">
        <v>207</v>
      </c>
      <c r="AV971" s="10">
        <v>3.262</v>
      </c>
      <c r="AW971" s="11" t="str">
        <f>IF(AND(ISNUMBER(AV971),ISNUMBER(AT971)),IF(AT971&lt;&gt;0,AV971/ABS(AT971),""),"")</f>
        <v/>
      </c>
      <c r="AX971" s="8">
        <v>0</v>
      </c>
      <c r="AY971" s="8">
        <v>0</v>
      </c>
      <c r="AZ971" s="10"/>
      <c r="BA971" s="8">
        <v>0</v>
      </c>
    </row>
    <row r="972" spans="1:53" x14ac:dyDescent="0.2">
      <c r="A972" s="8" t="s">
        <v>527</v>
      </c>
      <c r="B972" s="8" t="s">
        <v>82</v>
      </c>
      <c r="C972" s="8" t="s">
        <v>210</v>
      </c>
      <c r="D972" s="8">
        <v>1</v>
      </c>
      <c r="E972" s="8">
        <v>0</v>
      </c>
      <c r="F972" s="8">
        <f>SUM(G972:M972)</f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1</v>
      </c>
      <c r="P972" s="8">
        <v>0</v>
      </c>
      <c r="Q972" s="8">
        <v>0</v>
      </c>
      <c r="R972" s="8">
        <v>0</v>
      </c>
      <c r="S972" s="8">
        <v>0</v>
      </c>
      <c r="T972" s="10"/>
      <c r="U972" s="10"/>
      <c r="V972" s="10">
        <v>3.048</v>
      </c>
      <c r="W972" s="10" t="str">
        <f>IF(RIGHT(C972,2)="12",IF(ISNUMBER(T972),T972,""),IF(COUNT(T972,U972,V972)=3,T972+U972-V972,""))</f>
        <v/>
      </c>
      <c r="X972" s="10"/>
      <c r="Y972" s="10"/>
      <c r="Z972" s="10"/>
      <c r="AA972" s="10"/>
      <c r="AB972" s="10"/>
      <c r="AC972" s="8">
        <v>0</v>
      </c>
      <c r="AD972" s="8">
        <v>0</v>
      </c>
      <c r="AE972" s="8">
        <v>1</v>
      </c>
      <c r="AF972" s="10">
        <v>3.048</v>
      </c>
      <c r="AG972" s="8">
        <f>COUNTIF(Y972:AB972,"&gt;0")</f>
        <v>0</v>
      </c>
      <c r="AH972" s="10">
        <v>0</v>
      </c>
      <c r="AI972" s="10">
        <v>0</v>
      </c>
      <c r="AJ972" s="8" t="str">
        <f>IF(ISNUMBER(X972),IF(X972&gt;0,"+",IF(X972&lt;0,"−","0")),IF(ISNUMBER(W972),IF(W972&gt;0,"+",IF(W972&lt;0,"−","0")),"yok"))</f>
        <v>yok</v>
      </c>
      <c r="AK972" s="10" t="str">
        <f>IF(AND(RIGHT(C972,2)&lt;&gt;"12",ISNUMBER(U972),ISNUMBER(V972)),U972-V972,"")</f>
        <v/>
      </c>
      <c r="AL972" s="11" t="str">
        <f>IF(AND(ISNUMBER(AK972),ISNUMBER(V972)),IF(V972&lt;&gt;0,AK972/ABS(V972),""),"")</f>
        <v/>
      </c>
      <c r="AM972" s="8" t="str">
        <f>IF(ISNUMBER(AK972),IF(AK972&gt;1,1,0),"")</f>
        <v/>
      </c>
      <c r="AN972" s="8" t="str">
        <f>IF(ISNUMBER(AK972),IF(AK972&gt;0.05*ABS(V972),1,0),"")</f>
        <v/>
      </c>
      <c r="AO972" s="10"/>
      <c r="AP972" s="10"/>
      <c r="AQ972" s="8" t="s">
        <v>207</v>
      </c>
      <c r="AR972" s="8">
        <v>0</v>
      </c>
      <c r="AS972" s="10">
        <v>307.23899999999998</v>
      </c>
      <c r="AT972" s="10"/>
      <c r="AU972" s="8" t="s">
        <v>207</v>
      </c>
      <c r="AV972" s="10">
        <v>3.048</v>
      </c>
      <c r="AW972" s="11" t="str">
        <f>IF(AND(ISNUMBER(AV972),ISNUMBER(AT972)),IF(AT972&lt;&gt;0,AV972/ABS(AT972),""),"")</f>
        <v/>
      </c>
      <c r="AX972" s="8">
        <v>1</v>
      </c>
      <c r="AY972" s="8">
        <v>0</v>
      </c>
      <c r="AZ972" s="8" t="s">
        <v>640</v>
      </c>
      <c r="BA972" s="8">
        <v>0</v>
      </c>
    </row>
    <row r="973" spans="1:53" x14ac:dyDescent="0.2">
      <c r="A973" s="8" t="s">
        <v>531</v>
      </c>
      <c r="B973" s="8" t="s">
        <v>82</v>
      </c>
      <c r="C973" s="8" t="s">
        <v>203</v>
      </c>
      <c r="D973" s="8">
        <v>1</v>
      </c>
      <c r="E973" s="8">
        <v>0</v>
      </c>
      <c r="F973" s="8">
        <f>SUM(G973:M973)</f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1</v>
      </c>
      <c r="Q973" s="8">
        <v>0</v>
      </c>
      <c r="R973" s="8">
        <v>1</v>
      </c>
      <c r="S973" s="8">
        <v>0</v>
      </c>
      <c r="T973" s="10">
        <v>-2.6560000000000001</v>
      </c>
      <c r="U973" s="10">
        <v>-21.023</v>
      </c>
      <c r="V973" s="10">
        <v>-21.015000000000001</v>
      </c>
      <c r="W973" s="10">
        <f>IF(RIGHT(C973,2)="12",IF(ISNUMBER(T973),T973,""),IF(COUNT(T973,U973,V973)=3,T973+U973-V973,""))</f>
        <v>-2.6639999999999979</v>
      </c>
      <c r="X973" s="10">
        <v>-2.6640000000000001</v>
      </c>
      <c r="Y973" s="10">
        <v>9.077</v>
      </c>
      <c r="Z973" s="10">
        <v>-5.798</v>
      </c>
      <c r="AA973" s="10">
        <v>-3.2869999999999999</v>
      </c>
      <c r="AB973" s="10">
        <v>-2.6560000000000001</v>
      </c>
      <c r="AC973" s="8">
        <v>0</v>
      </c>
      <c r="AD973" s="8">
        <v>0</v>
      </c>
      <c r="AE973" s="8">
        <v>0</v>
      </c>
      <c r="AF973" s="10">
        <v>0</v>
      </c>
      <c r="AG973" s="8">
        <f>COUNTIF(Y973:AB973,"&gt;0")</f>
        <v>1</v>
      </c>
      <c r="AH973" s="10">
        <v>0</v>
      </c>
      <c r="AI973" s="10">
        <v>9.077</v>
      </c>
      <c r="AJ973" s="8" t="str">
        <f>IF(ISNUMBER(X973),IF(X973&gt;0,"+",IF(X973&lt;0,"−","0")),IF(ISNUMBER(W973),IF(W973&gt;0,"+",IF(W973&lt;0,"−","0")),"yok"))</f>
        <v>−</v>
      </c>
      <c r="AK973" s="10">
        <f>IF(AND(RIGHT(C973,2)&lt;&gt;"12",ISNUMBER(U973),ISNUMBER(V973)),U973-V973,"")</f>
        <v>-7.9999999999991189E-3</v>
      </c>
      <c r="AL973" s="11">
        <f>IF(AND(ISNUMBER(AK973),ISNUMBER(V973)),IF(V973&lt;&gt;0,AK973/ABS(V973),""),"")</f>
        <v>-3.8068046633352935E-4</v>
      </c>
      <c r="AM973" s="8">
        <f>IF(ISNUMBER(AK973),IF(AK973&gt;1,1,0),"")</f>
        <v>0</v>
      </c>
      <c r="AN973" s="8">
        <f>IF(ISNUMBER(AK973),IF(AK973&gt;0.05*ABS(V973),1,0),"")</f>
        <v>0</v>
      </c>
      <c r="AO973" s="10">
        <v>-2.665</v>
      </c>
      <c r="AP973" s="10">
        <v>2.665</v>
      </c>
      <c r="AQ973" s="8" t="s">
        <v>204</v>
      </c>
      <c r="AR973" s="8">
        <v>0</v>
      </c>
      <c r="AS973" s="10">
        <v>-1618.51</v>
      </c>
      <c r="AT973" s="10"/>
      <c r="AU973" s="8" t="s">
        <v>207</v>
      </c>
      <c r="AV973" s="10">
        <v>9.077</v>
      </c>
      <c r="AW973" s="11" t="str">
        <f>IF(AND(ISNUMBER(AV973),ISNUMBER(AT973)),IF(AT973&lt;&gt;0,AV973/ABS(AT973),""),"")</f>
        <v/>
      </c>
      <c r="AX973" s="8">
        <v>0</v>
      </c>
      <c r="AY973" s="8">
        <v>0</v>
      </c>
      <c r="AZ973" s="10"/>
      <c r="BA973" s="8">
        <v>0</v>
      </c>
    </row>
    <row r="974" spans="1:53" x14ac:dyDescent="0.2">
      <c r="A974" s="8" t="s">
        <v>531</v>
      </c>
      <c r="B974" s="8" t="s">
        <v>84</v>
      </c>
      <c r="C974" s="8" t="s">
        <v>205</v>
      </c>
      <c r="D974" s="8">
        <v>1</v>
      </c>
      <c r="E974" s="8">
        <v>0</v>
      </c>
      <c r="F974" s="8">
        <f>SUM(G974:M974)</f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1</v>
      </c>
      <c r="P974" s="8">
        <v>0</v>
      </c>
      <c r="Q974" s="8">
        <v>0</v>
      </c>
      <c r="R974" s="8">
        <v>0</v>
      </c>
      <c r="S974" s="8">
        <v>0</v>
      </c>
      <c r="T974" s="10">
        <v>2077.0770000000002</v>
      </c>
      <c r="U974" s="10">
        <v>-2176.4949999999999</v>
      </c>
      <c r="V974" s="10"/>
      <c r="W974" s="10" t="str">
        <f>IF(RIGHT(C974,2)="12",IF(ISNUMBER(T974),T974,""),IF(COUNT(T974,U974,V974)=3,T974+U974-V974,""))</f>
        <v/>
      </c>
      <c r="X974" s="10"/>
      <c r="Y974" s="10"/>
      <c r="Z974" s="10"/>
      <c r="AA974" s="10"/>
      <c r="AB974" s="10"/>
      <c r="AC974" s="8">
        <v>1</v>
      </c>
      <c r="AD974" s="8">
        <v>0</v>
      </c>
      <c r="AE974" s="8">
        <v>0</v>
      </c>
      <c r="AF974" s="10">
        <v>2077.0770000000002</v>
      </c>
      <c r="AG974" s="8">
        <f>COUNTIF(Y974:AB974,"&gt;0")</f>
        <v>0</v>
      </c>
      <c r="AH974" s="10">
        <v>0</v>
      </c>
      <c r="AI974" s="10">
        <v>0</v>
      </c>
      <c r="AJ974" s="8" t="str">
        <f>IF(ISNUMBER(X974),IF(X974&gt;0,"+",IF(X974&lt;0,"−","0")),IF(ISNUMBER(W974),IF(W974&gt;0,"+",IF(W974&lt;0,"−","0")),"yok"))</f>
        <v>yok</v>
      </c>
      <c r="AK974" s="10" t="str">
        <f>IF(AND(RIGHT(C974,2)&lt;&gt;"12",ISNUMBER(U974),ISNUMBER(V974)),U974-V974,"")</f>
        <v/>
      </c>
      <c r="AL974" s="11" t="str">
        <f>IF(AND(ISNUMBER(AK974),ISNUMBER(V974)),IF(V974&lt;&gt;0,AK974/ABS(V974),""),"")</f>
        <v/>
      </c>
      <c r="AM974" s="8" t="str">
        <f>IF(ISNUMBER(AK974),IF(AK974&gt;1,1,0),"")</f>
        <v/>
      </c>
      <c r="AN974" s="8" t="str">
        <f>IF(ISNUMBER(AK974),IF(AK974&gt;0.05*ABS(V974),1,0),"")</f>
        <v/>
      </c>
      <c r="AO974" s="10"/>
      <c r="AP974" s="10"/>
      <c r="AQ974" s="8" t="s">
        <v>207</v>
      </c>
      <c r="AR974" s="8">
        <v>0</v>
      </c>
      <c r="AS974" s="10">
        <v>4359.1629999999996</v>
      </c>
      <c r="AT974" s="10"/>
      <c r="AU974" s="8" t="s">
        <v>207</v>
      </c>
      <c r="AV974" s="10">
        <v>2077.0770000000002</v>
      </c>
      <c r="AW974" s="11" t="str">
        <f>IF(AND(ISNUMBER(AV974),ISNUMBER(AT974)),IF(AT974&lt;&gt;0,AV974/ABS(AT974),""),"")</f>
        <v/>
      </c>
      <c r="AX974" s="8">
        <v>1</v>
      </c>
      <c r="AY974" s="8">
        <v>0</v>
      </c>
      <c r="AZ974" s="8" t="s">
        <v>641</v>
      </c>
      <c r="BA974" s="8">
        <v>0</v>
      </c>
    </row>
    <row r="975" spans="1:53" x14ac:dyDescent="0.2">
      <c r="A975" s="8" t="s">
        <v>642</v>
      </c>
      <c r="B975" s="8" t="s">
        <v>82</v>
      </c>
      <c r="C975" s="8" t="s">
        <v>203</v>
      </c>
      <c r="D975" s="8">
        <v>1</v>
      </c>
      <c r="E975" s="8">
        <v>0</v>
      </c>
      <c r="F975" s="8">
        <f>SUM(G975:M975)</f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1</v>
      </c>
      <c r="P975" s="8">
        <v>0</v>
      </c>
      <c r="Q975" s="8">
        <v>0</v>
      </c>
      <c r="R975" s="8">
        <v>0</v>
      </c>
      <c r="S975" s="8">
        <v>0</v>
      </c>
      <c r="T975" s="10"/>
      <c r="U975" s="10">
        <v>37.795000000000002</v>
      </c>
      <c r="V975" s="10"/>
      <c r="W975" s="10" t="str">
        <f>IF(RIGHT(C975,2)="12",IF(ISNUMBER(T975),T975,""),IF(COUNT(T975,U975,V975)=3,T975+U975-V975,""))</f>
        <v/>
      </c>
      <c r="X975" s="10"/>
      <c r="Y975" s="10"/>
      <c r="Z975" s="10"/>
      <c r="AA975" s="10"/>
      <c r="AB975" s="10"/>
      <c r="AC975" s="8">
        <v>0</v>
      </c>
      <c r="AD975" s="8">
        <v>1</v>
      </c>
      <c r="AE975" s="8">
        <v>0</v>
      </c>
      <c r="AF975" s="10">
        <v>37.795000000000002</v>
      </c>
      <c r="AG975" s="8">
        <f>COUNTIF(Y975:AB975,"&gt;0")</f>
        <v>0</v>
      </c>
      <c r="AH975" s="10">
        <v>0</v>
      </c>
      <c r="AI975" s="10">
        <v>0</v>
      </c>
      <c r="AJ975" s="8" t="str">
        <f>IF(ISNUMBER(X975),IF(X975&gt;0,"+",IF(X975&lt;0,"−","0")),IF(ISNUMBER(W975),IF(W975&gt;0,"+",IF(W975&lt;0,"−","0")),"yok"))</f>
        <v>yok</v>
      </c>
      <c r="AK975" s="10" t="str">
        <f>IF(AND(RIGHT(C975,2)&lt;&gt;"12",ISNUMBER(U975),ISNUMBER(V975)),U975-V975,"")</f>
        <v/>
      </c>
      <c r="AL975" s="11" t="str">
        <f>IF(AND(ISNUMBER(AK975),ISNUMBER(V975)),IF(V975&lt;&gt;0,AK975/ABS(V975),""),"")</f>
        <v/>
      </c>
      <c r="AM975" s="8" t="str">
        <f>IF(ISNUMBER(AK975),IF(AK975&gt;1,1,0),"")</f>
        <v/>
      </c>
      <c r="AN975" s="8" t="str">
        <f>IF(ISNUMBER(AK975),IF(AK975&gt;0.05*ABS(V975),1,0),"")</f>
        <v/>
      </c>
      <c r="AO975" s="10"/>
      <c r="AP975" s="10"/>
      <c r="AQ975" s="8" t="s">
        <v>207</v>
      </c>
      <c r="AR975" s="8">
        <v>0</v>
      </c>
      <c r="AS975" s="10"/>
      <c r="AT975" s="10"/>
      <c r="AU975" s="8" t="s">
        <v>207</v>
      </c>
      <c r="AV975" s="10">
        <v>37.795000000000002</v>
      </c>
      <c r="AW975" s="11" t="str">
        <f>IF(AND(ISNUMBER(AV975),ISNUMBER(AT975)),IF(AT975&lt;&gt;0,AV975/ABS(AT975),""),"")</f>
        <v/>
      </c>
      <c r="AX975" s="8">
        <v>1</v>
      </c>
      <c r="AY975" s="8">
        <v>0</v>
      </c>
      <c r="AZ975" s="8" t="s">
        <v>643</v>
      </c>
      <c r="BA975" s="8">
        <v>0</v>
      </c>
    </row>
    <row r="976" spans="1:53" x14ac:dyDescent="0.2">
      <c r="A976" s="8" t="s">
        <v>642</v>
      </c>
      <c r="B976" s="8" t="s">
        <v>82</v>
      </c>
      <c r="C976" s="8" t="s">
        <v>205</v>
      </c>
      <c r="D976" s="8">
        <v>1</v>
      </c>
      <c r="E976" s="8">
        <v>0</v>
      </c>
      <c r="F976" s="8">
        <f>SUM(G976:M976)</f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1</v>
      </c>
      <c r="P976" s="8">
        <v>0</v>
      </c>
      <c r="Q976" s="8">
        <v>0</v>
      </c>
      <c r="R976" s="8">
        <v>0</v>
      </c>
      <c r="S976" s="8">
        <v>0</v>
      </c>
      <c r="T976" s="10"/>
      <c r="U976" s="10">
        <v>37.795000000000002</v>
      </c>
      <c r="V976" s="10"/>
      <c r="W976" s="10" t="str">
        <f>IF(RIGHT(C976,2)="12",IF(ISNUMBER(T976),T976,""),IF(COUNT(T976,U976,V976)=3,T976+U976-V976,""))</f>
        <v/>
      </c>
      <c r="X976" s="10"/>
      <c r="Y976" s="10"/>
      <c r="Z976" s="10"/>
      <c r="AA976" s="10"/>
      <c r="AB976" s="10"/>
      <c r="AC976" s="8">
        <v>0</v>
      </c>
      <c r="AD976" s="8">
        <v>1</v>
      </c>
      <c r="AE976" s="8">
        <v>0</v>
      </c>
      <c r="AF976" s="10">
        <v>37.795000000000002</v>
      </c>
      <c r="AG976" s="8">
        <f>COUNTIF(Y976:AB976,"&gt;0")</f>
        <v>0</v>
      </c>
      <c r="AH976" s="10">
        <v>0</v>
      </c>
      <c r="AI976" s="10">
        <v>0</v>
      </c>
      <c r="AJ976" s="8" t="str">
        <f>IF(ISNUMBER(X976),IF(X976&gt;0,"+",IF(X976&lt;0,"−","0")),IF(ISNUMBER(W976),IF(W976&gt;0,"+",IF(W976&lt;0,"−","0")),"yok"))</f>
        <v>yok</v>
      </c>
      <c r="AK976" s="10" t="str">
        <f>IF(AND(RIGHT(C976,2)&lt;&gt;"12",ISNUMBER(U976),ISNUMBER(V976)),U976-V976,"")</f>
        <v/>
      </c>
      <c r="AL976" s="11" t="str">
        <f>IF(AND(ISNUMBER(AK976),ISNUMBER(V976)),IF(V976&lt;&gt;0,AK976/ABS(V976),""),"")</f>
        <v/>
      </c>
      <c r="AM976" s="8" t="str">
        <f>IF(ISNUMBER(AK976),IF(AK976&gt;1,1,0),"")</f>
        <v/>
      </c>
      <c r="AN976" s="8" t="str">
        <f>IF(ISNUMBER(AK976),IF(AK976&gt;0.05*ABS(V976),1,0),"")</f>
        <v/>
      </c>
      <c r="AO976" s="10"/>
      <c r="AP976" s="10"/>
      <c r="AQ976" s="8" t="s">
        <v>207</v>
      </c>
      <c r="AR976" s="8">
        <v>0</v>
      </c>
      <c r="AS976" s="10"/>
      <c r="AT976" s="10"/>
      <c r="AU976" s="8" t="s">
        <v>207</v>
      </c>
      <c r="AV976" s="10">
        <v>37.795000000000002</v>
      </c>
      <c r="AW976" s="11" t="str">
        <f>IF(AND(ISNUMBER(AV976),ISNUMBER(AT976)),IF(AT976&lt;&gt;0,AV976/ABS(AT976),""),"")</f>
        <v/>
      </c>
      <c r="AX976" s="8">
        <v>1</v>
      </c>
      <c r="AY976" s="8">
        <v>0</v>
      </c>
      <c r="AZ976" s="8" t="s">
        <v>643</v>
      </c>
      <c r="BA976" s="8">
        <v>0</v>
      </c>
    </row>
    <row r="977" spans="1:53" x14ac:dyDescent="0.2">
      <c r="A977" s="8" t="s">
        <v>642</v>
      </c>
      <c r="B977" s="8" t="s">
        <v>82</v>
      </c>
      <c r="C977" s="8" t="s">
        <v>215</v>
      </c>
      <c r="D977" s="8">
        <v>1</v>
      </c>
      <c r="E977" s="8">
        <v>0</v>
      </c>
      <c r="F977" s="8">
        <f>SUM(G977:M977)</f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1</v>
      </c>
      <c r="P977" s="8">
        <v>0</v>
      </c>
      <c r="Q977" s="8">
        <v>0</v>
      </c>
      <c r="R977" s="8">
        <v>0</v>
      </c>
      <c r="S977" s="8">
        <v>0</v>
      </c>
      <c r="T977" s="10"/>
      <c r="U977" s="10">
        <v>37.795000000000002</v>
      </c>
      <c r="V977" s="10"/>
      <c r="W977" s="10" t="str">
        <f>IF(RIGHT(C977,2)="12",IF(ISNUMBER(T977),T977,""),IF(COUNT(T977,U977,V977)=3,T977+U977-V977,""))</f>
        <v/>
      </c>
      <c r="X977" s="10"/>
      <c r="Y977" s="10"/>
      <c r="Z977" s="10"/>
      <c r="AA977" s="10"/>
      <c r="AB977" s="10"/>
      <c r="AC977" s="8">
        <v>0</v>
      </c>
      <c r="AD977" s="8">
        <v>1</v>
      </c>
      <c r="AE977" s="8">
        <v>0</v>
      </c>
      <c r="AF977" s="10">
        <v>37.795000000000002</v>
      </c>
      <c r="AG977" s="8">
        <f>COUNTIF(Y977:AB977,"&gt;0")</f>
        <v>0</v>
      </c>
      <c r="AH977" s="10">
        <v>0</v>
      </c>
      <c r="AI977" s="10">
        <v>0</v>
      </c>
      <c r="AJ977" s="8" t="str">
        <f>IF(ISNUMBER(X977),IF(X977&gt;0,"+",IF(X977&lt;0,"−","0")),IF(ISNUMBER(W977),IF(W977&gt;0,"+",IF(W977&lt;0,"−","0")),"yok"))</f>
        <v>yok</v>
      </c>
      <c r="AK977" s="10" t="str">
        <f>IF(AND(RIGHT(C977,2)&lt;&gt;"12",ISNUMBER(U977),ISNUMBER(V977)),U977-V977,"")</f>
        <v/>
      </c>
      <c r="AL977" s="11" t="str">
        <f>IF(AND(ISNUMBER(AK977),ISNUMBER(V977)),IF(V977&lt;&gt;0,AK977/ABS(V977),""),"")</f>
        <v/>
      </c>
      <c r="AM977" s="8" t="str">
        <f>IF(ISNUMBER(AK977),IF(AK977&gt;1,1,0),"")</f>
        <v/>
      </c>
      <c r="AN977" s="8" t="str">
        <f>IF(ISNUMBER(AK977),IF(AK977&gt;0.05*ABS(V977),1,0),"")</f>
        <v/>
      </c>
      <c r="AO977" s="10"/>
      <c r="AP977" s="10"/>
      <c r="AQ977" s="8" t="s">
        <v>207</v>
      </c>
      <c r="AR977" s="8">
        <v>0</v>
      </c>
      <c r="AS977" s="10"/>
      <c r="AT977" s="10"/>
      <c r="AU977" s="8" t="s">
        <v>207</v>
      </c>
      <c r="AV977" s="10">
        <v>37.795000000000002</v>
      </c>
      <c r="AW977" s="11" t="str">
        <f>IF(AND(ISNUMBER(AV977),ISNUMBER(AT977)),IF(AT977&lt;&gt;0,AV977/ABS(AT977),""),"")</f>
        <v/>
      </c>
      <c r="AX977" s="8">
        <v>1</v>
      </c>
      <c r="AY977" s="8">
        <v>0</v>
      </c>
      <c r="AZ977" s="8" t="s">
        <v>643</v>
      </c>
      <c r="BA977" s="8">
        <v>0</v>
      </c>
    </row>
    <row r="978" spans="1:53" x14ac:dyDescent="0.2">
      <c r="A978" s="8" t="s">
        <v>533</v>
      </c>
      <c r="B978" s="8" t="s">
        <v>82</v>
      </c>
      <c r="C978" s="8" t="s">
        <v>203</v>
      </c>
      <c r="D978" s="8">
        <v>1</v>
      </c>
      <c r="E978" s="8">
        <v>0</v>
      </c>
      <c r="F978" s="8">
        <f>SUM(G978:M978)</f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1</v>
      </c>
      <c r="Q978" s="8">
        <v>0</v>
      </c>
      <c r="R978" s="8">
        <v>1</v>
      </c>
      <c r="S978" s="8">
        <v>0</v>
      </c>
      <c r="T978" s="10">
        <v>-18.387</v>
      </c>
      <c r="U978" s="10">
        <v>-80.953000000000003</v>
      </c>
      <c r="V978" s="10">
        <v>-46.661999999999999</v>
      </c>
      <c r="W978" s="10">
        <f>IF(RIGHT(C978,2)="12",IF(ISNUMBER(T978),T978,""),IF(COUNT(T978,U978,V978)=3,T978+U978-V978,""))</f>
        <v>-52.678000000000004</v>
      </c>
      <c r="X978" s="10">
        <v>-52.677999999999997</v>
      </c>
      <c r="Y978" s="10">
        <v>-113.255</v>
      </c>
      <c r="Z978" s="10">
        <v>15.859</v>
      </c>
      <c r="AA978" s="10">
        <v>63.104999999999997</v>
      </c>
      <c r="AB978" s="10">
        <v>-18.387</v>
      </c>
      <c r="AC978" s="8">
        <v>0</v>
      </c>
      <c r="AD978" s="8">
        <v>0</v>
      </c>
      <c r="AE978" s="8">
        <v>0</v>
      </c>
      <c r="AF978" s="10">
        <v>0</v>
      </c>
      <c r="AG978" s="8">
        <f>COUNTIF(Y978:AB978,"&gt;0")</f>
        <v>2</v>
      </c>
      <c r="AH978" s="10">
        <v>0</v>
      </c>
      <c r="AI978" s="10">
        <v>78.963999999999999</v>
      </c>
      <c r="AJ978" s="8" t="str">
        <f>IF(ISNUMBER(X978),IF(X978&gt;0,"+",IF(X978&lt;0,"−","0")),IF(ISNUMBER(W978),IF(W978&gt;0,"+",IF(W978&lt;0,"−","0")),"yok"))</f>
        <v>−</v>
      </c>
      <c r="AK978" s="10">
        <f>IF(AND(RIGHT(C978,2)&lt;&gt;"12",ISNUMBER(U978),ISNUMBER(V978)),U978-V978,"")</f>
        <v>-34.291000000000004</v>
      </c>
      <c r="AL978" s="11">
        <f>IF(AND(ISNUMBER(AK978),ISNUMBER(V978)),IF(V978&lt;&gt;0,AK978/ABS(V978),""),"")</f>
        <v>-0.73488063092023503</v>
      </c>
      <c r="AM978" s="8">
        <f>IF(ISNUMBER(AK978),IF(AK978&gt;1,1,0),"")</f>
        <v>0</v>
      </c>
      <c r="AN978" s="8">
        <f>IF(ISNUMBER(AK978),IF(AK978&gt;0.05*ABS(V978),1,0),"")</f>
        <v>0</v>
      </c>
      <c r="AO978" s="10">
        <v>-52.68</v>
      </c>
      <c r="AP978" s="10">
        <v>52.68</v>
      </c>
      <c r="AQ978" s="8" t="s">
        <v>204</v>
      </c>
      <c r="AR978" s="8">
        <v>0</v>
      </c>
      <c r="AS978" s="10">
        <v>10719.088</v>
      </c>
      <c r="AT978" s="10">
        <v>4307.6949999999997</v>
      </c>
      <c r="AU978" s="8" t="s">
        <v>204</v>
      </c>
      <c r="AV978" s="10">
        <v>63.104999999999997</v>
      </c>
      <c r="AW978" s="11">
        <f>IF(AND(ISNUMBER(AV978),ISNUMBER(AT978)),IF(AT978&lt;&gt;0,AV978/ABS(AT978),""),"")</f>
        <v>1.4649365844146348E-2</v>
      </c>
      <c r="AX978" s="8">
        <v>0</v>
      </c>
      <c r="AY978" s="8">
        <v>0</v>
      </c>
      <c r="AZ978" s="10"/>
      <c r="BA978" s="8">
        <v>0</v>
      </c>
    </row>
    <row r="979" spans="1:53" x14ac:dyDescent="0.2">
      <c r="A979" s="8" t="s">
        <v>534</v>
      </c>
      <c r="B979" s="8" t="s">
        <v>82</v>
      </c>
      <c r="C979" s="8" t="s">
        <v>203</v>
      </c>
      <c r="D979" s="8">
        <v>1</v>
      </c>
      <c r="E979" s="8">
        <v>0</v>
      </c>
      <c r="F979" s="8">
        <f>SUM(G979:M979)</f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1</v>
      </c>
      <c r="P979" s="8">
        <v>1</v>
      </c>
      <c r="Q979" s="8">
        <v>0</v>
      </c>
      <c r="R979" s="8">
        <v>1</v>
      </c>
      <c r="S979" s="8">
        <v>0</v>
      </c>
      <c r="T979" s="10">
        <v>32.56</v>
      </c>
      <c r="U979" s="10">
        <v>20.178999999999998</v>
      </c>
      <c r="V979" s="10"/>
      <c r="W979" s="10" t="str">
        <f>IF(RIGHT(C979,2)="12",IF(ISNUMBER(T979),T979,""),IF(COUNT(T979,U979,V979)=3,T979+U979-V979,""))</f>
        <v/>
      </c>
      <c r="X979" s="10"/>
      <c r="Y979" s="10"/>
      <c r="Z979" s="10">
        <v>-10.593999999999999</v>
      </c>
      <c r="AA979" s="10">
        <v>49.292000000000002</v>
      </c>
      <c r="AB979" s="10">
        <v>32.56</v>
      </c>
      <c r="AC979" s="8">
        <v>1</v>
      </c>
      <c r="AD979" s="8">
        <v>1</v>
      </c>
      <c r="AE979" s="8">
        <v>0</v>
      </c>
      <c r="AF979" s="10">
        <v>32.56</v>
      </c>
      <c r="AG979" s="8">
        <f>COUNTIF(Y979:AB979,"&gt;0")</f>
        <v>2</v>
      </c>
      <c r="AH979" s="10">
        <v>0</v>
      </c>
      <c r="AI979" s="10">
        <v>49.292000000000002</v>
      </c>
      <c r="AJ979" s="8" t="str">
        <f>IF(ISNUMBER(X979),IF(X979&gt;0,"+",IF(X979&lt;0,"−","0")),IF(ISNUMBER(W979),IF(W979&gt;0,"+",IF(W979&lt;0,"−","0")),"yok"))</f>
        <v>yok</v>
      </c>
      <c r="AK979" s="10" t="str">
        <f>IF(AND(RIGHT(C979,2)&lt;&gt;"12",ISNUMBER(U979),ISNUMBER(V979)),U979-V979,"")</f>
        <v/>
      </c>
      <c r="AL979" s="11" t="str">
        <f>IF(AND(ISNUMBER(AK979),ISNUMBER(V979)),IF(V979&lt;&gt;0,AK979/ABS(V979),""),"")</f>
        <v/>
      </c>
      <c r="AM979" s="8" t="str">
        <f>IF(ISNUMBER(AK979),IF(AK979&gt;1,1,0),"")</f>
        <v/>
      </c>
      <c r="AN979" s="8" t="str">
        <f>IF(ISNUMBER(AK979),IF(AK979&gt;0.05*ABS(V979),1,0),"")</f>
        <v/>
      </c>
      <c r="AO979" s="10">
        <v>-9.657</v>
      </c>
      <c r="AP979" s="10">
        <v>9.657</v>
      </c>
      <c r="AQ979" s="8" t="s">
        <v>209</v>
      </c>
      <c r="AR979" s="8">
        <v>0</v>
      </c>
      <c r="AS979" s="10">
        <v>1082.5840000000001</v>
      </c>
      <c r="AT979" s="10">
        <v>-672.57299999999998</v>
      </c>
      <c r="AU979" s="8" t="s">
        <v>209</v>
      </c>
      <c r="AV979" s="10">
        <v>32.56</v>
      </c>
      <c r="AW979" s="11">
        <f>IF(AND(ISNUMBER(AV979),ISNUMBER(AT979)),IF(AT979&lt;&gt;0,AV979/ABS(AT979),""),"")</f>
        <v>4.8411101843219999E-2</v>
      </c>
      <c r="AX979" s="8">
        <v>1</v>
      </c>
      <c r="AY979" s="8">
        <v>0</v>
      </c>
      <c r="AZ979" s="8" t="s">
        <v>644</v>
      </c>
      <c r="BA979" s="8">
        <v>0</v>
      </c>
    </row>
    <row r="980" spans="1:53" x14ac:dyDescent="0.2">
      <c r="A980" s="8" t="s">
        <v>534</v>
      </c>
      <c r="B980" s="8" t="s">
        <v>83</v>
      </c>
      <c r="C980" s="8" t="s">
        <v>210</v>
      </c>
      <c r="D980" s="8">
        <v>1</v>
      </c>
      <c r="E980" s="8">
        <v>0</v>
      </c>
      <c r="F980" s="8">
        <f>SUM(G980:M980)</f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1</v>
      </c>
      <c r="Q980" s="8">
        <v>0</v>
      </c>
      <c r="R980" s="8">
        <v>0</v>
      </c>
      <c r="S980" s="8">
        <v>1</v>
      </c>
      <c r="T980" s="10">
        <v>-542.47400000000005</v>
      </c>
      <c r="U980" s="10">
        <v>-1736.3689999999999</v>
      </c>
      <c r="V980" s="10">
        <v>-630.197</v>
      </c>
      <c r="W980" s="10">
        <f>IF(RIGHT(C980,2)="12",IF(ISNUMBER(T980),T980,""),IF(COUNT(T980,U980,V980)=3,T980+U980-V980,""))</f>
        <v>-1648.6459999999997</v>
      </c>
      <c r="X980" s="10">
        <v>-1648.646</v>
      </c>
      <c r="Y980" s="10">
        <v>-491.34699999999998</v>
      </c>
      <c r="Z980" s="10">
        <v>-614.82500000000005</v>
      </c>
      <c r="AA980" s="10">
        <v>-582.25199999999995</v>
      </c>
      <c r="AB980" s="10">
        <v>39.777999999999999</v>
      </c>
      <c r="AC980" s="8">
        <v>0</v>
      </c>
      <c r="AD980" s="8">
        <v>0</v>
      </c>
      <c r="AE980" s="8">
        <v>0</v>
      </c>
      <c r="AF980" s="10">
        <v>0</v>
      </c>
      <c r="AG980" s="8">
        <f>COUNTIF(Y980:AB980,"&gt;0")</f>
        <v>1</v>
      </c>
      <c r="AH980" s="10">
        <v>39.777999999999999</v>
      </c>
      <c r="AI980" s="10">
        <v>0</v>
      </c>
      <c r="AJ980" s="8" t="str">
        <f>IF(ISNUMBER(X980),IF(X980&gt;0,"+",IF(X980&lt;0,"−","0")),IF(ISNUMBER(W980),IF(W980&gt;0,"+",IF(W980&lt;0,"−","0")),"yok"))</f>
        <v>−</v>
      </c>
      <c r="AK980" s="10">
        <f>IF(AND(RIGHT(C980,2)&lt;&gt;"12",ISNUMBER(U980),ISNUMBER(V980)),U980-V980,"")</f>
        <v>-1106.172</v>
      </c>
      <c r="AL980" s="11">
        <f>IF(AND(ISNUMBER(AK980),ISNUMBER(V980)),IF(V980&lt;&gt;0,AK980/ABS(V980),""),"")</f>
        <v>-1.7552796982530861</v>
      </c>
      <c r="AM980" s="8">
        <f>IF(ISNUMBER(AK980),IF(AK980&gt;1,1,0),"")</f>
        <v>0</v>
      </c>
      <c r="AN980" s="8">
        <f>IF(ISNUMBER(AK980),IF(AK980&gt;0.05*ABS(V980),1,0),"")</f>
        <v>0</v>
      </c>
      <c r="AO980" s="10">
        <v>-1648.6469999999999</v>
      </c>
      <c r="AP980" s="10">
        <v>1648.6469999999999</v>
      </c>
      <c r="AQ980" s="8" t="s">
        <v>204</v>
      </c>
      <c r="AR980" s="8">
        <v>0</v>
      </c>
      <c r="AS980" s="10">
        <v>2323.6559999999999</v>
      </c>
      <c r="AT980" s="10">
        <v>675.00900000000001</v>
      </c>
      <c r="AU980" s="8" t="s">
        <v>204</v>
      </c>
      <c r="AV980" s="10">
        <v>39.777999999999999</v>
      </c>
      <c r="AW980" s="11">
        <f>IF(AND(ISNUMBER(AV980),ISNUMBER(AT980)),IF(AT980&lt;&gt;0,AV980/ABS(AT980),""),"")</f>
        <v>5.8929584642575132E-2</v>
      </c>
      <c r="AX980" s="8">
        <v>0</v>
      </c>
      <c r="AY980" s="8">
        <v>0</v>
      </c>
      <c r="AZ980" s="10"/>
      <c r="BA980" s="8">
        <v>0</v>
      </c>
    </row>
    <row r="981" spans="1:53" x14ac:dyDescent="0.2">
      <c r="A981" s="8" t="s">
        <v>539</v>
      </c>
      <c r="B981" s="8" t="s">
        <v>82</v>
      </c>
      <c r="C981" s="8" t="s">
        <v>210</v>
      </c>
      <c r="D981" s="8">
        <v>1</v>
      </c>
      <c r="E981" s="8">
        <v>0</v>
      </c>
      <c r="F981" s="8">
        <f>SUM(G981:M981)</f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1</v>
      </c>
      <c r="Q981" s="8">
        <v>0</v>
      </c>
      <c r="R981" s="8">
        <v>0</v>
      </c>
      <c r="S981" s="8">
        <v>1</v>
      </c>
      <c r="T981" s="10">
        <v>0</v>
      </c>
      <c r="U981" s="10">
        <v>-83.215999999999994</v>
      </c>
      <c r="V981" s="10">
        <v>-53.844999999999999</v>
      </c>
      <c r="W981" s="10">
        <f>IF(RIGHT(C981,2)="12",IF(ISNUMBER(T981),T981,""),IF(COUNT(T981,U981,V981)=3,T981+U981-V981,""))</f>
        <v>-29.370999999999995</v>
      </c>
      <c r="X981" s="10">
        <v>-29.37</v>
      </c>
      <c r="Y981" s="10"/>
      <c r="Z981" s="10"/>
      <c r="AA981" s="10">
        <v>-8.4139999999999997</v>
      </c>
      <c r="AB981" s="10">
        <v>8.4139999999999997</v>
      </c>
      <c r="AC981" s="8">
        <v>0</v>
      </c>
      <c r="AD981" s="8">
        <v>0</v>
      </c>
      <c r="AE981" s="8">
        <v>0</v>
      </c>
      <c r="AF981" s="10">
        <v>0</v>
      </c>
      <c r="AG981" s="8">
        <f>COUNTIF(Y981:AB981,"&gt;0")</f>
        <v>1</v>
      </c>
      <c r="AH981" s="10">
        <v>8.4139999999999997</v>
      </c>
      <c r="AI981" s="10">
        <v>0</v>
      </c>
      <c r="AJ981" s="8" t="str">
        <f>IF(ISNUMBER(X981),IF(X981&gt;0,"+",IF(X981&lt;0,"−","0")),IF(ISNUMBER(W981),IF(W981&gt;0,"+",IF(W981&lt;0,"−","0")),"yok"))</f>
        <v>−</v>
      </c>
      <c r="AK981" s="10">
        <f>IF(AND(RIGHT(C981,2)&lt;&gt;"12",ISNUMBER(U981),ISNUMBER(V981)),U981-V981,"")</f>
        <v>-29.370999999999995</v>
      </c>
      <c r="AL981" s="11">
        <f>IF(AND(ISNUMBER(AK981),ISNUMBER(V981)),IF(V981&lt;&gt;0,AK981/ABS(V981),""),"")</f>
        <v>-0.5454731172810845</v>
      </c>
      <c r="AM981" s="8">
        <f>IF(ISNUMBER(AK981),IF(AK981&gt;1,1,0),"")</f>
        <v>0</v>
      </c>
      <c r="AN981" s="8">
        <f>IF(ISNUMBER(AK981),IF(AK981&gt;0.05*ABS(V981),1,0),"")</f>
        <v>0</v>
      </c>
      <c r="AO981" s="10"/>
      <c r="AP981" s="10"/>
      <c r="AQ981" s="8" t="s">
        <v>207</v>
      </c>
      <c r="AR981" s="8">
        <v>0</v>
      </c>
      <c r="AS981" s="10">
        <v>-525.11099999999999</v>
      </c>
      <c r="AT981" s="10"/>
      <c r="AU981" s="8" t="s">
        <v>207</v>
      </c>
      <c r="AV981" s="10">
        <v>8.4139999999999997</v>
      </c>
      <c r="AW981" s="11" t="str">
        <f>IF(AND(ISNUMBER(AV981),ISNUMBER(AT981)),IF(AT981&lt;&gt;0,AV981/ABS(AT981),""),"")</f>
        <v/>
      </c>
      <c r="AX981" s="8">
        <v>0</v>
      </c>
      <c r="AY981" s="8">
        <v>0</v>
      </c>
      <c r="AZ981" s="10"/>
      <c r="BA981" s="8">
        <v>0</v>
      </c>
    </row>
    <row r="982" spans="1:53" x14ac:dyDescent="0.2">
      <c r="A982" s="8" t="s">
        <v>540</v>
      </c>
      <c r="B982" s="8" t="s">
        <v>82</v>
      </c>
      <c r="C982" s="8" t="s">
        <v>210</v>
      </c>
      <c r="D982" s="8">
        <v>1</v>
      </c>
      <c r="E982" s="8">
        <v>0</v>
      </c>
      <c r="F982" s="8">
        <f>SUM(G982:M982)</f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1</v>
      </c>
      <c r="Q982" s="8">
        <v>0</v>
      </c>
      <c r="R982" s="8">
        <v>0</v>
      </c>
      <c r="S982" s="8">
        <v>1</v>
      </c>
      <c r="T982" s="10">
        <v>-24.023</v>
      </c>
      <c r="U982" s="10">
        <v>-33.351999999999997</v>
      </c>
      <c r="V982" s="10">
        <v>-8.8379999999999992</v>
      </c>
      <c r="W982" s="10">
        <f>IF(RIGHT(C982,2)="12",IF(ISNUMBER(T982),T982,""),IF(COUNT(T982,U982,V982)=3,T982+U982-V982,""))</f>
        <v>-48.536999999999999</v>
      </c>
      <c r="X982" s="10">
        <v>-48.536999999999999</v>
      </c>
      <c r="Y982" s="10">
        <v>-11.651</v>
      </c>
      <c r="Z982" s="10">
        <v>-12.862</v>
      </c>
      <c r="AA982" s="10">
        <v>-27.905000000000001</v>
      </c>
      <c r="AB982" s="10">
        <v>3.8820000000000001</v>
      </c>
      <c r="AC982" s="8">
        <v>0</v>
      </c>
      <c r="AD982" s="8">
        <v>0</v>
      </c>
      <c r="AE982" s="8">
        <v>0</v>
      </c>
      <c r="AF982" s="10">
        <v>0</v>
      </c>
      <c r="AG982" s="8">
        <f>COUNTIF(Y982:AB982,"&gt;0")</f>
        <v>1</v>
      </c>
      <c r="AH982" s="10">
        <v>3.8820000000000001</v>
      </c>
      <c r="AI982" s="10">
        <v>0</v>
      </c>
      <c r="AJ982" s="8" t="str">
        <f>IF(ISNUMBER(X982),IF(X982&gt;0,"+",IF(X982&lt;0,"−","0")),IF(ISNUMBER(W982),IF(W982&gt;0,"+",IF(W982&lt;0,"−","0")),"yok"))</f>
        <v>−</v>
      </c>
      <c r="AK982" s="10">
        <f>IF(AND(RIGHT(C982,2)&lt;&gt;"12",ISNUMBER(U982),ISNUMBER(V982)),U982-V982,"")</f>
        <v>-24.513999999999996</v>
      </c>
      <c r="AL982" s="11">
        <f>IF(AND(ISNUMBER(AK982),ISNUMBER(V982)),IF(V982&lt;&gt;0,AK982/ABS(V982),""),"")</f>
        <v>-2.7737044580221766</v>
      </c>
      <c r="AM982" s="8">
        <f>IF(ISNUMBER(AK982),IF(AK982&gt;1,1,0),"")</f>
        <v>0</v>
      </c>
      <c r="AN982" s="8">
        <f>IF(ISNUMBER(AK982),IF(AK982&gt;0.05*ABS(V982),1,0),"")</f>
        <v>0</v>
      </c>
      <c r="AO982" s="10">
        <v>-48.536999999999999</v>
      </c>
      <c r="AP982" s="10">
        <v>48.536999999999999</v>
      </c>
      <c r="AQ982" s="8" t="s">
        <v>204</v>
      </c>
      <c r="AR982" s="8">
        <v>0</v>
      </c>
      <c r="AS982" s="10">
        <v>781.12300000000005</v>
      </c>
      <c r="AT982" s="10">
        <v>482.803</v>
      </c>
      <c r="AU982" s="8" t="s">
        <v>204</v>
      </c>
      <c r="AV982" s="10">
        <v>3.8820000000000001</v>
      </c>
      <c r="AW982" s="11">
        <f>IF(AND(ISNUMBER(AV982),ISNUMBER(AT982)),IF(AT982&lt;&gt;0,AV982/ABS(AT982),""),"")</f>
        <v>8.0405465583271024E-3</v>
      </c>
      <c r="AX982" s="8">
        <v>0</v>
      </c>
      <c r="AY982" s="8">
        <v>0</v>
      </c>
      <c r="AZ982" s="10"/>
      <c r="BA982" s="8">
        <v>0</v>
      </c>
    </row>
    <row r="983" spans="1:53" x14ac:dyDescent="0.2">
      <c r="A983" s="8" t="s">
        <v>645</v>
      </c>
      <c r="B983" s="8" t="s">
        <v>82</v>
      </c>
      <c r="C983" s="8" t="s">
        <v>290</v>
      </c>
      <c r="D983" s="8">
        <v>1</v>
      </c>
      <c r="E983" s="8">
        <v>0</v>
      </c>
      <c r="F983" s="8">
        <f>SUM(G983:M983)</f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1</v>
      </c>
      <c r="Q983" s="8">
        <v>0</v>
      </c>
      <c r="R983" s="8">
        <v>0</v>
      </c>
      <c r="S983" s="8">
        <v>1</v>
      </c>
      <c r="T983" s="10">
        <v>-17.061</v>
      </c>
      <c r="U983" s="10"/>
      <c r="V983" s="10"/>
      <c r="W983" s="10">
        <f>IF(RIGHT(C983,2)="12",IF(ISNUMBER(T983),T983,""),IF(COUNT(T983,U983,V983)=3,T983+U983-V983,""))</f>
        <v>-17.061</v>
      </c>
      <c r="X983" s="10">
        <v>-17.061</v>
      </c>
      <c r="Y983" s="10">
        <v>-7.9630000000000001</v>
      </c>
      <c r="Z983" s="10">
        <v>-3.7730000000000001</v>
      </c>
      <c r="AA983" s="10">
        <v>-12.756</v>
      </c>
      <c r="AB983" s="10">
        <v>7.4320000000000004</v>
      </c>
      <c r="AC983" s="8">
        <v>0</v>
      </c>
      <c r="AD983" s="8">
        <v>0</v>
      </c>
      <c r="AE983" s="8">
        <v>0</v>
      </c>
      <c r="AF983" s="10">
        <v>0</v>
      </c>
      <c r="AG983" s="8">
        <f>COUNTIF(Y983:AB983,"&gt;0")</f>
        <v>1</v>
      </c>
      <c r="AH983" s="10">
        <v>7.4320000000000004</v>
      </c>
      <c r="AI983" s="10">
        <v>0</v>
      </c>
      <c r="AJ983" s="8" t="str">
        <f>IF(ISNUMBER(X983),IF(X983&gt;0,"+",IF(X983&lt;0,"−","0")),IF(ISNUMBER(W983),IF(W983&gt;0,"+",IF(W983&lt;0,"−","0")),"yok"))</f>
        <v>−</v>
      </c>
      <c r="AK983" s="10" t="str">
        <f>IF(AND(RIGHT(C983,2)&lt;&gt;"12",ISNUMBER(U983),ISNUMBER(V983)),U983-V983,"")</f>
        <v/>
      </c>
      <c r="AL983" s="11" t="str">
        <f>IF(AND(ISNUMBER(AK983),ISNUMBER(V983)),IF(V983&lt;&gt;0,AK983/ABS(V983),""),"")</f>
        <v/>
      </c>
      <c r="AM983" s="8" t="str">
        <f>IF(ISNUMBER(AK983),IF(AK983&gt;1,1,0),"")</f>
        <v/>
      </c>
      <c r="AN983" s="8" t="str">
        <f>IF(ISNUMBER(AK983),IF(AK983&gt;0.05*ABS(V983),1,0),"")</f>
        <v/>
      </c>
      <c r="AO983" s="10">
        <v>-17.061</v>
      </c>
      <c r="AP983" s="10">
        <v>17.061</v>
      </c>
      <c r="AQ983" s="8" t="s">
        <v>204</v>
      </c>
      <c r="AR983" s="8">
        <v>0</v>
      </c>
      <c r="AS983" s="10">
        <v>2042.2470000000001</v>
      </c>
      <c r="AT983" s="10">
        <v>24.439</v>
      </c>
      <c r="AU983" s="8" t="s">
        <v>204</v>
      </c>
      <c r="AV983" s="10">
        <v>7.4320000000000004</v>
      </c>
      <c r="AW983" s="11">
        <f>IF(AND(ISNUMBER(AV983),ISNUMBER(AT983)),IF(AT983&lt;&gt;0,AV983/ABS(AT983),""),"")</f>
        <v>0.30410409591227139</v>
      </c>
      <c r="AX983" s="8">
        <v>0</v>
      </c>
      <c r="AY983" s="8">
        <v>0</v>
      </c>
      <c r="AZ983" s="10"/>
      <c r="BA983" s="8">
        <v>0</v>
      </c>
    </row>
    <row r="984" spans="1:53" x14ac:dyDescent="0.2">
      <c r="A984" s="8" t="s">
        <v>645</v>
      </c>
      <c r="B984" s="8" t="s">
        <v>82</v>
      </c>
      <c r="C984" s="8" t="s">
        <v>208</v>
      </c>
      <c r="D984" s="8">
        <v>1</v>
      </c>
      <c r="E984" s="8">
        <v>0</v>
      </c>
      <c r="F984" s="8">
        <f>SUM(G984:M984)</f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1</v>
      </c>
      <c r="Q984" s="8">
        <v>0</v>
      </c>
      <c r="R984" s="8">
        <v>1</v>
      </c>
      <c r="S984" s="8">
        <v>0</v>
      </c>
      <c r="T984" s="10">
        <v>-8.3379999999999992</v>
      </c>
      <c r="U984" s="10">
        <v>-17.061</v>
      </c>
      <c r="V984" s="10">
        <v>-7.9630000000000001</v>
      </c>
      <c r="W984" s="10">
        <f>IF(RIGHT(C984,2)="12",IF(ISNUMBER(T984),T984,""),IF(COUNT(T984,U984,V984)=3,T984+U984-V984,""))</f>
        <v>-17.436</v>
      </c>
      <c r="X984" s="10">
        <v>-17.434999999999999</v>
      </c>
      <c r="Y984" s="10">
        <v>-3.7730000000000001</v>
      </c>
      <c r="Z984" s="10">
        <v>-12.756</v>
      </c>
      <c r="AA984" s="10">
        <v>7.4320000000000004</v>
      </c>
      <c r="AB984" s="10">
        <v>-8.3379999999999992</v>
      </c>
      <c r="AC984" s="8">
        <v>0</v>
      </c>
      <c r="AD984" s="8">
        <v>0</v>
      </c>
      <c r="AE984" s="8">
        <v>0</v>
      </c>
      <c r="AF984" s="10">
        <v>0</v>
      </c>
      <c r="AG984" s="8">
        <f>COUNTIF(Y984:AB984,"&gt;0")</f>
        <v>1</v>
      </c>
      <c r="AH984" s="10">
        <v>0</v>
      </c>
      <c r="AI984" s="10">
        <v>7.4320000000000004</v>
      </c>
      <c r="AJ984" s="8" t="str">
        <f>IF(ISNUMBER(X984),IF(X984&gt;0,"+",IF(X984&lt;0,"−","0")),IF(ISNUMBER(W984),IF(W984&gt;0,"+",IF(W984&lt;0,"−","0")),"yok"))</f>
        <v>−</v>
      </c>
      <c r="AK984" s="10">
        <f>IF(AND(RIGHT(C984,2)&lt;&gt;"12",ISNUMBER(U984),ISNUMBER(V984)),U984-V984,"")</f>
        <v>-9.097999999999999</v>
      </c>
      <c r="AL984" s="11">
        <f>IF(AND(ISNUMBER(AK984),ISNUMBER(V984)),IF(V984&lt;&gt;0,AK984/ABS(V984),""),"")</f>
        <v>-1.142534220771066</v>
      </c>
      <c r="AM984" s="8">
        <f>IF(ISNUMBER(AK984),IF(AK984&gt;1,1,0),"")</f>
        <v>0</v>
      </c>
      <c r="AN984" s="8">
        <f>IF(ISNUMBER(AK984),IF(AK984&gt;0.05*ABS(V984),1,0),"")</f>
        <v>0</v>
      </c>
      <c r="AO984" s="10">
        <v>-17.434999999999999</v>
      </c>
      <c r="AP984" s="10">
        <v>17.434999999999999</v>
      </c>
      <c r="AQ984" s="8" t="s">
        <v>204</v>
      </c>
      <c r="AR984" s="8">
        <v>0</v>
      </c>
      <c r="AS984" s="10">
        <v>-1895.0139999999999</v>
      </c>
      <c r="AT984" s="10">
        <v>-3534.2280000000001</v>
      </c>
      <c r="AU984" s="8" t="s">
        <v>204</v>
      </c>
      <c r="AV984" s="10">
        <v>7.4320000000000004</v>
      </c>
      <c r="AW984" s="11">
        <f>IF(AND(ISNUMBER(AV984),ISNUMBER(AT984)),IF(AT984&lt;&gt;0,AV984/ABS(AT984),""),"")</f>
        <v>2.1028637654390155E-3</v>
      </c>
      <c r="AX984" s="8">
        <v>0</v>
      </c>
      <c r="AY984" s="8">
        <v>0</v>
      </c>
      <c r="AZ984" s="10"/>
      <c r="BA984" s="8">
        <v>0</v>
      </c>
    </row>
    <row r="985" spans="1:53" x14ac:dyDescent="0.2">
      <c r="A985" s="8" t="s">
        <v>645</v>
      </c>
      <c r="B985" s="8" t="s">
        <v>82</v>
      </c>
      <c r="C985" s="8" t="s">
        <v>210</v>
      </c>
      <c r="D985" s="8">
        <v>1</v>
      </c>
      <c r="E985" s="8">
        <v>0</v>
      </c>
      <c r="F985" s="8">
        <f>SUM(G985:M985)</f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1</v>
      </c>
      <c r="Q985" s="8">
        <v>0</v>
      </c>
      <c r="R985" s="8">
        <v>1</v>
      </c>
      <c r="S985" s="8">
        <v>0</v>
      </c>
      <c r="T985" s="10">
        <v>-14.724</v>
      </c>
      <c r="U985" s="10">
        <v>-17.061</v>
      </c>
      <c r="V985" s="10">
        <v>-11.737</v>
      </c>
      <c r="W985" s="10">
        <f>IF(RIGHT(C985,2)="12",IF(ISNUMBER(T985),T985,""),IF(COUNT(T985,U985,V985)=3,T985+U985-V985,""))</f>
        <v>-20.048000000000002</v>
      </c>
      <c r="X985" s="10">
        <v>-20.047999999999998</v>
      </c>
      <c r="Y985" s="10">
        <v>-12.756</v>
      </c>
      <c r="Z985" s="10">
        <v>7.4320000000000004</v>
      </c>
      <c r="AA985" s="10">
        <v>-8.3379999999999992</v>
      </c>
      <c r="AB985" s="10">
        <v>-6.3860000000000001</v>
      </c>
      <c r="AC985" s="8">
        <v>0</v>
      </c>
      <c r="AD985" s="8">
        <v>0</v>
      </c>
      <c r="AE985" s="8">
        <v>0</v>
      </c>
      <c r="AF985" s="10">
        <v>0</v>
      </c>
      <c r="AG985" s="8">
        <f>COUNTIF(Y985:AB985,"&gt;0")</f>
        <v>1</v>
      </c>
      <c r="AH985" s="10">
        <v>0</v>
      </c>
      <c r="AI985" s="10">
        <v>7.4320000000000004</v>
      </c>
      <c r="AJ985" s="8" t="str">
        <f>IF(ISNUMBER(X985),IF(X985&gt;0,"+",IF(X985&lt;0,"−","0")),IF(ISNUMBER(W985),IF(W985&gt;0,"+",IF(W985&lt;0,"−","0")),"yok"))</f>
        <v>−</v>
      </c>
      <c r="AK985" s="10">
        <f>IF(AND(RIGHT(C985,2)&lt;&gt;"12",ISNUMBER(U985),ISNUMBER(V985)),U985-V985,"")</f>
        <v>-5.3239999999999998</v>
      </c>
      <c r="AL985" s="11">
        <f>IF(AND(ISNUMBER(AK985),ISNUMBER(V985)),IF(V985&lt;&gt;0,AK985/ABS(V985),""),"")</f>
        <v>-0.45360824742268041</v>
      </c>
      <c r="AM985" s="8">
        <f>IF(ISNUMBER(AK985),IF(AK985&gt;1,1,0),"")</f>
        <v>0</v>
      </c>
      <c r="AN985" s="8">
        <f>IF(ISNUMBER(AK985),IF(AK985&gt;0.05*ABS(V985),1,0),"")</f>
        <v>0</v>
      </c>
      <c r="AO985" s="10">
        <v>-20.048999999999999</v>
      </c>
      <c r="AP985" s="10">
        <v>20.048999999999999</v>
      </c>
      <c r="AQ985" s="8" t="s">
        <v>204</v>
      </c>
      <c r="AR985" s="8">
        <v>0</v>
      </c>
      <c r="AS985" s="10">
        <v>-2245.2730000000001</v>
      </c>
      <c r="AT985" s="10">
        <v>-3239.47</v>
      </c>
      <c r="AU985" s="8" t="s">
        <v>204</v>
      </c>
      <c r="AV985" s="10">
        <v>7.4320000000000004</v>
      </c>
      <c r="AW985" s="11">
        <f>IF(AND(ISNUMBER(AV985),ISNUMBER(AT985)),IF(AT985&lt;&gt;0,AV985/ABS(AT985),""),"")</f>
        <v>2.2942024466965278E-3</v>
      </c>
      <c r="AX985" s="8">
        <v>0</v>
      </c>
      <c r="AY985" s="8">
        <v>0</v>
      </c>
      <c r="AZ985" s="10"/>
      <c r="BA985" s="8">
        <v>0</v>
      </c>
    </row>
    <row r="986" spans="1:53" x14ac:dyDescent="0.2">
      <c r="A986" s="8" t="s">
        <v>542</v>
      </c>
      <c r="B986" s="8" t="s">
        <v>82</v>
      </c>
      <c r="C986" s="8" t="s">
        <v>203</v>
      </c>
      <c r="D986" s="8">
        <v>1</v>
      </c>
      <c r="E986" s="8">
        <v>0</v>
      </c>
      <c r="F986" s="8">
        <f>SUM(G986:M986)</f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1</v>
      </c>
      <c r="Q986" s="8">
        <v>0</v>
      </c>
      <c r="R986" s="8">
        <v>1</v>
      </c>
      <c r="S986" s="8">
        <v>0</v>
      </c>
      <c r="T986" s="10">
        <v>-7.2649999999999997</v>
      </c>
      <c r="U986" s="10">
        <v>-48.031999999999996</v>
      </c>
      <c r="V986" s="10">
        <v>-11.612</v>
      </c>
      <c r="W986" s="10">
        <f>IF(RIGHT(C986,2)="12",IF(ISNUMBER(T986),T986,""),IF(COUNT(T986,U986,V986)=3,T986+U986-V986,""))</f>
        <v>-43.684999999999995</v>
      </c>
      <c r="X986" s="10">
        <v>-43.685000000000002</v>
      </c>
      <c r="Y986" s="10">
        <v>-16.876999999999999</v>
      </c>
      <c r="Z986" s="10">
        <v>-22.989000000000001</v>
      </c>
      <c r="AA986" s="10">
        <v>3.4470000000000001</v>
      </c>
      <c r="AB986" s="10">
        <v>-7.2649999999999997</v>
      </c>
      <c r="AC986" s="8">
        <v>0</v>
      </c>
      <c r="AD986" s="8">
        <v>0</v>
      </c>
      <c r="AE986" s="8">
        <v>0</v>
      </c>
      <c r="AF986" s="10">
        <v>0</v>
      </c>
      <c r="AG986" s="8">
        <f>COUNTIF(Y986:AB986,"&gt;0")</f>
        <v>1</v>
      </c>
      <c r="AH986" s="10">
        <v>0</v>
      </c>
      <c r="AI986" s="10">
        <v>3.4470000000000001</v>
      </c>
      <c r="AJ986" s="8" t="str">
        <f>IF(ISNUMBER(X986),IF(X986&gt;0,"+",IF(X986&lt;0,"−","0")),IF(ISNUMBER(W986),IF(W986&gt;0,"+",IF(W986&lt;0,"−","0")),"yok"))</f>
        <v>−</v>
      </c>
      <c r="AK986" s="10">
        <f>IF(AND(RIGHT(C986,2)&lt;&gt;"12",ISNUMBER(U986),ISNUMBER(V986)),U986-V986,"")</f>
        <v>-36.419999999999995</v>
      </c>
      <c r="AL986" s="11">
        <f>IF(AND(ISNUMBER(AK986),ISNUMBER(V986)),IF(V986&lt;&gt;0,AK986/ABS(V986),""),"")</f>
        <v>-3.1364106097140882</v>
      </c>
      <c r="AM986" s="8">
        <f>IF(ISNUMBER(AK986),IF(AK986&gt;1,1,0),"")</f>
        <v>0</v>
      </c>
      <c r="AN986" s="8">
        <f>IF(ISNUMBER(AK986),IF(AK986&gt;0.05*ABS(V986),1,0),"")</f>
        <v>0</v>
      </c>
      <c r="AO986" s="10">
        <v>-43.686</v>
      </c>
      <c r="AP986" s="10">
        <v>43.686</v>
      </c>
      <c r="AQ986" s="8" t="s">
        <v>204</v>
      </c>
      <c r="AR986" s="8">
        <v>0</v>
      </c>
      <c r="AS986" s="10">
        <v>-903.76199999999994</v>
      </c>
      <c r="AT986" s="10">
        <v>-1338.8219999999999</v>
      </c>
      <c r="AU986" s="8" t="s">
        <v>204</v>
      </c>
      <c r="AV986" s="10">
        <v>3.4470000000000001</v>
      </c>
      <c r="AW986" s="11">
        <f>IF(AND(ISNUMBER(AV986),ISNUMBER(AT986)),IF(AT986&lt;&gt;0,AV986/ABS(AT986),""),"")</f>
        <v>2.5746514473171194E-3</v>
      </c>
      <c r="AX986" s="8">
        <v>0</v>
      </c>
      <c r="AY986" s="8">
        <v>0</v>
      </c>
      <c r="AZ986" s="10"/>
      <c r="BA986" s="8">
        <v>0</v>
      </c>
    </row>
    <row r="987" spans="1:53" x14ac:dyDescent="0.2">
      <c r="A987" s="8" t="s">
        <v>542</v>
      </c>
      <c r="B987" s="8" t="s">
        <v>82</v>
      </c>
      <c r="C987" s="8" t="s">
        <v>290</v>
      </c>
      <c r="D987" s="8">
        <v>1</v>
      </c>
      <c r="E987" s="8">
        <v>0</v>
      </c>
      <c r="F987" s="8">
        <f>SUM(G987:M987)</f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1</v>
      </c>
      <c r="Q987" s="8">
        <v>0</v>
      </c>
      <c r="R987" s="8">
        <v>0</v>
      </c>
      <c r="S987" s="8">
        <v>1</v>
      </c>
      <c r="T987" s="10">
        <v>-2.0259999999999998</v>
      </c>
      <c r="U987" s="10"/>
      <c r="V987" s="10"/>
      <c r="W987" s="10">
        <f>IF(RIGHT(C987,2)="12",IF(ISNUMBER(T987),T987,""),IF(COUNT(T987,U987,V987)=3,T987+U987-V987,""))</f>
        <v>-2.0259999999999998</v>
      </c>
      <c r="X987" s="10">
        <v>-2.0259999999999998</v>
      </c>
      <c r="Y987" s="10">
        <v>-7.2649999999999997</v>
      </c>
      <c r="Z987" s="10">
        <v>46.305</v>
      </c>
      <c r="AA987" s="10">
        <v>-21.635999999999999</v>
      </c>
      <c r="AB987" s="10">
        <v>-19.428999999999998</v>
      </c>
      <c r="AC987" s="8">
        <v>0</v>
      </c>
      <c r="AD987" s="8">
        <v>0</v>
      </c>
      <c r="AE987" s="8">
        <v>0</v>
      </c>
      <c r="AF987" s="10">
        <v>0</v>
      </c>
      <c r="AG987" s="8">
        <f>COUNTIF(Y987:AB987,"&gt;0")</f>
        <v>1</v>
      </c>
      <c r="AH987" s="10">
        <v>46.305</v>
      </c>
      <c r="AI987" s="10">
        <v>0</v>
      </c>
      <c r="AJ987" s="8" t="str">
        <f>IF(ISNUMBER(X987),IF(X987&gt;0,"+",IF(X987&lt;0,"−","0")),IF(ISNUMBER(W987),IF(W987&gt;0,"+",IF(W987&lt;0,"−","0")),"yok"))</f>
        <v>−</v>
      </c>
      <c r="AK987" s="10" t="str">
        <f>IF(AND(RIGHT(C987,2)&lt;&gt;"12",ISNUMBER(U987),ISNUMBER(V987)),U987-V987,"")</f>
        <v/>
      </c>
      <c r="AL987" s="11" t="str">
        <f>IF(AND(ISNUMBER(AK987),ISNUMBER(V987)),IF(V987&lt;&gt;0,AK987/ABS(V987),""),"")</f>
        <v/>
      </c>
      <c r="AM987" s="8" t="str">
        <f>IF(ISNUMBER(AK987),IF(AK987&gt;1,1,0),"")</f>
        <v/>
      </c>
      <c r="AN987" s="8" t="str">
        <f>IF(ISNUMBER(AK987),IF(AK987&gt;0.05*ABS(V987),1,0),"")</f>
        <v/>
      </c>
      <c r="AO987" s="10">
        <v>-2.0270000000000001</v>
      </c>
      <c r="AP987" s="10">
        <v>2.0270000000000001</v>
      </c>
      <c r="AQ987" s="8" t="s">
        <v>204</v>
      </c>
      <c r="AR987" s="8">
        <v>0</v>
      </c>
      <c r="AS987" s="10">
        <v>173.00200000000001</v>
      </c>
      <c r="AT987" s="10">
        <v>-1157.8109999999999</v>
      </c>
      <c r="AU987" s="8" t="s">
        <v>204</v>
      </c>
      <c r="AV987" s="10">
        <v>46.305</v>
      </c>
      <c r="AW987" s="11">
        <f>IF(AND(ISNUMBER(AV987),ISNUMBER(AT987)),IF(AT987&lt;&gt;0,AV987/ABS(AT987),""),"")</f>
        <v>3.9993574080743749E-2</v>
      </c>
      <c r="AX987" s="8">
        <v>0</v>
      </c>
      <c r="AY987" s="8">
        <v>0</v>
      </c>
      <c r="AZ987" s="10"/>
      <c r="BA987" s="8">
        <v>0</v>
      </c>
    </row>
    <row r="988" spans="1:53" x14ac:dyDescent="0.2">
      <c r="A988" s="8" t="s">
        <v>546</v>
      </c>
      <c r="B988" s="8" t="s">
        <v>83</v>
      </c>
      <c r="C988" s="8" t="s">
        <v>290</v>
      </c>
      <c r="D988" s="8">
        <v>1</v>
      </c>
      <c r="E988" s="8">
        <v>0</v>
      </c>
      <c r="F988" s="8">
        <f>SUM(G988:M988)</f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1</v>
      </c>
      <c r="Q988" s="8">
        <v>0</v>
      </c>
      <c r="R988" s="8">
        <v>0</v>
      </c>
      <c r="S988" s="8">
        <v>1</v>
      </c>
      <c r="T988" s="10">
        <v>0</v>
      </c>
      <c r="U988" s="10"/>
      <c r="V988" s="10"/>
      <c r="W988" s="10">
        <f>IF(RIGHT(C988,2)="12",IF(ISNUMBER(T988),T988,""),IF(COUNT(T988,U988,V988)=3,T988+U988-V988,""))</f>
        <v>0</v>
      </c>
      <c r="X988" s="10">
        <v>0</v>
      </c>
      <c r="Y988" s="10">
        <v>-17.654</v>
      </c>
      <c r="Z988" s="10">
        <v>17.654</v>
      </c>
      <c r="AA988" s="10">
        <v>0</v>
      </c>
      <c r="AB988" s="10">
        <v>0</v>
      </c>
      <c r="AC988" s="8">
        <v>0</v>
      </c>
      <c r="AD988" s="8">
        <v>0</v>
      </c>
      <c r="AE988" s="8">
        <v>0</v>
      </c>
      <c r="AF988" s="10">
        <v>0</v>
      </c>
      <c r="AG988" s="8">
        <f>COUNTIF(Y988:AB988,"&gt;0")</f>
        <v>1</v>
      </c>
      <c r="AH988" s="10">
        <v>17.654</v>
      </c>
      <c r="AI988" s="10">
        <v>0</v>
      </c>
      <c r="AJ988" s="8" t="str">
        <f>IF(ISNUMBER(X988),IF(X988&gt;0,"+",IF(X988&lt;0,"−","0")),IF(ISNUMBER(W988),IF(W988&gt;0,"+",IF(W988&lt;0,"−","0")),"yok"))</f>
        <v>0</v>
      </c>
      <c r="AK988" s="10" t="str">
        <f>IF(AND(RIGHT(C988,2)&lt;&gt;"12",ISNUMBER(U988),ISNUMBER(V988)),U988-V988,"")</f>
        <v/>
      </c>
      <c r="AL988" s="11" t="str">
        <f>IF(AND(ISNUMBER(AK988),ISNUMBER(V988)),IF(V988&lt;&gt;0,AK988/ABS(V988),""),"")</f>
        <v/>
      </c>
      <c r="AM988" s="8" t="str">
        <f>IF(ISNUMBER(AK988),IF(AK988&gt;1,1,0),"")</f>
        <v/>
      </c>
      <c r="AN988" s="8" t="str">
        <f>IF(ISNUMBER(AK988),IF(AK988&gt;0.05*ABS(V988),1,0),"")</f>
        <v/>
      </c>
      <c r="AO988" s="10">
        <v>0</v>
      </c>
      <c r="AP988" s="10">
        <v>0</v>
      </c>
      <c r="AQ988" s="8" t="s">
        <v>204</v>
      </c>
      <c r="AR988" s="8">
        <v>0</v>
      </c>
      <c r="AS988" s="10">
        <v>-1.7589999999999999</v>
      </c>
      <c r="AT988" s="10">
        <v>-1.7589999999999999</v>
      </c>
      <c r="AU988" s="8" t="s">
        <v>204</v>
      </c>
      <c r="AV988" s="10">
        <v>17.654</v>
      </c>
      <c r="AW988" s="11">
        <f>IF(AND(ISNUMBER(AV988),ISNUMBER(AT988)),IF(AT988&lt;&gt;0,AV988/ABS(AT988),""),"")</f>
        <v>10.03638430926663</v>
      </c>
      <c r="AX988" s="8">
        <v>0</v>
      </c>
      <c r="AY988" s="8">
        <v>0</v>
      </c>
      <c r="AZ988" s="10"/>
      <c r="BA988" s="8">
        <v>0</v>
      </c>
    </row>
    <row r="989" spans="1:53" x14ac:dyDescent="0.2">
      <c r="A989" s="8" t="s">
        <v>548</v>
      </c>
      <c r="B989" s="8" t="s">
        <v>83</v>
      </c>
      <c r="C989" s="8" t="s">
        <v>205</v>
      </c>
      <c r="D989" s="8">
        <v>1</v>
      </c>
      <c r="E989" s="8">
        <v>0</v>
      </c>
      <c r="F989" s="8">
        <f>SUM(G989:M989)</f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1</v>
      </c>
      <c r="Q989" s="8">
        <v>0</v>
      </c>
      <c r="R989" s="8">
        <v>0</v>
      </c>
      <c r="S989" s="8">
        <v>1</v>
      </c>
      <c r="T989" s="10">
        <v>-12.076000000000001</v>
      </c>
      <c r="U989" s="10">
        <v>-1600.672</v>
      </c>
      <c r="V989" s="10">
        <v>-12.971</v>
      </c>
      <c r="W989" s="10">
        <f>IF(RIGHT(C989,2)="12",IF(ISNUMBER(T989),T989,""),IF(COUNT(T989,U989,V989)=3,T989+U989-V989,""))</f>
        <v>-1599.777</v>
      </c>
      <c r="X989" s="10">
        <v>-1599.7760000000001</v>
      </c>
      <c r="Y989" s="10">
        <v>-188.19</v>
      </c>
      <c r="Z989" s="10">
        <v>-1399.51</v>
      </c>
      <c r="AA989" s="10">
        <v>-21.077999999999999</v>
      </c>
      <c r="AB989" s="10">
        <v>9.0020000000000007</v>
      </c>
      <c r="AC989" s="8">
        <v>0</v>
      </c>
      <c r="AD989" s="8">
        <v>0</v>
      </c>
      <c r="AE989" s="8">
        <v>0</v>
      </c>
      <c r="AF989" s="10">
        <v>0</v>
      </c>
      <c r="AG989" s="8">
        <f>COUNTIF(Y989:AB989,"&gt;0")</f>
        <v>1</v>
      </c>
      <c r="AH989" s="10">
        <v>9.0020000000000007</v>
      </c>
      <c r="AI989" s="10">
        <v>0</v>
      </c>
      <c r="AJ989" s="8" t="str">
        <f>IF(ISNUMBER(X989),IF(X989&gt;0,"+",IF(X989&lt;0,"−","0")),IF(ISNUMBER(W989),IF(W989&gt;0,"+",IF(W989&lt;0,"−","0")),"yok"))</f>
        <v>−</v>
      </c>
      <c r="AK989" s="10">
        <f>IF(AND(RIGHT(C989,2)&lt;&gt;"12",ISNUMBER(U989),ISNUMBER(V989)),U989-V989,"")</f>
        <v>-1587.701</v>
      </c>
      <c r="AL989" s="11">
        <f>IF(AND(ISNUMBER(AK989),ISNUMBER(V989)),IF(V989&lt;&gt;0,AK989/ABS(V989),""),"")</f>
        <v>-122.40390100994526</v>
      </c>
      <c r="AM989" s="8">
        <f>IF(ISNUMBER(AK989),IF(AK989&gt;1,1,0),"")</f>
        <v>0</v>
      </c>
      <c r="AN989" s="8">
        <f>IF(ISNUMBER(AK989),IF(AK989&gt;0.05*ABS(V989),1,0),"")</f>
        <v>0</v>
      </c>
      <c r="AO989" s="10">
        <v>-1599.7760000000001</v>
      </c>
      <c r="AP989" s="10">
        <v>1599.7760000000001</v>
      </c>
      <c r="AQ989" s="8" t="s">
        <v>204</v>
      </c>
      <c r="AR989" s="8">
        <v>0</v>
      </c>
      <c r="AS989" s="10">
        <v>621.29399999999998</v>
      </c>
      <c r="AT989" s="10">
        <v>-978.48199999999997</v>
      </c>
      <c r="AU989" s="8" t="s">
        <v>204</v>
      </c>
      <c r="AV989" s="10">
        <v>9.0020000000000007</v>
      </c>
      <c r="AW989" s="11">
        <f>IF(AND(ISNUMBER(AV989),ISNUMBER(AT989)),IF(AT989&lt;&gt;0,AV989/ABS(AT989),""),"")</f>
        <v>9.1999648435024881E-3</v>
      </c>
      <c r="AX989" s="8">
        <v>0</v>
      </c>
      <c r="AY989" s="8">
        <v>0</v>
      </c>
      <c r="AZ989" s="10"/>
      <c r="BA989" s="8">
        <v>0</v>
      </c>
    </row>
    <row r="990" spans="1:53" x14ac:dyDescent="0.2">
      <c r="A990" s="8" t="s">
        <v>548</v>
      </c>
      <c r="B990" s="8" t="s">
        <v>83</v>
      </c>
      <c r="C990" s="8" t="s">
        <v>215</v>
      </c>
      <c r="D990" s="8">
        <v>1</v>
      </c>
      <c r="E990" s="8">
        <v>0</v>
      </c>
      <c r="F990" s="8">
        <f>SUM(G990:M990)</f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1</v>
      </c>
      <c r="Q990" s="8">
        <v>0</v>
      </c>
      <c r="R990" s="8">
        <v>0</v>
      </c>
      <c r="S990" s="8">
        <v>1</v>
      </c>
      <c r="T990" s="10">
        <v>-12.891999999999999</v>
      </c>
      <c r="U990" s="10">
        <v>-1600.672</v>
      </c>
      <c r="V990" s="10">
        <v>-201.161</v>
      </c>
      <c r="W990" s="10">
        <f>IF(RIGHT(C990,2)="12",IF(ISNUMBER(T990),T990,""),IF(COUNT(T990,U990,V990)=3,T990+U990-V990,""))</f>
        <v>-1412.403</v>
      </c>
      <c r="X990" s="10">
        <v>-1412.402</v>
      </c>
      <c r="Y990" s="10">
        <v>-1399.51</v>
      </c>
      <c r="Z990" s="10">
        <v>-21.077999999999999</v>
      </c>
      <c r="AA990" s="10">
        <v>9.0020000000000007</v>
      </c>
      <c r="AB990" s="10">
        <v>-0.81499999999999995</v>
      </c>
      <c r="AC990" s="8">
        <v>0</v>
      </c>
      <c r="AD990" s="8">
        <v>0</v>
      </c>
      <c r="AE990" s="8">
        <v>0</v>
      </c>
      <c r="AF990" s="10">
        <v>0</v>
      </c>
      <c r="AG990" s="8">
        <f>COUNTIF(Y990:AB990,"&gt;0")</f>
        <v>1</v>
      </c>
      <c r="AH990" s="10">
        <v>9.0020000000000007</v>
      </c>
      <c r="AI990" s="10">
        <v>0</v>
      </c>
      <c r="AJ990" s="8" t="str">
        <f>IF(ISNUMBER(X990),IF(X990&gt;0,"+",IF(X990&lt;0,"−","0")),IF(ISNUMBER(W990),IF(W990&gt;0,"+",IF(W990&lt;0,"−","0")),"yok"))</f>
        <v>−</v>
      </c>
      <c r="AK990" s="10">
        <f>IF(AND(RIGHT(C990,2)&lt;&gt;"12",ISNUMBER(U990),ISNUMBER(V990)),U990-V990,"")</f>
        <v>-1399.511</v>
      </c>
      <c r="AL990" s="11">
        <f>IF(AND(ISNUMBER(AK990),ISNUMBER(V990)),IF(V990&lt;&gt;0,AK990/ABS(V990),""),"")</f>
        <v>-6.9571686360676273</v>
      </c>
      <c r="AM990" s="8">
        <f>IF(ISNUMBER(AK990),IF(AK990&gt;1,1,0),"")</f>
        <v>0</v>
      </c>
      <c r="AN990" s="8">
        <f>IF(ISNUMBER(AK990),IF(AK990&gt;0.05*ABS(V990),1,0),"")</f>
        <v>0</v>
      </c>
      <c r="AO990" s="10">
        <v>-1412.402</v>
      </c>
      <c r="AP990" s="10">
        <v>1412.402</v>
      </c>
      <c r="AQ990" s="8" t="s">
        <v>204</v>
      </c>
      <c r="AR990" s="8">
        <v>0</v>
      </c>
      <c r="AS990" s="10">
        <v>221.749</v>
      </c>
      <c r="AT990" s="10">
        <v>-1190.653</v>
      </c>
      <c r="AU990" s="8" t="s">
        <v>204</v>
      </c>
      <c r="AV990" s="10">
        <v>9.0020000000000007</v>
      </c>
      <c r="AW990" s="11">
        <f>IF(AND(ISNUMBER(AV990),ISNUMBER(AT990)),IF(AT990&lt;&gt;0,AV990/ABS(AT990),""),"")</f>
        <v>7.5605571060586088E-3</v>
      </c>
      <c r="AX990" s="8">
        <v>0</v>
      </c>
      <c r="AY990" s="8">
        <v>0</v>
      </c>
      <c r="AZ990" s="10"/>
      <c r="BA990" s="8">
        <v>0</v>
      </c>
    </row>
    <row r="991" spans="1:53" x14ac:dyDescent="0.2">
      <c r="A991" s="8" t="s">
        <v>548</v>
      </c>
      <c r="B991" s="8" t="s">
        <v>83</v>
      </c>
      <c r="C991" s="8" t="s">
        <v>290</v>
      </c>
      <c r="D991" s="8">
        <v>1</v>
      </c>
      <c r="E991" s="8">
        <v>0</v>
      </c>
      <c r="F991" s="8">
        <f>SUM(G991:M991)</f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1</v>
      </c>
      <c r="Q991" s="8">
        <v>0</v>
      </c>
      <c r="R991" s="8">
        <v>0</v>
      </c>
      <c r="S991" s="8">
        <v>1</v>
      </c>
      <c r="T991" s="10">
        <v>-22.538</v>
      </c>
      <c r="U991" s="10"/>
      <c r="V991" s="10"/>
      <c r="W991" s="10">
        <f>IF(RIGHT(C991,2)="12",IF(ISNUMBER(T991),T991,""),IF(COUNT(T991,U991,V991)=3,T991+U991-V991,""))</f>
        <v>-22.538</v>
      </c>
      <c r="X991" s="10">
        <v>-22.538</v>
      </c>
      <c r="Y991" s="10">
        <v>-21.077999999999999</v>
      </c>
      <c r="Z991" s="10">
        <v>9.0020000000000007</v>
      </c>
      <c r="AA991" s="10">
        <v>-0.81499999999999995</v>
      </c>
      <c r="AB991" s="10">
        <v>-9.6460000000000008</v>
      </c>
      <c r="AC991" s="8">
        <v>0</v>
      </c>
      <c r="AD991" s="8">
        <v>0</v>
      </c>
      <c r="AE991" s="8">
        <v>0</v>
      </c>
      <c r="AF991" s="10">
        <v>0</v>
      </c>
      <c r="AG991" s="8">
        <f>COUNTIF(Y991:AB991,"&gt;0")</f>
        <v>1</v>
      </c>
      <c r="AH991" s="10">
        <v>9.0020000000000007</v>
      </c>
      <c r="AI991" s="10">
        <v>0</v>
      </c>
      <c r="AJ991" s="8" t="str">
        <f>IF(ISNUMBER(X991),IF(X991&gt;0,"+",IF(X991&lt;0,"−","0")),IF(ISNUMBER(W991),IF(W991&gt;0,"+",IF(W991&lt;0,"−","0")),"yok"))</f>
        <v>−</v>
      </c>
      <c r="AK991" s="10" t="str">
        <f>IF(AND(RIGHT(C991,2)&lt;&gt;"12",ISNUMBER(U991),ISNUMBER(V991)),U991-V991,"")</f>
        <v/>
      </c>
      <c r="AL991" s="11" t="str">
        <f>IF(AND(ISNUMBER(AK991),ISNUMBER(V991)),IF(V991&lt;&gt;0,AK991/ABS(V991),""),"")</f>
        <v/>
      </c>
      <c r="AM991" s="8" t="str">
        <f>IF(ISNUMBER(AK991),IF(AK991&gt;1,1,0),"")</f>
        <v/>
      </c>
      <c r="AN991" s="8" t="str">
        <f>IF(ISNUMBER(AK991),IF(AK991&gt;0.05*ABS(V991),1,0),"")</f>
        <v/>
      </c>
      <c r="AO991" s="10">
        <v>-22.539000000000001</v>
      </c>
      <c r="AP991" s="10">
        <v>22.539000000000001</v>
      </c>
      <c r="AQ991" s="8" t="s">
        <v>204</v>
      </c>
      <c r="AR991" s="8">
        <v>0</v>
      </c>
      <c r="AS991" s="10">
        <v>369.637</v>
      </c>
      <c r="AT991" s="10">
        <v>347.09800000000001</v>
      </c>
      <c r="AU991" s="8" t="s">
        <v>204</v>
      </c>
      <c r="AV991" s="10">
        <v>9.0020000000000007</v>
      </c>
      <c r="AW991" s="11">
        <f>IF(AND(ISNUMBER(AV991),ISNUMBER(AT991)),IF(AT991&lt;&gt;0,AV991/ABS(AT991),""),"")</f>
        <v>2.5935038519380695E-2</v>
      </c>
      <c r="AX991" s="8">
        <v>0</v>
      </c>
      <c r="AY991" s="8">
        <v>0</v>
      </c>
      <c r="AZ991" s="10"/>
      <c r="BA991" s="8">
        <v>0</v>
      </c>
    </row>
    <row r="992" spans="1:53" x14ac:dyDescent="0.2">
      <c r="A992" s="8" t="s">
        <v>646</v>
      </c>
      <c r="B992" s="8" t="s">
        <v>83</v>
      </c>
      <c r="C992" s="8" t="s">
        <v>210</v>
      </c>
      <c r="D992" s="8">
        <v>1</v>
      </c>
      <c r="E992" s="8">
        <v>0</v>
      </c>
      <c r="F992" s="8">
        <f>SUM(G992:M992)</f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1</v>
      </c>
      <c r="Q992" s="8">
        <v>0</v>
      </c>
      <c r="R992" s="8">
        <v>0</v>
      </c>
      <c r="S992" s="8">
        <v>1</v>
      </c>
      <c r="T992" s="10">
        <v>-453.07799999999997</v>
      </c>
      <c r="U992" s="10">
        <v>-8.9700000000000006</v>
      </c>
      <c r="V992" s="10">
        <v>-5.2469999999999999</v>
      </c>
      <c r="W992" s="10">
        <f>IF(RIGHT(C992,2)="12",IF(ISNUMBER(T992),T992,""),IF(COUNT(T992,U992,V992)=3,T992+U992-V992,""))</f>
        <v>-456.80099999999999</v>
      </c>
      <c r="X992" s="10">
        <v>-456.80099999999999</v>
      </c>
      <c r="Y992" s="10"/>
      <c r="Z992" s="10"/>
      <c r="AA992" s="10">
        <v>-482.07</v>
      </c>
      <c r="AB992" s="10">
        <v>28.992000000000001</v>
      </c>
      <c r="AC992" s="8">
        <v>0</v>
      </c>
      <c r="AD992" s="8">
        <v>0</v>
      </c>
      <c r="AE992" s="8">
        <v>0</v>
      </c>
      <c r="AF992" s="10">
        <v>0</v>
      </c>
      <c r="AG992" s="8">
        <f>COUNTIF(Y992:AB992,"&gt;0")</f>
        <v>1</v>
      </c>
      <c r="AH992" s="10">
        <v>28.992000000000001</v>
      </c>
      <c r="AI992" s="10">
        <v>0</v>
      </c>
      <c r="AJ992" s="8" t="str">
        <f>IF(ISNUMBER(X992),IF(X992&gt;0,"+",IF(X992&lt;0,"−","0")),IF(ISNUMBER(W992),IF(W992&gt;0,"+",IF(W992&lt;0,"−","0")),"yok"))</f>
        <v>−</v>
      </c>
      <c r="AK992" s="10">
        <f>IF(AND(RIGHT(C992,2)&lt;&gt;"12",ISNUMBER(U992),ISNUMBER(V992)),U992-V992,"")</f>
        <v>-3.7230000000000008</v>
      </c>
      <c r="AL992" s="11">
        <f>IF(AND(ISNUMBER(AK992),ISNUMBER(V992)),IF(V992&lt;&gt;0,AK992/ABS(V992),""),"")</f>
        <v>-0.70954831332189838</v>
      </c>
      <c r="AM992" s="8">
        <f>IF(ISNUMBER(AK992),IF(AK992&gt;1,1,0),"")</f>
        <v>0</v>
      </c>
      <c r="AN992" s="8">
        <f>IF(ISNUMBER(AK992),IF(AK992&gt;0.05*ABS(V992),1,0),"")</f>
        <v>0</v>
      </c>
      <c r="AO992" s="10"/>
      <c r="AP992" s="10"/>
      <c r="AQ992" s="8" t="s">
        <v>207</v>
      </c>
      <c r="AR992" s="8">
        <v>0</v>
      </c>
      <c r="AS992" s="10"/>
      <c r="AT992" s="10"/>
      <c r="AU992" s="8" t="s">
        <v>207</v>
      </c>
      <c r="AV992" s="10">
        <v>28.992000000000001</v>
      </c>
      <c r="AW992" s="11" t="str">
        <f>IF(AND(ISNUMBER(AV992),ISNUMBER(AT992)),IF(AT992&lt;&gt;0,AV992/ABS(AT992),""),"")</f>
        <v/>
      </c>
      <c r="AX992" s="8">
        <v>0</v>
      </c>
      <c r="AY992" s="8">
        <v>0</v>
      </c>
      <c r="AZ992" s="10"/>
      <c r="BA992" s="8">
        <v>0</v>
      </c>
    </row>
    <row r="993" spans="1:53" x14ac:dyDescent="0.2">
      <c r="A993" s="8" t="s">
        <v>552</v>
      </c>
      <c r="B993" s="8" t="s">
        <v>83</v>
      </c>
      <c r="C993" s="8" t="s">
        <v>290</v>
      </c>
      <c r="D993" s="8">
        <v>1</v>
      </c>
      <c r="E993" s="8">
        <v>0</v>
      </c>
      <c r="F993" s="8">
        <f>SUM(G993:M993)</f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1</v>
      </c>
      <c r="Q993" s="8">
        <v>0</v>
      </c>
      <c r="R993" s="8">
        <v>0</v>
      </c>
      <c r="S993" s="8">
        <v>1</v>
      </c>
      <c r="T993" s="10">
        <v>-27.494</v>
      </c>
      <c r="U993" s="10"/>
      <c r="V993" s="10"/>
      <c r="W993" s="10">
        <f>IF(RIGHT(C993,2)="12",IF(ISNUMBER(T993),T993,""),IF(COUNT(T993,U993,V993)=3,T993+U993-V993,""))</f>
        <v>-27.494</v>
      </c>
      <c r="X993" s="10">
        <v>-27.494</v>
      </c>
      <c r="Y993" s="10">
        <v>-12.391</v>
      </c>
      <c r="Z993" s="10">
        <v>-15.65</v>
      </c>
      <c r="AA993" s="10">
        <v>-6.2220000000000004</v>
      </c>
      <c r="AB993" s="10">
        <v>6.77</v>
      </c>
      <c r="AC993" s="8">
        <v>0</v>
      </c>
      <c r="AD993" s="8">
        <v>0</v>
      </c>
      <c r="AE993" s="8">
        <v>0</v>
      </c>
      <c r="AF993" s="10">
        <v>0</v>
      </c>
      <c r="AG993" s="8">
        <f>COUNTIF(Y993:AB993,"&gt;0")</f>
        <v>1</v>
      </c>
      <c r="AH993" s="10">
        <v>6.77</v>
      </c>
      <c r="AI993" s="10">
        <v>0</v>
      </c>
      <c r="AJ993" s="8" t="str">
        <f>IF(ISNUMBER(X993),IF(X993&gt;0,"+",IF(X993&lt;0,"−","0")),IF(ISNUMBER(W993),IF(W993&gt;0,"+",IF(W993&lt;0,"−","0")),"yok"))</f>
        <v>−</v>
      </c>
      <c r="AK993" s="10" t="str">
        <f>IF(AND(RIGHT(C993,2)&lt;&gt;"12",ISNUMBER(U993),ISNUMBER(V993)),U993-V993,"")</f>
        <v/>
      </c>
      <c r="AL993" s="11" t="str">
        <f>IF(AND(ISNUMBER(AK993),ISNUMBER(V993)),IF(V993&lt;&gt;0,AK993/ABS(V993),""),"")</f>
        <v/>
      </c>
      <c r="AM993" s="8" t="str">
        <f>IF(ISNUMBER(AK993),IF(AK993&gt;1,1,0),"")</f>
        <v/>
      </c>
      <c r="AN993" s="8" t="str">
        <f>IF(ISNUMBER(AK993),IF(AK993&gt;0.05*ABS(V993),1,0),"")</f>
        <v/>
      </c>
      <c r="AO993" s="10">
        <v>-27.494</v>
      </c>
      <c r="AP993" s="10">
        <v>27.494</v>
      </c>
      <c r="AQ993" s="8" t="s">
        <v>204</v>
      </c>
      <c r="AR993" s="8">
        <v>0</v>
      </c>
      <c r="AS993" s="10">
        <v>-398.52699999999999</v>
      </c>
      <c r="AT993" s="10">
        <v>-435.99299999999999</v>
      </c>
      <c r="AU993" s="8" t="s">
        <v>204</v>
      </c>
      <c r="AV993" s="10">
        <v>6.77</v>
      </c>
      <c r="AW993" s="11">
        <f>IF(AND(ISNUMBER(AV993),ISNUMBER(AT993)),IF(AT993&lt;&gt;0,AV993/ABS(AT993),""),"")</f>
        <v>1.552777223487533E-2</v>
      </c>
      <c r="AX993" s="8">
        <v>0</v>
      </c>
      <c r="AY993" s="8">
        <v>0</v>
      </c>
      <c r="AZ993" s="10"/>
      <c r="BA993" s="8">
        <v>0</v>
      </c>
    </row>
    <row r="994" spans="1:53" x14ac:dyDescent="0.2">
      <c r="A994" s="8" t="s">
        <v>647</v>
      </c>
      <c r="B994" s="8" t="s">
        <v>82</v>
      </c>
      <c r="C994" s="8" t="s">
        <v>210</v>
      </c>
      <c r="D994" s="8">
        <v>1</v>
      </c>
      <c r="E994" s="8">
        <v>0</v>
      </c>
      <c r="F994" s="8">
        <f>SUM(G994:M994)</f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1</v>
      </c>
      <c r="Q994" s="8">
        <v>0</v>
      </c>
      <c r="R994" s="8">
        <v>0</v>
      </c>
      <c r="S994" s="8">
        <v>1</v>
      </c>
      <c r="T994" s="10">
        <v>-10.364000000000001</v>
      </c>
      <c r="U994" s="10">
        <v>-1.8480000000000001</v>
      </c>
      <c r="V994" s="10">
        <v>-0.98399999999999999</v>
      </c>
      <c r="W994" s="10">
        <f>IF(RIGHT(C994,2)="12",IF(ISNUMBER(T994),T994,""),IF(COUNT(T994,U994,V994)=3,T994+U994-V994,""))</f>
        <v>-11.228000000000002</v>
      </c>
      <c r="X994" s="10">
        <v>-11.227</v>
      </c>
      <c r="Y994" s="10">
        <v>-0.44600000000000001</v>
      </c>
      <c r="Z994" s="10">
        <v>-0.41699999999999998</v>
      </c>
      <c r="AA994" s="10">
        <v>-11.461</v>
      </c>
      <c r="AB994" s="10">
        <v>1.097</v>
      </c>
      <c r="AC994" s="8">
        <v>0</v>
      </c>
      <c r="AD994" s="8">
        <v>0</v>
      </c>
      <c r="AE994" s="8">
        <v>0</v>
      </c>
      <c r="AF994" s="10">
        <v>0</v>
      </c>
      <c r="AG994" s="8">
        <f>COUNTIF(Y994:AB994,"&gt;0")</f>
        <v>1</v>
      </c>
      <c r="AH994" s="10">
        <v>1.097</v>
      </c>
      <c r="AI994" s="10">
        <v>0</v>
      </c>
      <c r="AJ994" s="8" t="str">
        <f>IF(ISNUMBER(X994),IF(X994&gt;0,"+",IF(X994&lt;0,"−","0")),IF(ISNUMBER(W994),IF(W994&gt;0,"+",IF(W994&lt;0,"−","0")),"yok"))</f>
        <v>−</v>
      </c>
      <c r="AK994" s="10">
        <f>IF(AND(RIGHT(C994,2)&lt;&gt;"12",ISNUMBER(U994),ISNUMBER(V994)),U994-V994,"")</f>
        <v>-0.8640000000000001</v>
      </c>
      <c r="AL994" s="11">
        <f>IF(AND(ISNUMBER(AK994),ISNUMBER(V994)),IF(V994&lt;&gt;0,AK994/ABS(V994),""),"")</f>
        <v>-0.87804878048780499</v>
      </c>
      <c r="AM994" s="8">
        <f>IF(ISNUMBER(AK994),IF(AK994&gt;1,1,0),"")</f>
        <v>0</v>
      </c>
      <c r="AN994" s="8">
        <f>IF(ISNUMBER(AK994),IF(AK994&gt;0.05*ABS(V994),1,0),"")</f>
        <v>0</v>
      </c>
      <c r="AO994" s="10">
        <v>-11.227</v>
      </c>
      <c r="AP994" s="10">
        <v>11.227</v>
      </c>
      <c r="AQ994" s="8" t="s">
        <v>204</v>
      </c>
      <c r="AR994" s="8">
        <v>0</v>
      </c>
      <c r="AS994" s="10">
        <v>126.346</v>
      </c>
      <c r="AT994" s="10">
        <v>-234.989</v>
      </c>
      <c r="AU994" s="8" t="s">
        <v>204</v>
      </c>
      <c r="AV994" s="10">
        <v>1.097</v>
      </c>
      <c r="AW994" s="11">
        <f>IF(AND(ISNUMBER(AV994),ISNUMBER(AT994)),IF(AT994&lt;&gt;0,AV994/ABS(AT994),""),"")</f>
        <v>4.6683036227227652E-3</v>
      </c>
      <c r="AX994" s="8">
        <v>0</v>
      </c>
      <c r="AY994" s="8">
        <v>0</v>
      </c>
      <c r="AZ994" s="10"/>
      <c r="BA994" s="8">
        <v>0</v>
      </c>
    </row>
    <row r="995" spans="1:53" x14ac:dyDescent="0.2">
      <c r="A995" s="8" t="s">
        <v>554</v>
      </c>
      <c r="B995" s="8" t="s">
        <v>83</v>
      </c>
      <c r="C995" s="8" t="s">
        <v>290</v>
      </c>
      <c r="D995" s="8">
        <v>1</v>
      </c>
      <c r="E995" s="8">
        <v>0</v>
      </c>
      <c r="F995" s="8">
        <f>SUM(G995:M995)</f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1</v>
      </c>
      <c r="Q995" s="8">
        <v>0</v>
      </c>
      <c r="R995" s="8">
        <v>0</v>
      </c>
      <c r="S995" s="8">
        <v>1</v>
      </c>
      <c r="T995" s="10">
        <v>-0.83399999999999996</v>
      </c>
      <c r="U995" s="10"/>
      <c r="V995" s="10"/>
      <c r="W995" s="10">
        <f>IF(RIGHT(C995,2)="12",IF(ISNUMBER(T995),T995,""),IF(COUNT(T995,U995,V995)=3,T995+U995-V995,""))</f>
        <v>-0.83399999999999996</v>
      </c>
      <c r="X995" s="10">
        <v>-0.83399999999999996</v>
      </c>
      <c r="Y995" s="10">
        <v>-0.23499999999999999</v>
      </c>
      <c r="Z995" s="10">
        <v>0</v>
      </c>
      <c r="AA995" s="10">
        <v>-12.782</v>
      </c>
      <c r="AB995" s="10">
        <v>12.182</v>
      </c>
      <c r="AC995" s="8">
        <v>0</v>
      </c>
      <c r="AD995" s="8">
        <v>0</v>
      </c>
      <c r="AE995" s="8">
        <v>0</v>
      </c>
      <c r="AF995" s="10">
        <v>0</v>
      </c>
      <c r="AG995" s="8">
        <f>COUNTIF(Y995:AB995,"&gt;0")</f>
        <v>1</v>
      </c>
      <c r="AH995" s="10">
        <v>12.182</v>
      </c>
      <c r="AI995" s="10">
        <v>0</v>
      </c>
      <c r="AJ995" s="8" t="str">
        <f>IF(ISNUMBER(X995),IF(X995&gt;0,"+",IF(X995&lt;0,"−","0")),IF(ISNUMBER(W995),IF(W995&gt;0,"+",IF(W995&lt;0,"−","0")),"yok"))</f>
        <v>−</v>
      </c>
      <c r="AK995" s="10" t="str">
        <f>IF(AND(RIGHT(C995,2)&lt;&gt;"12",ISNUMBER(U995),ISNUMBER(V995)),U995-V995,"")</f>
        <v/>
      </c>
      <c r="AL995" s="11" t="str">
        <f>IF(AND(ISNUMBER(AK995),ISNUMBER(V995)),IF(V995&lt;&gt;0,AK995/ABS(V995),""),"")</f>
        <v/>
      </c>
      <c r="AM995" s="8" t="str">
        <f>IF(ISNUMBER(AK995),IF(AK995&gt;1,1,0),"")</f>
        <v/>
      </c>
      <c r="AN995" s="8" t="str">
        <f>IF(ISNUMBER(AK995),IF(AK995&gt;0.05*ABS(V995),1,0),"")</f>
        <v/>
      </c>
      <c r="AO995" s="10">
        <v>-0.83499999999999996</v>
      </c>
      <c r="AP995" s="10">
        <v>0.83499999999999996</v>
      </c>
      <c r="AQ995" s="8" t="s">
        <v>204</v>
      </c>
      <c r="AR995" s="8">
        <v>0</v>
      </c>
      <c r="AS995" s="10">
        <v>-16.547000000000001</v>
      </c>
      <c r="AT995" s="10">
        <v>-17.382000000000001</v>
      </c>
      <c r="AU995" s="8" t="s">
        <v>212</v>
      </c>
      <c r="AV995" s="10">
        <v>12.182</v>
      </c>
      <c r="AW995" s="11">
        <f>IF(AND(ISNUMBER(AV995),ISNUMBER(AT995)),IF(AT995&lt;&gt;0,AV995/ABS(AT995),""),"")</f>
        <v>0.70083994937291449</v>
      </c>
      <c r="AX995" s="8">
        <v>0</v>
      </c>
      <c r="AY995" s="8">
        <v>0</v>
      </c>
      <c r="AZ995" s="10"/>
      <c r="BA995" s="8">
        <v>0</v>
      </c>
    </row>
    <row r="996" spans="1:53" x14ac:dyDescent="0.2">
      <c r="A996" s="8" t="s">
        <v>648</v>
      </c>
      <c r="B996" s="8" t="s">
        <v>82</v>
      </c>
      <c r="C996" s="8" t="s">
        <v>203</v>
      </c>
      <c r="D996" s="8">
        <v>1</v>
      </c>
      <c r="E996" s="8">
        <v>0</v>
      </c>
      <c r="F996" s="8">
        <f>SUM(G996:M996)</f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1</v>
      </c>
      <c r="S996" s="8">
        <v>0</v>
      </c>
      <c r="T996" s="10">
        <v>-3.605</v>
      </c>
      <c r="U996" s="10">
        <v>-1.804</v>
      </c>
      <c r="V996" s="10">
        <v>-0.45</v>
      </c>
      <c r="W996" s="10">
        <f>IF(RIGHT(C996,2)="12",IF(ISNUMBER(T996),T996,""),IF(COUNT(T996,U996,V996)=3,T996+U996-V996,""))</f>
        <v>-4.9589999999999996</v>
      </c>
      <c r="X996" s="10">
        <v>-4.9589999999999996</v>
      </c>
      <c r="Y996" s="10">
        <v>-3.665</v>
      </c>
      <c r="Z996" s="10"/>
      <c r="AA996" s="10"/>
      <c r="AB996" s="10">
        <v>-3.605</v>
      </c>
      <c r="AC996" s="8">
        <v>0</v>
      </c>
      <c r="AD996" s="8">
        <v>0</v>
      </c>
      <c r="AE996" s="8">
        <v>0</v>
      </c>
      <c r="AF996" s="10">
        <v>0</v>
      </c>
      <c r="AG996" s="8">
        <f>COUNTIF(Y996:AB996,"&gt;0")</f>
        <v>0</v>
      </c>
      <c r="AH996" s="10">
        <v>0</v>
      </c>
      <c r="AI996" s="10">
        <v>0</v>
      </c>
      <c r="AJ996" s="8" t="str">
        <f>IF(ISNUMBER(X996),IF(X996&gt;0,"+",IF(X996&lt;0,"−","0")),IF(ISNUMBER(W996),IF(W996&gt;0,"+",IF(W996&lt;0,"−","0")),"yok"))</f>
        <v>−</v>
      </c>
      <c r="AK996" s="10">
        <f>IF(AND(RIGHT(C996,2)&lt;&gt;"12",ISNUMBER(U996),ISNUMBER(V996)),U996-V996,"")</f>
        <v>-1.3540000000000001</v>
      </c>
      <c r="AL996" s="11">
        <f>IF(AND(ISNUMBER(AK996),ISNUMBER(V996)),IF(V996&lt;&gt;0,AK996/ABS(V996),""),"")</f>
        <v>-3.0088888888888889</v>
      </c>
      <c r="AM996" s="8">
        <f>IF(ISNUMBER(AK996),IF(AK996&gt;1,1,0),"")</f>
        <v>0</v>
      </c>
      <c r="AN996" s="8">
        <f>IF(ISNUMBER(AK996),IF(AK996&gt;0.05*ABS(V996),1,0),"")</f>
        <v>0</v>
      </c>
      <c r="AO996" s="10"/>
      <c r="AP996" s="10"/>
      <c r="AQ996" s="8" t="s">
        <v>207</v>
      </c>
      <c r="AR996" s="8">
        <v>0</v>
      </c>
      <c r="AS996" s="10">
        <v>-235.715</v>
      </c>
      <c r="AT996" s="10"/>
      <c r="AU996" s="8" t="s">
        <v>207</v>
      </c>
      <c r="AV996" s="10">
        <v>0</v>
      </c>
      <c r="AW996" s="11" t="str">
        <f>IF(AND(ISNUMBER(AV996),ISNUMBER(AT996)),IF(AT996&lt;&gt;0,AV996/ABS(AT996),""),"")</f>
        <v/>
      </c>
      <c r="AX996" s="8">
        <v>0</v>
      </c>
      <c r="AY996" s="8">
        <v>0</v>
      </c>
      <c r="AZ996" s="10"/>
      <c r="BA996" s="8">
        <v>0</v>
      </c>
    </row>
    <row r="997" spans="1:53" x14ac:dyDescent="0.2">
      <c r="A997" s="8" t="s">
        <v>648</v>
      </c>
      <c r="B997" s="8" t="s">
        <v>82</v>
      </c>
      <c r="C997" s="8" t="s">
        <v>205</v>
      </c>
      <c r="D997" s="8">
        <v>1</v>
      </c>
      <c r="E997" s="8">
        <v>0</v>
      </c>
      <c r="F997" s="8">
        <f>SUM(G997:M997)</f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1</v>
      </c>
      <c r="Q997" s="8">
        <v>1</v>
      </c>
      <c r="R997" s="8">
        <v>1</v>
      </c>
      <c r="S997" s="8">
        <v>0</v>
      </c>
      <c r="T997" s="10">
        <v>-3.4009999999999998</v>
      </c>
      <c r="U997" s="10">
        <v>-1.804</v>
      </c>
      <c r="V997" s="10">
        <v>-4.1150000000000002</v>
      </c>
      <c r="W997" s="10">
        <f>IF(RIGHT(C997,2)="12",IF(ISNUMBER(T997),T997,""),IF(COUNT(T997,U997,V997)=3,T997+U997-V997,""))</f>
        <v>-1.0899999999999999</v>
      </c>
      <c r="X997" s="10">
        <v>-1.0900000000000001</v>
      </c>
      <c r="Y997" s="10"/>
      <c r="Z997" s="10"/>
      <c r="AA997" s="10">
        <v>-3.605</v>
      </c>
      <c r="AB997" s="10">
        <v>0.20399999999999999</v>
      </c>
      <c r="AC997" s="8">
        <v>0</v>
      </c>
      <c r="AD997" s="8">
        <v>0</v>
      </c>
      <c r="AE997" s="8">
        <v>0</v>
      </c>
      <c r="AF997" s="10">
        <v>0</v>
      </c>
      <c r="AG997" s="8">
        <f>COUNTIF(Y997:AB997,"&gt;0")</f>
        <v>1</v>
      </c>
      <c r="AH997" s="10">
        <v>0.20399999999999999</v>
      </c>
      <c r="AI997" s="10">
        <v>0</v>
      </c>
      <c r="AJ997" s="8" t="str">
        <f>IF(ISNUMBER(X997),IF(X997&gt;0,"+",IF(X997&lt;0,"−","0")),IF(ISNUMBER(W997),IF(W997&gt;0,"+",IF(W997&lt;0,"−","0")),"yok"))</f>
        <v>−</v>
      </c>
      <c r="AK997" s="10">
        <f>IF(AND(RIGHT(C997,2)&lt;&gt;"12",ISNUMBER(U997),ISNUMBER(V997)),U997-V997,"")</f>
        <v>2.3109999999999999</v>
      </c>
      <c r="AL997" s="11">
        <f>IF(AND(ISNUMBER(AK997),ISNUMBER(V997)),IF(V997&lt;&gt;0,AK997/ABS(V997),""),"")</f>
        <v>0.56160388821385177</v>
      </c>
      <c r="AM997" s="8">
        <f>IF(ISNUMBER(AK997),IF(AK997&gt;1,1,0),"")</f>
        <v>1</v>
      </c>
      <c r="AN997" s="8">
        <f>IF(ISNUMBER(AK997),IF(AK997&gt;0.05*ABS(V997),1,0),"")</f>
        <v>1</v>
      </c>
      <c r="AO997" s="10"/>
      <c r="AP997" s="10"/>
      <c r="AQ997" s="8" t="s">
        <v>207</v>
      </c>
      <c r="AR997" s="8">
        <v>0</v>
      </c>
      <c r="AS997" s="10">
        <v>1444.289</v>
      </c>
      <c r="AT997" s="10"/>
      <c r="AU997" s="8" t="s">
        <v>207</v>
      </c>
      <c r="AV997" s="10">
        <v>2.3109999999999999</v>
      </c>
      <c r="AW997" s="11" t="str">
        <f>IF(AND(ISNUMBER(AV997),ISNUMBER(AT997)),IF(AT997&lt;&gt;0,AV997/ABS(AT997),""),"")</f>
        <v/>
      </c>
      <c r="AX997" s="8">
        <v>0</v>
      </c>
      <c r="AY997" s="8">
        <v>1</v>
      </c>
      <c r="AZ997" s="10"/>
      <c r="BA997" s="8">
        <v>0</v>
      </c>
    </row>
    <row r="998" spans="1:53" x14ac:dyDescent="0.2">
      <c r="A998" s="8" t="s">
        <v>555</v>
      </c>
      <c r="B998" s="8" t="s">
        <v>83</v>
      </c>
      <c r="C998" s="8" t="s">
        <v>215</v>
      </c>
      <c r="D998" s="8">
        <v>1</v>
      </c>
      <c r="E998" s="8">
        <v>0</v>
      </c>
      <c r="F998" s="8">
        <f>SUM(G998:M998)</f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1</v>
      </c>
      <c r="Q998" s="8">
        <v>0</v>
      </c>
      <c r="R998" s="8">
        <v>0</v>
      </c>
      <c r="S998" s="8">
        <v>1</v>
      </c>
      <c r="T998" s="10">
        <v>-220.40199999999999</v>
      </c>
      <c r="U998" s="10">
        <v>-865.84699999999998</v>
      </c>
      <c r="V998" s="10">
        <v>-419.32</v>
      </c>
      <c r="W998" s="10">
        <f>IF(RIGHT(C998,2)="12",IF(ISNUMBER(T998),T998,""),IF(COUNT(T998,U998,V998)=3,T998+U998-V998,""))</f>
        <v>-666.92900000000009</v>
      </c>
      <c r="X998" s="10">
        <v>-666.92899999999997</v>
      </c>
      <c r="Y998" s="10">
        <v>-446.52600000000001</v>
      </c>
      <c r="Z998" s="10">
        <v>-183.82599999999999</v>
      </c>
      <c r="AA998" s="10">
        <v>-178.97300000000001</v>
      </c>
      <c r="AB998" s="10">
        <v>142.39699999999999</v>
      </c>
      <c r="AC998" s="8">
        <v>0</v>
      </c>
      <c r="AD998" s="8">
        <v>0</v>
      </c>
      <c r="AE998" s="8">
        <v>0</v>
      </c>
      <c r="AF998" s="10">
        <v>0</v>
      </c>
      <c r="AG998" s="8">
        <f>COUNTIF(Y998:AB998,"&gt;0")</f>
        <v>1</v>
      </c>
      <c r="AH998" s="10">
        <v>142.39699999999999</v>
      </c>
      <c r="AI998" s="10">
        <v>0</v>
      </c>
      <c r="AJ998" s="8" t="str">
        <f>IF(ISNUMBER(X998),IF(X998&gt;0,"+",IF(X998&lt;0,"−","0")),IF(ISNUMBER(W998),IF(W998&gt;0,"+",IF(W998&lt;0,"−","0")),"yok"))</f>
        <v>−</v>
      </c>
      <c r="AK998" s="10">
        <f>IF(AND(RIGHT(C998,2)&lt;&gt;"12",ISNUMBER(U998),ISNUMBER(V998)),U998-V998,"")</f>
        <v>-446.52699999999999</v>
      </c>
      <c r="AL998" s="11">
        <f>IF(AND(ISNUMBER(AK998),ISNUMBER(V998)),IF(V998&lt;&gt;0,AK998/ABS(V998),""),"")</f>
        <v>-1.0648836211008299</v>
      </c>
      <c r="AM998" s="8">
        <f>IF(ISNUMBER(AK998),IF(AK998&gt;1,1,0),"")</f>
        <v>0</v>
      </c>
      <c r="AN998" s="8">
        <f>IF(ISNUMBER(AK998),IF(AK998&gt;0.05*ABS(V998),1,0),"")</f>
        <v>0</v>
      </c>
      <c r="AO998" s="10">
        <v>-666.92899999999997</v>
      </c>
      <c r="AP998" s="10">
        <v>666.92899999999997</v>
      </c>
      <c r="AQ998" s="8" t="s">
        <v>204</v>
      </c>
      <c r="AR998" s="8">
        <v>0</v>
      </c>
      <c r="AS998" s="10">
        <v>-70.592999999999904</v>
      </c>
      <c r="AT998" s="10">
        <v>-737.52200000000005</v>
      </c>
      <c r="AU998" s="8" t="s">
        <v>204</v>
      </c>
      <c r="AV998" s="10">
        <v>142.39699999999999</v>
      </c>
      <c r="AW998" s="11">
        <f>IF(AND(ISNUMBER(AV998),ISNUMBER(AT998)),IF(AT998&lt;&gt;0,AV998/ABS(AT998),""),"")</f>
        <v>0.19307491844311084</v>
      </c>
      <c r="AX998" s="8">
        <v>0</v>
      </c>
      <c r="AY998" s="8">
        <v>0</v>
      </c>
      <c r="AZ998" s="10"/>
      <c r="BA998" s="8">
        <v>0</v>
      </c>
    </row>
    <row r="999" spans="1:53" x14ac:dyDescent="0.2">
      <c r="A999" s="8" t="s">
        <v>555</v>
      </c>
      <c r="B999" s="8" t="s">
        <v>83</v>
      </c>
      <c r="C999" s="8" t="s">
        <v>290</v>
      </c>
      <c r="D999" s="8">
        <v>1</v>
      </c>
      <c r="E999" s="8">
        <v>0</v>
      </c>
      <c r="F999" s="8">
        <f>SUM(G999:M999)</f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1</v>
      </c>
      <c r="Q999" s="8">
        <v>0</v>
      </c>
      <c r="R999" s="8">
        <v>0</v>
      </c>
      <c r="S999" s="8">
        <v>1</v>
      </c>
      <c r="T999" s="10">
        <v>-537.255</v>
      </c>
      <c r="U999" s="10"/>
      <c r="V999" s="10"/>
      <c r="W999" s="10">
        <f>IF(RIGHT(C999,2)="12",IF(ISNUMBER(T999),T999,""),IF(COUNT(T999,U999,V999)=3,T999+U999-V999,""))</f>
        <v>-537.255</v>
      </c>
      <c r="X999" s="10">
        <v>-537.255</v>
      </c>
      <c r="Y999" s="10">
        <v>-183.82599999999999</v>
      </c>
      <c r="Z999" s="10">
        <v>-178.97300000000001</v>
      </c>
      <c r="AA999" s="10">
        <v>142.39699999999999</v>
      </c>
      <c r="AB999" s="10">
        <v>-316.85199999999998</v>
      </c>
      <c r="AC999" s="8">
        <v>0</v>
      </c>
      <c r="AD999" s="8">
        <v>0</v>
      </c>
      <c r="AE999" s="8">
        <v>0</v>
      </c>
      <c r="AF999" s="10">
        <v>0</v>
      </c>
      <c r="AG999" s="8">
        <f>COUNTIF(Y999:AB999,"&gt;0")</f>
        <v>1</v>
      </c>
      <c r="AH999" s="10">
        <v>142.39699999999999</v>
      </c>
      <c r="AI999" s="10">
        <v>0</v>
      </c>
      <c r="AJ999" s="8" t="str">
        <f>IF(ISNUMBER(X999),IF(X999&gt;0,"+",IF(X999&lt;0,"−","0")),IF(ISNUMBER(W999),IF(W999&gt;0,"+",IF(W999&lt;0,"−","0")),"yok"))</f>
        <v>−</v>
      </c>
      <c r="AK999" s="10" t="str">
        <f>IF(AND(RIGHT(C999,2)&lt;&gt;"12",ISNUMBER(U999),ISNUMBER(V999)),U999-V999,"")</f>
        <v/>
      </c>
      <c r="AL999" s="11" t="str">
        <f>IF(AND(ISNUMBER(AK999),ISNUMBER(V999)),IF(V999&lt;&gt;0,AK999/ABS(V999),""),"")</f>
        <v/>
      </c>
      <c r="AM999" s="8" t="str">
        <f>IF(ISNUMBER(AK999),IF(AK999&gt;1,1,0),"")</f>
        <v/>
      </c>
      <c r="AN999" s="8" t="str">
        <f>IF(ISNUMBER(AK999),IF(AK999&gt;0.05*ABS(V999),1,0),"")</f>
        <v/>
      </c>
      <c r="AO999" s="10">
        <v>-537.255</v>
      </c>
      <c r="AP999" s="10">
        <v>537.255</v>
      </c>
      <c r="AQ999" s="8" t="s">
        <v>204</v>
      </c>
      <c r="AR999" s="8">
        <v>0</v>
      </c>
      <c r="AS999" s="10">
        <v>-162.62899999999999</v>
      </c>
      <c r="AT999" s="10">
        <v>-699.88400000000001</v>
      </c>
      <c r="AU999" s="8" t="s">
        <v>204</v>
      </c>
      <c r="AV999" s="10">
        <v>142.39699999999999</v>
      </c>
      <c r="AW999" s="11">
        <f>IF(AND(ISNUMBER(AV999),ISNUMBER(AT999)),IF(AT999&lt;&gt;0,AV999/ABS(AT999),""),"")</f>
        <v>0.20345800161169564</v>
      </c>
      <c r="AX999" s="8">
        <v>0</v>
      </c>
      <c r="AY999" s="8">
        <v>0</v>
      </c>
      <c r="AZ999" s="10"/>
      <c r="BA999" s="8">
        <v>0</v>
      </c>
    </row>
    <row r="1000" spans="1:53" x14ac:dyDescent="0.2">
      <c r="A1000" s="8" t="s">
        <v>556</v>
      </c>
      <c r="B1000" s="8" t="s">
        <v>82</v>
      </c>
      <c r="C1000" s="8" t="s">
        <v>205</v>
      </c>
      <c r="D1000" s="8">
        <v>1</v>
      </c>
      <c r="E1000" s="8">
        <v>0</v>
      </c>
      <c r="F1000" s="8">
        <f>SUM(G1000:M1000)</f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1</v>
      </c>
      <c r="Q1000" s="8">
        <v>0</v>
      </c>
      <c r="R1000" s="8">
        <v>0</v>
      </c>
      <c r="S1000" s="8">
        <v>1</v>
      </c>
      <c r="T1000" s="10">
        <v>-6.6840000000000002</v>
      </c>
      <c r="U1000" s="10">
        <v>-14.869</v>
      </c>
      <c r="V1000" s="10">
        <v>-9.7409999999999997</v>
      </c>
      <c r="W1000" s="10">
        <f>IF(RIGHT(C1000,2)="12",IF(ISNUMBER(T1000),T1000,""),IF(COUNT(T1000,U1000,V1000)=3,T1000+U1000-V1000,""))</f>
        <v>-11.812000000000001</v>
      </c>
      <c r="X1000" s="10">
        <v>-11.813000000000001</v>
      </c>
      <c r="Y1000" s="10">
        <v>-3.6739999999999999</v>
      </c>
      <c r="Z1000" s="10">
        <v>-1.454</v>
      </c>
      <c r="AA1000" s="10">
        <v>-76.616</v>
      </c>
      <c r="AB1000" s="10">
        <v>69.932000000000002</v>
      </c>
      <c r="AC1000" s="8">
        <v>0</v>
      </c>
      <c r="AD1000" s="8">
        <v>0</v>
      </c>
      <c r="AE1000" s="8">
        <v>0</v>
      </c>
      <c r="AF1000" s="10">
        <v>0</v>
      </c>
      <c r="AG1000" s="8">
        <f>COUNTIF(Y1000:AB1000,"&gt;0")</f>
        <v>1</v>
      </c>
      <c r="AH1000" s="10">
        <v>69.932000000000002</v>
      </c>
      <c r="AI1000" s="10">
        <v>0</v>
      </c>
      <c r="AJ1000" s="8" t="str">
        <f>IF(ISNUMBER(X1000),IF(X1000&gt;0,"+",IF(X1000&lt;0,"−","0")),IF(ISNUMBER(W1000),IF(W1000&gt;0,"+",IF(W1000&lt;0,"−","0")),"yok"))</f>
        <v>−</v>
      </c>
      <c r="AK1000" s="10">
        <f>IF(AND(RIGHT(C1000,2)&lt;&gt;"12",ISNUMBER(U1000),ISNUMBER(V1000)),U1000-V1000,"")</f>
        <v>-5.1280000000000001</v>
      </c>
      <c r="AL1000" s="11">
        <f>IF(AND(ISNUMBER(AK1000),ISNUMBER(V1000)),IF(V1000&lt;&gt;0,AK1000/ABS(V1000),""),"")</f>
        <v>-0.5264346576326866</v>
      </c>
      <c r="AM1000" s="8">
        <f>IF(ISNUMBER(AK1000),IF(AK1000&gt;1,1,0),"")</f>
        <v>0</v>
      </c>
      <c r="AN1000" s="8">
        <f>IF(ISNUMBER(AK1000),IF(AK1000&gt;0.05*ABS(V1000),1,0),"")</f>
        <v>0</v>
      </c>
      <c r="AO1000" s="10">
        <v>-11.814</v>
      </c>
      <c r="AP1000" s="10">
        <v>11.814</v>
      </c>
      <c r="AQ1000" s="8" t="s">
        <v>204</v>
      </c>
      <c r="AR1000" s="8">
        <v>0</v>
      </c>
      <c r="AS1000" s="10">
        <v>2780.7570000000001</v>
      </c>
      <c r="AT1000" s="10">
        <v>2562.0369999999998</v>
      </c>
      <c r="AU1000" s="8" t="s">
        <v>204</v>
      </c>
      <c r="AV1000" s="10">
        <v>69.932000000000002</v>
      </c>
      <c r="AW1000" s="11">
        <f>IF(AND(ISNUMBER(AV1000),ISNUMBER(AT1000)),IF(AT1000&lt;&gt;0,AV1000/ABS(AT1000),""),"")</f>
        <v>2.7295468410487439E-2</v>
      </c>
      <c r="AX1000" s="8">
        <v>0</v>
      </c>
      <c r="AY1000" s="8">
        <v>0</v>
      </c>
      <c r="AZ1000" s="10"/>
      <c r="BA1000" s="8">
        <v>0</v>
      </c>
    </row>
    <row r="1001" spans="1:53" x14ac:dyDescent="0.2">
      <c r="A1001" s="8" t="s">
        <v>556</v>
      </c>
      <c r="B1001" s="8" t="s">
        <v>82</v>
      </c>
      <c r="C1001" s="8" t="s">
        <v>215</v>
      </c>
      <c r="D1001" s="8">
        <v>1</v>
      </c>
      <c r="E1001" s="8">
        <v>0</v>
      </c>
      <c r="F1001" s="8">
        <f>SUM(G1001:M1001)</f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1</v>
      </c>
      <c r="Q1001" s="8">
        <v>0</v>
      </c>
      <c r="R1001" s="8">
        <v>0</v>
      </c>
      <c r="S1001" s="8">
        <v>1</v>
      </c>
      <c r="T1001" s="10">
        <v>-9.7569999999999997</v>
      </c>
      <c r="U1001" s="10">
        <v>-14.869</v>
      </c>
      <c r="V1001" s="10">
        <v>-13.414999999999999</v>
      </c>
      <c r="W1001" s="10">
        <f>IF(RIGHT(C1001,2)="12",IF(ISNUMBER(T1001),T1001,""),IF(COUNT(T1001,U1001,V1001)=3,T1001+U1001-V1001,""))</f>
        <v>-11.210999999999999</v>
      </c>
      <c r="X1001" s="10">
        <v>-11.211</v>
      </c>
      <c r="Y1001" s="10">
        <v>-1.454</v>
      </c>
      <c r="Z1001" s="10">
        <v>-76.616</v>
      </c>
      <c r="AA1001" s="10">
        <v>69.932000000000002</v>
      </c>
      <c r="AB1001" s="10">
        <v>-3.0720000000000001</v>
      </c>
      <c r="AC1001" s="8">
        <v>0</v>
      </c>
      <c r="AD1001" s="8">
        <v>0</v>
      </c>
      <c r="AE1001" s="8">
        <v>0</v>
      </c>
      <c r="AF1001" s="10">
        <v>0</v>
      </c>
      <c r="AG1001" s="8">
        <f>COUNTIF(Y1001:AB1001,"&gt;0")</f>
        <v>1</v>
      </c>
      <c r="AH1001" s="10">
        <v>69.932000000000002</v>
      </c>
      <c r="AI1001" s="10">
        <v>0</v>
      </c>
      <c r="AJ1001" s="8" t="str">
        <f>IF(ISNUMBER(X1001),IF(X1001&gt;0,"+",IF(X1001&lt;0,"−","0")),IF(ISNUMBER(W1001),IF(W1001&gt;0,"+",IF(W1001&lt;0,"−","0")),"yok"))</f>
        <v>−</v>
      </c>
      <c r="AK1001" s="10">
        <f>IF(AND(RIGHT(C1001,2)&lt;&gt;"12",ISNUMBER(U1001),ISNUMBER(V1001)),U1001-V1001,"")</f>
        <v>-1.4540000000000006</v>
      </c>
      <c r="AL1001" s="11">
        <f>IF(AND(ISNUMBER(AK1001),ISNUMBER(V1001)),IF(V1001&lt;&gt;0,AK1001/ABS(V1001),""),"")</f>
        <v>-0.10838613492359304</v>
      </c>
      <c r="AM1001" s="8">
        <f>IF(ISNUMBER(AK1001),IF(AK1001&gt;1,1,0),"")</f>
        <v>0</v>
      </c>
      <c r="AN1001" s="8">
        <f>IF(ISNUMBER(AK1001),IF(AK1001&gt;0.05*ABS(V1001),1,0),"")</f>
        <v>0</v>
      </c>
      <c r="AO1001" s="10">
        <v>-11.212</v>
      </c>
      <c r="AP1001" s="10">
        <v>11.212</v>
      </c>
      <c r="AQ1001" s="8" t="s">
        <v>204</v>
      </c>
      <c r="AR1001" s="8">
        <v>0</v>
      </c>
      <c r="AS1001" s="10">
        <v>1493.3610000000001</v>
      </c>
      <c r="AT1001" s="10">
        <v>1272.6990000000001</v>
      </c>
      <c r="AU1001" s="8" t="s">
        <v>204</v>
      </c>
      <c r="AV1001" s="10">
        <v>69.932000000000002</v>
      </c>
      <c r="AW1001" s="11">
        <f>IF(AND(ISNUMBER(AV1001),ISNUMBER(AT1001)),IF(AT1001&lt;&gt;0,AV1001/ABS(AT1001),""),"")</f>
        <v>5.4947792054523499E-2</v>
      </c>
      <c r="AX1001" s="8">
        <v>0</v>
      </c>
      <c r="AY1001" s="8">
        <v>0</v>
      </c>
      <c r="AZ1001" s="10"/>
      <c r="BA1001" s="8">
        <v>0</v>
      </c>
    </row>
    <row r="1002" spans="1:53" x14ac:dyDescent="0.2">
      <c r="A1002" s="8" t="s">
        <v>556</v>
      </c>
      <c r="B1002" s="8" t="s">
        <v>82</v>
      </c>
      <c r="C1002" s="8" t="s">
        <v>290</v>
      </c>
      <c r="D1002" s="8">
        <v>1</v>
      </c>
      <c r="E1002" s="8">
        <v>0</v>
      </c>
      <c r="F1002" s="8">
        <f>SUM(G1002:M1002)</f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1</v>
      </c>
      <c r="Q1002" s="8">
        <v>0</v>
      </c>
      <c r="R1002" s="8">
        <v>0</v>
      </c>
      <c r="S1002" s="8">
        <v>1</v>
      </c>
      <c r="T1002" s="10">
        <v>-12.741</v>
      </c>
      <c r="U1002" s="10"/>
      <c r="V1002" s="10"/>
      <c r="W1002" s="10">
        <f>IF(RIGHT(C1002,2)="12",IF(ISNUMBER(T1002),T1002,""),IF(COUNT(T1002,U1002,V1002)=3,T1002+U1002-V1002,""))</f>
        <v>-12.741</v>
      </c>
      <c r="X1002" s="10">
        <v>-12.741</v>
      </c>
      <c r="Y1002" s="10">
        <v>-76.616</v>
      </c>
      <c r="Z1002" s="10">
        <v>69.932000000000002</v>
      </c>
      <c r="AA1002" s="10">
        <v>-3.0720000000000001</v>
      </c>
      <c r="AB1002" s="10">
        <v>-2.984</v>
      </c>
      <c r="AC1002" s="8">
        <v>0</v>
      </c>
      <c r="AD1002" s="8">
        <v>0</v>
      </c>
      <c r="AE1002" s="8">
        <v>0</v>
      </c>
      <c r="AF1002" s="10">
        <v>0</v>
      </c>
      <c r="AG1002" s="8">
        <f>COUNTIF(Y1002:AB1002,"&gt;0")</f>
        <v>1</v>
      </c>
      <c r="AH1002" s="10">
        <v>69.932000000000002</v>
      </c>
      <c r="AI1002" s="10">
        <v>0</v>
      </c>
      <c r="AJ1002" s="8" t="str">
        <f>IF(ISNUMBER(X1002),IF(X1002&gt;0,"+",IF(X1002&lt;0,"−","0")),IF(ISNUMBER(W1002),IF(W1002&gt;0,"+",IF(W1002&lt;0,"−","0")),"yok"))</f>
        <v>−</v>
      </c>
      <c r="AK1002" s="10" t="str">
        <f>IF(AND(RIGHT(C1002,2)&lt;&gt;"12",ISNUMBER(U1002),ISNUMBER(V1002)),U1002-V1002,"")</f>
        <v/>
      </c>
      <c r="AL1002" s="11" t="str">
        <f>IF(AND(ISNUMBER(AK1002),ISNUMBER(V1002)),IF(V1002&lt;&gt;0,AK1002/ABS(V1002),""),"")</f>
        <v/>
      </c>
      <c r="AM1002" s="8" t="str">
        <f>IF(ISNUMBER(AK1002),IF(AK1002&gt;1,1,0),"")</f>
        <v/>
      </c>
      <c r="AN1002" s="8" t="str">
        <f>IF(ISNUMBER(AK1002),IF(AK1002&gt;0.05*ABS(V1002),1,0),"")</f>
        <v/>
      </c>
      <c r="AO1002" s="10">
        <v>-12.742000000000001</v>
      </c>
      <c r="AP1002" s="10">
        <v>12.742000000000001</v>
      </c>
      <c r="AQ1002" s="8" t="s">
        <v>204</v>
      </c>
      <c r="AR1002" s="8">
        <v>0</v>
      </c>
      <c r="AS1002" s="10">
        <v>953.11099999999999</v>
      </c>
      <c r="AT1002" s="10">
        <v>814.34799999999996</v>
      </c>
      <c r="AU1002" s="8" t="s">
        <v>204</v>
      </c>
      <c r="AV1002" s="10">
        <v>69.932000000000002</v>
      </c>
      <c r="AW1002" s="11">
        <f>IF(AND(ISNUMBER(AV1002),ISNUMBER(AT1002)),IF(AT1002&lt;&gt;0,AV1002/ABS(AT1002),""),"")</f>
        <v>8.5874834837194922E-2</v>
      </c>
      <c r="AX1002" s="8">
        <v>0</v>
      </c>
      <c r="AY1002" s="8">
        <v>0</v>
      </c>
      <c r="AZ1002" s="10"/>
      <c r="BA1002" s="8">
        <v>0</v>
      </c>
    </row>
    <row r="1003" spans="1:53" x14ac:dyDescent="0.2">
      <c r="A1003" s="8" t="s">
        <v>557</v>
      </c>
      <c r="B1003" s="8" t="s">
        <v>82</v>
      </c>
      <c r="C1003" s="8" t="s">
        <v>203</v>
      </c>
      <c r="D1003" s="8">
        <v>1</v>
      </c>
      <c r="E1003" s="8">
        <v>0</v>
      </c>
      <c r="F1003" s="8">
        <f>SUM(G1003:M1003)</f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1</v>
      </c>
      <c r="Q1003" s="8">
        <v>0</v>
      </c>
      <c r="R1003" s="8">
        <v>1</v>
      </c>
      <c r="S1003" s="8">
        <v>0</v>
      </c>
      <c r="T1003" s="10">
        <v>-3.113</v>
      </c>
      <c r="U1003" s="10">
        <v>-3.8</v>
      </c>
      <c r="V1003" s="10"/>
      <c r="W1003" s="10" t="str">
        <f>IF(RIGHT(C1003,2)="12",IF(ISNUMBER(T1003),T1003,""),IF(COUNT(T1003,U1003,V1003)=3,T1003+U1003-V1003,""))</f>
        <v/>
      </c>
      <c r="X1003" s="10"/>
      <c r="Y1003" s="10"/>
      <c r="Z1003" s="10">
        <v>7.1980000000000004</v>
      </c>
      <c r="AA1003" s="10">
        <v>-3.8</v>
      </c>
      <c r="AB1003" s="10">
        <v>-3.113</v>
      </c>
      <c r="AC1003" s="8">
        <v>0</v>
      </c>
      <c r="AD1003" s="8">
        <v>0</v>
      </c>
      <c r="AE1003" s="8">
        <v>0</v>
      </c>
      <c r="AF1003" s="10">
        <v>0</v>
      </c>
      <c r="AG1003" s="8">
        <f>COUNTIF(Y1003:AB1003,"&gt;0")</f>
        <v>1</v>
      </c>
      <c r="AH1003" s="10">
        <v>0</v>
      </c>
      <c r="AI1003" s="10">
        <v>7.1980000000000004</v>
      </c>
      <c r="AJ1003" s="8" t="str">
        <f>IF(ISNUMBER(X1003),IF(X1003&gt;0,"+",IF(X1003&lt;0,"−","0")),IF(ISNUMBER(W1003),IF(W1003&gt;0,"+",IF(W1003&lt;0,"−","0")),"yok"))</f>
        <v>yok</v>
      </c>
      <c r="AK1003" s="10" t="str">
        <f>IF(AND(RIGHT(C1003,2)&lt;&gt;"12",ISNUMBER(U1003),ISNUMBER(V1003)),U1003-V1003,"")</f>
        <v/>
      </c>
      <c r="AL1003" s="11" t="str">
        <f>IF(AND(ISNUMBER(AK1003),ISNUMBER(V1003)),IF(V1003&lt;&gt;0,AK1003/ABS(V1003),""),"")</f>
        <v/>
      </c>
      <c r="AM1003" s="8" t="str">
        <f>IF(ISNUMBER(AK1003),IF(AK1003&gt;1,1,0),"")</f>
        <v/>
      </c>
      <c r="AN1003" s="8" t="str">
        <f>IF(ISNUMBER(AK1003),IF(AK1003&gt;0.05*ABS(V1003),1,0),"")</f>
        <v/>
      </c>
      <c r="AO1003" s="10"/>
      <c r="AP1003" s="10"/>
      <c r="AQ1003" s="8" t="s">
        <v>207</v>
      </c>
      <c r="AR1003" s="8">
        <v>0</v>
      </c>
      <c r="AS1003" s="10">
        <v>187.18700000000001</v>
      </c>
      <c r="AT1003" s="10"/>
      <c r="AU1003" s="8" t="s">
        <v>207</v>
      </c>
      <c r="AV1003" s="10">
        <v>7.1980000000000004</v>
      </c>
      <c r="AW1003" s="11" t="str">
        <f>IF(AND(ISNUMBER(AV1003),ISNUMBER(AT1003)),IF(AT1003&lt;&gt;0,AV1003/ABS(AT1003),""),"")</f>
        <v/>
      </c>
      <c r="AX1003" s="8">
        <v>0</v>
      </c>
      <c r="AY1003" s="8">
        <v>0</v>
      </c>
      <c r="AZ1003" s="10"/>
      <c r="BA1003" s="8">
        <v>0</v>
      </c>
    </row>
    <row r="1004" spans="1:53" x14ac:dyDescent="0.2">
      <c r="A1004" s="8" t="s">
        <v>649</v>
      </c>
      <c r="B1004" s="8" t="s">
        <v>83</v>
      </c>
      <c r="C1004" s="8" t="s">
        <v>290</v>
      </c>
      <c r="D1004" s="8">
        <v>1</v>
      </c>
      <c r="E1004" s="8">
        <v>0</v>
      </c>
      <c r="F1004" s="8">
        <f>SUM(G1004:M1004)</f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1</v>
      </c>
      <c r="Q1004" s="8">
        <v>0</v>
      </c>
      <c r="R1004" s="8">
        <v>0</v>
      </c>
      <c r="S1004" s="8">
        <v>1</v>
      </c>
      <c r="T1004" s="10">
        <v>-3392.0079999999998</v>
      </c>
      <c r="U1004" s="10"/>
      <c r="V1004" s="10"/>
      <c r="W1004" s="10">
        <f>IF(RIGHT(C1004,2)="12",IF(ISNUMBER(T1004),T1004,""),IF(COUNT(T1004,U1004,V1004)=3,T1004+U1004-V1004,""))</f>
        <v>-3392.0079999999998</v>
      </c>
      <c r="X1004" s="10">
        <v>-3392.0079999999998</v>
      </c>
      <c r="Y1004" s="10">
        <v>-808.428</v>
      </c>
      <c r="Z1004" s="10">
        <v>-857.67700000000002</v>
      </c>
      <c r="AA1004" s="10">
        <v>-1738.4570000000001</v>
      </c>
      <c r="AB1004" s="10">
        <v>12.555</v>
      </c>
      <c r="AC1004" s="8">
        <v>0</v>
      </c>
      <c r="AD1004" s="8">
        <v>0</v>
      </c>
      <c r="AE1004" s="8">
        <v>0</v>
      </c>
      <c r="AF1004" s="10">
        <v>0</v>
      </c>
      <c r="AG1004" s="8">
        <f>COUNTIF(Y1004:AB1004,"&gt;0")</f>
        <v>1</v>
      </c>
      <c r="AH1004" s="10">
        <v>12.555</v>
      </c>
      <c r="AI1004" s="10">
        <v>0</v>
      </c>
      <c r="AJ1004" s="8" t="str">
        <f>IF(ISNUMBER(X1004),IF(X1004&gt;0,"+",IF(X1004&lt;0,"−","0")),IF(ISNUMBER(W1004),IF(W1004&gt;0,"+",IF(W1004&lt;0,"−","0")),"yok"))</f>
        <v>−</v>
      </c>
      <c r="AK1004" s="10" t="str">
        <f>IF(AND(RIGHT(C1004,2)&lt;&gt;"12",ISNUMBER(U1004),ISNUMBER(V1004)),U1004-V1004,"")</f>
        <v/>
      </c>
      <c r="AL1004" s="11" t="str">
        <f>IF(AND(ISNUMBER(AK1004),ISNUMBER(V1004)),IF(V1004&lt;&gt;0,AK1004/ABS(V1004),""),"")</f>
        <v/>
      </c>
      <c r="AM1004" s="8" t="str">
        <f>IF(ISNUMBER(AK1004),IF(AK1004&gt;1,1,0),"")</f>
        <v/>
      </c>
      <c r="AN1004" s="8" t="str">
        <f>IF(ISNUMBER(AK1004),IF(AK1004&gt;0.05*ABS(V1004),1,0),"")</f>
        <v/>
      </c>
      <c r="AO1004" s="10">
        <v>-3392.009</v>
      </c>
      <c r="AP1004" s="10">
        <v>3392.009</v>
      </c>
      <c r="AQ1004" s="8" t="s">
        <v>204</v>
      </c>
      <c r="AR1004" s="8">
        <v>0</v>
      </c>
      <c r="AS1004" s="10">
        <v>7147.4920000000002</v>
      </c>
      <c r="AT1004" s="10">
        <v>3755.4830000000002</v>
      </c>
      <c r="AU1004" s="8" t="s">
        <v>204</v>
      </c>
      <c r="AV1004" s="10">
        <v>12.555</v>
      </c>
      <c r="AW1004" s="11">
        <f>IF(AND(ISNUMBER(AV1004),ISNUMBER(AT1004)),IF(AT1004&lt;&gt;0,AV1004/ABS(AT1004),""),"")</f>
        <v>3.3431119246179518E-3</v>
      </c>
      <c r="AX1004" s="8">
        <v>0</v>
      </c>
      <c r="AY1004" s="8">
        <v>0</v>
      </c>
      <c r="AZ1004" s="10"/>
      <c r="BA1004" s="8">
        <v>0</v>
      </c>
    </row>
    <row r="1005" spans="1:53" x14ac:dyDescent="0.2">
      <c r="A1005" s="8" t="s">
        <v>558</v>
      </c>
      <c r="B1005" s="8" t="s">
        <v>82</v>
      </c>
      <c r="C1005" s="8" t="s">
        <v>203</v>
      </c>
      <c r="D1005" s="8">
        <v>1</v>
      </c>
      <c r="E1005" s="8">
        <v>0</v>
      </c>
      <c r="F1005" s="8">
        <f>SUM(G1005:M1005)</f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1</v>
      </c>
      <c r="Q1005" s="8">
        <v>0</v>
      </c>
      <c r="R1005" s="8">
        <v>1</v>
      </c>
      <c r="S1005" s="8">
        <v>0</v>
      </c>
      <c r="T1005" s="10">
        <v>-11.898999999999999</v>
      </c>
      <c r="U1005" s="10">
        <v>-166.21799999999999</v>
      </c>
      <c r="V1005" s="10">
        <v>-138.40199999999999</v>
      </c>
      <c r="W1005" s="10">
        <f>IF(RIGHT(C1005,2)="12",IF(ISNUMBER(T1005),T1005,""),IF(COUNT(T1005,U1005,V1005)=3,T1005+U1005-V1005,""))</f>
        <v>-39.715000000000003</v>
      </c>
      <c r="X1005" s="10">
        <v>-39.715000000000003</v>
      </c>
      <c r="Y1005" s="10">
        <v>53.347000000000001</v>
      </c>
      <c r="Z1005" s="10">
        <v>-50.892000000000003</v>
      </c>
      <c r="AA1005" s="10">
        <v>-30.271000000000001</v>
      </c>
      <c r="AB1005" s="10">
        <v>-11.898999999999999</v>
      </c>
      <c r="AC1005" s="8">
        <v>0</v>
      </c>
      <c r="AD1005" s="8">
        <v>0</v>
      </c>
      <c r="AE1005" s="8">
        <v>0</v>
      </c>
      <c r="AF1005" s="10">
        <v>0</v>
      </c>
      <c r="AG1005" s="8">
        <f>COUNTIF(Y1005:AB1005,"&gt;0")</f>
        <v>1</v>
      </c>
      <c r="AH1005" s="10">
        <v>0</v>
      </c>
      <c r="AI1005" s="10">
        <v>53.347000000000001</v>
      </c>
      <c r="AJ1005" s="8" t="str">
        <f>IF(ISNUMBER(X1005),IF(X1005&gt;0,"+",IF(X1005&lt;0,"−","0")),IF(ISNUMBER(W1005),IF(W1005&gt;0,"+",IF(W1005&lt;0,"−","0")),"yok"))</f>
        <v>−</v>
      </c>
      <c r="AK1005" s="10">
        <f>IF(AND(RIGHT(C1005,2)&lt;&gt;"12",ISNUMBER(U1005),ISNUMBER(V1005)),U1005-V1005,"")</f>
        <v>-27.816000000000003</v>
      </c>
      <c r="AL1005" s="11">
        <f>IF(AND(ISNUMBER(AK1005),ISNUMBER(V1005)),IF(V1005&lt;&gt;0,AK1005/ABS(V1005),""),"")</f>
        <v>-0.20097975462782333</v>
      </c>
      <c r="AM1005" s="8">
        <f>IF(ISNUMBER(AK1005),IF(AK1005&gt;1,1,0),"")</f>
        <v>0</v>
      </c>
      <c r="AN1005" s="8">
        <f>IF(ISNUMBER(AK1005),IF(AK1005&gt;0.05*ABS(V1005),1,0),"")</f>
        <v>0</v>
      </c>
      <c r="AO1005" s="10">
        <v>-39.716000000000001</v>
      </c>
      <c r="AP1005" s="10">
        <v>39.716000000000001</v>
      </c>
      <c r="AQ1005" s="8" t="s">
        <v>204</v>
      </c>
      <c r="AR1005" s="8">
        <v>0</v>
      </c>
      <c r="AS1005" s="10">
        <v>6099.7160000000003</v>
      </c>
      <c r="AT1005" s="10">
        <v>4168.4409999999998</v>
      </c>
      <c r="AU1005" s="8" t="s">
        <v>204</v>
      </c>
      <c r="AV1005" s="10">
        <v>53.347000000000001</v>
      </c>
      <c r="AW1005" s="11">
        <f>IF(AND(ISNUMBER(AV1005),ISNUMBER(AT1005)),IF(AT1005&lt;&gt;0,AV1005/ABS(AT1005),""),"")</f>
        <v>1.2797830171999557E-2</v>
      </c>
      <c r="AX1005" s="8">
        <v>0</v>
      </c>
      <c r="AY1005" s="8">
        <v>0</v>
      </c>
      <c r="AZ1005" s="10"/>
      <c r="BA1005" s="8">
        <v>0</v>
      </c>
    </row>
    <row r="1006" spans="1:53" x14ac:dyDescent="0.2">
      <c r="A1006" s="8" t="s">
        <v>558</v>
      </c>
      <c r="B1006" s="8" t="s">
        <v>83</v>
      </c>
      <c r="C1006" s="8" t="s">
        <v>210</v>
      </c>
      <c r="D1006" s="8">
        <v>1</v>
      </c>
      <c r="E1006" s="8">
        <v>0</v>
      </c>
      <c r="F1006" s="8">
        <f>SUM(G1006:M1006)</f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1</v>
      </c>
      <c r="Q1006" s="8">
        <v>0</v>
      </c>
      <c r="R1006" s="8">
        <v>0</v>
      </c>
      <c r="S1006" s="8">
        <v>1</v>
      </c>
      <c r="T1006" s="10">
        <v>-355.72500000000002</v>
      </c>
      <c r="U1006" s="10">
        <v>-1745.7270000000001</v>
      </c>
      <c r="V1006" s="10">
        <v>-573.77200000000005</v>
      </c>
      <c r="W1006" s="10">
        <f>IF(RIGHT(C1006,2)="12",IF(ISNUMBER(T1006),T1006,""),IF(COUNT(T1006,U1006,V1006)=3,T1006+U1006-V1006,""))</f>
        <v>-1527.6800000000003</v>
      </c>
      <c r="X1006" s="10">
        <v>-1527.68</v>
      </c>
      <c r="Y1006" s="10">
        <v>-428.53500000000003</v>
      </c>
      <c r="Z1006" s="10">
        <v>-743.41899999999998</v>
      </c>
      <c r="AA1006" s="10">
        <v>-468.733</v>
      </c>
      <c r="AB1006" s="10">
        <v>113.008</v>
      </c>
      <c r="AC1006" s="8">
        <v>0</v>
      </c>
      <c r="AD1006" s="8">
        <v>0</v>
      </c>
      <c r="AE1006" s="8">
        <v>0</v>
      </c>
      <c r="AF1006" s="10">
        <v>0</v>
      </c>
      <c r="AG1006" s="8">
        <f>COUNTIF(Y1006:AB1006,"&gt;0")</f>
        <v>1</v>
      </c>
      <c r="AH1006" s="10">
        <v>113.008</v>
      </c>
      <c r="AI1006" s="10">
        <v>0</v>
      </c>
      <c r="AJ1006" s="8" t="str">
        <f>IF(ISNUMBER(X1006),IF(X1006&gt;0,"+",IF(X1006&lt;0,"−","0")),IF(ISNUMBER(W1006),IF(W1006&gt;0,"+",IF(W1006&lt;0,"−","0")),"yok"))</f>
        <v>−</v>
      </c>
      <c r="AK1006" s="10">
        <f>IF(AND(RIGHT(C1006,2)&lt;&gt;"12",ISNUMBER(U1006),ISNUMBER(V1006)),U1006-V1006,"")</f>
        <v>-1171.9549999999999</v>
      </c>
      <c r="AL1006" s="11">
        <f>IF(AND(ISNUMBER(AK1006),ISNUMBER(V1006)),IF(V1006&lt;&gt;0,AK1006/ABS(V1006),""),"")</f>
        <v>-2.0425447738823084</v>
      </c>
      <c r="AM1006" s="8">
        <f>IF(ISNUMBER(AK1006),IF(AK1006&gt;1,1,0),"")</f>
        <v>0</v>
      </c>
      <c r="AN1006" s="8">
        <f>IF(ISNUMBER(AK1006),IF(AK1006&gt;0.05*ABS(V1006),1,0),"")</f>
        <v>0</v>
      </c>
      <c r="AO1006" s="10">
        <v>-1527.68</v>
      </c>
      <c r="AP1006" s="10">
        <v>1527.68</v>
      </c>
      <c r="AQ1006" s="8" t="s">
        <v>204</v>
      </c>
      <c r="AR1006" s="8">
        <v>0</v>
      </c>
      <c r="AS1006" s="10">
        <v>-2001.5229999999999</v>
      </c>
      <c r="AT1006" s="10">
        <v>-3589.2089999999998</v>
      </c>
      <c r="AU1006" s="8" t="s">
        <v>204</v>
      </c>
      <c r="AV1006" s="10">
        <v>113.008</v>
      </c>
      <c r="AW1006" s="11">
        <f>IF(AND(ISNUMBER(AV1006),ISNUMBER(AT1006)),IF(AT1006&lt;&gt;0,AV1006/ABS(AT1006),""),"")</f>
        <v>3.1485488863980893E-2</v>
      </c>
      <c r="AX1006" s="8">
        <v>0</v>
      </c>
      <c r="AY1006" s="8">
        <v>0</v>
      </c>
      <c r="AZ1006" s="10"/>
      <c r="BA1006" s="8">
        <v>0</v>
      </c>
    </row>
    <row r="1007" spans="1:53" x14ac:dyDescent="0.2">
      <c r="A1007" s="8" t="s">
        <v>650</v>
      </c>
      <c r="B1007" s="8" t="s">
        <v>83</v>
      </c>
      <c r="C1007" s="8" t="s">
        <v>203</v>
      </c>
      <c r="D1007" s="8">
        <v>0</v>
      </c>
      <c r="E1007" s="8">
        <v>1</v>
      </c>
      <c r="F1007" s="8">
        <f>SUM(G1007:M1007)</f>
        <v>2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1</v>
      </c>
      <c r="M1007" s="8">
        <v>1</v>
      </c>
      <c r="N1007" s="8">
        <v>1</v>
      </c>
      <c r="O1007" s="8">
        <v>0</v>
      </c>
      <c r="P1007" s="8">
        <v>1</v>
      </c>
      <c r="Q1007" s="8">
        <v>0</v>
      </c>
      <c r="R1007" s="8">
        <v>0</v>
      </c>
      <c r="S1007" s="8">
        <v>0</v>
      </c>
      <c r="T1007" s="10">
        <v>-52.41</v>
      </c>
      <c r="U1007" s="10">
        <v>-242.209</v>
      </c>
      <c r="V1007" s="10">
        <v>-368.48099999999999</v>
      </c>
      <c r="W1007" s="10">
        <f>IF(RIGHT(C1007,2)="12",IF(ISNUMBER(T1007),T1007,""),IF(COUNT(T1007,U1007,V1007)=3,T1007+U1007-V1007,""))</f>
        <v>73.861999999999966</v>
      </c>
      <c r="X1007" s="10">
        <v>73.86</v>
      </c>
      <c r="Y1007" s="10">
        <v>-49.558999999999997</v>
      </c>
      <c r="Z1007" s="10">
        <v>-19.175999999999998</v>
      </c>
      <c r="AA1007" s="10">
        <v>195.00700000000001</v>
      </c>
      <c r="AB1007" s="10">
        <v>-52.41</v>
      </c>
      <c r="AC1007" s="8">
        <v>0</v>
      </c>
      <c r="AD1007" s="8">
        <v>0</v>
      </c>
      <c r="AE1007" s="8">
        <v>0</v>
      </c>
      <c r="AF1007" s="10">
        <v>0</v>
      </c>
      <c r="AG1007" s="8">
        <f>COUNTIF(Y1007:AB1007,"&gt;0")</f>
        <v>1</v>
      </c>
      <c r="AH1007" s="10">
        <v>0</v>
      </c>
      <c r="AI1007" s="10">
        <v>195.00700000000001</v>
      </c>
      <c r="AJ1007" s="8" t="str">
        <f>IF(ISNUMBER(X1007),IF(X1007&gt;0,"+",IF(X1007&lt;0,"−","0")),IF(ISNUMBER(W1007),IF(W1007&gt;0,"+",IF(W1007&lt;0,"−","0")),"yok"))</f>
        <v>+</v>
      </c>
      <c r="AK1007" s="10">
        <f>IF(AND(RIGHT(C1007,2)&lt;&gt;"12",ISNUMBER(U1007),ISNUMBER(V1007)),U1007-V1007,"")</f>
        <v>126.27199999999999</v>
      </c>
      <c r="AL1007" s="11">
        <f>IF(AND(ISNUMBER(AK1007),ISNUMBER(V1007)),IF(V1007&lt;&gt;0,AK1007/ABS(V1007),""),"")</f>
        <v>0.34268252637178037</v>
      </c>
      <c r="AM1007" s="8">
        <f>IF(ISNUMBER(AK1007),IF(AK1007&gt;1,1,0),"")</f>
        <v>1</v>
      </c>
      <c r="AN1007" s="8">
        <f>IF(ISNUMBER(AK1007),IF(AK1007&gt;0.05*ABS(V1007),1,0),"")</f>
        <v>1</v>
      </c>
      <c r="AO1007" s="10"/>
      <c r="AP1007" s="10"/>
      <c r="AQ1007" s="10"/>
      <c r="AR1007" s="8">
        <v>0</v>
      </c>
      <c r="AS1007" s="10"/>
      <c r="AT1007" s="10"/>
      <c r="AU1007" s="10"/>
      <c r="AV1007" s="10">
        <v>126.27200000000001</v>
      </c>
      <c r="AW1007" s="11" t="str">
        <f>IF(AND(ISNUMBER(AV1007),ISNUMBER(AT1007)),IF(AT1007&lt;&gt;0,AV1007/ABS(AT1007),""),"")</f>
        <v/>
      </c>
      <c r="AX1007" s="8">
        <v>0</v>
      </c>
      <c r="AY1007" s="8">
        <v>1</v>
      </c>
      <c r="AZ1007" s="10"/>
      <c r="BA1007" s="8">
        <v>0</v>
      </c>
    </row>
    <row r="1008" spans="1:53" x14ac:dyDescent="0.2">
      <c r="A1008" s="8" t="s">
        <v>650</v>
      </c>
      <c r="B1008" s="8" t="s">
        <v>83</v>
      </c>
      <c r="C1008" s="8" t="s">
        <v>205</v>
      </c>
      <c r="D1008" s="8">
        <v>0</v>
      </c>
      <c r="E1008" s="8">
        <v>1</v>
      </c>
      <c r="F1008" s="8">
        <f>SUM(G1008:M1008)</f>
        <v>2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1</v>
      </c>
      <c r="M1008" s="8">
        <v>1</v>
      </c>
      <c r="N1008" s="8">
        <v>1</v>
      </c>
      <c r="O1008" s="8">
        <v>0</v>
      </c>
      <c r="P1008" s="8">
        <v>1</v>
      </c>
      <c r="Q1008" s="8">
        <v>0</v>
      </c>
      <c r="R1008" s="8">
        <v>0</v>
      </c>
      <c r="S1008" s="8">
        <v>0</v>
      </c>
      <c r="T1008" s="10">
        <v>-59.585999999999999</v>
      </c>
      <c r="U1008" s="10">
        <v>-242.209</v>
      </c>
      <c r="V1008" s="10">
        <v>-418.04</v>
      </c>
      <c r="W1008" s="10">
        <f>IF(RIGHT(C1008,2)="12",IF(ISNUMBER(T1008),T1008,""),IF(COUNT(T1008,U1008,V1008)=3,T1008+U1008-V1008,""))</f>
        <v>116.245</v>
      </c>
      <c r="X1008" s="10">
        <v>116.244</v>
      </c>
      <c r="Y1008" s="10">
        <v>-19.175999999999998</v>
      </c>
      <c r="Z1008" s="10">
        <v>195.00700000000001</v>
      </c>
      <c r="AA1008" s="10">
        <v>-52.41</v>
      </c>
      <c r="AB1008" s="10">
        <v>-7.1749999999999998</v>
      </c>
      <c r="AC1008" s="8">
        <v>0</v>
      </c>
      <c r="AD1008" s="8">
        <v>0</v>
      </c>
      <c r="AE1008" s="8">
        <v>0</v>
      </c>
      <c r="AF1008" s="10">
        <v>0</v>
      </c>
      <c r="AG1008" s="8">
        <f>COUNTIF(Y1008:AB1008,"&gt;0")</f>
        <v>1</v>
      </c>
      <c r="AH1008" s="10">
        <v>0</v>
      </c>
      <c r="AI1008" s="10">
        <v>195.00700000000001</v>
      </c>
      <c r="AJ1008" s="8" t="str">
        <f>IF(ISNUMBER(X1008),IF(X1008&gt;0,"+",IF(X1008&lt;0,"−","0")),IF(ISNUMBER(W1008),IF(W1008&gt;0,"+",IF(W1008&lt;0,"−","0")),"yok"))</f>
        <v>+</v>
      </c>
      <c r="AK1008" s="10">
        <f>IF(AND(RIGHT(C1008,2)&lt;&gt;"12",ISNUMBER(U1008),ISNUMBER(V1008)),U1008-V1008,"")</f>
        <v>175.83100000000002</v>
      </c>
      <c r="AL1008" s="11">
        <f>IF(AND(ISNUMBER(AK1008),ISNUMBER(V1008)),IF(V1008&lt;&gt;0,AK1008/ABS(V1008),""),"")</f>
        <v>0.42060807578222181</v>
      </c>
      <c r="AM1008" s="8">
        <f>IF(ISNUMBER(AK1008),IF(AK1008&gt;1,1,0),"")</f>
        <v>1</v>
      </c>
      <c r="AN1008" s="8">
        <f>IF(ISNUMBER(AK1008),IF(AK1008&gt;0.05*ABS(V1008),1,0),"")</f>
        <v>1</v>
      </c>
      <c r="AO1008" s="10"/>
      <c r="AP1008" s="10"/>
      <c r="AQ1008" s="10"/>
      <c r="AR1008" s="8">
        <v>0</v>
      </c>
      <c r="AS1008" s="10"/>
      <c r="AT1008" s="10"/>
      <c r="AU1008" s="10"/>
      <c r="AV1008" s="10">
        <v>175.83099999999999</v>
      </c>
      <c r="AW1008" s="11" t="str">
        <f>IF(AND(ISNUMBER(AV1008),ISNUMBER(AT1008)),IF(AT1008&lt;&gt;0,AV1008/ABS(AT1008),""),"")</f>
        <v/>
      </c>
      <c r="AX1008" s="8">
        <v>0</v>
      </c>
      <c r="AY1008" s="8">
        <v>1</v>
      </c>
      <c r="AZ1008" s="10"/>
      <c r="BA1008" s="8">
        <v>0</v>
      </c>
    </row>
    <row r="1009" spans="1:53" x14ac:dyDescent="0.2">
      <c r="A1009" s="8" t="s">
        <v>650</v>
      </c>
      <c r="B1009" s="8" t="s">
        <v>83</v>
      </c>
      <c r="C1009" s="8" t="s">
        <v>215</v>
      </c>
      <c r="D1009" s="8">
        <v>0</v>
      </c>
      <c r="E1009" s="8">
        <v>1</v>
      </c>
      <c r="F1009" s="8">
        <f>SUM(G1009:M1009)</f>
        <v>2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1</v>
      </c>
      <c r="M1009" s="8">
        <v>1</v>
      </c>
      <c r="N1009" s="8">
        <v>1</v>
      </c>
      <c r="O1009" s="8">
        <v>0</v>
      </c>
      <c r="P1009" s="8">
        <v>1</v>
      </c>
      <c r="Q1009" s="8">
        <v>0</v>
      </c>
      <c r="R1009" s="8">
        <v>0</v>
      </c>
      <c r="S1009" s="8">
        <v>0</v>
      </c>
      <c r="T1009" s="10">
        <v>-191.631</v>
      </c>
      <c r="U1009" s="10">
        <v>-242.209</v>
      </c>
      <c r="V1009" s="10">
        <v>-437.21600000000001</v>
      </c>
      <c r="W1009" s="10">
        <f>IF(RIGHT(C1009,2)="12",IF(ISNUMBER(T1009),T1009,""),IF(COUNT(T1009,U1009,V1009)=3,T1009+U1009-V1009,""))</f>
        <v>3.3759999999999764</v>
      </c>
      <c r="X1009" s="10">
        <v>3.375</v>
      </c>
      <c r="Y1009" s="10">
        <v>195.00700000000001</v>
      </c>
      <c r="Z1009" s="10">
        <v>-52.41</v>
      </c>
      <c r="AA1009" s="10">
        <v>-7.1749999999999998</v>
      </c>
      <c r="AB1009" s="10">
        <v>-132.04499999999999</v>
      </c>
      <c r="AC1009" s="8">
        <v>0</v>
      </c>
      <c r="AD1009" s="8">
        <v>0</v>
      </c>
      <c r="AE1009" s="8">
        <v>0</v>
      </c>
      <c r="AF1009" s="10">
        <v>0</v>
      </c>
      <c r="AG1009" s="8">
        <f>COUNTIF(Y1009:AB1009,"&gt;0")</f>
        <v>1</v>
      </c>
      <c r="AH1009" s="10">
        <v>0</v>
      </c>
      <c r="AI1009" s="10">
        <v>195.00700000000001</v>
      </c>
      <c r="AJ1009" s="8" t="str">
        <f>IF(ISNUMBER(X1009),IF(X1009&gt;0,"+",IF(X1009&lt;0,"−","0")),IF(ISNUMBER(W1009),IF(W1009&gt;0,"+",IF(W1009&lt;0,"−","0")),"yok"))</f>
        <v>+</v>
      </c>
      <c r="AK1009" s="10">
        <f>IF(AND(RIGHT(C1009,2)&lt;&gt;"12",ISNUMBER(U1009),ISNUMBER(V1009)),U1009-V1009,"")</f>
        <v>195.00700000000001</v>
      </c>
      <c r="AL1009" s="11">
        <f>IF(AND(ISNUMBER(AK1009),ISNUMBER(V1009)),IF(V1009&lt;&gt;0,AK1009/ABS(V1009),""),"")</f>
        <v>0.44601981629217596</v>
      </c>
      <c r="AM1009" s="8">
        <f>IF(ISNUMBER(AK1009),IF(AK1009&gt;1,1,0),"")</f>
        <v>1</v>
      </c>
      <c r="AN1009" s="8">
        <f>IF(ISNUMBER(AK1009),IF(AK1009&gt;0.05*ABS(V1009),1,0),"")</f>
        <v>1</v>
      </c>
      <c r="AO1009" s="10"/>
      <c r="AP1009" s="10"/>
      <c r="AQ1009" s="10"/>
      <c r="AR1009" s="8">
        <v>0</v>
      </c>
      <c r="AS1009" s="10"/>
      <c r="AT1009" s="10"/>
      <c r="AU1009" s="10"/>
      <c r="AV1009" s="10">
        <v>195.00700000000001</v>
      </c>
      <c r="AW1009" s="11" t="str">
        <f>IF(AND(ISNUMBER(AV1009),ISNUMBER(AT1009)),IF(AT1009&lt;&gt;0,AV1009/ABS(AT1009),""),"")</f>
        <v/>
      </c>
      <c r="AX1009" s="8">
        <v>0</v>
      </c>
      <c r="AY1009" s="8">
        <v>1</v>
      </c>
      <c r="AZ1009" s="10"/>
      <c r="BA1009" s="8">
        <v>0</v>
      </c>
    </row>
    <row r="1010" spans="1:53" x14ac:dyDescent="0.2">
      <c r="A1010" s="8" t="s">
        <v>650</v>
      </c>
      <c r="B1010" s="8" t="s">
        <v>84</v>
      </c>
      <c r="C1010" s="8" t="s">
        <v>208</v>
      </c>
      <c r="D1010" s="8">
        <v>0</v>
      </c>
      <c r="E1010" s="8">
        <v>1</v>
      </c>
      <c r="F1010" s="8">
        <f>SUM(G1010:M1010)</f>
        <v>1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1</v>
      </c>
      <c r="N1010" s="8">
        <v>0</v>
      </c>
      <c r="O1010" s="8">
        <v>0</v>
      </c>
      <c r="P1010" s="8">
        <v>1</v>
      </c>
      <c r="Q1010" s="8">
        <v>0</v>
      </c>
      <c r="R1010" s="8">
        <v>0</v>
      </c>
      <c r="S1010" s="8">
        <v>0</v>
      </c>
      <c r="T1010" s="10">
        <v>-2.3029999999999999</v>
      </c>
      <c r="U1010" s="10">
        <v>-173.13200000000001</v>
      </c>
      <c r="V1010" s="10">
        <v>0</v>
      </c>
      <c r="W1010" s="10">
        <f>IF(RIGHT(C1010,2)="12",IF(ISNUMBER(T1010),T1010,""),IF(COUNT(T1010,U1010,V1010)=3,T1010+U1010-V1010,""))</f>
        <v>-175.435</v>
      </c>
      <c r="X1010" s="10">
        <v>-175.43600000000001</v>
      </c>
      <c r="Y1010" s="10">
        <v>0</v>
      </c>
      <c r="Z1010" s="10">
        <v>-777.48299999999995</v>
      </c>
      <c r="AA1010" s="10">
        <v>604.35</v>
      </c>
      <c r="AB1010" s="10">
        <v>-2.3029999999999999</v>
      </c>
      <c r="AC1010" s="8">
        <v>0</v>
      </c>
      <c r="AD1010" s="8">
        <v>0</v>
      </c>
      <c r="AE1010" s="8">
        <v>0</v>
      </c>
      <c r="AF1010" s="10">
        <v>0</v>
      </c>
      <c r="AG1010" s="8">
        <f>COUNTIF(Y1010:AB1010,"&gt;0")</f>
        <v>1</v>
      </c>
      <c r="AH1010" s="10">
        <v>0</v>
      </c>
      <c r="AI1010" s="10">
        <v>604.35</v>
      </c>
      <c r="AJ1010" s="8" t="str">
        <f>IF(ISNUMBER(X1010),IF(X1010&gt;0,"+",IF(X1010&lt;0,"−","0")),IF(ISNUMBER(W1010),IF(W1010&gt;0,"+",IF(W1010&lt;0,"−","0")),"yok"))</f>
        <v>−</v>
      </c>
      <c r="AK1010" s="10">
        <f>IF(AND(RIGHT(C1010,2)&lt;&gt;"12",ISNUMBER(U1010),ISNUMBER(V1010)),U1010-V1010,"")</f>
        <v>-173.13200000000001</v>
      </c>
      <c r="AL1010" s="11" t="str">
        <f>IF(AND(ISNUMBER(AK1010),ISNUMBER(V1010)),IF(V1010&lt;&gt;0,AK1010/ABS(V1010),""),"")</f>
        <v/>
      </c>
      <c r="AM1010" s="8">
        <f>IF(ISNUMBER(AK1010),IF(AK1010&gt;1,1,0),"")</f>
        <v>0</v>
      </c>
      <c r="AN1010" s="8">
        <f>IF(ISNUMBER(AK1010),IF(AK1010&gt;0.05*ABS(V1010),1,0),"")</f>
        <v>0</v>
      </c>
      <c r="AO1010" s="10"/>
      <c r="AP1010" s="10"/>
      <c r="AQ1010" s="10"/>
      <c r="AR1010" s="8">
        <v>0</v>
      </c>
      <c r="AS1010" s="10"/>
      <c r="AT1010" s="10"/>
      <c r="AU1010" s="10"/>
      <c r="AV1010" s="10">
        <v>604.35</v>
      </c>
      <c r="AW1010" s="11" t="str">
        <f>IF(AND(ISNUMBER(AV1010),ISNUMBER(AT1010)),IF(AT1010&lt;&gt;0,AV1010/ABS(AT1010),""),"")</f>
        <v/>
      </c>
      <c r="AX1010" s="8">
        <v>0</v>
      </c>
      <c r="AY1010" s="8">
        <v>0</v>
      </c>
      <c r="AZ1010" s="10"/>
      <c r="BA1010" s="8">
        <v>0</v>
      </c>
    </row>
    <row r="1011" spans="1:53" x14ac:dyDescent="0.2">
      <c r="A1011" s="8" t="s">
        <v>650</v>
      </c>
      <c r="B1011" s="8" t="s">
        <v>84</v>
      </c>
      <c r="C1011" s="8" t="s">
        <v>210</v>
      </c>
      <c r="D1011" s="8">
        <v>0</v>
      </c>
      <c r="E1011" s="8">
        <v>1</v>
      </c>
      <c r="F1011" s="8">
        <f>SUM(G1011:M1011)</f>
        <v>1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1</v>
      </c>
      <c r="N1011" s="8">
        <v>0</v>
      </c>
      <c r="O1011" s="8">
        <v>0</v>
      </c>
      <c r="P1011" s="8">
        <v>1</v>
      </c>
      <c r="Q1011" s="8">
        <v>0</v>
      </c>
      <c r="R1011" s="8">
        <v>0</v>
      </c>
      <c r="S1011" s="8">
        <v>0</v>
      </c>
      <c r="T1011" s="10">
        <v>-3.0720000000000001</v>
      </c>
      <c r="U1011" s="10">
        <v>-173.13200000000001</v>
      </c>
      <c r="V1011" s="10">
        <v>0</v>
      </c>
      <c r="W1011" s="10">
        <f>IF(RIGHT(C1011,2)="12",IF(ISNUMBER(T1011),T1011,""),IF(COUNT(T1011,U1011,V1011)=3,T1011+U1011-V1011,""))</f>
        <v>-176.20400000000001</v>
      </c>
      <c r="X1011" s="10">
        <v>-176.20400000000001</v>
      </c>
      <c r="Y1011" s="10">
        <v>-777.48299999999995</v>
      </c>
      <c r="Z1011" s="10">
        <v>604.35</v>
      </c>
      <c r="AA1011" s="10">
        <v>-2.3029999999999999</v>
      </c>
      <c r="AB1011" s="10">
        <v>-0.76800000000000002</v>
      </c>
      <c r="AC1011" s="8">
        <v>0</v>
      </c>
      <c r="AD1011" s="8">
        <v>0</v>
      </c>
      <c r="AE1011" s="8">
        <v>0</v>
      </c>
      <c r="AF1011" s="10">
        <v>0</v>
      </c>
      <c r="AG1011" s="8">
        <f>COUNTIF(Y1011:AB1011,"&gt;0")</f>
        <v>1</v>
      </c>
      <c r="AH1011" s="10">
        <v>0</v>
      </c>
      <c r="AI1011" s="10">
        <v>604.35</v>
      </c>
      <c r="AJ1011" s="8" t="str">
        <f>IF(ISNUMBER(X1011),IF(X1011&gt;0,"+",IF(X1011&lt;0,"−","0")),IF(ISNUMBER(W1011),IF(W1011&gt;0,"+",IF(W1011&lt;0,"−","0")),"yok"))</f>
        <v>−</v>
      </c>
      <c r="AK1011" s="10">
        <f>IF(AND(RIGHT(C1011,2)&lt;&gt;"12",ISNUMBER(U1011),ISNUMBER(V1011)),U1011-V1011,"")</f>
        <v>-173.13200000000001</v>
      </c>
      <c r="AL1011" s="11" t="str">
        <f>IF(AND(ISNUMBER(AK1011),ISNUMBER(V1011)),IF(V1011&lt;&gt;0,AK1011/ABS(V1011),""),"")</f>
        <v/>
      </c>
      <c r="AM1011" s="8">
        <f>IF(ISNUMBER(AK1011),IF(AK1011&gt;1,1,0),"")</f>
        <v>0</v>
      </c>
      <c r="AN1011" s="8">
        <f>IF(ISNUMBER(AK1011),IF(AK1011&gt;0.05*ABS(V1011),1,0),"")</f>
        <v>0</v>
      </c>
      <c r="AO1011" s="10"/>
      <c r="AP1011" s="10"/>
      <c r="AQ1011" s="10"/>
      <c r="AR1011" s="8">
        <v>0</v>
      </c>
      <c r="AS1011" s="10"/>
      <c r="AT1011" s="10"/>
      <c r="AU1011" s="10"/>
      <c r="AV1011" s="10">
        <v>604.35</v>
      </c>
      <c r="AW1011" s="11" t="str">
        <f>IF(AND(ISNUMBER(AV1011),ISNUMBER(AT1011)),IF(AT1011&lt;&gt;0,AV1011/ABS(AT1011),""),"")</f>
        <v/>
      </c>
      <c r="AX1011" s="8">
        <v>0</v>
      </c>
      <c r="AY1011" s="8">
        <v>0</v>
      </c>
      <c r="AZ1011" s="10"/>
      <c r="BA1011" s="8">
        <v>0</v>
      </c>
    </row>
    <row r="1012" spans="1:53" x14ac:dyDescent="0.2">
      <c r="A1012" s="8" t="s">
        <v>651</v>
      </c>
      <c r="B1012" s="8" t="s">
        <v>83</v>
      </c>
      <c r="C1012" s="8" t="s">
        <v>208</v>
      </c>
      <c r="D1012" s="8">
        <v>0</v>
      </c>
      <c r="E1012" s="8">
        <v>1</v>
      </c>
      <c r="F1012" s="8">
        <f>SUM(G1012:M1012)</f>
        <v>1</v>
      </c>
      <c r="G1012" s="8">
        <v>0</v>
      </c>
      <c r="H1012" s="8">
        <v>0</v>
      </c>
      <c r="I1012" s="8">
        <v>0</v>
      </c>
      <c r="J1012" s="8">
        <v>0</v>
      </c>
      <c r="K1012" s="8">
        <v>1</v>
      </c>
      <c r="L1012" s="8">
        <v>0</v>
      </c>
      <c r="M1012" s="8">
        <v>0</v>
      </c>
      <c r="N1012" s="8">
        <v>0</v>
      </c>
      <c r="O1012" s="8">
        <v>1</v>
      </c>
      <c r="P1012" s="8">
        <v>1</v>
      </c>
      <c r="Q1012" s="8">
        <v>0</v>
      </c>
      <c r="R1012" s="8">
        <v>0</v>
      </c>
      <c r="S1012" s="8">
        <v>0</v>
      </c>
      <c r="T1012" s="10">
        <v>0</v>
      </c>
      <c r="U1012" s="10">
        <v>-0.33600000000000002</v>
      </c>
      <c r="V1012" s="10">
        <v>0.1</v>
      </c>
      <c r="W1012" s="10">
        <f>IF(RIGHT(C1012,2)="12",IF(ISNUMBER(T1012),T1012,""),IF(COUNT(T1012,U1012,V1012)=3,T1012+U1012-V1012,""))</f>
        <v>-0.43600000000000005</v>
      </c>
      <c r="X1012" s="10">
        <v>-0.436</v>
      </c>
      <c r="Y1012" s="10">
        <v>-0.155</v>
      </c>
      <c r="Z1012" s="10">
        <v>4.5999999999999999E-2</v>
      </c>
      <c r="AA1012" s="10">
        <v>-0.32700000000000001</v>
      </c>
      <c r="AB1012" s="10">
        <v>0</v>
      </c>
      <c r="AC1012" s="8">
        <v>0</v>
      </c>
      <c r="AD1012" s="8">
        <v>0</v>
      </c>
      <c r="AE1012" s="8">
        <v>1</v>
      </c>
      <c r="AF1012" s="10">
        <v>0.1</v>
      </c>
      <c r="AG1012" s="8">
        <f>COUNTIF(Y1012:AB1012,"&gt;0")</f>
        <v>1</v>
      </c>
      <c r="AH1012" s="10">
        <v>0</v>
      </c>
      <c r="AI1012" s="10">
        <v>4.5999999999999999E-2</v>
      </c>
      <c r="AJ1012" s="8" t="str">
        <f>IF(ISNUMBER(X1012),IF(X1012&gt;0,"+",IF(X1012&lt;0,"−","0")),IF(ISNUMBER(W1012),IF(W1012&gt;0,"+",IF(W1012&lt;0,"−","0")),"yok"))</f>
        <v>−</v>
      </c>
      <c r="AK1012" s="10">
        <f>IF(AND(RIGHT(C1012,2)&lt;&gt;"12",ISNUMBER(U1012),ISNUMBER(V1012)),U1012-V1012,"")</f>
        <v>-0.43600000000000005</v>
      </c>
      <c r="AL1012" s="11">
        <f>IF(AND(ISNUMBER(AK1012),ISNUMBER(V1012)),IF(V1012&lt;&gt;0,AK1012/ABS(V1012),""),"")</f>
        <v>-4.3600000000000003</v>
      </c>
      <c r="AM1012" s="8">
        <f>IF(ISNUMBER(AK1012),IF(AK1012&gt;1,1,0),"")</f>
        <v>0</v>
      </c>
      <c r="AN1012" s="8">
        <f>IF(ISNUMBER(AK1012),IF(AK1012&gt;0.05*ABS(V1012),1,0),"")</f>
        <v>0</v>
      </c>
      <c r="AO1012" s="10"/>
      <c r="AP1012" s="10"/>
      <c r="AQ1012" s="10"/>
      <c r="AR1012" s="8">
        <v>0</v>
      </c>
      <c r="AS1012" s="10"/>
      <c r="AT1012" s="10"/>
      <c r="AU1012" s="10"/>
      <c r="AV1012" s="10">
        <v>0.1</v>
      </c>
      <c r="AW1012" s="11" t="str">
        <f>IF(AND(ISNUMBER(AV1012),ISNUMBER(AT1012)),IF(AT1012&lt;&gt;0,AV1012/ABS(AT1012),""),"")</f>
        <v/>
      </c>
      <c r="AX1012" s="8">
        <v>1</v>
      </c>
      <c r="AY1012" s="8">
        <v>0</v>
      </c>
      <c r="AZ1012" s="8" t="s">
        <v>652</v>
      </c>
      <c r="BA1012" s="8">
        <v>0</v>
      </c>
    </row>
    <row r="1013" spans="1:53" x14ac:dyDescent="0.2">
      <c r="A1013" s="8" t="s">
        <v>653</v>
      </c>
      <c r="B1013" s="8" t="s">
        <v>84</v>
      </c>
      <c r="C1013" s="8" t="s">
        <v>203</v>
      </c>
      <c r="D1013" s="8">
        <v>0</v>
      </c>
      <c r="E1013" s="8">
        <v>1</v>
      </c>
      <c r="F1013" s="8">
        <f>SUM(G1013:M1013)</f>
        <v>2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1</v>
      </c>
      <c r="M1013" s="8">
        <v>1</v>
      </c>
      <c r="N1013" s="8">
        <v>1</v>
      </c>
      <c r="O1013" s="8">
        <v>0</v>
      </c>
      <c r="P1013" s="8">
        <v>1</v>
      </c>
      <c r="Q1013" s="8">
        <v>0</v>
      </c>
      <c r="R1013" s="8">
        <v>0</v>
      </c>
      <c r="S1013" s="8">
        <v>0</v>
      </c>
      <c r="T1013" s="10">
        <v>-4.5839999999999996</v>
      </c>
      <c r="U1013" s="10">
        <v>-5.2880000000000003</v>
      </c>
      <c r="V1013" s="10">
        <v>-62.646000000000001</v>
      </c>
      <c r="W1013" s="10">
        <f>IF(RIGHT(C1013,2)="12",IF(ISNUMBER(T1013),T1013,""),IF(COUNT(T1013,U1013,V1013)=3,T1013+U1013-V1013,""))</f>
        <v>52.774000000000001</v>
      </c>
      <c r="X1013" s="10">
        <v>52.773000000000003</v>
      </c>
      <c r="Y1013" s="10">
        <v>62.646000000000001</v>
      </c>
      <c r="Z1013" s="10"/>
      <c r="AA1013" s="10"/>
      <c r="AB1013" s="10">
        <v>-4.5839999999999996</v>
      </c>
      <c r="AC1013" s="8">
        <v>0</v>
      </c>
      <c r="AD1013" s="8">
        <v>0</v>
      </c>
      <c r="AE1013" s="8">
        <v>0</v>
      </c>
      <c r="AF1013" s="10">
        <v>0</v>
      </c>
      <c r="AG1013" s="8">
        <f>COUNTIF(Y1013:AB1013,"&gt;0")</f>
        <v>1</v>
      </c>
      <c r="AH1013" s="10">
        <v>0</v>
      </c>
      <c r="AI1013" s="10">
        <v>62.646000000000001</v>
      </c>
      <c r="AJ1013" s="8" t="str">
        <f>IF(ISNUMBER(X1013),IF(X1013&gt;0,"+",IF(X1013&lt;0,"−","0")),IF(ISNUMBER(W1013),IF(W1013&gt;0,"+",IF(W1013&lt;0,"−","0")),"yok"))</f>
        <v>+</v>
      </c>
      <c r="AK1013" s="10">
        <f>IF(AND(RIGHT(C1013,2)&lt;&gt;"12",ISNUMBER(U1013),ISNUMBER(V1013)),U1013-V1013,"")</f>
        <v>57.358000000000004</v>
      </c>
      <c r="AL1013" s="11">
        <f>IF(AND(ISNUMBER(AK1013),ISNUMBER(V1013)),IF(V1013&lt;&gt;0,AK1013/ABS(V1013),""),"")</f>
        <v>0.91558918366695408</v>
      </c>
      <c r="AM1013" s="8">
        <f>IF(ISNUMBER(AK1013),IF(AK1013&gt;1,1,0),"")</f>
        <v>1</v>
      </c>
      <c r="AN1013" s="8">
        <f>IF(ISNUMBER(AK1013),IF(AK1013&gt;0.05*ABS(V1013),1,0),"")</f>
        <v>1</v>
      </c>
      <c r="AO1013" s="10"/>
      <c r="AP1013" s="10"/>
      <c r="AQ1013" s="10"/>
      <c r="AR1013" s="8">
        <v>0</v>
      </c>
      <c r="AS1013" s="10"/>
      <c r="AT1013" s="10"/>
      <c r="AU1013" s="10"/>
      <c r="AV1013" s="10">
        <v>57.357999999999997</v>
      </c>
      <c r="AW1013" s="11" t="str">
        <f>IF(AND(ISNUMBER(AV1013),ISNUMBER(AT1013)),IF(AT1013&lt;&gt;0,AV1013/ABS(AT1013),""),"")</f>
        <v/>
      </c>
      <c r="AX1013" s="8">
        <v>0</v>
      </c>
      <c r="AY1013" s="8">
        <v>1</v>
      </c>
      <c r="AZ1013" s="10"/>
      <c r="BA1013" s="8">
        <v>0</v>
      </c>
    </row>
    <row r="1014" spans="1:53" x14ac:dyDescent="0.2">
      <c r="A1014" s="8" t="s">
        <v>653</v>
      </c>
      <c r="B1014" s="8" t="s">
        <v>84</v>
      </c>
      <c r="C1014" s="8" t="s">
        <v>208</v>
      </c>
      <c r="D1014" s="8">
        <v>0</v>
      </c>
      <c r="E1014" s="8">
        <v>1</v>
      </c>
      <c r="F1014" s="8">
        <f>SUM(G1014:M1014)</f>
        <v>1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1</v>
      </c>
      <c r="M1014" s="8">
        <v>0</v>
      </c>
      <c r="N1014" s="8">
        <v>1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10">
        <v>0</v>
      </c>
      <c r="U1014" s="10">
        <v>0</v>
      </c>
      <c r="V1014" s="10">
        <v>-4.5839999999999996</v>
      </c>
      <c r="W1014" s="10">
        <f>IF(RIGHT(C1014,2)="12",IF(ISNUMBER(T1014),T1014,""),IF(COUNT(T1014,U1014,V1014)=3,T1014+U1014-V1014,""))</f>
        <v>4.5839999999999996</v>
      </c>
      <c r="X1014" s="10">
        <v>4.5839999999999996</v>
      </c>
      <c r="Y1014" s="10"/>
      <c r="Z1014" s="10"/>
      <c r="AA1014" s="10"/>
      <c r="AB1014" s="10">
        <v>0</v>
      </c>
      <c r="AC1014" s="8">
        <v>0</v>
      </c>
      <c r="AD1014" s="8">
        <v>0</v>
      </c>
      <c r="AE1014" s="8">
        <v>0</v>
      </c>
      <c r="AF1014" s="10">
        <v>0</v>
      </c>
      <c r="AG1014" s="8">
        <f>COUNTIF(Y1014:AB1014,"&gt;0")</f>
        <v>0</v>
      </c>
      <c r="AH1014" s="10">
        <v>0</v>
      </c>
      <c r="AI1014" s="10">
        <v>0</v>
      </c>
      <c r="AJ1014" s="8" t="str">
        <f>IF(ISNUMBER(X1014),IF(X1014&gt;0,"+",IF(X1014&lt;0,"−","0")),IF(ISNUMBER(W1014),IF(W1014&gt;0,"+",IF(W1014&lt;0,"−","0")),"yok"))</f>
        <v>+</v>
      </c>
      <c r="AK1014" s="10">
        <f>IF(AND(RIGHT(C1014,2)&lt;&gt;"12",ISNUMBER(U1014),ISNUMBER(V1014)),U1014-V1014,"")</f>
        <v>4.5839999999999996</v>
      </c>
      <c r="AL1014" s="11">
        <f>IF(AND(ISNUMBER(AK1014),ISNUMBER(V1014)),IF(V1014&lt;&gt;0,AK1014/ABS(V1014),""),"")</f>
        <v>1</v>
      </c>
      <c r="AM1014" s="8">
        <f>IF(ISNUMBER(AK1014),IF(AK1014&gt;1,1,0),"")</f>
        <v>1</v>
      </c>
      <c r="AN1014" s="8">
        <f>IF(ISNUMBER(AK1014),IF(AK1014&gt;0.05*ABS(V1014),1,0),"")</f>
        <v>1</v>
      </c>
      <c r="AO1014" s="10"/>
      <c r="AP1014" s="10"/>
      <c r="AQ1014" s="10"/>
      <c r="AR1014" s="8">
        <v>0</v>
      </c>
      <c r="AS1014" s="10"/>
      <c r="AT1014" s="10"/>
      <c r="AU1014" s="10"/>
      <c r="AV1014" s="10">
        <v>4.5839999999999996</v>
      </c>
      <c r="AW1014" s="11" t="str">
        <f>IF(AND(ISNUMBER(AV1014),ISNUMBER(AT1014)),IF(AT1014&lt;&gt;0,AV1014/ABS(AT1014),""),"")</f>
        <v/>
      </c>
      <c r="AX1014" s="8">
        <v>0</v>
      </c>
      <c r="AY1014" s="8">
        <v>1</v>
      </c>
      <c r="AZ1014" s="10"/>
      <c r="BA1014" s="8">
        <v>0</v>
      </c>
    </row>
    <row r="1015" spans="1:53" x14ac:dyDescent="0.2">
      <c r="A1015" s="8" t="s">
        <v>654</v>
      </c>
      <c r="B1015" s="8" t="s">
        <v>83</v>
      </c>
      <c r="C1015" s="8" t="s">
        <v>208</v>
      </c>
      <c r="D1015" s="8">
        <v>0</v>
      </c>
      <c r="E1015" s="8">
        <v>1</v>
      </c>
      <c r="F1015" s="8">
        <f>SUM(G1015:M1015)</f>
        <v>1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1</v>
      </c>
      <c r="N1015" s="8">
        <v>0</v>
      </c>
      <c r="O1015" s="8">
        <v>0</v>
      </c>
      <c r="P1015" s="8">
        <v>1</v>
      </c>
      <c r="Q1015" s="8">
        <v>0</v>
      </c>
      <c r="R1015" s="8">
        <v>0</v>
      </c>
      <c r="S1015" s="8">
        <v>0</v>
      </c>
      <c r="T1015" s="10">
        <v>-3.4359999999999999</v>
      </c>
      <c r="U1015" s="10">
        <v>-7.2080000000000002</v>
      </c>
      <c r="V1015" s="10">
        <v>-2.7959999999999998</v>
      </c>
      <c r="W1015" s="10">
        <f>IF(RIGHT(C1015,2)="12",IF(ISNUMBER(T1015),T1015,""),IF(COUNT(T1015,U1015,V1015)=3,T1015+U1015-V1015,""))</f>
        <v>-7.8480000000000008</v>
      </c>
      <c r="X1015" s="10">
        <v>-7.8479999999999999</v>
      </c>
      <c r="Y1015" s="10">
        <v>1.2709999999999999</v>
      </c>
      <c r="Z1015" s="10">
        <v>-2.1579999999999999</v>
      </c>
      <c r="AA1015" s="10">
        <v>-3.5230000000000001</v>
      </c>
      <c r="AB1015" s="10">
        <v>-3.4359999999999999</v>
      </c>
      <c r="AC1015" s="8">
        <v>0</v>
      </c>
      <c r="AD1015" s="8">
        <v>0</v>
      </c>
      <c r="AE1015" s="8">
        <v>0</v>
      </c>
      <c r="AF1015" s="10">
        <v>0</v>
      </c>
      <c r="AG1015" s="8">
        <f>COUNTIF(Y1015:AB1015,"&gt;0")</f>
        <v>1</v>
      </c>
      <c r="AH1015" s="10">
        <v>0</v>
      </c>
      <c r="AI1015" s="10">
        <v>1.2709999999999999</v>
      </c>
      <c r="AJ1015" s="8" t="str">
        <f>IF(ISNUMBER(X1015),IF(X1015&gt;0,"+",IF(X1015&lt;0,"−","0")),IF(ISNUMBER(W1015),IF(W1015&gt;0,"+",IF(W1015&lt;0,"−","0")),"yok"))</f>
        <v>−</v>
      </c>
      <c r="AK1015" s="10">
        <f>IF(AND(RIGHT(C1015,2)&lt;&gt;"12",ISNUMBER(U1015),ISNUMBER(V1015)),U1015-V1015,"")</f>
        <v>-4.4120000000000008</v>
      </c>
      <c r="AL1015" s="11">
        <f>IF(AND(ISNUMBER(AK1015),ISNUMBER(V1015)),IF(V1015&lt;&gt;0,AK1015/ABS(V1015),""),"")</f>
        <v>-1.577968526466381</v>
      </c>
      <c r="AM1015" s="8">
        <f>IF(ISNUMBER(AK1015),IF(AK1015&gt;1,1,0),"")</f>
        <v>0</v>
      </c>
      <c r="AN1015" s="8">
        <f>IF(ISNUMBER(AK1015),IF(AK1015&gt;0.05*ABS(V1015),1,0),"")</f>
        <v>0</v>
      </c>
      <c r="AO1015" s="10"/>
      <c r="AP1015" s="10"/>
      <c r="AQ1015" s="10"/>
      <c r="AR1015" s="8">
        <v>0</v>
      </c>
      <c r="AS1015" s="10"/>
      <c r="AT1015" s="10"/>
      <c r="AU1015" s="10"/>
      <c r="AV1015" s="10">
        <v>1.2709999999999999</v>
      </c>
      <c r="AW1015" s="11" t="str">
        <f>IF(AND(ISNUMBER(AV1015),ISNUMBER(AT1015)),IF(AT1015&lt;&gt;0,AV1015/ABS(AT1015),""),"")</f>
        <v/>
      </c>
      <c r="AX1015" s="8">
        <v>0</v>
      </c>
      <c r="AY1015" s="8">
        <v>0</v>
      </c>
      <c r="AZ1015" s="10"/>
      <c r="BA1015" s="8">
        <v>0</v>
      </c>
    </row>
    <row r="1016" spans="1:53" x14ac:dyDescent="0.2">
      <c r="A1016" s="8" t="s">
        <v>655</v>
      </c>
      <c r="B1016" s="8" t="s">
        <v>82</v>
      </c>
      <c r="C1016" s="8" t="s">
        <v>215</v>
      </c>
      <c r="D1016" s="8">
        <v>0</v>
      </c>
      <c r="E1016" s="8">
        <v>1</v>
      </c>
      <c r="F1016" s="8">
        <f>SUM(G1016:M1016)</f>
        <v>1</v>
      </c>
      <c r="G1016" s="8">
        <v>0</v>
      </c>
      <c r="H1016" s="8">
        <v>0</v>
      </c>
      <c r="I1016" s="8">
        <v>0</v>
      </c>
      <c r="J1016" s="8">
        <v>1</v>
      </c>
      <c r="K1016" s="8">
        <v>0</v>
      </c>
      <c r="L1016" s="8">
        <v>0</v>
      </c>
      <c r="M1016" s="8">
        <v>0</v>
      </c>
      <c r="N1016" s="8">
        <v>0</v>
      </c>
      <c r="O1016" s="8">
        <v>1</v>
      </c>
      <c r="P1016" s="8">
        <v>0</v>
      </c>
      <c r="Q1016" s="8">
        <v>0</v>
      </c>
      <c r="R1016" s="8">
        <v>0</v>
      </c>
      <c r="S1016" s="8">
        <v>0</v>
      </c>
      <c r="T1016" s="10">
        <v>-5.0330000000000004</v>
      </c>
      <c r="U1016" s="10">
        <v>12.263</v>
      </c>
      <c r="V1016" s="10">
        <v>13.991</v>
      </c>
      <c r="W1016" s="10">
        <f>IF(RIGHT(C1016,2)="12",IF(ISNUMBER(T1016),T1016,""),IF(COUNT(T1016,U1016,V1016)=3,T1016+U1016-V1016,""))</f>
        <v>-6.7610000000000001</v>
      </c>
      <c r="X1016" s="10">
        <v>-6.7610000000000001</v>
      </c>
      <c r="Y1016" s="10">
        <v>-1.7270000000000001</v>
      </c>
      <c r="Z1016" s="10">
        <v>-1.9119999999999999</v>
      </c>
      <c r="AA1016" s="10">
        <v>-1.6950000000000001</v>
      </c>
      <c r="AB1016" s="10">
        <v>-1.4259999999999999</v>
      </c>
      <c r="AC1016" s="8">
        <v>0</v>
      </c>
      <c r="AD1016" s="8">
        <v>1</v>
      </c>
      <c r="AE1016" s="8">
        <v>1</v>
      </c>
      <c r="AF1016" s="10">
        <v>13.991</v>
      </c>
      <c r="AG1016" s="8">
        <f>COUNTIF(Y1016:AB1016,"&gt;0")</f>
        <v>0</v>
      </c>
      <c r="AH1016" s="10">
        <v>0</v>
      </c>
      <c r="AI1016" s="10">
        <v>0</v>
      </c>
      <c r="AJ1016" s="8" t="str">
        <f>IF(ISNUMBER(X1016),IF(X1016&gt;0,"+",IF(X1016&lt;0,"−","0")),IF(ISNUMBER(W1016),IF(W1016&gt;0,"+",IF(W1016&lt;0,"−","0")),"yok"))</f>
        <v>−</v>
      </c>
      <c r="AK1016" s="10">
        <f>IF(AND(RIGHT(C1016,2)&lt;&gt;"12",ISNUMBER(U1016),ISNUMBER(V1016)),U1016-V1016,"")</f>
        <v>-1.7279999999999998</v>
      </c>
      <c r="AL1016" s="11">
        <f>IF(AND(ISNUMBER(AK1016),ISNUMBER(V1016)),IF(V1016&lt;&gt;0,AK1016/ABS(V1016),""),"")</f>
        <v>-0.12350796940890571</v>
      </c>
      <c r="AM1016" s="8">
        <f>IF(ISNUMBER(AK1016),IF(AK1016&gt;1,1,0),"")</f>
        <v>0</v>
      </c>
      <c r="AN1016" s="8">
        <f>IF(ISNUMBER(AK1016),IF(AK1016&gt;0.05*ABS(V1016),1,0),"")</f>
        <v>0</v>
      </c>
      <c r="AO1016" s="10"/>
      <c r="AP1016" s="10"/>
      <c r="AQ1016" s="10"/>
      <c r="AR1016" s="8">
        <v>0</v>
      </c>
      <c r="AS1016" s="10"/>
      <c r="AT1016" s="10"/>
      <c r="AU1016" s="10"/>
      <c r="AV1016" s="10">
        <v>13.991</v>
      </c>
      <c r="AW1016" s="11" t="str">
        <f>IF(AND(ISNUMBER(AV1016),ISNUMBER(AT1016)),IF(AT1016&lt;&gt;0,AV1016/ABS(AT1016),""),"")</f>
        <v/>
      </c>
      <c r="AX1016" s="8">
        <v>1</v>
      </c>
      <c r="AY1016" s="8">
        <v>0</v>
      </c>
      <c r="AZ1016" s="8" t="s">
        <v>656</v>
      </c>
      <c r="BA1016" s="8">
        <v>0</v>
      </c>
    </row>
    <row r="1017" spans="1:53" x14ac:dyDescent="0.2">
      <c r="A1017" s="8" t="s">
        <v>657</v>
      </c>
      <c r="B1017" s="8" t="s">
        <v>83</v>
      </c>
      <c r="C1017" s="8" t="s">
        <v>208</v>
      </c>
      <c r="D1017" s="8">
        <v>0</v>
      </c>
      <c r="E1017" s="8">
        <v>1</v>
      </c>
      <c r="F1017" s="8">
        <f>SUM(G1017:M1017)</f>
        <v>1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  <c r="M1017" s="8">
        <v>1</v>
      </c>
      <c r="N1017" s="8">
        <v>0</v>
      </c>
      <c r="O1017" s="8">
        <v>0</v>
      </c>
      <c r="P1017" s="8">
        <v>1</v>
      </c>
      <c r="Q1017" s="8">
        <v>0</v>
      </c>
      <c r="R1017" s="8">
        <v>0</v>
      </c>
      <c r="S1017" s="8">
        <v>0</v>
      </c>
      <c r="T1017" s="10">
        <v>-1.3109999999999999</v>
      </c>
      <c r="U1017" s="10">
        <v>-2.9710000000000001</v>
      </c>
      <c r="V1017" s="10">
        <v>0</v>
      </c>
      <c r="W1017" s="10">
        <f>IF(RIGHT(C1017,2)="12",IF(ISNUMBER(T1017),T1017,""),IF(COUNT(T1017,U1017,V1017)=3,T1017+U1017-V1017,""))</f>
        <v>-4.282</v>
      </c>
      <c r="X1017" s="10">
        <v>-4.2830000000000004</v>
      </c>
      <c r="Y1017" s="10">
        <v>-7.524</v>
      </c>
      <c r="Z1017" s="10">
        <v>-0.33300000000000002</v>
      </c>
      <c r="AA1017" s="10">
        <v>4.8860000000000001</v>
      </c>
      <c r="AB1017" s="10">
        <v>-1.3109999999999999</v>
      </c>
      <c r="AC1017" s="8">
        <v>0</v>
      </c>
      <c r="AD1017" s="8">
        <v>0</v>
      </c>
      <c r="AE1017" s="8">
        <v>0</v>
      </c>
      <c r="AF1017" s="10">
        <v>0</v>
      </c>
      <c r="AG1017" s="8">
        <f>COUNTIF(Y1017:AB1017,"&gt;0")</f>
        <v>1</v>
      </c>
      <c r="AH1017" s="10">
        <v>0</v>
      </c>
      <c r="AI1017" s="10">
        <v>4.8860000000000001</v>
      </c>
      <c r="AJ1017" s="8" t="str">
        <f>IF(ISNUMBER(X1017),IF(X1017&gt;0,"+",IF(X1017&lt;0,"−","0")),IF(ISNUMBER(W1017),IF(W1017&gt;0,"+",IF(W1017&lt;0,"−","0")),"yok"))</f>
        <v>−</v>
      </c>
      <c r="AK1017" s="10">
        <f>IF(AND(RIGHT(C1017,2)&lt;&gt;"12",ISNUMBER(U1017),ISNUMBER(V1017)),U1017-V1017,"")</f>
        <v>-2.9710000000000001</v>
      </c>
      <c r="AL1017" s="11" t="str">
        <f>IF(AND(ISNUMBER(AK1017),ISNUMBER(V1017)),IF(V1017&lt;&gt;0,AK1017/ABS(V1017),""),"")</f>
        <v/>
      </c>
      <c r="AM1017" s="8">
        <f>IF(ISNUMBER(AK1017),IF(AK1017&gt;1,1,0),"")</f>
        <v>0</v>
      </c>
      <c r="AN1017" s="8">
        <f>IF(ISNUMBER(AK1017),IF(AK1017&gt;0.05*ABS(V1017),1,0),"")</f>
        <v>0</v>
      </c>
      <c r="AO1017" s="10"/>
      <c r="AP1017" s="10"/>
      <c r="AQ1017" s="10"/>
      <c r="AR1017" s="8">
        <v>0</v>
      </c>
      <c r="AS1017" s="10"/>
      <c r="AT1017" s="10"/>
      <c r="AU1017" s="10"/>
      <c r="AV1017" s="10">
        <v>4.8860000000000001</v>
      </c>
      <c r="AW1017" s="11" t="str">
        <f>IF(AND(ISNUMBER(AV1017),ISNUMBER(AT1017)),IF(AT1017&lt;&gt;0,AV1017/ABS(AT1017),""),"")</f>
        <v/>
      </c>
      <c r="AX1017" s="8">
        <v>0</v>
      </c>
      <c r="AY1017" s="8">
        <v>0</v>
      </c>
      <c r="AZ1017" s="10"/>
      <c r="BA1017" s="8">
        <v>0</v>
      </c>
    </row>
    <row r="1018" spans="1:53" x14ac:dyDescent="0.2">
      <c r="A1018" s="8" t="s">
        <v>657</v>
      </c>
      <c r="B1018" s="8" t="s">
        <v>83</v>
      </c>
      <c r="C1018" s="8" t="s">
        <v>210</v>
      </c>
      <c r="D1018" s="8">
        <v>0</v>
      </c>
      <c r="E1018" s="8">
        <v>1</v>
      </c>
      <c r="F1018" s="8">
        <f>SUM(G1018:M1018)</f>
        <v>2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1</v>
      </c>
      <c r="M1018" s="8">
        <v>1</v>
      </c>
      <c r="N1018" s="8">
        <v>1</v>
      </c>
      <c r="O1018" s="8">
        <v>0</v>
      </c>
      <c r="P1018" s="8">
        <v>1</v>
      </c>
      <c r="Q1018" s="8">
        <v>0</v>
      </c>
      <c r="R1018" s="8">
        <v>0</v>
      </c>
      <c r="S1018" s="8">
        <v>0</v>
      </c>
      <c r="T1018" s="10">
        <v>-1.4990000000000001</v>
      </c>
      <c r="U1018" s="10">
        <v>-2.9710000000000001</v>
      </c>
      <c r="V1018" s="10">
        <v>-7.524</v>
      </c>
      <c r="W1018" s="10">
        <f>IF(RIGHT(C1018,2)="12",IF(ISNUMBER(T1018),T1018,""),IF(COUNT(T1018,U1018,V1018)=3,T1018+U1018-V1018,""))</f>
        <v>3.0539999999999994</v>
      </c>
      <c r="X1018" s="10">
        <v>3.0529999999999999</v>
      </c>
      <c r="Y1018" s="10">
        <v>-0.33300000000000002</v>
      </c>
      <c r="Z1018" s="10">
        <v>4.8860000000000001</v>
      </c>
      <c r="AA1018" s="10">
        <v>-1.3109999999999999</v>
      </c>
      <c r="AB1018" s="10">
        <v>-0.187</v>
      </c>
      <c r="AC1018" s="8">
        <v>0</v>
      </c>
      <c r="AD1018" s="8">
        <v>0</v>
      </c>
      <c r="AE1018" s="8">
        <v>0</v>
      </c>
      <c r="AF1018" s="10">
        <v>0</v>
      </c>
      <c r="AG1018" s="8">
        <f>COUNTIF(Y1018:AB1018,"&gt;0")</f>
        <v>1</v>
      </c>
      <c r="AH1018" s="10">
        <v>0</v>
      </c>
      <c r="AI1018" s="10">
        <v>4.8860000000000001</v>
      </c>
      <c r="AJ1018" s="8" t="str">
        <f>IF(ISNUMBER(X1018),IF(X1018&gt;0,"+",IF(X1018&lt;0,"−","0")),IF(ISNUMBER(W1018),IF(W1018&gt;0,"+",IF(W1018&lt;0,"−","0")),"yok"))</f>
        <v>+</v>
      </c>
      <c r="AK1018" s="10">
        <f>IF(AND(RIGHT(C1018,2)&lt;&gt;"12",ISNUMBER(U1018),ISNUMBER(V1018)),U1018-V1018,"")</f>
        <v>4.5529999999999999</v>
      </c>
      <c r="AL1018" s="11">
        <f>IF(AND(ISNUMBER(AK1018),ISNUMBER(V1018)),IF(V1018&lt;&gt;0,AK1018/ABS(V1018),""),"")</f>
        <v>0.60513024986709196</v>
      </c>
      <c r="AM1018" s="8">
        <f>IF(ISNUMBER(AK1018),IF(AK1018&gt;1,1,0),"")</f>
        <v>1</v>
      </c>
      <c r="AN1018" s="8">
        <f>IF(ISNUMBER(AK1018),IF(AK1018&gt;0.05*ABS(V1018),1,0),"")</f>
        <v>1</v>
      </c>
      <c r="AO1018" s="10"/>
      <c r="AP1018" s="10"/>
      <c r="AQ1018" s="10"/>
      <c r="AR1018" s="8">
        <v>0</v>
      </c>
      <c r="AS1018" s="10"/>
      <c r="AT1018" s="10"/>
      <c r="AU1018" s="10"/>
      <c r="AV1018" s="10">
        <v>4.5529999999999999</v>
      </c>
      <c r="AW1018" s="11" t="str">
        <f>IF(AND(ISNUMBER(AV1018),ISNUMBER(AT1018)),IF(AT1018&lt;&gt;0,AV1018/ABS(AT1018),""),"")</f>
        <v/>
      </c>
      <c r="AX1018" s="8">
        <v>0</v>
      </c>
      <c r="AY1018" s="8">
        <v>1</v>
      </c>
      <c r="AZ1018" s="10"/>
      <c r="BA1018" s="8">
        <v>0</v>
      </c>
    </row>
    <row r="1019" spans="1:53" x14ac:dyDescent="0.2">
      <c r="A1019" s="8" t="s">
        <v>658</v>
      </c>
      <c r="B1019" s="8" t="s">
        <v>84</v>
      </c>
      <c r="C1019" s="8" t="s">
        <v>203</v>
      </c>
      <c r="D1019" s="8">
        <v>0</v>
      </c>
      <c r="E1019" s="8">
        <v>1</v>
      </c>
      <c r="F1019" s="8">
        <f>SUM(G1019:M1019)</f>
        <v>1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1</v>
      </c>
      <c r="N1019" s="8">
        <v>0</v>
      </c>
      <c r="O1019" s="8">
        <v>0</v>
      </c>
      <c r="P1019" s="8">
        <v>1</v>
      </c>
      <c r="Q1019" s="8">
        <v>0</v>
      </c>
      <c r="R1019" s="8">
        <v>0</v>
      </c>
      <c r="S1019" s="8">
        <v>0</v>
      </c>
      <c r="T1019" s="10">
        <v>0</v>
      </c>
      <c r="U1019" s="10">
        <v>-124.892</v>
      </c>
      <c r="V1019" s="10">
        <v>-65.864000000000004</v>
      </c>
      <c r="W1019" s="10">
        <f>IF(RIGHT(C1019,2)="12",IF(ISNUMBER(T1019),T1019,""),IF(COUNT(T1019,U1019,V1019)=3,T1019+U1019-V1019,""))</f>
        <v>-59.027999999999992</v>
      </c>
      <c r="X1019" s="10">
        <v>-59.027000000000001</v>
      </c>
      <c r="Y1019" s="10">
        <v>-44.881</v>
      </c>
      <c r="Z1019" s="10">
        <v>29.707999999999998</v>
      </c>
      <c r="AA1019" s="10">
        <v>-43.853999999999999</v>
      </c>
      <c r="AB1019" s="10">
        <v>0</v>
      </c>
      <c r="AC1019" s="8">
        <v>0</v>
      </c>
      <c r="AD1019" s="8">
        <v>0</v>
      </c>
      <c r="AE1019" s="8">
        <v>0</v>
      </c>
      <c r="AF1019" s="10">
        <v>0</v>
      </c>
      <c r="AG1019" s="8">
        <f>COUNTIF(Y1019:AB1019,"&gt;0")</f>
        <v>1</v>
      </c>
      <c r="AH1019" s="10">
        <v>0</v>
      </c>
      <c r="AI1019" s="10">
        <v>29.707999999999998</v>
      </c>
      <c r="AJ1019" s="8" t="str">
        <f>IF(ISNUMBER(X1019),IF(X1019&gt;0,"+",IF(X1019&lt;0,"−","0")),IF(ISNUMBER(W1019),IF(W1019&gt;0,"+",IF(W1019&lt;0,"−","0")),"yok"))</f>
        <v>−</v>
      </c>
      <c r="AK1019" s="10">
        <f>IF(AND(RIGHT(C1019,2)&lt;&gt;"12",ISNUMBER(U1019),ISNUMBER(V1019)),U1019-V1019,"")</f>
        <v>-59.027999999999992</v>
      </c>
      <c r="AL1019" s="11">
        <f>IF(AND(ISNUMBER(AK1019),ISNUMBER(V1019)),IF(V1019&lt;&gt;0,AK1019/ABS(V1019),""),"")</f>
        <v>-0.89621037288959049</v>
      </c>
      <c r="AM1019" s="8">
        <f>IF(ISNUMBER(AK1019),IF(AK1019&gt;1,1,0),"")</f>
        <v>0</v>
      </c>
      <c r="AN1019" s="8">
        <f>IF(ISNUMBER(AK1019),IF(AK1019&gt;0.05*ABS(V1019),1,0),"")</f>
        <v>0</v>
      </c>
      <c r="AO1019" s="10"/>
      <c r="AP1019" s="10"/>
      <c r="AQ1019" s="10"/>
      <c r="AR1019" s="8">
        <v>0</v>
      </c>
      <c r="AS1019" s="10"/>
      <c r="AT1019" s="10"/>
      <c r="AU1019" s="10"/>
      <c r="AV1019" s="10">
        <v>29.707999999999998</v>
      </c>
      <c r="AW1019" s="11" t="str">
        <f>IF(AND(ISNUMBER(AV1019),ISNUMBER(AT1019)),IF(AT1019&lt;&gt;0,AV1019/ABS(AT1019),""),"")</f>
        <v/>
      </c>
      <c r="AX1019" s="8">
        <v>0</v>
      </c>
      <c r="AY1019" s="8">
        <v>0</v>
      </c>
      <c r="AZ1019" s="10"/>
      <c r="BA1019" s="8">
        <v>0</v>
      </c>
    </row>
    <row r="1020" spans="1:53" x14ac:dyDescent="0.2">
      <c r="A1020" s="8" t="s">
        <v>658</v>
      </c>
      <c r="B1020" s="8" t="s">
        <v>84</v>
      </c>
      <c r="C1020" s="8" t="s">
        <v>205</v>
      </c>
      <c r="D1020" s="8">
        <v>0</v>
      </c>
      <c r="E1020" s="8">
        <v>1</v>
      </c>
      <c r="F1020" s="8">
        <f>SUM(G1020:M1020)</f>
        <v>1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1</v>
      </c>
      <c r="N1020" s="8">
        <v>0</v>
      </c>
      <c r="O1020" s="8">
        <v>0</v>
      </c>
      <c r="P1020" s="8">
        <v>1</v>
      </c>
      <c r="Q1020" s="8">
        <v>0</v>
      </c>
      <c r="R1020" s="8">
        <v>0</v>
      </c>
      <c r="S1020" s="8">
        <v>0</v>
      </c>
      <c r="T1020" s="10">
        <v>-17.077000000000002</v>
      </c>
      <c r="U1020" s="10">
        <v>-124.892</v>
      </c>
      <c r="V1020" s="10">
        <v>-110.746</v>
      </c>
      <c r="W1020" s="10">
        <f>IF(RIGHT(C1020,2)="12",IF(ISNUMBER(T1020),T1020,""),IF(COUNT(T1020,U1020,V1020)=3,T1020+U1020-V1020,""))</f>
        <v>-31.222999999999999</v>
      </c>
      <c r="X1020" s="10">
        <v>-31.222999999999999</v>
      </c>
      <c r="Y1020" s="10">
        <v>29.707999999999998</v>
      </c>
      <c r="Z1020" s="10">
        <v>-43.853999999999999</v>
      </c>
      <c r="AA1020" s="10">
        <v>0</v>
      </c>
      <c r="AB1020" s="10">
        <v>-17.077000000000002</v>
      </c>
      <c r="AC1020" s="8">
        <v>0</v>
      </c>
      <c r="AD1020" s="8">
        <v>0</v>
      </c>
      <c r="AE1020" s="8">
        <v>0</v>
      </c>
      <c r="AF1020" s="10">
        <v>0</v>
      </c>
      <c r="AG1020" s="8">
        <f>COUNTIF(Y1020:AB1020,"&gt;0")</f>
        <v>1</v>
      </c>
      <c r="AH1020" s="10">
        <v>0</v>
      </c>
      <c r="AI1020" s="10">
        <v>29.707999999999998</v>
      </c>
      <c r="AJ1020" s="8" t="str">
        <f>IF(ISNUMBER(X1020),IF(X1020&gt;0,"+",IF(X1020&lt;0,"−","0")),IF(ISNUMBER(W1020),IF(W1020&gt;0,"+",IF(W1020&lt;0,"−","0")),"yok"))</f>
        <v>−</v>
      </c>
      <c r="AK1020" s="10">
        <f>IF(AND(RIGHT(C1020,2)&lt;&gt;"12",ISNUMBER(U1020),ISNUMBER(V1020)),U1020-V1020,"")</f>
        <v>-14.146000000000001</v>
      </c>
      <c r="AL1020" s="11">
        <f>IF(AND(ISNUMBER(AK1020),ISNUMBER(V1020)),IF(V1020&lt;&gt;0,AK1020/ABS(V1020),""),"")</f>
        <v>-0.12773373304679178</v>
      </c>
      <c r="AM1020" s="8">
        <f>IF(ISNUMBER(AK1020),IF(AK1020&gt;1,1,0),"")</f>
        <v>0</v>
      </c>
      <c r="AN1020" s="8">
        <f>IF(ISNUMBER(AK1020),IF(AK1020&gt;0.05*ABS(V1020),1,0),"")</f>
        <v>0</v>
      </c>
      <c r="AO1020" s="10"/>
      <c r="AP1020" s="10"/>
      <c r="AQ1020" s="10"/>
      <c r="AR1020" s="8">
        <v>0</v>
      </c>
      <c r="AS1020" s="10"/>
      <c r="AT1020" s="10"/>
      <c r="AU1020" s="10"/>
      <c r="AV1020" s="10">
        <v>29.707999999999998</v>
      </c>
      <c r="AW1020" s="11" t="str">
        <f>IF(AND(ISNUMBER(AV1020),ISNUMBER(AT1020)),IF(AT1020&lt;&gt;0,AV1020/ABS(AT1020),""),"")</f>
        <v/>
      </c>
      <c r="AX1020" s="8">
        <v>0</v>
      </c>
      <c r="AY1020" s="8">
        <v>0</v>
      </c>
      <c r="AZ1020" s="10"/>
      <c r="BA1020" s="8">
        <v>0</v>
      </c>
    </row>
    <row r="1021" spans="1:53" x14ac:dyDescent="0.2">
      <c r="A1021" s="8" t="s">
        <v>659</v>
      </c>
      <c r="B1021" s="8" t="s">
        <v>84</v>
      </c>
      <c r="C1021" s="8" t="s">
        <v>203</v>
      </c>
      <c r="D1021" s="8">
        <v>0</v>
      </c>
      <c r="E1021" s="8">
        <v>1</v>
      </c>
      <c r="F1021" s="8">
        <f>SUM(G1021:M1021)</f>
        <v>1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1</v>
      </c>
      <c r="M1021" s="8">
        <v>0</v>
      </c>
      <c r="N1021" s="8">
        <v>1</v>
      </c>
      <c r="O1021" s="8">
        <v>0</v>
      </c>
      <c r="P1021" s="8">
        <v>1</v>
      </c>
      <c r="Q1021" s="8">
        <v>0</v>
      </c>
      <c r="R1021" s="8">
        <v>0</v>
      </c>
      <c r="S1021" s="8">
        <v>0</v>
      </c>
      <c r="T1021" s="10">
        <v>0</v>
      </c>
      <c r="U1021" s="10">
        <v>0</v>
      </c>
      <c r="V1021" s="10">
        <v>-7.3129999999999997</v>
      </c>
      <c r="W1021" s="10">
        <f>IF(RIGHT(C1021,2)="12",IF(ISNUMBER(T1021),T1021,""),IF(COUNT(T1021,U1021,V1021)=3,T1021+U1021-V1021,""))</f>
        <v>7.3129999999999997</v>
      </c>
      <c r="X1021" s="10">
        <v>7.3129999999999997</v>
      </c>
      <c r="Y1021" s="10">
        <v>7.3129999999999997</v>
      </c>
      <c r="Z1021" s="10">
        <v>0</v>
      </c>
      <c r="AA1021" s="10">
        <v>0</v>
      </c>
      <c r="AB1021" s="10">
        <v>0</v>
      </c>
      <c r="AC1021" s="8">
        <v>0</v>
      </c>
      <c r="AD1021" s="8">
        <v>0</v>
      </c>
      <c r="AE1021" s="8">
        <v>0</v>
      </c>
      <c r="AF1021" s="10">
        <v>0</v>
      </c>
      <c r="AG1021" s="8">
        <f>COUNTIF(Y1021:AB1021,"&gt;0")</f>
        <v>1</v>
      </c>
      <c r="AH1021" s="10">
        <v>0</v>
      </c>
      <c r="AI1021" s="10">
        <v>7.3129999999999997</v>
      </c>
      <c r="AJ1021" s="8" t="str">
        <f>IF(ISNUMBER(X1021),IF(X1021&gt;0,"+",IF(X1021&lt;0,"−","0")),IF(ISNUMBER(W1021),IF(W1021&gt;0,"+",IF(W1021&lt;0,"−","0")),"yok"))</f>
        <v>+</v>
      </c>
      <c r="AK1021" s="10">
        <f>IF(AND(RIGHT(C1021,2)&lt;&gt;"12",ISNUMBER(U1021),ISNUMBER(V1021)),U1021-V1021,"")</f>
        <v>7.3129999999999997</v>
      </c>
      <c r="AL1021" s="11">
        <f>IF(AND(ISNUMBER(AK1021),ISNUMBER(V1021)),IF(V1021&lt;&gt;0,AK1021/ABS(V1021),""),"")</f>
        <v>1</v>
      </c>
      <c r="AM1021" s="8">
        <f>IF(ISNUMBER(AK1021),IF(AK1021&gt;1,1,0),"")</f>
        <v>1</v>
      </c>
      <c r="AN1021" s="8">
        <f>IF(ISNUMBER(AK1021),IF(AK1021&gt;0.05*ABS(V1021),1,0),"")</f>
        <v>1</v>
      </c>
      <c r="AO1021" s="10"/>
      <c r="AP1021" s="10"/>
      <c r="AQ1021" s="10"/>
      <c r="AR1021" s="8">
        <v>0</v>
      </c>
      <c r="AS1021" s="10"/>
      <c r="AT1021" s="10"/>
      <c r="AU1021" s="10"/>
      <c r="AV1021" s="10">
        <v>7.3129999999999997</v>
      </c>
      <c r="AW1021" s="11" t="str">
        <f>IF(AND(ISNUMBER(AV1021),ISNUMBER(AT1021)),IF(AT1021&lt;&gt;0,AV1021/ABS(AT1021),""),"")</f>
        <v/>
      </c>
      <c r="AX1021" s="8">
        <v>0</v>
      </c>
      <c r="AY1021" s="8">
        <v>1</v>
      </c>
      <c r="AZ1021" s="10"/>
      <c r="BA1021" s="8">
        <v>0</v>
      </c>
    </row>
    <row r="1022" spans="1:53" x14ac:dyDescent="0.2">
      <c r="A1022" s="8" t="s">
        <v>660</v>
      </c>
      <c r="B1022" s="8" t="s">
        <v>84</v>
      </c>
      <c r="C1022" s="8" t="s">
        <v>203</v>
      </c>
      <c r="D1022" s="8">
        <v>0</v>
      </c>
      <c r="E1022" s="8">
        <v>1</v>
      </c>
      <c r="F1022" s="8">
        <f>SUM(G1022:M1022)</f>
        <v>2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1</v>
      </c>
      <c r="M1022" s="8">
        <v>1</v>
      </c>
      <c r="N1022" s="8">
        <v>1</v>
      </c>
      <c r="O1022" s="8">
        <v>0</v>
      </c>
      <c r="P1022" s="8">
        <v>1</v>
      </c>
      <c r="Q1022" s="8">
        <v>0</v>
      </c>
      <c r="R1022" s="8">
        <v>0</v>
      </c>
      <c r="S1022" s="8">
        <v>0</v>
      </c>
      <c r="T1022" s="10">
        <v>0</v>
      </c>
      <c r="U1022" s="10">
        <v>-51.564999999999998</v>
      </c>
      <c r="V1022" s="10">
        <v>-54.703000000000003</v>
      </c>
      <c r="W1022" s="10">
        <f>IF(RIGHT(C1022,2)="12",IF(ISNUMBER(T1022),T1022,""),IF(COUNT(T1022,U1022,V1022)=3,T1022+U1022-V1022,""))</f>
        <v>3.1380000000000052</v>
      </c>
      <c r="X1022" s="10">
        <v>3.137</v>
      </c>
      <c r="Y1022" s="10">
        <v>3.1360000000000001</v>
      </c>
      <c r="Z1022" s="10">
        <v>0</v>
      </c>
      <c r="AA1022" s="10">
        <v>0</v>
      </c>
      <c r="AB1022" s="10">
        <v>0</v>
      </c>
      <c r="AC1022" s="8">
        <v>0</v>
      </c>
      <c r="AD1022" s="8">
        <v>0</v>
      </c>
      <c r="AE1022" s="8">
        <v>0</v>
      </c>
      <c r="AF1022" s="10">
        <v>0</v>
      </c>
      <c r="AG1022" s="8">
        <f>COUNTIF(Y1022:AB1022,"&gt;0")</f>
        <v>1</v>
      </c>
      <c r="AH1022" s="10">
        <v>0</v>
      </c>
      <c r="AI1022" s="10">
        <v>3.1360000000000001</v>
      </c>
      <c r="AJ1022" s="8" t="str">
        <f>IF(ISNUMBER(X1022),IF(X1022&gt;0,"+",IF(X1022&lt;0,"−","0")),IF(ISNUMBER(W1022),IF(W1022&gt;0,"+",IF(W1022&lt;0,"−","0")),"yok"))</f>
        <v>+</v>
      </c>
      <c r="AK1022" s="10">
        <f>IF(AND(RIGHT(C1022,2)&lt;&gt;"12",ISNUMBER(U1022),ISNUMBER(V1022)),U1022-V1022,"")</f>
        <v>3.1380000000000052</v>
      </c>
      <c r="AL1022" s="11">
        <f>IF(AND(ISNUMBER(AK1022),ISNUMBER(V1022)),IF(V1022&lt;&gt;0,AK1022/ABS(V1022),""),"")</f>
        <v>5.7364312743359687E-2</v>
      </c>
      <c r="AM1022" s="8">
        <f>IF(ISNUMBER(AK1022),IF(AK1022&gt;1,1,0),"")</f>
        <v>1</v>
      </c>
      <c r="AN1022" s="8">
        <f>IF(ISNUMBER(AK1022),IF(AK1022&gt;0.05*ABS(V1022),1,0),"")</f>
        <v>1</v>
      </c>
      <c r="AO1022" s="10"/>
      <c r="AP1022" s="10"/>
      <c r="AQ1022" s="10"/>
      <c r="AR1022" s="8">
        <v>0</v>
      </c>
      <c r="AS1022" s="10"/>
      <c r="AT1022" s="10"/>
      <c r="AU1022" s="10"/>
      <c r="AV1022" s="10">
        <v>3.1380000000000101</v>
      </c>
      <c r="AW1022" s="11" t="str">
        <f>IF(AND(ISNUMBER(AV1022),ISNUMBER(AT1022)),IF(AT1022&lt;&gt;0,AV1022/ABS(AT1022),""),"")</f>
        <v/>
      </c>
      <c r="AX1022" s="8">
        <v>0</v>
      </c>
      <c r="AY1022" s="8">
        <v>1</v>
      </c>
      <c r="AZ1022" s="10"/>
      <c r="BA1022" s="8">
        <v>0</v>
      </c>
    </row>
    <row r="1023" spans="1:53" x14ac:dyDescent="0.2">
      <c r="A1023" s="8" t="s">
        <v>661</v>
      </c>
      <c r="B1023" s="8" t="s">
        <v>83</v>
      </c>
      <c r="C1023" s="8" t="s">
        <v>208</v>
      </c>
      <c r="D1023" s="8">
        <v>0</v>
      </c>
      <c r="E1023" s="8">
        <v>1</v>
      </c>
      <c r="F1023" s="8">
        <f>SUM(G1023:M1023)</f>
        <v>2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1</v>
      </c>
      <c r="M1023" s="8">
        <v>1</v>
      </c>
      <c r="N1023" s="8">
        <v>0</v>
      </c>
      <c r="O1023" s="8">
        <v>0</v>
      </c>
      <c r="P1023" s="8">
        <v>1</v>
      </c>
      <c r="Q1023" s="8">
        <v>0</v>
      </c>
      <c r="R1023" s="8">
        <v>0</v>
      </c>
      <c r="S1023" s="8">
        <v>0</v>
      </c>
      <c r="T1023" s="10">
        <v>-173.46</v>
      </c>
      <c r="U1023" s="10">
        <v>-657.44799999999998</v>
      </c>
      <c r="V1023" s="10">
        <v>-821.47900000000004</v>
      </c>
      <c r="W1023" s="10">
        <f>IF(RIGHT(C1023,2)="12",IF(ISNUMBER(T1023),T1023,""),IF(COUNT(T1023,U1023,V1023)=3,T1023+U1023-V1023,""))</f>
        <v>-9.4289999999999736</v>
      </c>
      <c r="X1023" s="10">
        <v>-9.4290000000000003</v>
      </c>
      <c r="Y1023" s="10">
        <v>-125.73</v>
      </c>
      <c r="Z1023" s="10">
        <v>-175.45699999999999</v>
      </c>
      <c r="AA1023" s="10">
        <v>465.21800000000002</v>
      </c>
      <c r="AB1023" s="10">
        <v>-173.46</v>
      </c>
      <c r="AC1023" s="8">
        <v>0</v>
      </c>
      <c r="AD1023" s="8">
        <v>0</v>
      </c>
      <c r="AE1023" s="8">
        <v>0</v>
      </c>
      <c r="AF1023" s="10">
        <v>0</v>
      </c>
      <c r="AG1023" s="8">
        <f>COUNTIF(Y1023:AB1023,"&gt;0")</f>
        <v>1</v>
      </c>
      <c r="AH1023" s="10">
        <v>0</v>
      </c>
      <c r="AI1023" s="10">
        <v>465.21800000000002</v>
      </c>
      <c r="AJ1023" s="8" t="str">
        <f>IF(ISNUMBER(X1023),IF(X1023&gt;0,"+",IF(X1023&lt;0,"−","0")),IF(ISNUMBER(W1023),IF(W1023&gt;0,"+",IF(W1023&lt;0,"−","0")),"yok"))</f>
        <v>−</v>
      </c>
      <c r="AK1023" s="10">
        <f>IF(AND(RIGHT(C1023,2)&lt;&gt;"12",ISNUMBER(U1023),ISNUMBER(V1023)),U1023-V1023,"")</f>
        <v>164.03100000000006</v>
      </c>
      <c r="AL1023" s="11">
        <f>IF(AND(ISNUMBER(AK1023),ISNUMBER(V1023)),IF(V1023&lt;&gt;0,AK1023/ABS(V1023),""),"")</f>
        <v>0.19967765457181505</v>
      </c>
      <c r="AM1023" s="8">
        <f>IF(ISNUMBER(AK1023),IF(AK1023&gt;1,1,0),"")</f>
        <v>1</v>
      </c>
      <c r="AN1023" s="8">
        <f>IF(ISNUMBER(AK1023),IF(AK1023&gt;0.05*ABS(V1023),1,0),"")</f>
        <v>1</v>
      </c>
      <c r="AO1023" s="10"/>
      <c r="AP1023" s="10"/>
      <c r="AQ1023" s="10"/>
      <c r="AR1023" s="8">
        <v>0</v>
      </c>
      <c r="AS1023" s="10"/>
      <c r="AT1023" s="10"/>
      <c r="AU1023" s="10"/>
      <c r="AV1023" s="10">
        <v>164.03100000000001</v>
      </c>
      <c r="AW1023" s="11" t="str">
        <f>IF(AND(ISNUMBER(AV1023),ISNUMBER(AT1023)),IF(AT1023&lt;&gt;0,AV1023/ABS(AT1023),""),"")</f>
        <v/>
      </c>
      <c r="AX1023" s="8">
        <v>0</v>
      </c>
      <c r="AY1023" s="8">
        <v>1</v>
      </c>
      <c r="AZ1023" s="10"/>
      <c r="BA1023" s="8">
        <v>0</v>
      </c>
    </row>
    <row r="1024" spans="1:53" x14ac:dyDescent="0.2">
      <c r="A1024" s="8" t="s">
        <v>661</v>
      </c>
      <c r="B1024" s="8" t="s">
        <v>83</v>
      </c>
      <c r="C1024" s="8" t="s">
        <v>210</v>
      </c>
      <c r="D1024" s="8">
        <v>0</v>
      </c>
      <c r="E1024" s="8">
        <v>1</v>
      </c>
      <c r="F1024" s="8">
        <f>SUM(G1024:M1024)</f>
        <v>2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1</v>
      </c>
      <c r="M1024" s="8">
        <v>1</v>
      </c>
      <c r="N1024" s="8">
        <v>0</v>
      </c>
      <c r="O1024" s="8">
        <v>0</v>
      </c>
      <c r="P1024" s="8">
        <v>1</v>
      </c>
      <c r="Q1024" s="8">
        <v>0</v>
      </c>
      <c r="R1024" s="8">
        <v>0</v>
      </c>
      <c r="S1024" s="8">
        <v>0</v>
      </c>
      <c r="T1024" s="10">
        <v>-329.9</v>
      </c>
      <c r="U1024" s="10">
        <v>-657.44799999999998</v>
      </c>
      <c r="V1024" s="10">
        <v>-947.21</v>
      </c>
      <c r="W1024" s="10">
        <f>IF(RIGHT(C1024,2)="12",IF(ISNUMBER(T1024),T1024,""),IF(COUNT(T1024,U1024,V1024)=3,T1024+U1024-V1024,""))</f>
        <v>-40.13799999999992</v>
      </c>
      <c r="X1024" s="10">
        <v>-40.137999999999998</v>
      </c>
      <c r="Y1024" s="10">
        <v>-175.45699999999999</v>
      </c>
      <c r="Z1024" s="10">
        <v>465.21800000000002</v>
      </c>
      <c r="AA1024" s="10">
        <v>-173.46</v>
      </c>
      <c r="AB1024" s="10">
        <v>-156.43899999999999</v>
      </c>
      <c r="AC1024" s="8">
        <v>0</v>
      </c>
      <c r="AD1024" s="8">
        <v>0</v>
      </c>
      <c r="AE1024" s="8">
        <v>0</v>
      </c>
      <c r="AF1024" s="10">
        <v>0</v>
      </c>
      <c r="AG1024" s="8">
        <f>COUNTIF(Y1024:AB1024,"&gt;0")</f>
        <v>1</v>
      </c>
      <c r="AH1024" s="10">
        <v>0</v>
      </c>
      <c r="AI1024" s="10">
        <v>465.21800000000002</v>
      </c>
      <c r="AJ1024" s="8" t="str">
        <f>IF(ISNUMBER(X1024),IF(X1024&gt;0,"+",IF(X1024&lt;0,"−","0")),IF(ISNUMBER(W1024),IF(W1024&gt;0,"+",IF(W1024&lt;0,"−","0")),"yok"))</f>
        <v>−</v>
      </c>
      <c r="AK1024" s="10">
        <f>IF(AND(RIGHT(C1024,2)&lt;&gt;"12",ISNUMBER(U1024),ISNUMBER(V1024)),U1024-V1024,"")</f>
        <v>289.76200000000006</v>
      </c>
      <c r="AL1024" s="11">
        <f>IF(AND(ISNUMBER(AK1024),ISNUMBER(V1024)),IF(V1024&lt;&gt;0,AK1024/ABS(V1024),""),"")</f>
        <v>0.30591104401347119</v>
      </c>
      <c r="AM1024" s="8">
        <f>IF(ISNUMBER(AK1024),IF(AK1024&gt;1,1,0),"")</f>
        <v>1</v>
      </c>
      <c r="AN1024" s="8">
        <f>IF(ISNUMBER(AK1024),IF(AK1024&gt;0.05*ABS(V1024),1,0),"")</f>
        <v>1</v>
      </c>
      <c r="AO1024" s="10"/>
      <c r="AP1024" s="10"/>
      <c r="AQ1024" s="10"/>
      <c r="AR1024" s="8">
        <v>0</v>
      </c>
      <c r="AS1024" s="10"/>
      <c r="AT1024" s="10"/>
      <c r="AU1024" s="10"/>
      <c r="AV1024" s="10">
        <v>289.762</v>
      </c>
      <c r="AW1024" s="11" t="str">
        <f>IF(AND(ISNUMBER(AV1024),ISNUMBER(AT1024)),IF(AT1024&lt;&gt;0,AV1024/ABS(AT1024),""),"")</f>
        <v/>
      </c>
      <c r="AX1024" s="8">
        <v>0</v>
      </c>
      <c r="AY1024" s="8">
        <v>1</v>
      </c>
      <c r="AZ1024" s="10"/>
      <c r="BA1024" s="8">
        <v>0</v>
      </c>
    </row>
    <row r="1025" spans="1:53" x14ac:dyDescent="0.2">
      <c r="A1025" s="8" t="s">
        <v>662</v>
      </c>
      <c r="B1025" s="8" t="s">
        <v>84</v>
      </c>
      <c r="C1025" s="8" t="s">
        <v>208</v>
      </c>
      <c r="D1025" s="8">
        <v>0</v>
      </c>
      <c r="E1025" s="8">
        <v>1</v>
      </c>
      <c r="F1025" s="8">
        <f>SUM(G1025:M1025)</f>
        <v>1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1</v>
      </c>
      <c r="N1025" s="8">
        <v>0</v>
      </c>
      <c r="O1025" s="8">
        <v>0</v>
      </c>
      <c r="P1025" s="8">
        <v>1</v>
      </c>
      <c r="Q1025" s="8">
        <v>0</v>
      </c>
      <c r="R1025" s="8">
        <v>0</v>
      </c>
      <c r="S1025" s="8">
        <v>0</v>
      </c>
      <c r="T1025" s="10">
        <v>-2.7749999999999999</v>
      </c>
      <c r="U1025" s="10">
        <v>-448.90499999999997</v>
      </c>
      <c r="V1025" s="10">
        <v>-0.81200000000000006</v>
      </c>
      <c r="W1025" s="10">
        <f>IF(RIGHT(C1025,2)="12",IF(ISNUMBER(T1025),T1025,""),IF(COUNT(T1025,U1025,V1025)=3,T1025+U1025-V1025,""))</f>
        <v>-450.86799999999994</v>
      </c>
      <c r="X1025" s="10">
        <v>-450.86799999999999</v>
      </c>
      <c r="Y1025" s="10">
        <v>-104.051</v>
      </c>
      <c r="Z1025" s="10">
        <v>103.874</v>
      </c>
      <c r="AA1025" s="10">
        <v>-447.91500000000002</v>
      </c>
      <c r="AB1025" s="10">
        <v>-2.7749999999999999</v>
      </c>
      <c r="AC1025" s="8">
        <v>0</v>
      </c>
      <c r="AD1025" s="8">
        <v>0</v>
      </c>
      <c r="AE1025" s="8">
        <v>0</v>
      </c>
      <c r="AF1025" s="10">
        <v>0</v>
      </c>
      <c r="AG1025" s="8">
        <f>COUNTIF(Y1025:AB1025,"&gt;0")</f>
        <v>1</v>
      </c>
      <c r="AH1025" s="10">
        <v>0</v>
      </c>
      <c r="AI1025" s="10">
        <v>103.874</v>
      </c>
      <c r="AJ1025" s="8" t="str">
        <f>IF(ISNUMBER(X1025),IF(X1025&gt;0,"+",IF(X1025&lt;0,"−","0")),IF(ISNUMBER(W1025),IF(W1025&gt;0,"+",IF(W1025&lt;0,"−","0")),"yok"))</f>
        <v>−</v>
      </c>
      <c r="AK1025" s="10">
        <f>IF(AND(RIGHT(C1025,2)&lt;&gt;"12",ISNUMBER(U1025),ISNUMBER(V1025)),U1025-V1025,"")</f>
        <v>-448.09299999999996</v>
      </c>
      <c r="AL1025" s="11">
        <f>IF(AND(ISNUMBER(AK1025),ISNUMBER(V1025)),IF(V1025&lt;&gt;0,AK1025/ABS(V1025),""),"")</f>
        <v>-551.83866995073879</v>
      </c>
      <c r="AM1025" s="8">
        <f>IF(ISNUMBER(AK1025),IF(AK1025&gt;1,1,0),"")</f>
        <v>0</v>
      </c>
      <c r="AN1025" s="8">
        <f>IF(ISNUMBER(AK1025),IF(AK1025&gt;0.05*ABS(V1025),1,0),"")</f>
        <v>0</v>
      </c>
      <c r="AO1025" s="10"/>
      <c r="AP1025" s="10"/>
      <c r="AQ1025" s="10"/>
      <c r="AR1025" s="8">
        <v>0</v>
      </c>
      <c r="AS1025" s="10"/>
      <c r="AT1025" s="10"/>
      <c r="AU1025" s="10"/>
      <c r="AV1025" s="10">
        <v>103.874</v>
      </c>
      <c r="AW1025" s="11" t="str">
        <f>IF(AND(ISNUMBER(AV1025),ISNUMBER(AT1025)),IF(AT1025&lt;&gt;0,AV1025/ABS(AT1025),""),"")</f>
        <v/>
      </c>
      <c r="AX1025" s="8">
        <v>0</v>
      </c>
      <c r="AY1025" s="8">
        <v>0</v>
      </c>
      <c r="AZ1025" s="10"/>
      <c r="BA1025" s="8">
        <v>0</v>
      </c>
    </row>
    <row r="1026" spans="1:53" x14ac:dyDescent="0.2">
      <c r="A1026" s="8" t="s">
        <v>662</v>
      </c>
      <c r="B1026" s="8" t="s">
        <v>84</v>
      </c>
      <c r="C1026" s="8" t="s">
        <v>210</v>
      </c>
      <c r="D1026" s="8">
        <v>0</v>
      </c>
      <c r="E1026" s="8">
        <v>1</v>
      </c>
      <c r="F1026" s="8">
        <f>SUM(G1026:M1026)</f>
        <v>1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1</v>
      </c>
      <c r="N1026" s="8">
        <v>0</v>
      </c>
      <c r="O1026" s="8">
        <v>0</v>
      </c>
      <c r="P1026" s="8">
        <v>1</v>
      </c>
      <c r="Q1026" s="8">
        <v>0</v>
      </c>
      <c r="R1026" s="8">
        <v>0</v>
      </c>
      <c r="S1026" s="8">
        <v>0</v>
      </c>
      <c r="T1026" s="10">
        <v>-6.8120000000000003</v>
      </c>
      <c r="U1026" s="10">
        <v>-448.90499999999997</v>
      </c>
      <c r="V1026" s="10">
        <v>-104.863</v>
      </c>
      <c r="W1026" s="10">
        <f>IF(RIGHT(C1026,2)="12",IF(ISNUMBER(T1026),T1026,""),IF(COUNT(T1026,U1026,V1026)=3,T1026+U1026-V1026,""))</f>
        <v>-350.85399999999998</v>
      </c>
      <c r="X1026" s="10">
        <v>-350.85300000000001</v>
      </c>
      <c r="Y1026" s="10">
        <v>103.874</v>
      </c>
      <c r="Z1026" s="10">
        <v>-447.91500000000002</v>
      </c>
      <c r="AA1026" s="10">
        <v>-2.7749999999999999</v>
      </c>
      <c r="AB1026" s="10">
        <v>-4.0359999999999996</v>
      </c>
      <c r="AC1026" s="8">
        <v>0</v>
      </c>
      <c r="AD1026" s="8">
        <v>0</v>
      </c>
      <c r="AE1026" s="8">
        <v>0</v>
      </c>
      <c r="AF1026" s="10">
        <v>0</v>
      </c>
      <c r="AG1026" s="8">
        <f>COUNTIF(Y1026:AB1026,"&gt;0")</f>
        <v>1</v>
      </c>
      <c r="AH1026" s="10">
        <v>0</v>
      </c>
      <c r="AI1026" s="10">
        <v>103.874</v>
      </c>
      <c r="AJ1026" s="8" t="str">
        <f>IF(ISNUMBER(X1026),IF(X1026&gt;0,"+",IF(X1026&lt;0,"−","0")),IF(ISNUMBER(W1026),IF(W1026&gt;0,"+",IF(W1026&lt;0,"−","0")),"yok"))</f>
        <v>−</v>
      </c>
      <c r="AK1026" s="10">
        <f>IF(AND(RIGHT(C1026,2)&lt;&gt;"12",ISNUMBER(U1026),ISNUMBER(V1026)),U1026-V1026,"")</f>
        <v>-344.04199999999997</v>
      </c>
      <c r="AL1026" s="11">
        <f>IF(AND(ISNUMBER(AK1026),ISNUMBER(V1026)),IF(V1026&lt;&gt;0,AK1026/ABS(V1026),""),"")</f>
        <v>-3.2808712319884035</v>
      </c>
      <c r="AM1026" s="8">
        <f>IF(ISNUMBER(AK1026),IF(AK1026&gt;1,1,0),"")</f>
        <v>0</v>
      </c>
      <c r="AN1026" s="8">
        <f>IF(ISNUMBER(AK1026),IF(AK1026&gt;0.05*ABS(V1026),1,0),"")</f>
        <v>0</v>
      </c>
      <c r="AO1026" s="10"/>
      <c r="AP1026" s="10"/>
      <c r="AQ1026" s="10"/>
      <c r="AR1026" s="8">
        <v>0</v>
      </c>
      <c r="AS1026" s="10"/>
      <c r="AT1026" s="10"/>
      <c r="AU1026" s="10"/>
      <c r="AV1026" s="10">
        <v>103.874</v>
      </c>
      <c r="AW1026" s="11" t="str">
        <f>IF(AND(ISNUMBER(AV1026),ISNUMBER(AT1026)),IF(AT1026&lt;&gt;0,AV1026/ABS(AT1026),""),"")</f>
        <v/>
      </c>
      <c r="AX1026" s="8">
        <v>0</v>
      </c>
      <c r="AY1026" s="8">
        <v>0</v>
      </c>
      <c r="AZ1026" s="10"/>
      <c r="BA1026" s="8">
        <v>0</v>
      </c>
    </row>
    <row r="1027" spans="1:53" x14ac:dyDescent="0.2">
      <c r="A1027" s="8" t="s">
        <v>663</v>
      </c>
      <c r="B1027" s="8" t="s">
        <v>84</v>
      </c>
      <c r="C1027" s="8" t="s">
        <v>203</v>
      </c>
      <c r="D1027" s="8">
        <v>0</v>
      </c>
      <c r="E1027" s="8">
        <v>1</v>
      </c>
      <c r="F1027" s="8">
        <f>SUM(G1027:M1027)</f>
        <v>2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1</v>
      </c>
      <c r="M1027" s="8">
        <v>1</v>
      </c>
      <c r="N1027" s="8">
        <v>1</v>
      </c>
      <c r="O1027" s="8">
        <v>0</v>
      </c>
      <c r="P1027" s="8">
        <v>1</v>
      </c>
      <c r="Q1027" s="8">
        <v>0</v>
      </c>
      <c r="R1027" s="8">
        <v>0</v>
      </c>
      <c r="S1027" s="8">
        <v>0</v>
      </c>
      <c r="T1027" s="10">
        <v>0</v>
      </c>
      <c r="U1027" s="10">
        <v>0</v>
      </c>
      <c r="V1027" s="10">
        <v>-402.98200000000003</v>
      </c>
      <c r="W1027" s="10">
        <f>IF(RIGHT(C1027,2)="12",IF(ISNUMBER(T1027),T1027,""),IF(COUNT(T1027,U1027,V1027)=3,T1027+U1027-V1027,""))</f>
        <v>402.98200000000003</v>
      </c>
      <c r="X1027" s="10">
        <v>402.98200000000003</v>
      </c>
      <c r="Y1027" s="10">
        <v>-87.271000000000001</v>
      </c>
      <c r="Z1027" s="10">
        <v>350.161</v>
      </c>
      <c r="AA1027" s="10">
        <v>140.09200000000001</v>
      </c>
      <c r="AB1027" s="10">
        <v>0</v>
      </c>
      <c r="AC1027" s="8">
        <v>0</v>
      </c>
      <c r="AD1027" s="8">
        <v>0</v>
      </c>
      <c r="AE1027" s="8">
        <v>0</v>
      </c>
      <c r="AF1027" s="10">
        <v>0</v>
      </c>
      <c r="AG1027" s="8">
        <f>COUNTIF(Y1027:AB1027,"&gt;0")</f>
        <v>2</v>
      </c>
      <c r="AH1027" s="10">
        <v>0</v>
      </c>
      <c r="AI1027" s="10">
        <v>490.25299999999999</v>
      </c>
      <c r="AJ1027" s="8" t="str">
        <f>IF(ISNUMBER(X1027),IF(X1027&gt;0,"+",IF(X1027&lt;0,"−","0")),IF(ISNUMBER(W1027),IF(W1027&gt;0,"+",IF(W1027&lt;0,"−","0")),"yok"))</f>
        <v>+</v>
      </c>
      <c r="AK1027" s="10">
        <f>IF(AND(RIGHT(C1027,2)&lt;&gt;"12",ISNUMBER(U1027),ISNUMBER(V1027)),U1027-V1027,"")</f>
        <v>402.98200000000003</v>
      </c>
      <c r="AL1027" s="11">
        <f>IF(AND(ISNUMBER(AK1027),ISNUMBER(V1027)),IF(V1027&lt;&gt;0,AK1027/ABS(V1027),""),"")</f>
        <v>1</v>
      </c>
      <c r="AM1027" s="8">
        <f>IF(ISNUMBER(AK1027),IF(AK1027&gt;1,1,0),"")</f>
        <v>1</v>
      </c>
      <c r="AN1027" s="8">
        <f>IF(ISNUMBER(AK1027),IF(AK1027&gt;0.05*ABS(V1027),1,0),"")</f>
        <v>1</v>
      </c>
      <c r="AO1027" s="10"/>
      <c r="AP1027" s="10"/>
      <c r="AQ1027" s="10"/>
      <c r="AR1027" s="8">
        <v>0</v>
      </c>
      <c r="AS1027" s="10"/>
      <c r="AT1027" s="10"/>
      <c r="AU1027" s="10"/>
      <c r="AV1027" s="10">
        <v>402.98200000000003</v>
      </c>
      <c r="AW1027" s="11" t="str">
        <f>IF(AND(ISNUMBER(AV1027),ISNUMBER(AT1027)),IF(AT1027&lt;&gt;0,AV1027/ABS(AT1027),""),"")</f>
        <v/>
      </c>
      <c r="AX1027" s="8">
        <v>0</v>
      </c>
      <c r="AY1027" s="8">
        <v>1</v>
      </c>
      <c r="AZ1027" s="10"/>
      <c r="BA1027" s="8">
        <v>0</v>
      </c>
    </row>
    <row r="1028" spans="1:53" x14ac:dyDescent="0.2">
      <c r="A1028" s="8" t="s">
        <v>663</v>
      </c>
      <c r="B1028" s="8" t="s">
        <v>84</v>
      </c>
      <c r="C1028" s="8" t="s">
        <v>205</v>
      </c>
      <c r="D1028" s="8">
        <v>0</v>
      </c>
      <c r="E1028" s="8">
        <v>1</v>
      </c>
      <c r="F1028" s="8">
        <f>SUM(G1028:M1028)</f>
        <v>2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1</v>
      </c>
      <c r="M1028" s="8">
        <v>1</v>
      </c>
      <c r="N1028" s="8">
        <v>1</v>
      </c>
      <c r="O1028" s="8">
        <v>0</v>
      </c>
      <c r="P1028" s="8">
        <v>1</v>
      </c>
      <c r="Q1028" s="8">
        <v>0</v>
      </c>
      <c r="R1028" s="8">
        <v>0</v>
      </c>
      <c r="S1028" s="8">
        <v>0</v>
      </c>
      <c r="T1028" s="10">
        <v>-46.204000000000001</v>
      </c>
      <c r="U1028" s="10">
        <v>0</v>
      </c>
      <c r="V1028" s="10">
        <v>-490.25299999999999</v>
      </c>
      <c r="W1028" s="10">
        <f>IF(RIGHT(C1028,2)="12",IF(ISNUMBER(T1028),T1028,""),IF(COUNT(T1028,U1028,V1028)=3,T1028+U1028-V1028,""))</f>
        <v>444.04899999999998</v>
      </c>
      <c r="X1028" s="10">
        <v>444.04899999999998</v>
      </c>
      <c r="Y1028" s="10">
        <v>350.161</v>
      </c>
      <c r="Z1028" s="10">
        <v>140.09200000000001</v>
      </c>
      <c r="AA1028" s="10">
        <v>0</v>
      </c>
      <c r="AB1028" s="10">
        <v>-46.204000000000001</v>
      </c>
      <c r="AC1028" s="8">
        <v>0</v>
      </c>
      <c r="AD1028" s="8">
        <v>0</v>
      </c>
      <c r="AE1028" s="8">
        <v>0</v>
      </c>
      <c r="AF1028" s="10">
        <v>0</v>
      </c>
      <c r="AG1028" s="8">
        <f>COUNTIF(Y1028:AB1028,"&gt;0")</f>
        <v>2</v>
      </c>
      <c r="AH1028" s="10">
        <v>0</v>
      </c>
      <c r="AI1028" s="10">
        <v>490.25299999999999</v>
      </c>
      <c r="AJ1028" s="8" t="str">
        <f>IF(ISNUMBER(X1028),IF(X1028&gt;0,"+",IF(X1028&lt;0,"−","0")),IF(ISNUMBER(W1028),IF(W1028&gt;0,"+",IF(W1028&lt;0,"−","0")),"yok"))</f>
        <v>+</v>
      </c>
      <c r="AK1028" s="10">
        <f>IF(AND(RIGHT(C1028,2)&lt;&gt;"12",ISNUMBER(U1028),ISNUMBER(V1028)),U1028-V1028,"")</f>
        <v>490.25299999999999</v>
      </c>
      <c r="AL1028" s="11">
        <f>IF(AND(ISNUMBER(AK1028),ISNUMBER(V1028)),IF(V1028&lt;&gt;0,AK1028/ABS(V1028),""),"")</f>
        <v>1</v>
      </c>
      <c r="AM1028" s="8">
        <f>IF(ISNUMBER(AK1028),IF(AK1028&gt;1,1,0),"")</f>
        <v>1</v>
      </c>
      <c r="AN1028" s="8">
        <f>IF(ISNUMBER(AK1028),IF(AK1028&gt;0.05*ABS(V1028),1,0),"")</f>
        <v>1</v>
      </c>
      <c r="AO1028" s="10"/>
      <c r="AP1028" s="10"/>
      <c r="AQ1028" s="10"/>
      <c r="AR1028" s="8">
        <v>0</v>
      </c>
      <c r="AS1028" s="10"/>
      <c r="AT1028" s="10"/>
      <c r="AU1028" s="10"/>
      <c r="AV1028" s="10">
        <v>490.25299999999999</v>
      </c>
      <c r="AW1028" s="11" t="str">
        <f>IF(AND(ISNUMBER(AV1028),ISNUMBER(AT1028)),IF(AT1028&lt;&gt;0,AV1028/ABS(AT1028),""),"")</f>
        <v/>
      </c>
      <c r="AX1028" s="8">
        <v>0</v>
      </c>
      <c r="AY1028" s="8">
        <v>1</v>
      </c>
      <c r="AZ1028" s="10"/>
      <c r="BA1028" s="8">
        <v>0</v>
      </c>
    </row>
    <row r="1029" spans="1:53" x14ac:dyDescent="0.2">
      <c r="A1029" s="8" t="s">
        <v>663</v>
      </c>
      <c r="B1029" s="8" t="s">
        <v>84</v>
      </c>
      <c r="C1029" s="8" t="s">
        <v>215</v>
      </c>
      <c r="D1029" s="8">
        <v>0</v>
      </c>
      <c r="E1029" s="8">
        <v>1</v>
      </c>
      <c r="F1029" s="8">
        <f>SUM(G1029:M1029)</f>
        <v>1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1</v>
      </c>
      <c r="M1029" s="8">
        <v>0</v>
      </c>
      <c r="N1029" s="8">
        <v>0</v>
      </c>
      <c r="O1029" s="8">
        <v>0</v>
      </c>
      <c r="P1029" s="8">
        <v>1</v>
      </c>
      <c r="Q1029" s="8">
        <v>0</v>
      </c>
      <c r="R1029" s="8">
        <v>0</v>
      </c>
      <c r="S1029" s="8">
        <v>0</v>
      </c>
      <c r="T1029" s="10">
        <v>-488.52199999999999</v>
      </c>
      <c r="U1029" s="10">
        <v>0</v>
      </c>
      <c r="V1029" s="10">
        <v>-140.09200000000001</v>
      </c>
      <c r="W1029" s="10">
        <f>IF(RIGHT(C1029,2)="12",IF(ISNUMBER(T1029),T1029,""),IF(COUNT(T1029,U1029,V1029)=3,T1029+U1029-V1029,""))</f>
        <v>-348.42999999999995</v>
      </c>
      <c r="X1029" s="10">
        <v>-348.43</v>
      </c>
      <c r="Y1029" s="10">
        <v>140.09200000000001</v>
      </c>
      <c r="Z1029" s="10">
        <v>0</v>
      </c>
      <c r="AA1029" s="10">
        <v>-46.204000000000001</v>
      </c>
      <c r="AB1029" s="10">
        <v>-442.31799999999998</v>
      </c>
      <c r="AC1029" s="8">
        <v>0</v>
      </c>
      <c r="AD1029" s="8">
        <v>0</v>
      </c>
      <c r="AE1029" s="8">
        <v>0</v>
      </c>
      <c r="AF1029" s="10">
        <v>0</v>
      </c>
      <c r="AG1029" s="8">
        <f>COUNTIF(Y1029:AB1029,"&gt;0")</f>
        <v>1</v>
      </c>
      <c r="AH1029" s="10">
        <v>0</v>
      </c>
      <c r="AI1029" s="10">
        <v>140.09200000000001</v>
      </c>
      <c r="AJ1029" s="8" t="str">
        <f>IF(ISNUMBER(X1029),IF(X1029&gt;0,"+",IF(X1029&lt;0,"−","0")),IF(ISNUMBER(W1029),IF(W1029&gt;0,"+",IF(W1029&lt;0,"−","0")),"yok"))</f>
        <v>−</v>
      </c>
      <c r="AK1029" s="10">
        <f>IF(AND(RIGHT(C1029,2)&lt;&gt;"12",ISNUMBER(U1029),ISNUMBER(V1029)),U1029-V1029,"")</f>
        <v>140.09200000000001</v>
      </c>
      <c r="AL1029" s="11">
        <f>IF(AND(ISNUMBER(AK1029),ISNUMBER(V1029)),IF(V1029&lt;&gt;0,AK1029/ABS(V1029),""),"")</f>
        <v>1</v>
      </c>
      <c r="AM1029" s="8">
        <f>IF(ISNUMBER(AK1029),IF(AK1029&gt;1,1,0),"")</f>
        <v>1</v>
      </c>
      <c r="AN1029" s="8">
        <f>IF(ISNUMBER(AK1029),IF(AK1029&gt;0.05*ABS(V1029),1,0),"")</f>
        <v>1</v>
      </c>
      <c r="AO1029" s="10"/>
      <c r="AP1029" s="10"/>
      <c r="AQ1029" s="10"/>
      <c r="AR1029" s="8">
        <v>0</v>
      </c>
      <c r="AS1029" s="10"/>
      <c r="AT1029" s="10"/>
      <c r="AU1029" s="10"/>
      <c r="AV1029" s="10">
        <v>140.09200000000001</v>
      </c>
      <c r="AW1029" s="11" t="str">
        <f>IF(AND(ISNUMBER(AV1029),ISNUMBER(AT1029)),IF(AT1029&lt;&gt;0,AV1029/ABS(AT1029),""),"")</f>
        <v/>
      </c>
      <c r="AX1029" s="8">
        <v>0</v>
      </c>
      <c r="AY1029" s="8">
        <v>1</v>
      </c>
      <c r="AZ1029" s="10"/>
      <c r="BA1029" s="8">
        <v>0</v>
      </c>
    </row>
    <row r="1030" spans="1:53" x14ac:dyDescent="0.2">
      <c r="A1030" s="8" t="s">
        <v>663</v>
      </c>
      <c r="B1030" s="8" t="s">
        <v>84</v>
      </c>
      <c r="C1030" s="8" t="s">
        <v>208</v>
      </c>
      <c r="D1030" s="8">
        <v>0</v>
      </c>
      <c r="E1030" s="8">
        <v>1</v>
      </c>
      <c r="F1030" s="8">
        <f>SUM(G1030:M1030)</f>
        <v>1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1</v>
      </c>
      <c r="N1030" s="8">
        <v>0</v>
      </c>
      <c r="O1030" s="8">
        <v>0</v>
      </c>
      <c r="P1030" s="8">
        <v>1</v>
      </c>
      <c r="Q1030" s="8">
        <v>0</v>
      </c>
      <c r="R1030" s="8">
        <v>0</v>
      </c>
      <c r="S1030" s="8">
        <v>0</v>
      </c>
      <c r="T1030" s="10">
        <v>-26.561</v>
      </c>
      <c r="U1030" s="10">
        <v>-58.814999999999998</v>
      </c>
      <c r="V1030" s="10">
        <v>0</v>
      </c>
      <c r="W1030" s="10">
        <f>IF(RIGHT(C1030,2)="12",IF(ISNUMBER(T1030),T1030,""),IF(COUNT(T1030,U1030,V1030)=3,T1030+U1030-V1030,""))</f>
        <v>-85.376000000000005</v>
      </c>
      <c r="X1030" s="10">
        <v>-85.376999999999995</v>
      </c>
      <c r="Y1030" s="10">
        <v>-46.204000000000001</v>
      </c>
      <c r="Z1030" s="10">
        <v>-442.31799999999998</v>
      </c>
      <c r="AA1030" s="10">
        <v>429.70600000000002</v>
      </c>
      <c r="AB1030" s="10">
        <v>-26.561</v>
      </c>
      <c r="AC1030" s="8">
        <v>0</v>
      </c>
      <c r="AD1030" s="8">
        <v>0</v>
      </c>
      <c r="AE1030" s="8">
        <v>0</v>
      </c>
      <c r="AF1030" s="10">
        <v>0</v>
      </c>
      <c r="AG1030" s="8">
        <f>COUNTIF(Y1030:AB1030,"&gt;0")</f>
        <v>1</v>
      </c>
      <c r="AH1030" s="10">
        <v>0</v>
      </c>
      <c r="AI1030" s="10">
        <v>429.70600000000002</v>
      </c>
      <c r="AJ1030" s="8" t="str">
        <f>IF(ISNUMBER(X1030),IF(X1030&gt;0,"+",IF(X1030&lt;0,"−","0")),IF(ISNUMBER(W1030),IF(W1030&gt;0,"+",IF(W1030&lt;0,"−","0")),"yok"))</f>
        <v>−</v>
      </c>
      <c r="AK1030" s="10">
        <f>IF(AND(RIGHT(C1030,2)&lt;&gt;"12",ISNUMBER(U1030),ISNUMBER(V1030)),U1030-V1030,"")</f>
        <v>-58.814999999999998</v>
      </c>
      <c r="AL1030" s="11" t="str">
        <f>IF(AND(ISNUMBER(AK1030),ISNUMBER(V1030)),IF(V1030&lt;&gt;0,AK1030/ABS(V1030),""),"")</f>
        <v/>
      </c>
      <c r="AM1030" s="8">
        <f>IF(ISNUMBER(AK1030),IF(AK1030&gt;1,1,0),"")</f>
        <v>0</v>
      </c>
      <c r="AN1030" s="8">
        <f>IF(ISNUMBER(AK1030),IF(AK1030&gt;0.05*ABS(V1030),1,0),"")</f>
        <v>0</v>
      </c>
      <c r="AO1030" s="10"/>
      <c r="AP1030" s="10"/>
      <c r="AQ1030" s="10"/>
      <c r="AR1030" s="8">
        <v>0</v>
      </c>
      <c r="AS1030" s="10"/>
      <c r="AT1030" s="10"/>
      <c r="AU1030" s="10"/>
      <c r="AV1030" s="10">
        <v>429.70600000000002</v>
      </c>
      <c r="AW1030" s="11" t="str">
        <f>IF(AND(ISNUMBER(AV1030),ISNUMBER(AT1030)),IF(AT1030&lt;&gt;0,AV1030/ABS(AT1030),""),"")</f>
        <v/>
      </c>
      <c r="AX1030" s="8">
        <v>0</v>
      </c>
      <c r="AY1030" s="8">
        <v>0</v>
      </c>
      <c r="AZ1030" s="10"/>
      <c r="BA1030" s="8">
        <v>0</v>
      </c>
    </row>
    <row r="1031" spans="1:53" x14ac:dyDescent="0.2">
      <c r="A1031" s="8" t="s">
        <v>663</v>
      </c>
      <c r="B1031" s="8" t="s">
        <v>84</v>
      </c>
      <c r="C1031" s="8" t="s">
        <v>210</v>
      </c>
      <c r="D1031" s="8">
        <v>0</v>
      </c>
      <c r="E1031" s="8">
        <v>1</v>
      </c>
      <c r="F1031" s="8">
        <f>SUM(G1031:M1031)</f>
        <v>1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1</v>
      </c>
      <c r="N1031" s="8">
        <v>0</v>
      </c>
      <c r="O1031" s="8">
        <v>0</v>
      </c>
      <c r="P1031" s="8">
        <v>1</v>
      </c>
      <c r="Q1031" s="8">
        <v>0</v>
      </c>
      <c r="R1031" s="8">
        <v>0</v>
      </c>
      <c r="S1031" s="8">
        <v>0</v>
      </c>
      <c r="T1031" s="10">
        <v>-427.9</v>
      </c>
      <c r="U1031" s="10">
        <v>-58.814999999999998</v>
      </c>
      <c r="V1031" s="10">
        <v>-46.204000000000001</v>
      </c>
      <c r="W1031" s="10">
        <f>IF(RIGHT(C1031,2)="12",IF(ISNUMBER(T1031),T1031,""),IF(COUNT(T1031,U1031,V1031)=3,T1031+U1031-V1031,""))</f>
        <v>-440.51099999999997</v>
      </c>
      <c r="X1031" s="10">
        <v>-440.51100000000002</v>
      </c>
      <c r="Y1031" s="10">
        <v>-442.31799999999998</v>
      </c>
      <c r="Z1031" s="10">
        <v>429.70600000000002</v>
      </c>
      <c r="AA1031" s="10">
        <v>-26.561</v>
      </c>
      <c r="AB1031" s="10">
        <v>-401.33800000000002</v>
      </c>
      <c r="AC1031" s="8">
        <v>0</v>
      </c>
      <c r="AD1031" s="8">
        <v>0</v>
      </c>
      <c r="AE1031" s="8">
        <v>0</v>
      </c>
      <c r="AF1031" s="10">
        <v>0</v>
      </c>
      <c r="AG1031" s="8">
        <f>COUNTIF(Y1031:AB1031,"&gt;0")</f>
        <v>1</v>
      </c>
      <c r="AH1031" s="10">
        <v>0</v>
      </c>
      <c r="AI1031" s="10">
        <v>429.70600000000002</v>
      </c>
      <c r="AJ1031" s="8" t="str">
        <f>IF(ISNUMBER(X1031),IF(X1031&gt;0,"+",IF(X1031&lt;0,"−","0")),IF(ISNUMBER(W1031),IF(W1031&gt;0,"+",IF(W1031&lt;0,"−","0")),"yok"))</f>
        <v>−</v>
      </c>
      <c r="AK1031" s="10">
        <f>IF(AND(RIGHT(C1031,2)&lt;&gt;"12",ISNUMBER(U1031),ISNUMBER(V1031)),U1031-V1031,"")</f>
        <v>-12.610999999999997</v>
      </c>
      <c r="AL1031" s="11">
        <f>IF(AND(ISNUMBER(AK1031),ISNUMBER(V1031)),IF(V1031&lt;&gt;0,AK1031/ABS(V1031),""),"")</f>
        <v>-0.27294173664617777</v>
      </c>
      <c r="AM1031" s="8">
        <f>IF(ISNUMBER(AK1031),IF(AK1031&gt;1,1,0),"")</f>
        <v>0</v>
      </c>
      <c r="AN1031" s="8">
        <f>IF(ISNUMBER(AK1031),IF(AK1031&gt;0.05*ABS(V1031),1,0),"")</f>
        <v>0</v>
      </c>
      <c r="AO1031" s="10"/>
      <c r="AP1031" s="10"/>
      <c r="AQ1031" s="10"/>
      <c r="AR1031" s="8">
        <v>0</v>
      </c>
      <c r="AS1031" s="10"/>
      <c r="AT1031" s="10"/>
      <c r="AU1031" s="10"/>
      <c r="AV1031" s="10">
        <v>429.70600000000002</v>
      </c>
      <c r="AW1031" s="11" t="str">
        <f>IF(AND(ISNUMBER(AV1031),ISNUMBER(AT1031)),IF(AT1031&lt;&gt;0,AV1031/ABS(AT1031),""),"")</f>
        <v/>
      </c>
      <c r="AX1031" s="8">
        <v>0</v>
      </c>
      <c r="AY1031" s="8">
        <v>0</v>
      </c>
      <c r="AZ1031" s="10"/>
      <c r="BA1031" s="8">
        <v>0</v>
      </c>
    </row>
    <row r="1032" spans="1:53" x14ac:dyDescent="0.2">
      <c r="A1032" s="8" t="s">
        <v>664</v>
      </c>
      <c r="B1032" s="8" t="s">
        <v>83</v>
      </c>
      <c r="C1032" s="8" t="s">
        <v>208</v>
      </c>
      <c r="D1032" s="8">
        <v>0</v>
      </c>
      <c r="E1032" s="8">
        <v>1</v>
      </c>
      <c r="F1032" s="8">
        <f>SUM(G1032:M1032)</f>
        <v>1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1</v>
      </c>
      <c r="N1032" s="8">
        <v>0</v>
      </c>
      <c r="O1032" s="8">
        <v>0</v>
      </c>
      <c r="P1032" s="8">
        <v>1</v>
      </c>
      <c r="Q1032" s="8">
        <v>0</v>
      </c>
      <c r="R1032" s="8">
        <v>0</v>
      </c>
      <c r="S1032" s="8">
        <v>0</v>
      </c>
      <c r="T1032" s="10">
        <v>-3.516</v>
      </c>
      <c r="U1032" s="10">
        <v>-17.488</v>
      </c>
      <c r="V1032" s="10">
        <v>-5.7080000000000002</v>
      </c>
      <c r="W1032" s="10">
        <f>IF(RIGHT(C1032,2)="12",IF(ISNUMBER(T1032),T1032,""),IF(COUNT(T1032,U1032,V1032)=3,T1032+U1032-V1032,""))</f>
        <v>-15.295999999999998</v>
      </c>
      <c r="X1032" s="10">
        <v>-15.295</v>
      </c>
      <c r="Y1032" s="10">
        <v>-7.9880000000000004</v>
      </c>
      <c r="Z1032" s="10">
        <v>-6.7919999999999998</v>
      </c>
      <c r="AA1032" s="10">
        <v>3.0009999999999999</v>
      </c>
      <c r="AB1032" s="10">
        <v>-3.516</v>
      </c>
      <c r="AC1032" s="8">
        <v>0</v>
      </c>
      <c r="AD1032" s="8">
        <v>0</v>
      </c>
      <c r="AE1032" s="8">
        <v>0</v>
      </c>
      <c r="AF1032" s="10">
        <v>0</v>
      </c>
      <c r="AG1032" s="8">
        <f>COUNTIF(Y1032:AB1032,"&gt;0")</f>
        <v>1</v>
      </c>
      <c r="AH1032" s="10">
        <v>0</v>
      </c>
      <c r="AI1032" s="10">
        <v>3.0009999999999999</v>
      </c>
      <c r="AJ1032" s="8" t="str">
        <f>IF(ISNUMBER(X1032),IF(X1032&gt;0,"+",IF(X1032&lt;0,"−","0")),IF(ISNUMBER(W1032),IF(W1032&gt;0,"+",IF(W1032&lt;0,"−","0")),"yok"))</f>
        <v>−</v>
      </c>
      <c r="AK1032" s="10">
        <f>IF(AND(RIGHT(C1032,2)&lt;&gt;"12",ISNUMBER(U1032),ISNUMBER(V1032)),U1032-V1032,"")</f>
        <v>-11.78</v>
      </c>
      <c r="AL1032" s="11">
        <f>IF(AND(ISNUMBER(AK1032),ISNUMBER(V1032)),IF(V1032&lt;&gt;0,AK1032/ABS(V1032),""),"")</f>
        <v>-2.0637701471618777</v>
      </c>
      <c r="AM1032" s="8">
        <f>IF(ISNUMBER(AK1032),IF(AK1032&gt;1,1,0),"")</f>
        <v>0</v>
      </c>
      <c r="AN1032" s="8">
        <f>IF(ISNUMBER(AK1032),IF(AK1032&gt;0.05*ABS(V1032),1,0),"")</f>
        <v>0</v>
      </c>
      <c r="AO1032" s="10"/>
      <c r="AP1032" s="10"/>
      <c r="AQ1032" s="10"/>
      <c r="AR1032" s="8">
        <v>0</v>
      </c>
      <c r="AS1032" s="10"/>
      <c r="AT1032" s="10"/>
      <c r="AU1032" s="10"/>
      <c r="AV1032" s="10">
        <v>3.0009999999999999</v>
      </c>
      <c r="AW1032" s="11" t="str">
        <f>IF(AND(ISNUMBER(AV1032),ISNUMBER(AT1032)),IF(AT1032&lt;&gt;0,AV1032/ABS(AT1032),""),"")</f>
        <v/>
      </c>
      <c r="AX1032" s="8">
        <v>0</v>
      </c>
      <c r="AY1032" s="8">
        <v>0</v>
      </c>
      <c r="AZ1032" s="10"/>
      <c r="BA1032" s="8">
        <v>0</v>
      </c>
    </row>
    <row r="1033" spans="1:53" x14ac:dyDescent="0.2">
      <c r="A1033" s="8" t="s">
        <v>664</v>
      </c>
      <c r="B1033" s="8" t="s">
        <v>83</v>
      </c>
      <c r="C1033" s="8" t="s">
        <v>210</v>
      </c>
      <c r="D1033" s="8">
        <v>0</v>
      </c>
      <c r="E1033" s="8">
        <v>1</v>
      </c>
      <c r="F1033" s="8">
        <f>SUM(G1033:M1033)</f>
        <v>1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1</v>
      </c>
      <c r="N1033" s="8">
        <v>0</v>
      </c>
      <c r="O1033" s="8">
        <v>0</v>
      </c>
      <c r="P1033" s="8">
        <v>1</v>
      </c>
      <c r="Q1033" s="8">
        <v>0</v>
      </c>
      <c r="R1033" s="8">
        <v>0</v>
      </c>
      <c r="S1033" s="8">
        <v>0</v>
      </c>
      <c r="T1033" s="10">
        <v>-4.3140000000000001</v>
      </c>
      <c r="U1033" s="10">
        <v>-17.488</v>
      </c>
      <c r="V1033" s="10">
        <v>-13.696999999999999</v>
      </c>
      <c r="W1033" s="10">
        <f>IF(RIGHT(C1033,2)="12",IF(ISNUMBER(T1033),T1033,""),IF(COUNT(T1033,U1033,V1033)=3,T1033+U1033-V1033,""))</f>
        <v>-8.1050000000000004</v>
      </c>
      <c r="X1033" s="10">
        <v>-8.1050000000000004</v>
      </c>
      <c r="Y1033" s="10">
        <v>-6.7919999999999998</v>
      </c>
      <c r="Z1033" s="10">
        <v>3.0009999999999999</v>
      </c>
      <c r="AA1033" s="10">
        <v>-3.516</v>
      </c>
      <c r="AB1033" s="10">
        <v>-0.79800000000000004</v>
      </c>
      <c r="AC1033" s="8">
        <v>0</v>
      </c>
      <c r="AD1033" s="8">
        <v>0</v>
      </c>
      <c r="AE1033" s="8">
        <v>0</v>
      </c>
      <c r="AF1033" s="10">
        <v>0</v>
      </c>
      <c r="AG1033" s="8">
        <f>COUNTIF(Y1033:AB1033,"&gt;0")</f>
        <v>1</v>
      </c>
      <c r="AH1033" s="10">
        <v>0</v>
      </c>
      <c r="AI1033" s="10">
        <v>3.0009999999999999</v>
      </c>
      <c r="AJ1033" s="8" t="str">
        <f>IF(ISNUMBER(X1033),IF(X1033&gt;0,"+",IF(X1033&lt;0,"−","0")),IF(ISNUMBER(W1033),IF(W1033&gt;0,"+",IF(W1033&lt;0,"−","0")),"yok"))</f>
        <v>−</v>
      </c>
      <c r="AK1033" s="10">
        <f>IF(AND(RIGHT(C1033,2)&lt;&gt;"12",ISNUMBER(U1033),ISNUMBER(V1033)),U1033-V1033,"")</f>
        <v>-3.7910000000000004</v>
      </c>
      <c r="AL1033" s="11">
        <f>IF(AND(ISNUMBER(AK1033),ISNUMBER(V1033)),IF(V1033&lt;&gt;0,AK1033/ABS(V1033),""),"")</f>
        <v>-0.27677593633642406</v>
      </c>
      <c r="AM1033" s="8">
        <f>IF(ISNUMBER(AK1033),IF(AK1033&gt;1,1,0),"")</f>
        <v>0</v>
      </c>
      <c r="AN1033" s="8">
        <f>IF(ISNUMBER(AK1033),IF(AK1033&gt;0.05*ABS(V1033),1,0),"")</f>
        <v>0</v>
      </c>
      <c r="AO1033" s="10"/>
      <c r="AP1033" s="10"/>
      <c r="AQ1033" s="10"/>
      <c r="AR1033" s="8">
        <v>0</v>
      </c>
      <c r="AS1033" s="10"/>
      <c r="AT1033" s="10"/>
      <c r="AU1033" s="10"/>
      <c r="AV1033" s="10">
        <v>3.0009999999999999</v>
      </c>
      <c r="AW1033" s="11" t="str">
        <f>IF(AND(ISNUMBER(AV1033),ISNUMBER(AT1033)),IF(AT1033&lt;&gt;0,AV1033/ABS(AT1033),""),"")</f>
        <v/>
      </c>
      <c r="AX1033" s="8">
        <v>0</v>
      </c>
      <c r="AY1033" s="8">
        <v>0</v>
      </c>
      <c r="AZ1033" s="10"/>
      <c r="BA1033" s="8">
        <v>0</v>
      </c>
    </row>
    <row r="1034" spans="1:53" x14ac:dyDescent="0.2">
      <c r="A1034" s="8" t="s">
        <v>665</v>
      </c>
      <c r="B1034" s="8" t="s">
        <v>83</v>
      </c>
      <c r="C1034" s="8" t="s">
        <v>203</v>
      </c>
      <c r="D1034" s="8">
        <v>0</v>
      </c>
      <c r="E1034" s="8">
        <v>1</v>
      </c>
      <c r="F1034" s="8">
        <f>SUM(G1034:M1034)</f>
        <v>2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1</v>
      </c>
      <c r="M1034" s="8">
        <v>1</v>
      </c>
      <c r="N1034" s="8">
        <v>1</v>
      </c>
      <c r="O1034" s="8">
        <v>0</v>
      </c>
      <c r="P1034" s="8">
        <v>1</v>
      </c>
      <c r="Q1034" s="8">
        <v>0</v>
      </c>
      <c r="R1034" s="8">
        <v>0</v>
      </c>
      <c r="S1034" s="8">
        <v>0</v>
      </c>
      <c r="T1034" s="10">
        <v>-433.64299999999997</v>
      </c>
      <c r="U1034" s="10">
        <v>-3375.3710000000001</v>
      </c>
      <c r="V1034" s="10">
        <v>-7129.9449999999997</v>
      </c>
      <c r="W1034" s="10">
        <f>IF(RIGHT(C1034,2)="12",IF(ISNUMBER(T1034),T1034,""),IF(COUNT(T1034,U1034,V1034)=3,T1034+U1034-V1034,""))</f>
        <v>3320.9309999999996</v>
      </c>
      <c r="X1034" s="10">
        <v>3320.93</v>
      </c>
      <c r="Y1034" s="10">
        <v>7075.4120000000003</v>
      </c>
      <c r="Z1034" s="10">
        <v>54.533000000000001</v>
      </c>
      <c r="AA1034" s="10">
        <v>-3375.3710000000001</v>
      </c>
      <c r="AB1034" s="10">
        <v>-433.64299999999997</v>
      </c>
      <c r="AC1034" s="8">
        <v>0</v>
      </c>
      <c r="AD1034" s="8">
        <v>0</v>
      </c>
      <c r="AE1034" s="8">
        <v>0</v>
      </c>
      <c r="AF1034" s="10">
        <v>0</v>
      </c>
      <c r="AG1034" s="8">
        <f>COUNTIF(Y1034:AB1034,"&gt;0")</f>
        <v>2</v>
      </c>
      <c r="AH1034" s="10">
        <v>0</v>
      </c>
      <c r="AI1034" s="10">
        <v>7129.9449999999997</v>
      </c>
      <c r="AJ1034" s="8" t="str">
        <f>IF(ISNUMBER(X1034),IF(X1034&gt;0,"+",IF(X1034&lt;0,"−","0")),IF(ISNUMBER(W1034),IF(W1034&gt;0,"+",IF(W1034&lt;0,"−","0")),"yok"))</f>
        <v>+</v>
      </c>
      <c r="AK1034" s="10">
        <f>IF(AND(RIGHT(C1034,2)&lt;&gt;"12",ISNUMBER(U1034),ISNUMBER(V1034)),U1034-V1034,"")</f>
        <v>3754.5739999999996</v>
      </c>
      <c r="AL1034" s="11">
        <f>IF(AND(ISNUMBER(AK1034),ISNUMBER(V1034)),IF(V1034&lt;&gt;0,AK1034/ABS(V1034),""),"")</f>
        <v>0.52659228086612164</v>
      </c>
      <c r="AM1034" s="8">
        <f>IF(ISNUMBER(AK1034),IF(AK1034&gt;1,1,0),"")</f>
        <v>1</v>
      </c>
      <c r="AN1034" s="8">
        <f>IF(ISNUMBER(AK1034),IF(AK1034&gt;0.05*ABS(V1034),1,0),"")</f>
        <v>1</v>
      </c>
      <c r="AO1034" s="10"/>
      <c r="AP1034" s="10"/>
      <c r="AQ1034" s="10"/>
      <c r="AR1034" s="8">
        <v>0</v>
      </c>
      <c r="AS1034" s="10"/>
      <c r="AT1034" s="10"/>
      <c r="AU1034" s="10"/>
      <c r="AV1034" s="10">
        <v>3754.5740000000001</v>
      </c>
      <c r="AW1034" s="11" t="str">
        <f>IF(AND(ISNUMBER(AV1034),ISNUMBER(AT1034)),IF(AT1034&lt;&gt;0,AV1034/ABS(AT1034),""),"")</f>
        <v/>
      </c>
      <c r="AX1034" s="8">
        <v>0</v>
      </c>
      <c r="AY1034" s="8">
        <v>1</v>
      </c>
      <c r="AZ1034" s="10"/>
      <c r="BA1034" s="8">
        <v>0</v>
      </c>
    </row>
    <row r="1035" spans="1:53" x14ac:dyDescent="0.2">
      <c r="A1035" s="8" t="s">
        <v>665</v>
      </c>
      <c r="B1035" s="8" t="s">
        <v>83</v>
      </c>
      <c r="C1035" s="8" t="s">
        <v>208</v>
      </c>
      <c r="D1035" s="8">
        <v>0</v>
      </c>
      <c r="E1035" s="8">
        <v>1</v>
      </c>
      <c r="F1035" s="8">
        <f>SUM(G1035:M1035)</f>
        <v>2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1</v>
      </c>
      <c r="M1035" s="8">
        <v>1</v>
      </c>
      <c r="N1035" s="8">
        <v>1</v>
      </c>
      <c r="O1035" s="8">
        <v>0</v>
      </c>
      <c r="P1035" s="8">
        <v>1</v>
      </c>
      <c r="Q1035" s="8">
        <v>0</v>
      </c>
      <c r="R1035" s="8">
        <v>0</v>
      </c>
      <c r="S1035" s="8">
        <v>0</v>
      </c>
      <c r="T1035" s="10">
        <v>-0.84799999999999998</v>
      </c>
      <c r="U1035" s="10">
        <v>-86.335999999999999</v>
      </c>
      <c r="V1035" s="10">
        <v>-433.64299999999997</v>
      </c>
      <c r="W1035" s="10">
        <f>IF(RIGHT(C1035,2)="12",IF(ISNUMBER(T1035),T1035,""),IF(COUNT(T1035,U1035,V1035)=3,T1035+U1035-V1035,""))</f>
        <v>346.45899999999995</v>
      </c>
      <c r="X1035" s="10">
        <v>346.45800000000003</v>
      </c>
      <c r="Y1035" s="10">
        <v>382.95499999999998</v>
      </c>
      <c r="Z1035" s="10">
        <v>-9.5609999999999999</v>
      </c>
      <c r="AA1035" s="10">
        <v>-26.085999999999999</v>
      </c>
      <c r="AB1035" s="10">
        <v>-0.84799999999999998</v>
      </c>
      <c r="AC1035" s="8">
        <v>0</v>
      </c>
      <c r="AD1035" s="8">
        <v>0</v>
      </c>
      <c r="AE1035" s="8">
        <v>0</v>
      </c>
      <c r="AF1035" s="10">
        <v>0</v>
      </c>
      <c r="AG1035" s="8">
        <f>COUNTIF(Y1035:AB1035,"&gt;0")</f>
        <v>1</v>
      </c>
      <c r="AH1035" s="10">
        <v>0</v>
      </c>
      <c r="AI1035" s="10">
        <v>382.95499999999998</v>
      </c>
      <c r="AJ1035" s="8" t="str">
        <f>IF(ISNUMBER(X1035),IF(X1035&gt;0,"+",IF(X1035&lt;0,"−","0")),IF(ISNUMBER(W1035),IF(W1035&gt;0,"+",IF(W1035&lt;0,"−","0")),"yok"))</f>
        <v>+</v>
      </c>
      <c r="AK1035" s="10">
        <f>IF(AND(RIGHT(C1035,2)&lt;&gt;"12",ISNUMBER(U1035),ISNUMBER(V1035)),U1035-V1035,"")</f>
        <v>347.30699999999996</v>
      </c>
      <c r="AL1035" s="11">
        <f>IF(AND(ISNUMBER(AK1035),ISNUMBER(V1035)),IF(V1035&lt;&gt;0,AK1035/ABS(V1035),""),"")</f>
        <v>0.80090535302080279</v>
      </c>
      <c r="AM1035" s="8">
        <f>IF(ISNUMBER(AK1035),IF(AK1035&gt;1,1,0),"")</f>
        <v>1</v>
      </c>
      <c r="AN1035" s="8">
        <f>IF(ISNUMBER(AK1035),IF(AK1035&gt;0.05*ABS(V1035),1,0),"")</f>
        <v>1</v>
      </c>
      <c r="AO1035" s="10"/>
      <c r="AP1035" s="10"/>
      <c r="AQ1035" s="10"/>
      <c r="AR1035" s="8">
        <v>0</v>
      </c>
      <c r="AS1035" s="10"/>
      <c r="AT1035" s="10"/>
      <c r="AU1035" s="10"/>
      <c r="AV1035" s="10">
        <v>347.30700000000002</v>
      </c>
      <c r="AW1035" s="11" t="str">
        <f>IF(AND(ISNUMBER(AV1035),ISNUMBER(AT1035)),IF(AT1035&lt;&gt;0,AV1035/ABS(AT1035),""),"")</f>
        <v/>
      </c>
      <c r="AX1035" s="8">
        <v>0</v>
      </c>
      <c r="AY1035" s="8">
        <v>1</v>
      </c>
      <c r="AZ1035" s="10"/>
      <c r="BA1035" s="8">
        <v>0</v>
      </c>
    </row>
    <row r="1036" spans="1:53" x14ac:dyDescent="0.2">
      <c r="A1036" s="8" t="s">
        <v>666</v>
      </c>
      <c r="B1036" s="8" t="s">
        <v>83</v>
      </c>
      <c r="C1036" s="8" t="s">
        <v>203</v>
      </c>
      <c r="D1036" s="8">
        <v>0</v>
      </c>
      <c r="E1036" s="8">
        <v>1</v>
      </c>
      <c r="F1036" s="8">
        <f>SUM(G1036:M1036)</f>
        <v>1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1</v>
      </c>
      <c r="N1036" s="8">
        <v>0</v>
      </c>
      <c r="O1036" s="8">
        <v>0</v>
      </c>
      <c r="P1036" s="8">
        <v>1</v>
      </c>
      <c r="Q1036" s="8">
        <v>0</v>
      </c>
      <c r="R1036" s="8">
        <v>0</v>
      </c>
      <c r="S1036" s="8">
        <v>0</v>
      </c>
      <c r="T1036" s="10">
        <v>-0.21</v>
      </c>
      <c r="U1036" s="10">
        <v>-0.96599999999999997</v>
      </c>
      <c r="V1036" s="10">
        <v>-0.11899999999999999</v>
      </c>
      <c r="W1036" s="10">
        <f>IF(RIGHT(C1036,2)="12",IF(ISNUMBER(T1036),T1036,""),IF(COUNT(T1036,U1036,V1036)=3,T1036+U1036-V1036,""))</f>
        <v>-1.0569999999999999</v>
      </c>
      <c r="X1036" s="10">
        <v>-1.0580000000000001</v>
      </c>
      <c r="Y1036" s="10">
        <v>-3.286</v>
      </c>
      <c r="Z1036" s="10">
        <v>3.2810000000000001</v>
      </c>
      <c r="AA1036" s="10">
        <v>-0.84199999999999997</v>
      </c>
      <c r="AB1036" s="10">
        <v>-0.21</v>
      </c>
      <c r="AC1036" s="8">
        <v>0</v>
      </c>
      <c r="AD1036" s="8">
        <v>0</v>
      </c>
      <c r="AE1036" s="8">
        <v>0</v>
      </c>
      <c r="AF1036" s="10">
        <v>0</v>
      </c>
      <c r="AG1036" s="8">
        <f>COUNTIF(Y1036:AB1036,"&gt;0")</f>
        <v>1</v>
      </c>
      <c r="AH1036" s="10">
        <v>0</v>
      </c>
      <c r="AI1036" s="10">
        <v>3.2810000000000001</v>
      </c>
      <c r="AJ1036" s="8" t="str">
        <f>IF(ISNUMBER(X1036),IF(X1036&gt;0,"+",IF(X1036&lt;0,"−","0")),IF(ISNUMBER(W1036),IF(W1036&gt;0,"+",IF(W1036&lt;0,"−","0")),"yok"))</f>
        <v>−</v>
      </c>
      <c r="AK1036" s="10">
        <f>IF(AND(RIGHT(C1036,2)&lt;&gt;"12",ISNUMBER(U1036),ISNUMBER(V1036)),U1036-V1036,"")</f>
        <v>-0.84699999999999998</v>
      </c>
      <c r="AL1036" s="11">
        <f>IF(AND(ISNUMBER(AK1036),ISNUMBER(V1036)),IF(V1036&lt;&gt;0,AK1036/ABS(V1036),""),"")</f>
        <v>-7.1176470588235299</v>
      </c>
      <c r="AM1036" s="8">
        <f>IF(ISNUMBER(AK1036),IF(AK1036&gt;1,1,0),"")</f>
        <v>0</v>
      </c>
      <c r="AN1036" s="8">
        <f>IF(ISNUMBER(AK1036),IF(AK1036&gt;0.05*ABS(V1036),1,0),"")</f>
        <v>0</v>
      </c>
      <c r="AO1036" s="10"/>
      <c r="AP1036" s="10"/>
      <c r="AQ1036" s="10"/>
      <c r="AR1036" s="8">
        <v>0</v>
      </c>
      <c r="AS1036" s="10"/>
      <c r="AT1036" s="10"/>
      <c r="AU1036" s="10"/>
      <c r="AV1036" s="10">
        <v>3.2810000000000001</v>
      </c>
      <c r="AW1036" s="11" t="str">
        <f>IF(AND(ISNUMBER(AV1036),ISNUMBER(AT1036)),IF(AT1036&lt;&gt;0,AV1036/ABS(AT1036),""),"")</f>
        <v/>
      </c>
      <c r="AX1036" s="8">
        <v>0</v>
      </c>
      <c r="AY1036" s="8">
        <v>0</v>
      </c>
      <c r="AZ1036" s="10"/>
      <c r="BA1036" s="8">
        <v>0</v>
      </c>
    </row>
    <row r="1037" spans="1:53" x14ac:dyDescent="0.2">
      <c r="A1037" s="8" t="s">
        <v>666</v>
      </c>
      <c r="B1037" s="8" t="s">
        <v>83</v>
      </c>
      <c r="C1037" s="8" t="s">
        <v>205</v>
      </c>
      <c r="D1037" s="8">
        <v>0</v>
      </c>
      <c r="E1037" s="8">
        <v>1</v>
      </c>
      <c r="F1037" s="8">
        <f>SUM(G1037:M1037)</f>
        <v>2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1</v>
      </c>
      <c r="M1037" s="8">
        <v>1</v>
      </c>
      <c r="N1037" s="8">
        <v>1</v>
      </c>
      <c r="O1037" s="8">
        <v>0</v>
      </c>
      <c r="P1037" s="8">
        <v>1</v>
      </c>
      <c r="Q1037" s="8">
        <v>0</v>
      </c>
      <c r="R1037" s="8">
        <v>0</v>
      </c>
      <c r="S1037" s="8">
        <v>0</v>
      </c>
      <c r="T1037" s="10">
        <v>-0.21</v>
      </c>
      <c r="U1037" s="10">
        <v>-0.96599999999999997</v>
      </c>
      <c r="V1037" s="10">
        <v>-3.4060000000000001</v>
      </c>
      <c r="W1037" s="10">
        <f>IF(RIGHT(C1037,2)="12",IF(ISNUMBER(T1037),T1037,""),IF(COUNT(T1037,U1037,V1037)=3,T1037+U1037-V1037,""))</f>
        <v>2.2300000000000004</v>
      </c>
      <c r="X1037" s="10">
        <v>2.2280000000000002</v>
      </c>
      <c r="Y1037" s="10">
        <v>3.2810000000000001</v>
      </c>
      <c r="Z1037" s="10">
        <v>-0.84199999999999997</v>
      </c>
      <c r="AA1037" s="10">
        <v>-0.21</v>
      </c>
      <c r="AB1037" s="10">
        <v>0</v>
      </c>
      <c r="AC1037" s="8">
        <v>0</v>
      </c>
      <c r="AD1037" s="8">
        <v>0</v>
      </c>
      <c r="AE1037" s="8">
        <v>0</v>
      </c>
      <c r="AF1037" s="10">
        <v>0</v>
      </c>
      <c r="AG1037" s="8">
        <f>COUNTIF(Y1037:AB1037,"&gt;0")</f>
        <v>1</v>
      </c>
      <c r="AH1037" s="10">
        <v>0</v>
      </c>
      <c r="AI1037" s="10">
        <v>3.2810000000000001</v>
      </c>
      <c r="AJ1037" s="8" t="str">
        <f>IF(ISNUMBER(X1037),IF(X1037&gt;0,"+",IF(X1037&lt;0,"−","0")),IF(ISNUMBER(W1037),IF(W1037&gt;0,"+",IF(W1037&lt;0,"−","0")),"yok"))</f>
        <v>+</v>
      </c>
      <c r="AK1037" s="10">
        <f>IF(AND(RIGHT(C1037,2)&lt;&gt;"12",ISNUMBER(U1037),ISNUMBER(V1037)),U1037-V1037,"")</f>
        <v>2.4400000000000004</v>
      </c>
      <c r="AL1037" s="11">
        <f>IF(AND(ISNUMBER(AK1037),ISNUMBER(V1037)),IF(V1037&lt;&gt;0,AK1037/ABS(V1037),""),"")</f>
        <v>0.71638285378743405</v>
      </c>
      <c r="AM1037" s="8">
        <f>IF(ISNUMBER(AK1037),IF(AK1037&gt;1,1,0),"")</f>
        <v>1</v>
      </c>
      <c r="AN1037" s="8">
        <f>IF(ISNUMBER(AK1037),IF(AK1037&gt;0.05*ABS(V1037),1,0),"")</f>
        <v>1</v>
      </c>
      <c r="AO1037" s="10"/>
      <c r="AP1037" s="10"/>
      <c r="AQ1037" s="10"/>
      <c r="AR1037" s="8">
        <v>0</v>
      </c>
      <c r="AS1037" s="10"/>
      <c r="AT1037" s="10"/>
      <c r="AU1037" s="10"/>
      <c r="AV1037" s="10">
        <v>2.44</v>
      </c>
      <c r="AW1037" s="11" t="str">
        <f>IF(AND(ISNUMBER(AV1037),ISNUMBER(AT1037)),IF(AT1037&lt;&gt;0,AV1037/ABS(AT1037),""),"")</f>
        <v/>
      </c>
      <c r="AX1037" s="8">
        <v>0</v>
      </c>
      <c r="AY1037" s="8">
        <v>1</v>
      </c>
      <c r="AZ1037" s="10"/>
      <c r="BA1037" s="8">
        <v>0</v>
      </c>
    </row>
    <row r="1038" spans="1:53" x14ac:dyDescent="0.2">
      <c r="A1038" s="8" t="s">
        <v>667</v>
      </c>
      <c r="B1038" s="8" t="s">
        <v>83</v>
      </c>
      <c r="C1038" s="8" t="s">
        <v>208</v>
      </c>
      <c r="D1038" s="8">
        <v>0</v>
      </c>
      <c r="E1038" s="8">
        <v>1</v>
      </c>
      <c r="F1038" s="8">
        <f>SUM(G1038:M1038)</f>
        <v>1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1</v>
      </c>
      <c r="N1038" s="8">
        <v>0</v>
      </c>
      <c r="O1038" s="8">
        <v>0</v>
      </c>
      <c r="P1038" s="8">
        <v>1</v>
      </c>
      <c r="Q1038" s="8">
        <v>0</v>
      </c>
      <c r="R1038" s="8">
        <v>0</v>
      </c>
      <c r="S1038" s="8">
        <v>0</v>
      </c>
      <c r="T1038" s="10">
        <v>-3.5840000000000001</v>
      </c>
      <c r="U1038" s="10">
        <v>-37.576000000000001</v>
      </c>
      <c r="V1038" s="10">
        <v>-0.47699999999999998</v>
      </c>
      <c r="W1038" s="10">
        <f>IF(RIGHT(C1038,2)="12",IF(ISNUMBER(T1038),T1038,""),IF(COUNT(T1038,U1038,V1038)=3,T1038+U1038-V1038,""))</f>
        <v>-40.683000000000007</v>
      </c>
      <c r="X1038" s="10">
        <v>-40.683</v>
      </c>
      <c r="Y1038" s="10">
        <v>-36.551000000000002</v>
      </c>
      <c r="Z1038" s="10">
        <v>-8.3569999999999993</v>
      </c>
      <c r="AA1038" s="10">
        <v>7.81</v>
      </c>
      <c r="AB1038" s="10">
        <v>-3.5840000000000001</v>
      </c>
      <c r="AC1038" s="8">
        <v>0</v>
      </c>
      <c r="AD1038" s="8">
        <v>0</v>
      </c>
      <c r="AE1038" s="8">
        <v>0</v>
      </c>
      <c r="AF1038" s="10">
        <v>0</v>
      </c>
      <c r="AG1038" s="8">
        <f>COUNTIF(Y1038:AB1038,"&gt;0")</f>
        <v>1</v>
      </c>
      <c r="AH1038" s="10">
        <v>0</v>
      </c>
      <c r="AI1038" s="10">
        <v>7.81</v>
      </c>
      <c r="AJ1038" s="8" t="str">
        <f>IF(ISNUMBER(X1038),IF(X1038&gt;0,"+",IF(X1038&lt;0,"−","0")),IF(ISNUMBER(W1038),IF(W1038&gt;0,"+",IF(W1038&lt;0,"−","0")),"yok"))</f>
        <v>−</v>
      </c>
      <c r="AK1038" s="10">
        <f>IF(AND(RIGHT(C1038,2)&lt;&gt;"12",ISNUMBER(U1038),ISNUMBER(V1038)),U1038-V1038,"")</f>
        <v>-37.099000000000004</v>
      </c>
      <c r="AL1038" s="11">
        <f>IF(AND(ISNUMBER(AK1038),ISNUMBER(V1038)),IF(V1038&lt;&gt;0,AK1038/ABS(V1038),""),"")</f>
        <v>-77.775681341719093</v>
      </c>
      <c r="AM1038" s="8">
        <f>IF(ISNUMBER(AK1038),IF(AK1038&gt;1,1,0),"")</f>
        <v>0</v>
      </c>
      <c r="AN1038" s="8">
        <f>IF(ISNUMBER(AK1038),IF(AK1038&gt;0.05*ABS(V1038),1,0),"")</f>
        <v>0</v>
      </c>
      <c r="AO1038" s="10"/>
      <c r="AP1038" s="10"/>
      <c r="AQ1038" s="10"/>
      <c r="AR1038" s="8">
        <v>0</v>
      </c>
      <c r="AS1038" s="10"/>
      <c r="AT1038" s="10"/>
      <c r="AU1038" s="10"/>
      <c r="AV1038" s="10">
        <v>7.81</v>
      </c>
      <c r="AW1038" s="11" t="str">
        <f>IF(AND(ISNUMBER(AV1038),ISNUMBER(AT1038)),IF(AT1038&lt;&gt;0,AV1038/ABS(AT1038),""),"")</f>
        <v/>
      </c>
      <c r="AX1038" s="8">
        <v>0</v>
      </c>
      <c r="AY1038" s="8">
        <v>0</v>
      </c>
      <c r="AZ1038" s="10"/>
      <c r="BA1038" s="8">
        <v>0</v>
      </c>
    </row>
    <row r="1039" spans="1:53" x14ac:dyDescent="0.2">
      <c r="A1039" s="8" t="s">
        <v>667</v>
      </c>
      <c r="B1039" s="8" t="s">
        <v>83</v>
      </c>
      <c r="C1039" s="8" t="s">
        <v>210</v>
      </c>
      <c r="D1039" s="8">
        <v>0</v>
      </c>
      <c r="E1039" s="8">
        <v>1</v>
      </c>
      <c r="F1039" s="8">
        <f>SUM(G1039:M1039)</f>
        <v>1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1</v>
      </c>
      <c r="N1039" s="8">
        <v>0</v>
      </c>
      <c r="O1039" s="8">
        <v>0</v>
      </c>
      <c r="P1039" s="8">
        <v>1</v>
      </c>
      <c r="Q1039" s="8">
        <v>0</v>
      </c>
      <c r="R1039" s="8">
        <v>0</v>
      </c>
      <c r="S1039" s="8">
        <v>1</v>
      </c>
      <c r="T1039" s="10">
        <v>-0.72</v>
      </c>
      <c r="U1039" s="10">
        <v>-37.576000000000001</v>
      </c>
      <c r="V1039" s="10">
        <v>-37.029000000000003</v>
      </c>
      <c r="W1039" s="10">
        <f>IF(RIGHT(C1039,2)="12",IF(ISNUMBER(T1039),T1039,""),IF(COUNT(T1039,U1039,V1039)=3,T1039+U1039-V1039,""))</f>
        <v>-1.2669999999999959</v>
      </c>
      <c r="X1039" s="10">
        <v>-1.2669999999999999</v>
      </c>
      <c r="Y1039" s="10">
        <v>-8.3569999999999993</v>
      </c>
      <c r="Z1039" s="10">
        <v>7.81</v>
      </c>
      <c r="AA1039" s="10">
        <v>-3.5840000000000001</v>
      </c>
      <c r="AB1039" s="10">
        <v>2.8639999999999999</v>
      </c>
      <c r="AC1039" s="8">
        <v>0</v>
      </c>
      <c r="AD1039" s="8">
        <v>0</v>
      </c>
      <c r="AE1039" s="8">
        <v>0</v>
      </c>
      <c r="AF1039" s="10">
        <v>0</v>
      </c>
      <c r="AG1039" s="8">
        <f>COUNTIF(Y1039:AB1039,"&gt;0")</f>
        <v>2</v>
      </c>
      <c r="AH1039" s="10">
        <v>2.8639999999999999</v>
      </c>
      <c r="AI1039" s="10">
        <v>7.81</v>
      </c>
      <c r="AJ1039" s="8" t="str">
        <f>IF(ISNUMBER(X1039),IF(X1039&gt;0,"+",IF(X1039&lt;0,"−","0")),IF(ISNUMBER(W1039),IF(W1039&gt;0,"+",IF(W1039&lt;0,"−","0")),"yok"))</f>
        <v>−</v>
      </c>
      <c r="AK1039" s="10">
        <f>IF(AND(RIGHT(C1039,2)&lt;&gt;"12",ISNUMBER(U1039),ISNUMBER(V1039)),U1039-V1039,"")</f>
        <v>-0.54699999999999704</v>
      </c>
      <c r="AL1039" s="11">
        <f>IF(AND(ISNUMBER(AK1039),ISNUMBER(V1039)),IF(V1039&lt;&gt;0,AK1039/ABS(V1039),""),"")</f>
        <v>-1.4772205568608306E-2</v>
      </c>
      <c r="AM1039" s="8">
        <f>IF(ISNUMBER(AK1039),IF(AK1039&gt;1,1,0),"")</f>
        <v>0</v>
      </c>
      <c r="AN1039" s="8">
        <f>IF(ISNUMBER(AK1039),IF(AK1039&gt;0.05*ABS(V1039),1,0),"")</f>
        <v>0</v>
      </c>
      <c r="AO1039" s="10"/>
      <c r="AP1039" s="10"/>
      <c r="AQ1039" s="10"/>
      <c r="AR1039" s="8">
        <v>0</v>
      </c>
      <c r="AS1039" s="10"/>
      <c r="AT1039" s="10"/>
      <c r="AU1039" s="10"/>
      <c r="AV1039" s="10">
        <v>7.81</v>
      </c>
      <c r="AW1039" s="11" t="str">
        <f>IF(AND(ISNUMBER(AV1039),ISNUMBER(AT1039)),IF(AT1039&lt;&gt;0,AV1039/ABS(AT1039),""),"")</f>
        <v/>
      </c>
      <c r="AX1039" s="8">
        <v>0</v>
      </c>
      <c r="AY1039" s="8">
        <v>0</v>
      </c>
      <c r="AZ1039" s="10"/>
      <c r="BA1039" s="8">
        <v>0</v>
      </c>
    </row>
    <row r="1040" spans="1:53" x14ac:dyDescent="0.2">
      <c r="A1040" s="8" t="s">
        <v>668</v>
      </c>
      <c r="B1040" s="8" t="s">
        <v>83</v>
      </c>
      <c r="C1040" s="8" t="s">
        <v>203</v>
      </c>
      <c r="D1040" s="8">
        <v>0</v>
      </c>
      <c r="E1040" s="8">
        <v>1</v>
      </c>
      <c r="F1040" s="8">
        <f>SUM(G1040:M1040)</f>
        <v>1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1</v>
      </c>
      <c r="N1040" s="8">
        <v>0</v>
      </c>
      <c r="O1040" s="8">
        <v>0</v>
      </c>
      <c r="P1040" s="8">
        <v>1</v>
      </c>
      <c r="Q1040" s="8">
        <v>0</v>
      </c>
      <c r="R1040" s="8">
        <v>0</v>
      </c>
      <c r="S1040" s="8">
        <v>0</v>
      </c>
      <c r="T1040" s="10">
        <v>-14.147</v>
      </c>
      <c r="U1040" s="10">
        <v>-7.2999999999999995E-2</v>
      </c>
      <c r="V1040" s="10">
        <v>-6.9000000000000006E-2</v>
      </c>
      <c r="W1040" s="10">
        <f>IF(RIGHT(C1040,2)="12",IF(ISNUMBER(T1040),T1040,""),IF(COUNT(T1040,U1040,V1040)=3,T1040+U1040-V1040,""))</f>
        <v>-14.151</v>
      </c>
      <c r="X1040" s="10">
        <v>-14.151</v>
      </c>
      <c r="Y1040" s="10">
        <v>-1.8959999999999999</v>
      </c>
      <c r="Z1040" s="10">
        <v>-3.63</v>
      </c>
      <c r="AA1040" s="10">
        <v>5.5229999999999997</v>
      </c>
      <c r="AB1040" s="10">
        <v>-14.147</v>
      </c>
      <c r="AC1040" s="8">
        <v>0</v>
      </c>
      <c r="AD1040" s="8">
        <v>0</v>
      </c>
      <c r="AE1040" s="8">
        <v>0</v>
      </c>
      <c r="AF1040" s="10">
        <v>0</v>
      </c>
      <c r="AG1040" s="8">
        <f>COUNTIF(Y1040:AB1040,"&gt;0")</f>
        <v>1</v>
      </c>
      <c r="AH1040" s="10">
        <v>0</v>
      </c>
      <c r="AI1040" s="10">
        <v>5.5229999999999997</v>
      </c>
      <c r="AJ1040" s="8" t="str">
        <f>IF(ISNUMBER(X1040),IF(X1040&gt;0,"+",IF(X1040&lt;0,"−","0")),IF(ISNUMBER(W1040),IF(W1040&gt;0,"+",IF(W1040&lt;0,"−","0")),"yok"))</f>
        <v>−</v>
      </c>
      <c r="AK1040" s="10">
        <f>IF(AND(RIGHT(C1040,2)&lt;&gt;"12",ISNUMBER(U1040),ISNUMBER(V1040)),U1040-V1040,"")</f>
        <v>-3.9999999999999897E-3</v>
      </c>
      <c r="AL1040" s="11">
        <f>IF(AND(ISNUMBER(AK1040),ISNUMBER(V1040)),IF(V1040&lt;&gt;0,AK1040/ABS(V1040),""),"")</f>
        <v>-5.7971014492753471E-2</v>
      </c>
      <c r="AM1040" s="8">
        <f>IF(ISNUMBER(AK1040),IF(AK1040&gt;1,1,0),"")</f>
        <v>0</v>
      </c>
      <c r="AN1040" s="8">
        <f>IF(ISNUMBER(AK1040),IF(AK1040&gt;0.05*ABS(V1040),1,0),"")</f>
        <v>0</v>
      </c>
      <c r="AO1040" s="10"/>
      <c r="AP1040" s="10"/>
      <c r="AQ1040" s="10"/>
      <c r="AR1040" s="8">
        <v>0</v>
      </c>
      <c r="AS1040" s="10"/>
      <c r="AT1040" s="10"/>
      <c r="AU1040" s="10"/>
      <c r="AV1040" s="10">
        <v>5.5229999999999997</v>
      </c>
      <c r="AW1040" s="11" t="str">
        <f>IF(AND(ISNUMBER(AV1040),ISNUMBER(AT1040)),IF(AT1040&lt;&gt;0,AV1040/ABS(AT1040),""),"")</f>
        <v/>
      </c>
      <c r="AX1040" s="8">
        <v>0</v>
      </c>
      <c r="AY1040" s="8">
        <v>0</v>
      </c>
      <c r="AZ1040" s="10"/>
      <c r="BA1040" s="8">
        <v>0</v>
      </c>
    </row>
    <row r="1041" spans="1:53" x14ac:dyDescent="0.2">
      <c r="A1041" s="8" t="s">
        <v>668</v>
      </c>
      <c r="B1041" s="8" t="s">
        <v>83</v>
      </c>
      <c r="C1041" s="8" t="s">
        <v>205</v>
      </c>
      <c r="D1041" s="8">
        <v>0</v>
      </c>
      <c r="E1041" s="8">
        <v>1</v>
      </c>
      <c r="F1041" s="8">
        <f>SUM(G1041:M1041)</f>
        <v>2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1</v>
      </c>
      <c r="M1041" s="8">
        <v>1</v>
      </c>
      <c r="N1041" s="8">
        <v>1</v>
      </c>
      <c r="O1041" s="8">
        <v>0</v>
      </c>
      <c r="P1041" s="8">
        <v>1</v>
      </c>
      <c r="Q1041" s="8">
        <v>0</v>
      </c>
      <c r="R1041" s="8">
        <v>0</v>
      </c>
      <c r="S1041" s="8">
        <v>1</v>
      </c>
      <c r="T1041" s="10">
        <v>0</v>
      </c>
      <c r="U1041" s="10">
        <v>-7.2999999999999995E-2</v>
      </c>
      <c r="V1041" s="10">
        <v>-1.966</v>
      </c>
      <c r="W1041" s="10">
        <f>IF(RIGHT(C1041,2)="12",IF(ISNUMBER(T1041),T1041,""),IF(COUNT(T1041,U1041,V1041)=3,T1041+U1041-V1041,""))</f>
        <v>1.893</v>
      </c>
      <c r="X1041" s="10">
        <v>1.8919999999999999</v>
      </c>
      <c r="Y1041" s="10">
        <v>-3.63</v>
      </c>
      <c r="Z1041" s="10">
        <v>5.5229999999999997</v>
      </c>
      <c r="AA1041" s="10">
        <v>-14.147</v>
      </c>
      <c r="AB1041" s="10">
        <v>14.147</v>
      </c>
      <c r="AC1041" s="8">
        <v>0</v>
      </c>
      <c r="AD1041" s="8">
        <v>0</v>
      </c>
      <c r="AE1041" s="8">
        <v>0</v>
      </c>
      <c r="AF1041" s="10">
        <v>0</v>
      </c>
      <c r="AG1041" s="8">
        <f>COUNTIF(Y1041:AB1041,"&gt;0")</f>
        <v>2</v>
      </c>
      <c r="AH1041" s="10">
        <v>14.147</v>
      </c>
      <c r="AI1041" s="10">
        <v>5.5229999999999997</v>
      </c>
      <c r="AJ1041" s="8" t="str">
        <f>IF(ISNUMBER(X1041),IF(X1041&gt;0,"+",IF(X1041&lt;0,"−","0")),IF(ISNUMBER(W1041),IF(W1041&gt;0,"+",IF(W1041&lt;0,"−","0")),"yok"))</f>
        <v>+</v>
      </c>
      <c r="AK1041" s="10">
        <f>IF(AND(RIGHT(C1041,2)&lt;&gt;"12",ISNUMBER(U1041),ISNUMBER(V1041)),U1041-V1041,"")</f>
        <v>1.893</v>
      </c>
      <c r="AL1041" s="11">
        <f>IF(AND(ISNUMBER(AK1041),ISNUMBER(V1041)),IF(V1041&lt;&gt;0,AK1041/ABS(V1041),""),"")</f>
        <v>0.96286876907426244</v>
      </c>
      <c r="AM1041" s="8">
        <f>IF(ISNUMBER(AK1041),IF(AK1041&gt;1,1,0),"")</f>
        <v>1</v>
      </c>
      <c r="AN1041" s="8">
        <f>IF(ISNUMBER(AK1041),IF(AK1041&gt;0.05*ABS(V1041),1,0),"")</f>
        <v>1</v>
      </c>
      <c r="AO1041" s="10"/>
      <c r="AP1041" s="10"/>
      <c r="AQ1041" s="10"/>
      <c r="AR1041" s="8">
        <v>0</v>
      </c>
      <c r="AS1041" s="10"/>
      <c r="AT1041" s="10"/>
      <c r="AU1041" s="10"/>
      <c r="AV1041" s="10">
        <v>1.893</v>
      </c>
      <c r="AW1041" s="11" t="str">
        <f>IF(AND(ISNUMBER(AV1041),ISNUMBER(AT1041)),IF(AT1041&lt;&gt;0,AV1041/ABS(AT1041),""),"")</f>
        <v/>
      </c>
      <c r="AX1041" s="8">
        <v>0</v>
      </c>
      <c r="AY1041" s="8">
        <v>1</v>
      </c>
      <c r="AZ1041" s="10"/>
      <c r="BA1041" s="8">
        <v>0</v>
      </c>
    </row>
    <row r="1042" spans="1:53" x14ac:dyDescent="0.2">
      <c r="A1042" s="8" t="s">
        <v>668</v>
      </c>
      <c r="B1042" s="8" t="s">
        <v>83</v>
      </c>
      <c r="C1042" s="8" t="s">
        <v>215</v>
      </c>
      <c r="D1042" s="8">
        <v>0</v>
      </c>
      <c r="E1042" s="8">
        <v>1</v>
      </c>
      <c r="F1042" s="8">
        <f>SUM(G1042:M1042)</f>
        <v>2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1</v>
      </c>
      <c r="M1042" s="8">
        <v>1</v>
      </c>
      <c r="N1042" s="8">
        <v>0</v>
      </c>
      <c r="O1042" s="8">
        <v>0</v>
      </c>
      <c r="P1042" s="8">
        <v>1</v>
      </c>
      <c r="Q1042" s="8">
        <v>0</v>
      </c>
      <c r="R1042" s="8">
        <v>0</v>
      </c>
      <c r="S1042" s="8">
        <v>1</v>
      </c>
      <c r="T1042" s="10">
        <v>-62.91</v>
      </c>
      <c r="U1042" s="10">
        <v>-7.2999999999999995E-2</v>
      </c>
      <c r="V1042" s="10">
        <v>-5.5960000000000001</v>
      </c>
      <c r="W1042" s="10">
        <f>IF(RIGHT(C1042,2)="12",IF(ISNUMBER(T1042),T1042,""),IF(COUNT(T1042,U1042,V1042)=3,T1042+U1042-V1042,""))</f>
        <v>-57.387</v>
      </c>
      <c r="X1042" s="10">
        <v>-57.387</v>
      </c>
      <c r="Y1042" s="10">
        <v>5.5229999999999997</v>
      </c>
      <c r="Z1042" s="10">
        <v>-14.147</v>
      </c>
      <c r="AA1042" s="10">
        <v>14.147</v>
      </c>
      <c r="AB1042" s="10">
        <v>-62.91</v>
      </c>
      <c r="AC1042" s="8">
        <v>0</v>
      </c>
      <c r="AD1042" s="8">
        <v>0</v>
      </c>
      <c r="AE1042" s="8">
        <v>0</v>
      </c>
      <c r="AF1042" s="10">
        <v>0</v>
      </c>
      <c r="AG1042" s="8">
        <f>COUNTIF(Y1042:AB1042,"&gt;0")</f>
        <v>2</v>
      </c>
      <c r="AH1042" s="10">
        <v>14.147</v>
      </c>
      <c r="AI1042" s="10">
        <v>5.5229999999999997</v>
      </c>
      <c r="AJ1042" s="8" t="str">
        <f>IF(ISNUMBER(X1042),IF(X1042&gt;0,"+",IF(X1042&lt;0,"−","0")),IF(ISNUMBER(W1042),IF(W1042&gt;0,"+",IF(W1042&lt;0,"−","0")),"yok"))</f>
        <v>−</v>
      </c>
      <c r="AK1042" s="10">
        <f>IF(AND(RIGHT(C1042,2)&lt;&gt;"12",ISNUMBER(U1042),ISNUMBER(V1042)),U1042-V1042,"")</f>
        <v>5.5229999999999997</v>
      </c>
      <c r="AL1042" s="11">
        <f>IF(AND(ISNUMBER(AK1042),ISNUMBER(V1042)),IF(V1042&lt;&gt;0,AK1042/ABS(V1042),""),"")</f>
        <v>0.98695496783416714</v>
      </c>
      <c r="AM1042" s="8">
        <f>IF(ISNUMBER(AK1042),IF(AK1042&gt;1,1,0),"")</f>
        <v>1</v>
      </c>
      <c r="AN1042" s="8">
        <f>IF(ISNUMBER(AK1042),IF(AK1042&gt;0.05*ABS(V1042),1,0),"")</f>
        <v>1</v>
      </c>
      <c r="AO1042" s="10"/>
      <c r="AP1042" s="10"/>
      <c r="AQ1042" s="10"/>
      <c r="AR1042" s="8">
        <v>0</v>
      </c>
      <c r="AS1042" s="10"/>
      <c r="AT1042" s="10"/>
      <c r="AU1042" s="10"/>
      <c r="AV1042" s="10">
        <v>5.5229999999999997</v>
      </c>
      <c r="AW1042" s="11" t="str">
        <f>IF(AND(ISNUMBER(AV1042),ISNUMBER(AT1042)),IF(AT1042&lt;&gt;0,AV1042/ABS(AT1042),""),"")</f>
        <v/>
      </c>
      <c r="AX1042" s="8">
        <v>0</v>
      </c>
      <c r="AY1042" s="8">
        <v>1</v>
      </c>
      <c r="AZ1042" s="10"/>
      <c r="BA1042" s="8">
        <v>0</v>
      </c>
    </row>
    <row r="1043" spans="1:53" x14ac:dyDescent="0.2">
      <c r="A1043" s="8" t="s">
        <v>668</v>
      </c>
      <c r="B1043" s="8" t="s">
        <v>83</v>
      </c>
      <c r="C1043" s="8" t="s">
        <v>208</v>
      </c>
      <c r="D1043" s="8">
        <v>0</v>
      </c>
      <c r="E1043" s="8">
        <v>1</v>
      </c>
      <c r="F1043" s="8">
        <f>SUM(G1043:M1043)</f>
        <v>3</v>
      </c>
      <c r="G1043" s="8">
        <v>0</v>
      </c>
      <c r="H1043" s="8">
        <v>0</v>
      </c>
      <c r="I1043" s="8">
        <v>0</v>
      </c>
      <c r="J1043" s="8">
        <v>0</v>
      </c>
      <c r="K1043" s="8">
        <v>1</v>
      </c>
      <c r="L1043" s="8">
        <v>1</v>
      </c>
      <c r="M1043" s="8">
        <v>1</v>
      </c>
      <c r="N1043" s="8">
        <v>0</v>
      </c>
      <c r="O1043" s="8">
        <v>1</v>
      </c>
      <c r="P1043" s="8">
        <v>1</v>
      </c>
      <c r="Q1043" s="8">
        <v>0</v>
      </c>
      <c r="R1043" s="8">
        <v>0</v>
      </c>
      <c r="S1043" s="8">
        <v>0</v>
      </c>
      <c r="T1043" s="10">
        <v>-48.417999999999999</v>
      </c>
      <c r="U1043" s="10">
        <v>0.435</v>
      </c>
      <c r="V1043" s="10">
        <v>-14.147</v>
      </c>
      <c r="W1043" s="10">
        <f>IF(RIGHT(C1043,2)="12",IF(ISNUMBER(T1043),T1043,""),IF(COUNT(T1043,U1043,V1043)=3,T1043+U1043-V1043,""))</f>
        <v>-33.835999999999999</v>
      </c>
      <c r="X1043" s="10">
        <v>-33.835000000000001</v>
      </c>
      <c r="Y1043" s="10">
        <v>14.147</v>
      </c>
      <c r="Z1043" s="10">
        <v>-62.91</v>
      </c>
      <c r="AA1043" s="10">
        <v>63.344999999999999</v>
      </c>
      <c r="AB1043" s="10">
        <v>-48.417999999999999</v>
      </c>
      <c r="AC1043" s="8">
        <v>0</v>
      </c>
      <c r="AD1043" s="8">
        <v>1</v>
      </c>
      <c r="AE1043" s="8">
        <v>0</v>
      </c>
      <c r="AF1043" s="10">
        <v>0.435</v>
      </c>
      <c r="AG1043" s="8">
        <f>COUNTIF(Y1043:AB1043,"&gt;0")</f>
        <v>2</v>
      </c>
      <c r="AH1043" s="10">
        <v>0</v>
      </c>
      <c r="AI1043" s="10">
        <v>77.492000000000004</v>
      </c>
      <c r="AJ1043" s="8" t="str">
        <f>IF(ISNUMBER(X1043),IF(X1043&gt;0,"+",IF(X1043&lt;0,"−","0")),IF(ISNUMBER(W1043),IF(W1043&gt;0,"+",IF(W1043&lt;0,"−","0")),"yok"))</f>
        <v>−</v>
      </c>
      <c r="AK1043" s="10">
        <f>IF(AND(RIGHT(C1043,2)&lt;&gt;"12",ISNUMBER(U1043),ISNUMBER(V1043)),U1043-V1043,"")</f>
        <v>14.582000000000001</v>
      </c>
      <c r="AL1043" s="11">
        <f>IF(AND(ISNUMBER(AK1043),ISNUMBER(V1043)),IF(V1043&lt;&gt;0,AK1043/ABS(V1043),""),"")</f>
        <v>1.0307485686011169</v>
      </c>
      <c r="AM1043" s="8">
        <f>IF(ISNUMBER(AK1043),IF(AK1043&gt;1,1,0),"")</f>
        <v>1</v>
      </c>
      <c r="AN1043" s="8">
        <f>IF(ISNUMBER(AK1043),IF(AK1043&gt;0.05*ABS(V1043),1,0),"")</f>
        <v>1</v>
      </c>
      <c r="AO1043" s="10"/>
      <c r="AP1043" s="10"/>
      <c r="AQ1043" s="10"/>
      <c r="AR1043" s="8">
        <v>0</v>
      </c>
      <c r="AS1043" s="10"/>
      <c r="AT1043" s="10"/>
      <c r="AU1043" s="10"/>
      <c r="AV1043" s="10">
        <v>0.435</v>
      </c>
      <c r="AW1043" s="11" t="str">
        <f>IF(AND(ISNUMBER(AV1043),ISNUMBER(AT1043)),IF(AT1043&lt;&gt;0,AV1043/ABS(AT1043),""),"")</f>
        <v/>
      </c>
      <c r="AX1043" s="8">
        <v>1</v>
      </c>
      <c r="AY1043" s="8">
        <v>0</v>
      </c>
      <c r="AZ1043" s="8" t="s">
        <v>669</v>
      </c>
      <c r="BA1043" s="8">
        <v>0</v>
      </c>
    </row>
    <row r="1044" spans="1:53" x14ac:dyDescent="0.2">
      <c r="A1044" s="8" t="s">
        <v>668</v>
      </c>
      <c r="B1044" s="8" t="s">
        <v>83</v>
      </c>
      <c r="C1044" s="8" t="s">
        <v>210</v>
      </c>
      <c r="D1044" s="8">
        <v>0</v>
      </c>
      <c r="E1044" s="8">
        <v>1</v>
      </c>
      <c r="F1044" s="8">
        <f>SUM(G1044:M1044)</f>
        <v>1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1</v>
      </c>
      <c r="N1044" s="8">
        <v>1</v>
      </c>
      <c r="O1044" s="8">
        <v>1</v>
      </c>
      <c r="P1044" s="8">
        <v>1</v>
      </c>
      <c r="Q1044" s="8">
        <v>0</v>
      </c>
      <c r="R1044" s="8">
        <v>0</v>
      </c>
      <c r="S1044" s="8">
        <v>1</v>
      </c>
      <c r="T1044" s="10">
        <v>-0.11700000000000001</v>
      </c>
      <c r="U1044" s="10">
        <v>0.435</v>
      </c>
      <c r="V1044" s="10">
        <v>0</v>
      </c>
      <c r="W1044" s="10">
        <f>IF(RIGHT(C1044,2)="12",IF(ISNUMBER(T1044),T1044,""),IF(COUNT(T1044,U1044,V1044)=3,T1044+U1044-V1044,""))</f>
        <v>0.318</v>
      </c>
      <c r="X1044" s="10">
        <v>0.317</v>
      </c>
      <c r="Y1044" s="10">
        <v>-62.91</v>
      </c>
      <c r="Z1044" s="10">
        <v>63.344999999999999</v>
      </c>
      <c r="AA1044" s="10">
        <v>-48.417999999999999</v>
      </c>
      <c r="AB1044" s="10">
        <v>48.3</v>
      </c>
      <c r="AC1044" s="8">
        <v>0</v>
      </c>
      <c r="AD1044" s="8">
        <v>1</v>
      </c>
      <c r="AE1044" s="8">
        <v>0</v>
      </c>
      <c r="AF1044" s="10">
        <v>0.435</v>
      </c>
      <c r="AG1044" s="8">
        <f>COUNTIF(Y1044:AB1044,"&gt;0")</f>
        <v>2</v>
      </c>
      <c r="AH1044" s="10">
        <v>48.3</v>
      </c>
      <c r="AI1044" s="10">
        <v>63.344999999999999</v>
      </c>
      <c r="AJ1044" s="8" t="str">
        <f>IF(ISNUMBER(X1044),IF(X1044&gt;0,"+",IF(X1044&lt;0,"−","0")),IF(ISNUMBER(W1044),IF(W1044&gt;0,"+",IF(W1044&lt;0,"−","0")),"yok"))</f>
        <v>+</v>
      </c>
      <c r="AK1044" s="10">
        <f>IF(AND(RIGHT(C1044,2)&lt;&gt;"12",ISNUMBER(U1044),ISNUMBER(V1044)),U1044-V1044,"")</f>
        <v>0.435</v>
      </c>
      <c r="AL1044" s="11" t="str">
        <f>IF(AND(ISNUMBER(AK1044),ISNUMBER(V1044)),IF(V1044&lt;&gt;0,AK1044/ABS(V1044),""),"")</f>
        <v/>
      </c>
      <c r="AM1044" s="8">
        <f>IF(ISNUMBER(AK1044),IF(AK1044&gt;1,1,0),"")</f>
        <v>0</v>
      </c>
      <c r="AN1044" s="8">
        <f>IF(ISNUMBER(AK1044),IF(AK1044&gt;0.05*ABS(V1044),1,0),"")</f>
        <v>1</v>
      </c>
      <c r="AO1044" s="10"/>
      <c r="AP1044" s="10"/>
      <c r="AQ1044" s="10"/>
      <c r="AR1044" s="8">
        <v>0</v>
      </c>
      <c r="AS1044" s="10"/>
      <c r="AT1044" s="10"/>
      <c r="AU1044" s="10"/>
      <c r="AV1044" s="10">
        <v>0.435</v>
      </c>
      <c r="AW1044" s="11" t="str">
        <f>IF(AND(ISNUMBER(AV1044),ISNUMBER(AT1044)),IF(AT1044&lt;&gt;0,AV1044/ABS(AT1044),""),"")</f>
        <v/>
      </c>
      <c r="AX1044" s="8">
        <v>1</v>
      </c>
      <c r="AY1044" s="8">
        <v>0</v>
      </c>
      <c r="AZ1044" s="8" t="s">
        <v>669</v>
      </c>
      <c r="BA1044" s="8">
        <v>0</v>
      </c>
    </row>
    <row r="1045" spans="1:53" x14ac:dyDescent="0.2">
      <c r="A1045" s="8" t="s">
        <v>670</v>
      </c>
      <c r="B1045" s="8" t="s">
        <v>82</v>
      </c>
      <c r="C1045" s="8" t="s">
        <v>215</v>
      </c>
      <c r="D1045" s="8">
        <v>0</v>
      </c>
      <c r="E1045" s="8">
        <v>1</v>
      </c>
      <c r="F1045" s="8">
        <f>SUM(G1045:M1045)</f>
        <v>1</v>
      </c>
      <c r="G1045" s="8">
        <v>0</v>
      </c>
      <c r="H1045" s="8">
        <v>0</v>
      </c>
      <c r="I1045" s="8">
        <v>0</v>
      </c>
      <c r="J1045" s="8">
        <v>1</v>
      </c>
      <c r="K1045" s="8">
        <v>0</v>
      </c>
      <c r="L1045" s="8">
        <v>0</v>
      </c>
      <c r="M1045" s="8">
        <v>0</v>
      </c>
      <c r="N1045" s="8">
        <v>0</v>
      </c>
      <c r="O1045" s="8">
        <v>1</v>
      </c>
      <c r="P1045" s="8">
        <v>1</v>
      </c>
      <c r="Q1045" s="8">
        <v>1</v>
      </c>
      <c r="R1045" s="8">
        <v>1</v>
      </c>
      <c r="S1045" s="8">
        <v>0</v>
      </c>
      <c r="T1045" s="10">
        <v>-306.49</v>
      </c>
      <c r="U1045" s="10">
        <v>107.53700000000001</v>
      </c>
      <c r="V1045" s="10">
        <v>-9.2690000000000001</v>
      </c>
      <c r="W1045" s="10">
        <f>IF(RIGHT(C1045,2)="12",IF(ISNUMBER(T1045),T1045,""),IF(COUNT(T1045,U1045,V1045)=3,T1045+U1045-V1045,""))</f>
        <v>-189.684</v>
      </c>
      <c r="X1045" s="10">
        <v>-189.68299999999999</v>
      </c>
      <c r="Y1045" s="10">
        <v>116.807</v>
      </c>
      <c r="Z1045" s="10">
        <v>-33.468000000000004</v>
      </c>
      <c r="AA1045" s="10">
        <v>-18.827000000000002</v>
      </c>
      <c r="AB1045" s="10">
        <v>-254.19399999999999</v>
      </c>
      <c r="AC1045" s="8">
        <v>0</v>
      </c>
      <c r="AD1045" s="8">
        <v>1</v>
      </c>
      <c r="AE1045" s="8">
        <v>0</v>
      </c>
      <c r="AF1045" s="10">
        <v>107.53700000000001</v>
      </c>
      <c r="AG1045" s="8">
        <f>COUNTIF(Y1045:AB1045,"&gt;0")</f>
        <v>1</v>
      </c>
      <c r="AH1045" s="10">
        <v>0</v>
      </c>
      <c r="AI1045" s="10">
        <v>116.807</v>
      </c>
      <c r="AJ1045" s="8" t="str">
        <f>IF(ISNUMBER(X1045),IF(X1045&gt;0,"+",IF(X1045&lt;0,"−","0")),IF(ISNUMBER(W1045),IF(W1045&gt;0,"+",IF(W1045&lt;0,"−","0")),"yok"))</f>
        <v>−</v>
      </c>
      <c r="AK1045" s="10">
        <f>IF(AND(RIGHT(C1045,2)&lt;&gt;"12",ISNUMBER(U1045),ISNUMBER(V1045)),U1045-V1045,"")</f>
        <v>116.80600000000001</v>
      </c>
      <c r="AL1045" s="11">
        <f>IF(AND(ISNUMBER(AK1045),ISNUMBER(V1045)),IF(V1045&lt;&gt;0,AK1045/ABS(V1045),""),"")</f>
        <v>12.601790915956414</v>
      </c>
      <c r="AM1045" s="8">
        <f>IF(ISNUMBER(AK1045),IF(AK1045&gt;1,1,0),"")</f>
        <v>1</v>
      </c>
      <c r="AN1045" s="8">
        <f>IF(ISNUMBER(AK1045),IF(AK1045&gt;0.05*ABS(V1045),1,0),"")</f>
        <v>1</v>
      </c>
      <c r="AO1045" s="10"/>
      <c r="AP1045" s="10"/>
      <c r="AQ1045" s="10"/>
      <c r="AR1045" s="8">
        <v>0</v>
      </c>
      <c r="AS1045" s="10"/>
      <c r="AT1045" s="10"/>
      <c r="AU1045" s="10"/>
      <c r="AV1045" s="10">
        <v>107.53700000000001</v>
      </c>
      <c r="AW1045" s="11" t="str">
        <f>IF(AND(ISNUMBER(AV1045),ISNUMBER(AT1045)),IF(AT1045&lt;&gt;0,AV1045/ABS(AT1045),""),"")</f>
        <v/>
      </c>
      <c r="AX1045" s="8">
        <v>1</v>
      </c>
      <c r="AY1045" s="8">
        <v>0</v>
      </c>
      <c r="AZ1045" s="8" t="s">
        <v>671</v>
      </c>
      <c r="BA1045" s="8">
        <v>0</v>
      </c>
    </row>
    <row r="1046" spans="1:53" x14ac:dyDescent="0.2">
      <c r="A1046" s="8" t="s">
        <v>672</v>
      </c>
      <c r="B1046" s="8" t="s">
        <v>83</v>
      </c>
      <c r="C1046" s="8" t="s">
        <v>203</v>
      </c>
      <c r="D1046" s="8">
        <v>0</v>
      </c>
      <c r="E1046" s="8">
        <v>1</v>
      </c>
      <c r="F1046" s="8">
        <f>SUM(G1046:M1046)</f>
        <v>1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1</v>
      </c>
      <c r="N1046" s="8">
        <v>0</v>
      </c>
      <c r="O1046" s="8">
        <v>0</v>
      </c>
      <c r="P1046" s="8">
        <v>1</v>
      </c>
      <c r="Q1046" s="8">
        <v>0</v>
      </c>
      <c r="R1046" s="8">
        <v>0</v>
      </c>
      <c r="S1046" s="8">
        <v>0</v>
      </c>
      <c r="T1046" s="10">
        <v>-502.56</v>
      </c>
      <c r="U1046" s="10">
        <v>-168.06800000000001</v>
      </c>
      <c r="V1046" s="10">
        <v>-164.40100000000001</v>
      </c>
      <c r="W1046" s="10">
        <f>IF(RIGHT(C1046,2)="12",IF(ISNUMBER(T1046),T1046,""),IF(COUNT(T1046,U1046,V1046)=3,T1046+U1046-V1046,""))</f>
        <v>-506.22700000000003</v>
      </c>
      <c r="X1046" s="10">
        <v>-506.22699999999998</v>
      </c>
      <c r="Y1046" s="10">
        <v>-79.787000000000006</v>
      </c>
      <c r="Z1046" s="10">
        <v>115.03400000000001</v>
      </c>
      <c r="AA1046" s="10">
        <v>-38.912999999999997</v>
      </c>
      <c r="AB1046" s="10">
        <v>-502.56</v>
      </c>
      <c r="AC1046" s="8">
        <v>0</v>
      </c>
      <c r="AD1046" s="8">
        <v>0</v>
      </c>
      <c r="AE1046" s="8">
        <v>0</v>
      </c>
      <c r="AF1046" s="10">
        <v>0</v>
      </c>
      <c r="AG1046" s="8">
        <f>COUNTIF(Y1046:AB1046,"&gt;0")</f>
        <v>1</v>
      </c>
      <c r="AH1046" s="10">
        <v>0</v>
      </c>
      <c r="AI1046" s="10">
        <v>115.03400000000001</v>
      </c>
      <c r="AJ1046" s="8" t="str">
        <f>IF(ISNUMBER(X1046),IF(X1046&gt;0,"+",IF(X1046&lt;0,"−","0")),IF(ISNUMBER(W1046),IF(W1046&gt;0,"+",IF(W1046&lt;0,"−","0")),"yok"))</f>
        <v>−</v>
      </c>
      <c r="AK1046" s="10">
        <f>IF(AND(RIGHT(C1046,2)&lt;&gt;"12",ISNUMBER(U1046),ISNUMBER(V1046)),U1046-V1046,"")</f>
        <v>-3.6670000000000016</v>
      </c>
      <c r="AL1046" s="11">
        <f>IF(AND(ISNUMBER(AK1046),ISNUMBER(V1046)),IF(V1046&lt;&gt;0,AK1046/ABS(V1046),""),"")</f>
        <v>-2.2305217121550362E-2</v>
      </c>
      <c r="AM1046" s="8">
        <f>IF(ISNUMBER(AK1046),IF(AK1046&gt;1,1,0),"")</f>
        <v>0</v>
      </c>
      <c r="AN1046" s="8">
        <f>IF(ISNUMBER(AK1046),IF(AK1046&gt;0.05*ABS(V1046),1,0),"")</f>
        <v>0</v>
      </c>
      <c r="AO1046" s="10"/>
      <c r="AP1046" s="10"/>
      <c r="AQ1046" s="10"/>
      <c r="AR1046" s="8">
        <v>0</v>
      </c>
      <c r="AS1046" s="10"/>
      <c r="AT1046" s="10"/>
      <c r="AU1046" s="10"/>
      <c r="AV1046" s="10">
        <v>115.03400000000001</v>
      </c>
      <c r="AW1046" s="11" t="str">
        <f>IF(AND(ISNUMBER(AV1046),ISNUMBER(AT1046)),IF(AT1046&lt;&gt;0,AV1046/ABS(AT1046),""),"")</f>
        <v/>
      </c>
      <c r="AX1046" s="8">
        <v>0</v>
      </c>
      <c r="AY1046" s="8">
        <v>0</v>
      </c>
      <c r="AZ1046" s="10"/>
      <c r="BA1046" s="8">
        <v>0</v>
      </c>
    </row>
    <row r="1047" spans="1:53" x14ac:dyDescent="0.2">
      <c r="A1047" s="8" t="s">
        <v>672</v>
      </c>
      <c r="B1047" s="8" t="s">
        <v>83</v>
      </c>
      <c r="C1047" s="8" t="s">
        <v>205</v>
      </c>
      <c r="D1047" s="8">
        <v>0</v>
      </c>
      <c r="E1047" s="8">
        <v>1</v>
      </c>
      <c r="F1047" s="8">
        <f>SUM(G1047:M1047)</f>
        <v>2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1</v>
      </c>
      <c r="M1047" s="8">
        <v>1</v>
      </c>
      <c r="N1047" s="8">
        <v>0</v>
      </c>
      <c r="O1047" s="8">
        <v>0</v>
      </c>
      <c r="P1047" s="8">
        <v>1</v>
      </c>
      <c r="Q1047" s="8">
        <v>0</v>
      </c>
      <c r="R1047" s="8">
        <v>0</v>
      </c>
      <c r="S1047" s="8">
        <v>1</v>
      </c>
      <c r="T1047" s="10">
        <v>-197.215</v>
      </c>
      <c r="U1047" s="10">
        <v>-168.06800000000001</v>
      </c>
      <c r="V1047" s="10">
        <v>-244.18899999999999</v>
      </c>
      <c r="W1047" s="10">
        <f>IF(RIGHT(C1047,2)="12",IF(ISNUMBER(T1047),T1047,""),IF(COUNT(T1047,U1047,V1047)=3,T1047+U1047-V1047,""))</f>
        <v>-121.09400000000002</v>
      </c>
      <c r="X1047" s="10">
        <v>-121.093</v>
      </c>
      <c r="Y1047" s="10">
        <v>115.03400000000001</v>
      </c>
      <c r="Z1047" s="10">
        <v>-38.912999999999997</v>
      </c>
      <c r="AA1047" s="10">
        <v>-502.56</v>
      </c>
      <c r="AB1047" s="10">
        <v>305.34500000000003</v>
      </c>
      <c r="AC1047" s="8">
        <v>0</v>
      </c>
      <c r="AD1047" s="8">
        <v>0</v>
      </c>
      <c r="AE1047" s="8">
        <v>0</v>
      </c>
      <c r="AF1047" s="10">
        <v>0</v>
      </c>
      <c r="AG1047" s="8">
        <f>COUNTIF(Y1047:AB1047,"&gt;0")</f>
        <v>2</v>
      </c>
      <c r="AH1047" s="10">
        <v>305.34500000000003</v>
      </c>
      <c r="AI1047" s="10">
        <v>115.03400000000001</v>
      </c>
      <c r="AJ1047" s="8" t="str">
        <f>IF(ISNUMBER(X1047),IF(X1047&gt;0,"+",IF(X1047&lt;0,"−","0")),IF(ISNUMBER(W1047),IF(W1047&gt;0,"+",IF(W1047&lt;0,"−","0")),"yok"))</f>
        <v>−</v>
      </c>
      <c r="AK1047" s="10">
        <f>IF(AND(RIGHT(C1047,2)&lt;&gt;"12",ISNUMBER(U1047),ISNUMBER(V1047)),U1047-V1047,"")</f>
        <v>76.120999999999981</v>
      </c>
      <c r="AL1047" s="11">
        <f>IF(AND(ISNUMBER(AK1047),ISNUMBER(V1047)),IF(V1047&lt;&gt;0,AK1047/ABS(V1047),""),"")</f>
        <v>0.31172984860087877</v>
      </c>
      <c r="AM1047" s="8">
        <f>IF(ISNUMBER(AK1047),IF(AK1047&gt;1,1,0),"")</f>
        <v>1</v>
      </c>
      <c r="AN1047" s="8">
        <f>IF(ISNUMBER(AK1047),IF(AK1047&gt;0.05*ABS(V1047),1,0),"")</f>
        <v>1</v>
      </c>
      <c r="AO1047" s="10"/>
      <c r="AP1047" s="10"/>
      <c r="AQ1047" s="10"/>
      <c r="AR1047" s="8">
        <v>0</v>
      </c>
      <c r="AS1047" s="10"/>
      <c r="AT1047" s="10"/>
      <c r="AU1047" s="10"/>
      <c r="AV1047" s="10">
        <v>76.120999999999995</v>
      </c>
      <c r="AW1047" s="11" t="str">
        <f>IF(AND(ISNUMBER(AV1047),ISNUMBER(AT1047)),IF(AT1047&lt;&gt;0,AV1047/ABS(AT1047),""),"")</f>
        <v/>
      </c>
      <c r="AX1047" s="8">
        <v>0</v>
      </c>
      <c r="AY1047" s="8">
        <v>1</v>
      </c>
      <c r="AZ1047" s="10"/>
      <c r="BA1047" s="8">
        <v>0</v>
      </c>
    </row>
    <row r="1048" spans="1:53" x14ac:dyDescent="0.2">
      <c r="A1048" s="8" t="s">
        <v>672</v>
      </c>
      <c r="B1048" s="8" t="s">
        <v>83</v>
      </c>
      <c r="C1048" s="8" t="s">
        <v>208</v>
      </c>
      <c r="D1048" s="8">
        <v>0</v>
      </c>
      <c r="E1048" s="8">
        <v>1</v>
      </c>
      <c r="F1048" s="8">
        <f>SUM(G1048:M1048)</f>
        <v>1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1</v>
      </c>
      <c r="N1048" s="8">
        <v>0</v>
      </c>
      <c r="O1048" s="8">
        <v>0</v>
      </c>
      <c r="P1048" s="8">
        <v>1</v>
      </c>
      <c r="Q1048" s="8">
        <v>0</v>
      </c>
      <c r="R1048" s="8">
        <v>0</v>
      </c>
      <c r="S1048" s="8">
        <v>0</v>
      </c>
      <c r="T1048" s="10">
        <v>-144.738</v>
      </c>
      <c r="U1048" s="10">
        <v>-4648.808</v>
      </c>
      <c r="V1048" s="10">
        <v>-502.56</v>
      </c>
      <c r="W1048" s="10">
        <f>IF(RIGHT(C1048,2)="12",IF(ISNUMBER(T1048),T1048,""),IF(COUNT(T1048,U1048,V1048)=3,T1048+U1048-V1048,""))</f>
        <v>-4290.9859999999999</v>
      </c>
      <c r="X1048" s="10">
        <v>-4290.9870000000001</v>
      </c>
      <c r="Y1048" s="10">
        <v>305.34500000000003</v>
      </c>
      <c r="Z1048" s="10">
        <v>-2209.0680000000002</v>
      </c>
      <c r="AA1048" s="10">
        <v>-2242.5250000000001</v>
      </c>
      <c r="AB1048" s="10">
        <v>-144.738</v>
      </c>
      <c r="AC1048" s="8">
        <v>0</v>
      </c>
      <c r="AD1048" s="8">
        <v>0</v>
      </c>
      <c r="AE1048" s="8">
        <v>0</v>
      </c>
      <c r="AF1048" s="10">
        <v>0</v>
      </c>
      <c r="AG1048" s="8">
        <f>COUNTIF(Y1048:AB1048,"&gt;0")</f>
        <v>1</v>
      </c>
      <c r="AH1048" s="10">
        <v>0</v>
      </c>
      <c r="AI1048" s="10">
        <v>305.34500000000003</v>
      </c>
      <c r="AJ1048" s="8" t="str">
        <f>IF(ISNUMBER(X1048),IF(X1048&gt;0,"+",IF(X1048&lt;0,"−","0")),IF(ISNUMBER(W1048),IF(W1048&gt;0,"+",IF(W1048&lt;0,"−","0")),"yok"))</f>
        <v>−</v>
      </c>
      <c r="AK1048" s="10">
        <f>IF(AND(RIGHT(C1048,2)&lt;&gt;"12",ISNUMBER(U1048),ISNUMBER(V1048)),U1048-V1048,"")</f>
        <v>-4146.2479999999996</v>
      </c>
      <c r="AL1048" s="11">
        <f>IF(AND(ISNUMBER(AK1048),ISNUMBER(V1048)),IF(V1048&lt;&gt;0,AK1048/ABS(V1048),""),"")</f>
        <v>-8.2502546959567002</v>
      </c>
      <c r="AM1048" s="8">
        <f>IF(ISNUMBER(AK1048),IF(AK1048&gt;1,1,0),"")</f>
        <v>0</v>
      </c>
      <c r="AN1048" s="8">
        <f>IF(ISNUMBER(AK1048),IF(AK1048&gt;0.05*ABS(V1048),1,0),"")</f>
        <v>0</v>
      </c>
      <c r="AO1048" s="10"/>
      <c r="AP1048" s="10"/>
      <c r="AQ1048" s="10"/>
      <c r="AR1048" s="8">
        <v>0</v>
      </c>
      <c r="AS1048" s="10"/>
      <c r="AT1048" s="10"/>
      <c r="AU1048" s="10"/>
      <c r="AV1048" s="10">
        <v>305.34500000000003</v>
      </c>
      <c r="AW1048" s="11" t="str">
        <f>IF(AND(ISNUMBER(AV1048),ISNUMBER(AT1048)),IF(AT1048&lt;&gt;0,AV1048/ABS(AT1048),""),"")</f>
        <v/>
      </c>
      <c r="AX1048" s="8">
        <v>0</v>
      </c>
      <c r="AY1048" s="8">
        <v>0</v>
      </c>
      <c r="AZ1048" s="10"/>
      <c r="BA1048" s="8">
        <v>0</v>
      </c>
    </row>
    <row r="1049" spans="1:53" x14ac:dyDescent="0.2">
      <c r="A1049" s="8" t="s">
        <v>673</v>
      </c>
      <c r="B1049" s="8" t="s">
        <v>84</v>
      </c>
      <c r="C1049" s="8" t="s">
        <v>208</v>
      </c>
      <c r="D1049" s="8">
        <v>0</v>
      </c>
      <c r="E1049" s="8">
        <v>1</v>
      </c>
      <c r="F1049" s="8">
        <f>SUM(G1049:M1049)</f>
        <v>1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1</v>
      </c>
      <c r="M1049" s="8">
        <v>0</v>
      </c>
      <c r="N1049" s="8">
        <v>1</v>
      </c>
      <c r="O1049" s="8">
        <v>0</v>
      </c>
      <c r="P1049" s="8">
        <v>1</v>
      </c>
      <c r="Q1049" s="8">
        <v>0</v>
      </c>
      <c r="R1049" s="8">
        <v>0</v>
      </c>
      <c r="S1049" s="8">
        <v>0</v>
      </c>
      <c r="T1049" s="10">
        <v>0</v>
      </c>
      <c r="U1049" s="10">
        <v>0</v>
      </c>
      <c r="V1049" s="10">
        <v>-10.56</v>
      </c>
      <c r="W1049" s="10">
        <f>IF(RIGHT(C1049,2)="12",IF(ISNUMBER(T1049),T1049,""),IF(COUNT(T1049,U1049,V1049)=3,T1049+U1049-V1049,""))</f>
        <v>10.56</v>
      </c>
      <c r="X1049" s="10">
        <v>10.56</v>
      </c>
      <c r="Y1049" s="10">
        <v>10.56</v>
      </c>
      <c r="Z1049" s="10">
        <v>0</v>
      </c>
      <c r="AA1049" s="10">
        <v>0</v>
      </c>
      <c r="AB1049" s="10">
        <v>0</v>
      </c>
      <c r="AC1049" s="8">
        <v>0</v>
      </c>
      <c r="AD1049" s="8">
        <v>0</v>
      </c>
      <c r="AE1049" s="8">
        <v>0</v>
      </c>
      <c r="AF1049" s="10">
        <v>0</v>
      </c>
      <c r="AG1049" s="8">
        <f>COUNTIF(Y1049:AB1049,"&gt;0")</f>
        <v>1</v>
      </c>
      <c r="AH1049" s="10">
        <v>0</v>
      </c>
      <c r="AI1049" s="10">
        <v>10.56</v>
      </c>
      <c r="AJ1049" s="8" t="str">
        <f>IF(ISNUMBER(X1049),IF(X1049&gt;0,"+",IF(X1049&lt;0,"−","0")),IF(ISNUMBER(W1049),IF(W1049&gt;0,"+",IF(W1049&lt;0,"−","0")),"yok"))</f>
        <v>+</v>
      </c>
      <c r="AK1049" s="10">
        <f>IF(AND(RIGHT(C1049,2)&lt;&gt;"12",ISNUMBER(U1049),ISNUMBER(V1049)),U1049-V1049,"")</f>
        <v>10.56</v>
      </c>
      <c r="AL1049" s="11">
        <f>IF(AND(ISNUMBER(AK1049),ISNUMBER(V1049)),IF(V1049&lt;&gt;0,AK1049/ABS(V1049),""),"")</f>
        <v>1</v>
      </c>
      <c r="AM1049" s="8">
        <f>IF(ISNUMBER(AK1049),IF(AK1049&gt;1,1,0),"")</f>
        <v>1</v>
      </c>
      <c r="AN1049" s="8">
        <f>IF(ISNUMBER(AK1049),IF(AK1049&gt;0.05*ABS(V1049),1,0),"")</f>
        <v>1</v>
      </c>
      <c r="AO1049" s="10"/>
      <c r="AP1049" s="10"/>
      <c r="AQ1049" s="10"/>
      <c r="AR1049" s="8">
        <v>0</v>
      </c>
      <c r="AS1049" s="10"/>
      <c r="AT1049" s="10"/>
      <c r="AU1049" s="10"/>
      <c r="AV1049" s="10">
        <v>10.56</v>
      </c>
      <c r="AW1049" s="11" t="str">
        <f>IF(AND(ISNUMBER(AV1049),ISNUMBER(AT1049)),IF(AT1049&lt;&gt;0,AV1049/ABS(AT1049),""),"")</f>
        <v/>
      </c>
      <c r="AX1049" s="8">
        <v>0</v>
      </c>
      <c r="AY1049" s="8">
        <v>1</v>
      </c>
      <c r="AZ1049" s="10"/>
      <c r="BA1049" s="8">
        <v>0</v>
      </c>
    </row>
    <row r="1050" spans="1:53" x14ac:dyDescent="0.2">
      <c r="A1050" s="8" t="s">
        <v>674</v>
      </c>
      <c r="B1050" s="8" t="s">
        <v>82</v>
      </c>
      <c r="C1050" s="8" t="s">
        <v>215</v>
      </c>
      <c r="D1050" s="8">
        <v>0</v>
      </c>
      <c r="E1050" s="8">
        <v>1</v>
      </c>
      <c r="F1050" s="8">
        <f>SUM(G1050:M1050)</f>
        <v>1</v>
      </c>
      <c r="G1050" s="8">
        <v>0</v>
      </c>
      <c r="H1050" s="8">
        <v>0</v>
      </c>
      <c r="I1050" s="8">
        <v>0</v>
      </c>
      <c r="J1050" s="8">
        <v>1</v>
      </c>
      <c r="K1050" s="8">
        <v>0</v>
      </c>
      <c r="L1050" s="8">
        <v>0</v>
      </c>
      <c r="M1050" s="8">
        <v>0</v>
      </c>
      <c r="N1050" s="8">
        <v>0</v>
      </c>
      <c r="O1050" s="8">
        <v>1</v>
      </c>
      <c r="P1050" s="8">
        <v>1</v>
      </c>
      <c r="Q1050" s="8">
        <v>0</v>
      </c>
      <c r="R1050" s="8">
        <v>0</v>
      </c>
      <c r="S1050" s="8">
        <v>0</v>
      </c>
      <c r="T1050" s="10">
        <v>-2E-3</v>
      </c>
      <c r="U1050" s="10">
        <v>-2.7E-2</v>
      </c>
      <c r="V1050" s="10">
        <v>1E-3</v>
      </c>
      <c r="W1050" s="10">
        <f>IF(RIGHT(C1050,2)="12",IF(ISNUMBER(T1050),T1050,""),IF(COUNT(T1050,U1050,V1050)=3,T1050+U1050-V1050,""))</f>
        <v>-0.03</v>
      </c>
      <c r="X1050" s="10">
        <v>-3.1E-2</v>
      </c>
      <c r="Y1050" s="10">
        <v>-2.8000000000000001E-2</v>
      </c>
      <c r="Z1050" s="10"/>
      <c r="AA1050" s="10"/>
      <c r="AB1050" s="10">
        <v>5.0000000000000001E-3</v>
      </c>
      <c r="AC1050" s="8">
        <v>0</v>
      </c>
      <c r="AD1050" s="8">
        <v>0</v>
      </c>
      <c r="AE1050" s="8">
        <v>1</v>
      </c>
      <c r="AF1050" s="10">
        <v>1E-3</v>
      </c>
      <c r="AG1050" s="8">
        <f>COUNTIF(Y1050:AB1050,"&gt;0")</f>
        <v>1</v>
      </c>
      <c r="AH1050" s="10">
        <v>5.0000000000000001E-3</v>
      </c>
      <c r="AI1050" s="10">
        <v>0</v>
      </c>
      <c r="AJ1050" s="8" t="str">
        <f>IF(ISNUMBER(X1050),IF(X1050&gt;0,"+",IF(X1050&lt;0,"−","0")),IF(ISNUMBER(W1050),IF(W1050&gt;0,"+",IF(W1050&lt;0,"−","0")),"yok"))</f>
        <v>−</v>
      </c>
      <c r="AK1050" s="10">
        <f>IF(AND(RIGHT(C1050,2)&lt;&gt;"12",ISNUMBER(U1050),ISNUMBER(V1050)),U1050-V1050,"")</f>
        <v>-2.8000000000000001E-2</v>
      </c>
      <c r="AL1050" s="11">
        <f>IF(AND(ISNUMBER(AK1050),ISNUMBER(V1050)),IF(V1050&lt;&gt;0,AK1050/ABS(V1050),""),"")</f>
        <v>-28</v>
      </c>
      <c r="AM1050" s="8">
        <f>IF(ISNUMBER(AK1050),IF(AK1050&gt;1,1,0),"")</f>
        <v>0</v>
      </c>
      <c r="AN1050" s="8">
        <f>IF(ISNUMBER(AK1050),IF(AK1050&gt;0.05*ABS(V1050),1,0),"")</f>
        <v>0</v>
      </c>
      <c r="AO1050" s="10"/>
      <c r="AP1050" s="10"/>
      <c r="AQ1050" s="10"/>
      <c r="AR1050" s="8">
        <v>0</v>
      </c>
      <c r="AS1050" s="10"/>
      <c r="AT1050" s="10"/>
      <c r="AU1050" s="10"/>
      <c r="AV1050" s="10">
        <v>1E-3</v>
      </c>
      <c r="AW1050" s="11" t="str">
        <f>IF(AND(ISNUMBER(AV1050),ISNUMBER(AT1050)),IF(AT1050&lt;&gt;0,AV1050/ABS(AT1050),""),"")</f>
        <v/>
      </c>
      <c r="AX1050" s="8">
        <v>1</v>
      </c>
      <c r="AY1050" s="8">
        <v>0</v>
      </c>
      <c r="AZ1050" s="8" t="s">
        <v>675</v>
      </c>
      <c r="BA1050" s="8">
        <v>0</v>
      </c>
    </row>
    <row r="1051" spans="1:53" x14ac:dyDescent="0.2">
      <c r="A1051" s="8" t="s">
        <v>676</v>
      </c>
      <c r="B1051" s="8" t="s">
        <v>83</v>
      </c>
      <c r="C1051" s="8" t="s">
        <v>208</v>
      </c>
      <c r="D1051" s="8">
        <v>0</v>
      </c>
      <c r="E1051" s="8">
        <v>1</v>
      </c>
      <c r="F1051" s="8">
        <f>SUM(G1051:M1051)</f>
        <v>1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1</v>
      </c>
      <c r="N1051" s="8">
        <v>0</v>
      </c>
      <c r="O1051" s="8">
        <v>0</v>
      </c>
      <c r="P1051" s="8">
        <v>1</v>
      </c>
      <c r="Q1051" s="8">
        <v>0</v>
      </c>
      <c r="R1051" s="8">
        <v>0</v>
      </c>
      <c r="S1051" s="8">
        <v>0</v>
      </c>
      <c r="T1051" s="10">
        <v>-6.173</v>
      </c>
      <c r="U1051" s="10">
        <v>-36.192</v>
      </c>
      <c r="V1051" s="10">
        <v>-23.795000000000002</v>
      </c>
      <c r="W1051" s="10">
        <f>IF(RIGHT(C1051,2)="12",IF(ISNUMBER(T1051),T1051,""),IF(COUNT(T1051,U1051,V1051)=3,T1051+U1051-V1051,""))</f>
        <v>-18.57</v>
      </c>
      <c r="X1051" s="10">
        <v>-18.57</v>
      </c>
      <c r="Y1051" s="10">
        <v>6.7969999999999997</v>
      </c>
      <c r="Z1051" s="10">
        <v>-18.404</v>
      </c>
      <c r="AA1051" s="10">
        <v>-0.79</v>
      </c>
      <c r="AB1051" s="10">
        <v>-6.173</v>
      </c>
      <c r="AC1051" s="8">
        <v>0</v>
      </c>
      <c r="AD1051" s="8">
        <v>0</v>
      </c>
      <c r="AE1051" s="8">
        <v>0</v>
      </c>
      <c r="AF1051" s="10">
        <v>0</v>
      </c>
      <c r="AG1051" s="8">
        <f>COUNTIF(Y1051:AB1051,"&gt;0")</f>
        <v>1</v>
      </c>
      <c r="AH1051" s="10">
        <v>0</v>
      </c>
      <c r="AI1051" s="10">
        <v>6.7969999999999997</v>
      </c>
      <c r="AJ1051" s="8" t="str">
        <f>IF(ISNUMBER(X1051),IF(X1051&gt;0,"+",IF(X1051&lt;0,"−","0")),IF(ISNUMBER(W1051),IF(W1051&gt;0,"+",IF(W1051&lt;0,"−","0")),"yok"))</f>
        <v>−</v>
      </c>
      <c r="AK1051" s="10">
        <f>IF(AND(RIGHT(C1051,2)&lt;&gt;"12",ISNUMBER(U1051),ISNUMBER(V1051)),U1051-V1051,"")</f>
        <v>-12.396999999999998</v>
      </c>
      <c r="AL1051" s="11">
        <f>IF(AND(ISNUMBER(AK1051),ISNUMBER(V1051)),IF(V1051&lt;&gt;0,AK1051/ABS(V1051),""),"")</f>
        <v>-0.52099180500105058</v>
      </c>
      <c r="AM1051" s="8">
        <f>IF(ISNUMBER(AK1051),IF(AK1051&gt;1,1,0),"")</f>
        <v>0</v>
      </c>
      <c r="AN1051" s="8">
        <f>IF(ISNUMBER(AK1051),IF(AK1051&gt;0.05*ABS(V1051),1,0),"")</f>
        <v>0</v>
      </c>
      <c r="AO1051" s="10"/>
      <c r="AP1051" s="10"/>
      <c r="AQ1051" s="10"/>
      <c r="AR1051" s="8">
        <v>0</v>
      </c>
      <c r="AS1051" s="10"/>
      <c r="AT1051" s="10"/>
      <c r="AU1051" s="10"/>
      <c r="AV1051" s="10">
        <v>6.7969999999999997</v>
      </c>
      <c r="AW1051" s="11" t="str">
        <f>IF(AND(ISNUMBER(AV1051),ISNUMBER(AT1051)),IF(AT1051&lt;&gt;0,AV1051/ABS(AT1051),""),"")</f>
        <v/>
      </c>
      <c r="AX1051" s="8">
        <v>0</v>
      </c>
      <c r="AY1051" s="8">
        <v>0</v>
      </c>
      <c r="AZ1051" s="10"/>
      <c r="BA1051" s="8">
        <v>0</v>
      </c>
    </row>
    <row r="1052" spans="1:53" x14ac:dyDescent="0.2">
      <c r="A1052" s="8" t="s">
        <v>676</v>
      </c>
      <c r="B1052" s="8" t="s">
        <v>84</v>
      </c>
      <c r="C1052" s="8" t="s">
        <v>203</v>
      </c>
      <c r="D1052" s="8">
        <v>0</v>
      </c>
      <c r="E1052" s="8">
        <v>1</v>
      </c>
      <c r="F1052" s="8">
        <f>SUM(G1052:M1052)</f>
        <v>1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1</v>
      </c>
      <c r="N1052" s="8">
        <v>0</v>
      </c>
      <c r="O1052" s="8">
        <v>0</v>
      </c>
      <c r="P1052" s="8">
        <v>1</v>
      </c>
      <c r="Q1052" s="8">
        <v>0</v>
      </c>
      <c r="R1052" s="8">
        <v>0</v>
      </c>
      <c r="S1052" s="8">
        <v>0</v>
      </c>
      <c r="T1052" s="10">
        <v>-510.43</v>
      </c>
      <c r="U1052" s="10">
        <v>-1353.3620000000001</v>
      </c>
      <c r="V1052" s="10">
        <v>-352.58100000000002</v>
      </c>
      <c r="W1052" s="10">
        <f>IF(RIGHT(C1052,2)="12",IF(ISNUMBER(T1052),T1052,""),IF(COUNT(T1052,U1052,V1052)=3,T1052+U1052-V1052,""))</f>
        <v>-1511.2110000000002</v>
      </c>
      <c r="X1052" s="10">
        <v>-1511.21</v>
      </c>
      <c r="Y1052" s="10">
        <v>-259.512</v>
      </c>
      <c r="Z1052" s="10">
        <v>50.125</v>
      </c>
      <c r="AA1052" s="10">
        <v>-791.39200000000005</v>
      </c>
      <c r="AB1052" s="10">
        <v>-510.43</v>
      </c>
      <c r="AC1052" s="8">
        <v>0</v>
      </c>
      <c r="AD1052" s="8">
        <v>0</v>
      </c>
      <c r="AE1052" s="8">
        <v>0</v>
      </c>
      <c r="AF1052" s="10">
        <v>0</v>
      </c>
      <c r="AG1052" s="8">
        <f>COUNTIF(Y1052:AB1052,"&gt;0")</f>
        <v>1</v>
      </c>
      <c r="AH1052" s="10">
        <v>0</v>
      </c>
      <c r="AI1052" s="10">
        <v>50.125</v>
      </c>
      <c r="AJ1052" s="8" t="str">
        <f>IF(ISNUMBER(X1052),IF(X1052&gt;0,"+",IF(X1052&lt;0,"−","0")),IF(ISNUMBER(W1052),IF(W1052&gt;0,"+",IF(W1052&lt;0,"−","0")),"yok"))</f>
        <v>−</v>
      </c>
      <c r="AK1052" s="10">
        <f>IF(AND(RIGHT(C1052,2)&lt;&gt;"12",ISNUMBER(U1052),ISNUMBER(V1052)),U1052-V1052,"")</f>
        <v>-1000.7810000000001</v>
      </c>
      <c r="AL1052" s="11">
        <f>IF(AND(ISNUMBER(AK1052),ISNUMBER(V1052)),IF(V1052&lt;&gt;0,AK1052/ABS(V1052),""),"")</f>
        <v>-2.8384427975415578</v>
      </c>
      <c r="AM1052" s="8">
        <f>IF(ISNUMBER(AK1052),IF(AK1052&gt;1,1,0),"")</f>
        <v>0</v>
      </c>
      <c r="AN1052" s="8">
        <f>IF(ISNUMBER(AK1052),IF(AK1052&gt;0.05*ABS(V1052),1,0),"")</f>
        <v>0</v>
      </c>
      <c r="AO1052" s="10"/>
      <c r="AP1052" s="10"/>
      <c r="AQ1052" s="10"/>
      <c r="AR1052" s="8">
        <v>0</v>
      </c>
      <c r="AS1052" s="10"/>
      <c r="AT1052" s="10"/>
      <c r="AU1052" s="10"/>
      <c r="AV1052" s="10">
        <v>50.125</v>
      </c>
      <c r="AW1052" s="11" t="str">
        <f>IF(AND(ISNUMBER(AV1052),ISNUMBER(AT1052)),IF(AT1052&lt;&gt;0,AV1052/ABS(AT1052),""),"")</f>
        <v/>
      </c>
      <c r="AX1052" s="8">
        <v>0</v>
      </c>
      <c r="AY1052" s="8">
        <v>0</v>
      </c>
      <c r="AZ1052" s="10"/>
      <c r="BA1052" s="8">
        <v>0</v>
      </c>
    </row>
    <row r="1053" spans="1:53" x14ac:dyDescent="0.2">
      <c r="A1053" s="8" t="s">
        <v>676</v>
      </c>
      <c r="B1053" s="8" t="s">
        <v>84</v>
      </c>
      <c r="C1053" s="8" t="s">
        <v>205</v>
      </c>
      <c r="D1053" s="8">
        <v>0</v>
      </c>
      <c r="E1053" s="8">
        <v>1</v>
      </c>
      <c r="F1053" s="8">
        <f>SUM(G1053:M1053)</f>
        <v>1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1</v>
      </c>
      <c r="N1053" s="8">
        <v>0</v>
      </c>
      <c r="O1053" s="8">
        <v>0</v>
      </c>
      <c r="P1053" s="8">
        <v>1</v>
      </c>
      <c r="Q1053" s="8">
        <v>0</v>
      </c>
      <c r="R1053" s="8">
        <v>0</v>
      </c>
      <c r="S1053" s="8">
        <v>0</v>
      </c>
      <c r="T1053" s="10">
        <v>-814.66499999999996</v>
      </c>
      <c r="U1053" s="10">
        <v>-1353.3620000000001</v>
      </c>
      <c r="V1053" s="10">
        <v>-612.09400000000005</v>
      </c>
      <c r="W1053" s="10">
        <f>IF(RIGHT(C1053,2)="12",IF(ISNUMBER(T1053),T1053,""),IF(COUNT(T1053,U1053,V1053)=3,T1053+U1053-V1053,""))</f>
        <v>-1555.933</v>
      </c>
      <c r="X1053" s="10">
        <v>-1555.933</v>
      </c>
      <c r="Y1053" s="10">
        <v>50.125</v>
      </c>
      <c r="Z1053" s="10">
        <v>-791.39200000000005</v>
      </c>
      <c r="AA1053" s="10">
        <v>-510.43</v>
      </c>
      <c r="AB1053" s="10">
        <v>-304.23500000000001</v>
      </c>
      <c r="AC1053" s="8">
        <v>0</v>
      </c>
      <c r="AD1053" s="8">
        <v>0</v>
      </c>
      <c r="AE1053" s="8">
        <v>0</v>
      </c>
      <c r="AF1053" s="10">
        <v>0</v>
      </c>
      <c r="AG1053" s="8">
        <f>COUNTIF(Y1053:AB1053,"&gt;0")</f>
        <v>1</v>
      </c>
      <c r="AH1053" s="10">
        <v>0</v>
      </c>
      <c r="AI1053" s="10">
        <v>50.125</v>
      </c>
      <c r="AJ1053" s="8" t="str">
        <f>IF(ISNUMBER(X1053),IF(X1053&gt;0,"+",IF(X1053&lt;0,"−","0")),IF(ISNUMBER(W1053),IF(W1053&gt;0,"+",IF(W1053&lt;0,"−","0")),"yok"))</f>
        <v>−</v>
      </c>
      <c r="AK1053" s="10">
        <f>IF(AND(RIGHT(C1053,2)&lt;&gt;"12",ISNUMBER(U1053),ISNUMBER(V1053)),U1053-V1053,"")</f>
        <v>-741.26800000000003</v>
      </c>
      <c r="AL1053" s="11">
        <f>IF(AND(ISNUMBER(AK1053),ISNUMBER(V1053)),IF(V1053&lt;&gt;0,AK1053/ABS(V1053),""),"")</f>
        <v>-1.2110362133920607</v>
      </c>
      <c r="AM1053" s="8">
        <f>IF(ISNUMBER(AK1053),IF(AK1053&gt;1,1,0),"")</f>
        <v>0</v>
      </c>
      <c r="AN1053" s="8">
        <f>IF(ISNUMBER(AK1053),IF(AK1053&gt;0.05*ABS(V1053),1,0),"")</f>
        <v>0</v>
      </c>
      <c r="AO1053" s="10"/>
      <c r="AP1053" s="10"/>
      <c r="AQ1053" s="10"/>
      <c r="AR1053" s="8">
        <v>0</v>
      </c>
      <c r="AS1053" s="10"/>
      <c r="AT1053" s="10"/>
      <c r="AU1053" s="10"/>
      <c r="AV1053" s="10">
        <v>50.125</v>
      </c>
      <c r="AW1053" s="11" t="str">
        <f>IF(AND(ISNUMBER(AV1053),ISNUMBER(AT1053)),IF(AT1053&lt;&gt;0,AV1053/ABS(AT1053),""),"")</f>
        <v/>
      </c>
      <c r="AX1053" s="8">
        <v>0</v>
      </c>
      <c r="AY1053" s="8">
        <v>0</v>
      </c>
      <c r="AZ1053" s="10"/>
      <c r="BA1053" s="8">
        <v>0</v>
      </c>
    </row>
    <row r="1054" spans="1:53" x14ac:dyDescent="0.2">
      <c r="A1054" s="8" t="s">
        <v>677</v>
      </c>
      <c r="B1054" s="8" t="s">
        <v>83</v>
      </c>
      <c r="C1054" s="8" t="s">
        <v>215</v>
      </c>
      <c r="D1054" s="8">
        <v>0</v>
      </c>
      <c r="E1054" s="8">
        <v>1</v>
      </c>
      <c r="F1054" s="8">
        <f>SUM(G1054:M1054)</f>
        <v>1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1</v>
      </c>
      <c r="M1054" s="8">
        <v>0</v>
      </c>
      <c r="N1054" s="8">
        <v>1</v>
      </c>
      <c r="O1054" s="8">
        <v>0</v>
      </c>
      <c r="P1054" s="8">
        <v>1</v>
      </c>
      <c r="Q1054" s="8">
        <v>0</v>
      </c>
      <c r="R1054" s="8">
        <v>0</v>
      </c>
      <c r="S1054" s="8">
        <v>0</v>
      </c>
      <c r="T1054" s="10">
        <v>0</v>
      </c>
      <c r="U1054" s="10">
        <v>0</v>
      </c>
      <c r="V1054" s="10">
        <v>-7.8129999999999997</v>
      </c>
      <c r="W1054" s="10">
        <f>IF(RIGHT(C1054,2)="12",IF(ISNUMBER(T1054),T1054,""),IF(COUNT(T1054,U1054,V1054)=3,T1054+U1054-V1054,""))</f>
        <v>7.8129999999999997</v>
      </c>
      <c r="X1054" s="10">
        <v>7.8129999999999997</v>
      </c>
      <c r="Y1054" s="10">
        <v>7.8129999999999997</v>
      </c>
      <c r="Z1054" s="10"/>
      <c r="AA1054" s="10"/>
      <c r="AB1054" s="10">
        <v>-45.265000000000001</v>
      </c>
      <c r="AC1054" s="8">
        <v>0</v>
      </c>
      <c r="AD1054" s="8">
        <v>0</v>
      </c>
      <c r="AE1054" s="8">
        <v>0</v>
      </c>
      <c r="AF1054" s="10">
        <v>0</v>
      </c>
      <c r="AG1054" s="8">
        <f>COUNTIF(Y1054:AB1054,"&gt;0")</f>
        <v>1</v>
      </c>
      <c r="AH1054" s="10">
        <v>0</v>
      </c>
      <c r="AI1054" s="10">
        <v>7.8129999999999997</v>
      </c>
      <c r="AJ1054" s="8" t="str">
        <f>IF(ISNUMBER(X1054),IF(X1054&gt;0,"+",IF(X1054&lt;0,"−","0")),IF(ISNUMBER(W1054),IF(W1054&gt;0,"+",IF(W1054&lt;0,"−","0")),"yok"))</f>
        <v>+</v>
      </c>
      <c r="AK1054" s="10">
        <f>IF(AND(RIGHT(C1054,2)&lt;&gt;"12",ISNUMBER(U1054),ISNUMBER(V1054)),U1054-V1054,"")</f>
        <v>7.8129999999999997</v>
      </c>
      <c r="AL1054" s="11">
        <f>IF(AND(ISNUMBER(AK1054),ISNUMBER(V1054)),IF(V1054&lt;&gt;0,AK1054/ABS(V1054),""),"")</f>
        <v>1</v>
      </c>
      <c r="AM1054" s="8">
        <f>IF(ISNUMBER(AK1054),IF(AK1054&gt;1,1,0),"")</f>
        <v>1</v>
      </c>
      <c r="AN1054" s="8">
        <f>IF(ISNUMBER(AK1054),IF(AK1054&gt;0.05*ABS(V1054),1,0),"")</f>
        <v>1</v>
      </c>
      <c r="AO1054" s="10"/>
      <c r="AP1054" s="10"/>
      <c r="AQ1054" s="10"/>
      <c r="AR1054" s="8">
        <v>0</v>
      </c>
      <c r="AS1054" s="10"/>
      <c r="AT1054" s="10"/>
      <c r="AU1054" s="10"/>
      <c r="AV1054" s="10">
        <v>7.8129999999999997</v>
      </c>
      <c r="AW1054" s="11" t="str">
        <f>IF(AND(ISNUMBER(AV1054),ISNUMBER(AT1054)),IF(AT1054&lt;&gt;0,AV1054/ABS(AT1054),""),"")</f>
        <v/>
      </c>
      <c r="AX1054" s="8">
        <v>0</v>
      </c>
      <c r="AY1054" s="8">
        <v>1</v>
      </c>
      <c r="AZ1054" s="10"/>
      <c r="BA1054" s="8">
        <v>0</v>
      </c>
    </row>
    <row r="1055" spans="1:53" x14ac:dyDescent="0.2">
      <c r="A1055" s="8" t="s">
        <v>677</v>
      </c>
      <c r="B1055" s="8" t="s">
        <v>83</v>
      </c>
      <c r="C1055" s="8" t="s">
        <v>210</v>
      </c>
      <c r="D1055" s="8">
        <v>0</v>
      </c>
      <c r="E1055" s="8">
        <v>1</v>
      </c>
      <c r="F1055" s="8">
        <f>SUM(G1055:M1055)</f>
        <v>1</v>
      </c>
      <c r="G1055" s="8">
        <v>0</v>
      </c>
      <c r="H1055" s="8">
        <v>0</v>
      </c>
      <c r="I1055" s="8">
        <v>0</v>
      </c>
      <c r="J1055" s="8">
        <v>0</v>
      </c>
      <c r="K1055" s="8">
        <v>1</v>
      </c>
      <c r="L1055" s="8">
        <v>0</v>
      </c>
      <c r="M1055" s="8">
        <v>0</v>
      </c>
      <c r="N1055" s="8">
        <v>0</v>
      </c>
      <c r="O1055" s="8">
        <v>1</v>
      </c>
      <c r="P1055" s="8">
        <v>0</v>
      </c>
      <c r="Q1055" s="8">
        <v>0</v>
      </c>
      <c r="R1055" s="8">
        <v>0</v>
      </c>
      <c r="S1055" s="8">
        <v>0</v>
      </c>
      <c r="T1055" s="10">
        <v>-6.2249999999999996</v>
      </c>
      <c r="U1055" s="10">
        <v>-0.72699999999999998</v>
      </c>
      <c r="V1055" s="10">
        <v>45.265000000000001</v>
      </c>
      <c r="W1055" s="10">
        <f>IF(RIGHT(C1055,2)="12",IF(ISNUMBER(T1055),T1055,""),IF(COUNT(T1055,U1055,V1055)=3,T1055+U1055-V1055,""))</f>
        <v>-52.216999999999999</v>
      </c>
      <c r="X1055" s="10">
        <v>-52.218000000000004</v>
      </c>
      <c r="Y1055" s="10">
        <v>-45.265000000000001</v>
      </c>
      <c r="Z1055" s="10">
        <v>-0.72699999999999998</v>
      </c>
      <c r="AA1055" s="10"/>
      <c r="AB1055" s="10"/>
      <c r="AC1055" s="8">
        <v>0</v>
      </c>
      <c r="AD1055" s="8">
        <v>0</v>
      </c>
      <c r="AE1055" s="8">
        <v>1</v>
      </c>
      <c r="AF1055" s="10">
        <v>45.265000000000001</v>
      </c>
      <c r="AG1055" s="8">
        <f>COUNTIF(Y1055:AB1055,"&gt;0")</f>
        <v>0</v>
      </c>
      <c r="AH1055" s="10">
        <v>0</v>
      </c>
      <c r="AI1055" s="10">
        <v>0</v>
      </c>
      <c r="AJ1055" s="8" t="str">
        <f>IF(ISNUMBER(X1055),IF(X1055&gt;0,"+",IF(X1055&lt;0,"−","0")),IF(ISNUMBER(W1055),IF(W1055&gt;0,"+",IF(W1055&lt;0,"−","0")),"yok"))</f>
        <v>−</v>
      </c>
      <c r="AK1055" s="10">
        <f>IF(AND(RIGHT(C1055,2)&lt;&gt;"12",ISNUMBER(U1055),ISNUMBER(V1055)),U1055-V1055,"")</f>
        <v>-45.991999999999997</v>
      </c>
      <c r="AL1055" s="11">
        <f>IF(AND(ISNUMBER(AK1055),ISNUMBER(V1055)),IF(V1055&lt;&gt;0,AK1055/ABS(V1055),""),"")</f>
        <v>-1.0160609742626754</v>
      </c>
      <c r="AM1055" s="8">
        <f>IF(ISNUMBER(AK1055),IF(AK1055&gt;1,1,0),"")</f>
        <v>0</v>
      </c>
      <c r="AN1055" s="8">
        <f>IF(ISNUMBER(AK1055),IF(AK1055&gt;0.05*ABS(V1055),1,0),"")</f>
        <v>0</v>
      </c>
      <c r="AO1055" s="10"/>
      <c r="AP1055" s="10"/>
      <c r="AQ1055" s="10"/>
      <c r="AR1055" s="8">
        <v>0</v>
      </c>
      <c r="AS1055" s="10"/>
      <c r="AT1055" s="10"/>
      <c r="AU1055" s="10"/>
      <c r="AV1055" s="10">
        <v>45.265000000000001</v>
      </c>
      <c r="AW1055" s="11" t="str">
        <f>IF(AND(ISNUMBER(AV1055),ISNUMBER(AT1055)),IF(AT1055&lt;&gt;0,AV1055/ABS(AT1055),""),"")</f>
        <v/>
      </c>
      <c r="AX1055" s="8">
        <v>1</v>
      </c>
      <c r="AY1055" s="8">
        <v>0</v>
      </c>
      <c r="AZ1055" s="8" t="s">
        <v>678</v>
      </c>
      <c r="BA1055" s="8">
        <v>0</v>
      </c>
    </row>
    <row r="1056" spans="1:53" x14ac:dyDescent="0.2">
      <c r="A1056" s="8" t="s">
        <v>679</v>
      </c>
      <c r="B1056" s="8" t="s">
        <v>83</v>
      </c>
      <c r="C1056" s="8" t="s">
        <v>203</v>
      </c>
      <c r="D1056" s="8">
        <v>0</v>
      </c>
      <c r="E1056" s="8">
        <v>1</v>
      </c>
      <c r="F1056" s="8">
        <f>SUM(G1056:M1056)</f>
        <v>1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  <c r="M1056" s="8">
        <v>1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10">
        <v>-3.3340000000000001</v>
      </c>
      <c r="U1056" s="10">
        <v>-23.236999999999998</v>
      </c>
      <c r="V1056" s="10">
        <v>-5.548</v>
      </c>
      <c r="W1056" s="10">
        <f>IF(RIGHT(C1056,2)="12",IF(ISNUMBER(T1056),T1056,""),IF(COUNT(T1056,U1056,V1056)=3,T1056+U1056-V1056,""))</f>
        <v>-21.022999999999996</v>
      </c>
      <c r="X1056" s="10">
        <v>-21.021999999999998</v>
      </c>
      <c r="Y1056" s="10">
        <v>-65.867999999999995</v>
      </c>
      <c r="Z1056" s="10"/>
      <c r="AA1056" s="10"/>
      <c r="AB1056" s="10">
        <v>-3.3340000000000001</v>
      </c>
      <c r="AC1056" s="8">
        <v>0</v>
      </c>
      <c r="AD1056" s="8">
        <v>0</v>
      </c>
      <c r="AE1056" s="8">
        <v>0</v>
      </c>
      <c r="AF1056" s="10">
        <v>0</v>
      </c>
      <c r="AG1056" s="8">
        <f>COUNTIF(Y1056:AB1056,"&gt;0")</f>
        <v>0</v>
      </c>
      <c r="AH1056" s="10">
        <v>0</v>
      </c>
      <c r="AI1056" s="10">
        <v>0</v>
      </c>
      <c r="AJ1056" s="8" t="str">
        <f>IF(ISNUMBER(X1056),IF(X1056&gt;0,"+",IF(X1056&lt;0,"−","0")),IF(ISNUMBER(W1056),IF(W1056&gt;0,"+",IF(W1056&lt;0,"−","0")),"yok"))</f>
        <v>−</v>
      </c>
      <c r="AK1056" s="10">
        <f>IF(AND(RIGHT(C1056,2)&lt;&gt;"12",ISNUMBER(U1056),ISNUMBER(V1056)),U1056-V1056,"")</f>
        <v>-17.689</v>
      </c>
      <c r="AL1056" s="11">
        <f>IF(AND(ISNUMBER(AK1056),ISNUMBER(V1056)),IF(V1056&lt;&gt;0,AK1056/ABS(V1056),""),"")</f>
        <v>-3.1883561643835616</v>
      </c>
      <c r="AM1056" s="8">
        <f>IF(ISNUMBER(AK1056),IF(AK1056&gt;1,1,0),"")</f>
        <v>0</v>
      </c>
      <c r="AN1056" s="8">
        <f>IF(ISNUMBER(AK1056),IF(AK1056&gt;0.05*ABS(V1056),1,0),"")</f>
        <v>0</v>
      </c>
      <c r="AO1056" s="10"/>
      <c r="AP1056" s="10"/>
      <c r="AQ1056" s="10"/>
      <c r="AR1056" s="8">
        <v>0</v>
      </c>
      <c r="AS1056" s="10"/>
      <c r="AT1056" s="10"/>
      <c r="AU1056" s="10"/>
      <c r="AV1056" s="10">
        <v>0</v>
      </c>
      <c r="AW1056" s="11" t="str">
        <f>IF(AND(ISNUMBER(AV1056),ISNUMBER(AT1056)),IF(AT1056&lt;&gt;0,AV1056/ABS(AT1056),""),"")</f>
        <v/>
      </c>
      <c r="AX1056" s="8">
        <v>0</v>
      </c>
      <c r="AY1056" s="8">
        <v>0</v>
      </c>
      <c r="AZ1056" s="10"/>
      <c r="BA1056" s="8">
        <v>0</v>
      </c>
    </row>
    <row r="1057" spans="1:53" x14ac:dyDescent="0.2">
      <c r="A1057" s="8" t="s">
        <v>679</v>
      </c>
      <c r="B1057" s="8" t="s">
        <v>83</v>
      </c>
      <c r="C1057" s="8" t="s">
        <v>205</v>
      </c>
      <c r="D1057" s="8">
        <v>0</v>
      </c>
      <c r="E1057" s="8">
        <v>1</v>
      </c>
      <c r="F1057" s="8">
        <f>SUM(G1057:M1057)</f>
        <v>2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1</v>
      </c>
      <c r="M1057" s="8">
        <v>1</v>
      </c>
      <c r="N1057" s="8">
        <v>1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10">
        <v>-7.2690000000000001</v>
      </c>
      <c r="U1057" s="10">
        <v>-23.236999999999998</v>
      </c>
      <c r="V1057" s="10">
        <v>-71.417000000000002</v>
      </c>
      <c r="W1057" s="10">
        <f>IF(RIGHT(C1057,2)="12",IF(ISNUMBER(T1057),T1057,""),IF(COUNT(T1057,U1057,V1057)=3,T1057+U1057-V1057,""))</f>
        <v>40.911000000000001</v>
      </c>
      <c r="X1057" s="10">
        <v>40.909999999999997</v>
      </c>
      <c r="Y1057" s="10"/>
      <c r="Z1057" s="10"/>
      <c r="AA1057" s="10">
        <v>-3.3340000000000001</v>
      </c>
      <c r="AB1057" s="10">
        <v>-3.9350000000000001</v>
      </c>
      <c r="AC1057" s="8">
        <v>0</v>
      </c>
      <c r="AD1057" s="8">
        <v>0</v>
      </c>
      <c r="AE1057" s="8">
        <v>0</v>
      </c>
      <c r="AF1057" s="10">
        <v>0</v>
      </c>
      <c r="AG1057" s="8">
        <f>COUNTIF(Y1057:AB1057,"&gt;0")</f>
        <v>0</v>
      </c>
      <c r="AH1057" s="10">
        <v>0</v>
      </c>
      <c r="AI1057" s="10">
        <v>0</v>
      </c>
      <c r="AJ1057" s="8" t="str">
        <f>IF(ISNUMBER(X1057),IF(X1057&gt;0,"+",IF(X1057&lt;0,"−","0")),IF(ISNUMBER(W1057),IF(W1057&gt;0,"+",IF(W1057&lt;0,"−","0")),"yok"))</f>
        <v>+</v>
      </c>
      <c r="AK1057" s="10">
        <f>IF(AND(RIGHT(C1057,2)&lt;&gt;"12",ISNUMBER(U1057),ISNUMBER(V1057)),U1057-V1057,"")</f>
        <v>48.180000000000007</v>
      </c>
      <c r="AL1057" s="11">
        <f>IF(AND(ISNUMBER(AK1057),ISNUMBER(V1057)),IF(V1057&lt;&gt;0,AK1057/ABS(V1057),""),"")</f>
        <v>0.67462928994497118</v>
      </c>
      <c r="AM1057" s="8">
        <f>IF(ISNUMBER(AK1057),IF(AK1057&gt;1,1,0),"")</f>
        <v>1</v>
      </c>
      <c r="AN1057" s="8">
        <f>IF(ISNUMBER(AK1057),IF(AK1057&gt;0.05*ABS(V1057),1,0),"")</f>
        <v>1</v>
      </c>
      <c r="AO1057" s="10"/>
      <c r="AP1057" s="10"/>
      <c r="AQ1057" s="10"/>
      <c r="AR1057" s="8">
        <v>0</v>
      </c>
      <c r="AS1057" s="10"/>
      <c r="AT1057" s="10"/>
      <c r="AU1057" s="10"/>
      <c r="AV1057" s="10">
        <v>48.18</v>
      </c>
      <c r="AW1057" s="11" t="str">
        <f>IF(AND(ISNUMBER(AV1057),ISNUMBER(AT1057)),IF(AT1057&lt;&gt;0,AV1057/ABS(AT1057),""),"")</f>
        <v/>
      </c>
      <c r="AX1057" s="8">
        <v>0</v>
      </c>
      <c r="AY1057" s="8">
        <v>1</v>
      </c>
      <c r="AZ1057" s="10"/>
      <c r="BA1057" s="8">
        <v>0</v>
      </c>
    </row>
    <row r="1058" spans="1:53" x14ac:dyDescent="0.2">
      <c r="A1058" s="8" t="s">
        <v>680</v>
      </c>
      <c r="B1058" s="8" t="s">
        <v>84</v>
      </c>
      <c r="C1058" s="8" t="s">
        <v>208</v>
      </c>
      <c r="D1058" s="8">
        <v>0</v>
      </c>
      <c r="E1058" s="8">
        <v>1</v>
      </c>
      <c r="F1058" s="8">
        <f>SUM(G1058:M1058)</f>
        <v>1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1</v>
      </c>
      <c r="N1058" s="8">
        <v>0</v>
      </c>
      <c r="O1058" s="8">
        <v>0</v>
      </c>
      <c r="P1058" s="8">
        <v>1</v>
      </c>
      <c r="Q1058" s="8">
        <v>0</v>
      </c>
      <c r="R1058" s="8">
        <v>0</v>
      </c>
      <c r="S1058" s="8">
        <v>0</v>
      </c>
      <c r="T1058" s="10">
        <v>-540.09</v>
      </c>
      <c r="U1058" s="10">
        <v>-7.6189999999999998</v>
      </c>
      <c r="V1058" s="10">
        <v>-3.0609999999999999</v>
      </c>
      <c r="W1058" s="10">
        <f>IF(RIGHT(C1058,2)="12",IF(ISNUMBER(T1058),T1058,""),IF(COUNT(T1058,U1058,V1058)=3,T1058+U1058-V1058,""))</f>
        <v>-544.64800000000002</v>
      </c>
      <c r="X1058" s="10">
        <v>-544.64700000000005</v>
      </c>
      <c r="Y1058" s="10">
        <v>-6.9909999999999997</v>
      </c>
      <c r="Z1058" s="10">
        <v>-0.249</v>
      </c>
      <c r="AA1058" s="10">
        <v>2.6829999999999998</v>
      </c>
      <c r="AB1058" s="10">
        <v>-540.09</v>
      </c>
      <c r="AC1058" s="8">
        <v>0</v>
      </c>
      <c r="AD1058" s="8">
        <v>0</v>
      </c>
      <c r="AE1058" s="8">
        <v>0</v>
      </c>
      <c r="AF1058" s="10">
        <v>0</v>
      </c>
      <c r="AG1058" s="8">
        <f>COUNTIF(Y1058:AB1058,"&gt;0")</f>
        <v>1</v>
      </c>
      <c r="AH1058" s="10">
        <v>0</v>
      </c>
      <c r="AI1058" s="10">
        <v>2.6829999999999998</v>
      </c>
      <c r="AJ1058" s="8" t="str">
        <f>IF(ISNUMBER(X1058),IF(X1058&gt;0,"+",IF(X1058&lt;0,"−","0")),IF(ISNUMBER(W1058),IF(W1058&gt;0,"+",IF(W1058&lt;0,"−","0")),"yok"))</f>
        <v>−</v>
      </c>
      <c r="AK1058" s="10">
        <f>IF(AND(RIGHT(C1058,2)&lt;&gt;"12",ISNUMBER(U1058),ISNUMBER(V1058)),U1058-V1058,"")</f>
        <v>-4.5579999999999998</v>
      </c>
      <c r="AL1058" s="11">
        <f>IF(AND(ISNUMBER(AK1058),ISNUMBER(V1058)),IF(V1058&lt;&gt;0,AK1058/ABS(V1058),""),"")</f>
        <v>-1.4890558640967004</v>
      </c>
      <c r="AM1058" s="8">
        <f>IF(ISNUMBER(AK1058),IF(AK1058&gt;1,1,0),"")</f>
        <v>0</v>
      </c>
      <c r="AN1058" s="8">
        <f>IF(ISNUMBER(AK1058),IF(AK1058&gt;0.05*ABS(V1058),1,0),"")</f>
        <v>0</v>
      </c>
      <c r="AO1058" s="10"/>
      <c r="AP1058" s="10"/>
      <c r="AQ1058" s="10"/>
      <c r="AR1058" s="8">
        <v>0</v>
      </c>
      <c r="AS1058" s="10"/>
      <c r="AT1058" s="10"/>
      <c r="AU1058" s="10"/>
      <c r="AV1058" s="10">
        <v>2.6829999999999998</v>
      </c>
      <c r="AW1058" s="11" t="str">
        <f>IF(AND(ISNUMBER(AV1058),ISNUMBER(AT1058)),IF(AT1058&lt;&gt;0,AV1058/ABS(AT1058),""),"")</f>
        <v/>
      </c>
      <c r="AX1058" s="8">
        <v>0</v>
      </c>
      <c r="AY1058" s="8">
        <v>0</v>
      </c>
      <c r="AZ1058" s="10"/>
      <c r="BA1058" s="8">
        <v>0</v>
      </c>
    </row>
    <row r="1059" spans="1:53" x14ac:dyDescent="0.2">
      <c r="A1059" s="8" t="s">
        <v>680</v>
      </c>
      <c r="B1059" s="8" t="s">
        <v>84</v>
      </c>
      <c r="C1059" s="8" t="s">
        <v>210</v>
      </c>
      <c r="D1059" s="8">
        <v>0</v>
      </c>
      <c r="E1059" s="8">
        <v>1</v>
      </c>
      <c r="F1059" s="8">
        <f>SUM(G1059:M1059)</f>
        <v>1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1</v>
      </c>
      <c r="N1059" s="8">
        <v>0</v>
      </c>
      <c r="O1059" s="8">
        <v>0</v>
      </c>
      <c r="P1059" s="8">
        <v>1</v>
      </c>
      <c r="Q1059" s="8">
        <v>0</v>
      </c>
      <c r="R1059" s="8">
        <v>0</v>
      </c>
      <c r="S1059" s="8">
        <v>0</v>
      </c>
      <c r="T1059" s="10"/>
      <c r="U1059" s="10">
        <v>-7.6189999999999998</v>
      </c>
      <c r="V1059" s="10">
        <v>-10.053000000000001</v>
      </c>
      <c r="W1059" s="10" t="str">
        <f>IF(RIGHT(C1059,2)="12",IF(ISNUMBER(T1059),T1059,""),IF(COUNT(T1059,U1059,V1059)=3,T1059+U1059-V1059,""))</f>
        <v/>
      </c>
      <c r="X1059" s="10"/>
      <c r="Y1059" s="10">
        <v>-0.249</v>
      </c>
      <c r="Z1059" s="10">
        <v>2.6829999999999998</v>
      </c>
      <c r="AA1059" s="10">
        <v>-540.09</v>
      </c>
      <c r="AB1059" s="10"/>
      <c r="AC1059" s="8">
        <v>0</v>
      </c>
      <c r="AD1059" s="8">
        <v>0</v>
      </c>
      <c r="AE1059" s="8">
        <v>0</v>
      </c>
      <c r="AF1059" s="10">
        <v>0</v>
      </c>
      <c r="AG1059" s="8">
        <f>COUNTIF(Y1059:AB1059,"&gt;0")</f>
        <v>1</v>
      </c>
      <c r="AH1059" s="10">
        <v>0</v>
      </c>
      <c r="AI1059" s="10">
        <v>2.6829999999999998</v>
      </c>
      <c r="AJ1059" s="8" t="str">
        <f>IF(ISNUMBER(X1059),IF(X1059&gt;0,"+",IF(X1059&lt;0,"−","0")),IF(ISNUMBER(W1059),IF(W1059&gt;0,"+",IF(W1059&lt;0,"−","0")),"yok"))</f>
        <v>yok</v>
      </c>
      <c r="AK1059" s="10">
        <f>IF(AND(RIGHT(C1059,2)&lt;&gt;"12",ISNUMBER(U1059),ISNUMBER(V1059)),U1059-V1059,"")</f>
        <v>2.4340000000000011</v>
      </c>
      <c r="AL1059" s="11">
        <f>IF(AND(ISNUMBER(AK1059),ISNUMBER(V1059)),IF(V1059&lt;&gt;0,AK1059/ABS(V1059),""),"")</f>
        <v>0.24211678106038007</v>
      </c>
      <c r="AM1059" s="8">
        <f>IF(ISNUMBER(AK1059),IF(AK1059&gt;1,1,0),"")</f>
        <v>1</v>
      </c>
      <c r="AN1059" s="8">
        <f>IF(ISNUMBER(AK1059),IF(AK1059&gt;0.05*ABS(V1059),1,0),"")</f>
        <v>1</v>
      </c>
      <c r="AO1059" s="10"/>
      <c r="AP1059" s="10"/>
      <c r="AQ1059" s="10"/>
      <c r="AR1059" s="8">
        <v>0</v>
      </c>
      <c r="AS1059" s="10"/>
      <c r="AT1059" s="10"/>
      <c r="AU1059" s="10"/>
      <c r="AV1059" s="10">
        <v>2.6829999999999998</v>
      </c>
      <c r="AW1059" s="11" t="str">
        <f>IF(AND(ISNUMBER(AV1059),ISNUMBER(AT1059)),IF(AT1059&lt;&gt;0,AV1059/ABS(AT1059),""),"")</f>
        <v/>
      </c>
      <c r="AX1059" s="8">
        <v>0</v>
      </c>
      <c r="AY1059" s="8">
        <v>0</v>
      </c>
      <c r="AZ1059" s="10"/>
      <c r="BA1059" s="8">
        <v>0</v>
      </c>
    </row>
    <row r="1060" spans="1:53" x14ac:dyDescent="0.2">
      <c r="A1060" s="8" t="s">
        <v>681</v>
      </c>
      <c r="B1060" s="8" t="s">
        <v>83</v>
      </c>
      <c r="C1060" s="8" t="s">
        <v>203</v>
      </c>
      <c r="D1060" s="8">
        <v>0</v>
      </c>
      <c r="E1060" s="8">
        <v>1</v>
      </c>
      <c r="F1060" s="8">
        <f>SUM(G1060:M1060)</f>
        <v>2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1</v>
      </c>
      <c r="M1060" s="8">
        <v>1</v>
      </c>
      <c r="N1060" s="8">
        <v>1</v>
      </c>
      <c r="O1060" s="8">
        <v>0</v>
      </c>
      <c r="P1060" s="8">
        <v>1</v>
      </c>
      <c r="Q1060" s="8">
        <v>0</v>
      </c>
      <c r="R1060" s="8">
        <v>0</v>
      </c>
      <c r="S1060" s="8">
        <v>0</v>
      </c>
      <c r="T1060" s="10">
        <v>-0.36</v>
      </c>
      <c r="U1060" s="10">
        <v>-2.3809999999999998</v>
      </c>
      <c r="V1060" s="10">
        <v>-232.64099999999999</v>
      </c>
      <c r="W1060" s="10">
        <f>IF(RIGHT(C1060,2)="12",IF(ISNUMBER(T1060),T1060,""),IF(COUNT(T1060,U1060,V1060)=3,T1060+U1060-V1060,""))</f>
        <v>229.89999999999998</v>
      </c>
      <c r="X1060" s="10">
        <v>229.9</v>
      </c>
      <c r="Y1060" s="10">
        <v>232.601</v>
      </c>
      <c r="Z1060" s="10">
        <v>-0.19900000000000001</v>
      </c>
      <c r="AA1060" s="10">
        <v>-2.141</v>
      </c>
      <c r="AB1060" s="10">
        <v>-0.36</v>
      </c>
      <c r="AC1060" s="8">
        <v>0</v>
      </c>
      <c r="AD1060" s="8">
        <v>0</v>
      </c>
      <c r="AE1060" s="8">
        <v>0</v>
      </c>
      <c r="AF1060" s="10">
        <v>0</v>
      </c>
      <c r="AG1060" s="8">
        <f>COUNTIF(Y1060:AB1060,"&gt;0")</f>
        <v>1</v>
      </c>
      <c r="AH1060" s="10">
        <v>0</v>
      </c>
      <c r="AI1060" s="10">
        <v>232.601</v>
      </c>
      <c r="AJ1060" s="8" t="str">
        <f>IF(ISNUMBER(X1060),IF(X1060&gt;0,"+",IF(X1060&lt;0,"−","0")),IF(ISNUMBER(W1060),IF(W1060&gt;0,"+",IF(W1060&lt;0,"−","0")),"yok"))</f>
        <v>+</v>
      </c>
      <c r="AK1060" s="10">
        <f>IF(AND(RIGHT(C1060,2)&lt;&gt;"12",ISNUMBER(U1060),ISNUMBER(V1060)),U1060-V1060,"")</f>
        <v>230.26</v>
      </c>
      <c r="AL1060" s="11">
        <f>IF(AND(ISNUMBER(AK1060),ISNUMBER(V1060)),IF(V1060&lt;&gt;0,AK1060/ABS(V1060),""),"")</f>
        <v>0.98976534660700388</v>
      </c>
      <c r="AM1060" s="8">
        <f>IF(ISNUMBER(AK1060),IF(AK1060&gt;1,1,0),"")</f>
        <v>1</v>
      </c>
      <c r="AN1060" s="8">
        <f>IF(ISNUMBER(AK1060),IF(AK1060&gt;0.05*ABS(V1060),1,0),"")</f>
        <v>1</v>
      </c>
      <c r="AO1060" s="10"/>
      <c r="AP1060" s="10"/>
      <c r="AQ1060" s="10"/>
      <c r="AR1060" s="8">
        <v>0</v>
      </c>
      <c r="AS1060" s="10"/>
      <c r="AT1060" s="10"/>
      <c r="AU1060" s="10"/>
      <c r="AV1060" s="10">
        <v>230.26</v>
      </c>
      <c r="AW1060" s="11" t="str">
        <f>IF(AND(ISNUMBER(AV1060),ISNUMBER(AT1060)),IF(AT1060&lt;&gt;0,AV1060/ABS(AT1060),""),"")</f>
        <v/>
      </c>
      <c r="AX1060" s="8">
        <v>0</v>
      </c>
      <c r="AY1060" s="8">
        <v>1</v>
      </c>
      <c r="AZ1060" s="10"/>
      <c r="BA1060" s="8">
        <v>0</v>
      </c>
    </row>
    <row r="1061" spans="1:53" x14ac:dyDescent="0.2">
      <c r="A1061" s="8" t="s">
        <v>682</v>
      </c>
      <c r="B1061" s="8" t="s">
        <v>83</v>
      </c>
      <c r="C1061" s="8" t="s">
        <v>203</v>
      </c>
      <c r="D1061" s="8">
        <v>0</v>
      </c>
      <c r="E1061" s="8">
        <v>1</v>
      </c>
      <c r="F1061" s="8">
        <f>SUM(G1061:M1061)</f>
        <v>2</v>
      </c>
      <c r="G1061" s="8">
        <v>0</v>
      </c>
      <c r="H1061" s="8">
        <v>0</v>
      </c>
      <c r="I1061" s="8">
        <v>0</v>
      </c>
      <c r="J1061" s="8">
        <v>0</v>
      </c>
      <c r="K1061" s="8">
        <v>1</v>
      </c>
      <c r="L1061" s="8">
        <v>0</v>
      </c>
      <c r="M1061" s="8">
        <v>1</v>
      </c>
      <c r="N1061" s="8">
        <v>0</v>
      </c>
      <c r="O1061" s="8">
        <v>1</v>
      </c>
      <c r="P1061" s="8">
        <v>1</v>
      </c>
      <c r="Q1061" s="8">
        <v>0</v>
      </c>
      <c r="R1061" s="8">
        <v>0</v>
      </c>
      <c r="S1061" s="8">
        <v>0</v>
      </c>
      <c r="T1061" s="10">
        <v>-10.394</v>
      </c>
      <c r="U1061" s="10">
        <v>-304.44499999999999</v>
      </c>
      <c r="V1061" s="10">
        <v>25.753</v>
      </c>
      <c r="W1061" s="10">
        <f>IF(RIGHT(C1061,2)="12",IF(ISNUMBER(T1061),T1061,""),IF(COUNT(T1061,U1061,V1061)=3,T1061+U1061-V1061,""))</f>
        <v>-340.59199999999998</v>
      </c>
      <c r="X1061" s="10">
        <v>-340.59199999999998</v>
      </c>
      <c r="Y1061" s="10">
        <v>-75.602999999999994</v>
      </c>
      <c r="Z1061" s="10">
        <v>4.0819999999999999</v>
      </c>
      <c r="AA1061" s="10">
        <v>-258.67700000000002</v>
      </c>
      <c r="AB1061" s="10">
        <v>-10.394</v>
      </c>
      <c r="AC1061" s="8">
        <v>0</v>
      </c>
      <c r="AD1061" s="8">
        <v>0</v>
      </c>
      <c r="AE1061" s="8">
        <v>1</v>
      </c>
      <c r="AF1061" s="10">
        <v>25.753</v>
      </c>
      <c r="AG1061" s="8">
        <f>COUNTIF(Y1061:AB1061,"&gt;0")</f>
        <v>1</v>
      </c>
      <c r="AH1061" s="10">
        <v>0</v>
      </c>
      <c r="AI1061" s="10">
        <v>4.0819999999999999</v>
      </c>
      <c r="AJ1061" s="8" t="str">
        <f>IF(ISNUMBER(X1061),IF(X1061&gt;0,"+",IF(X1061&lt;0,"−","0")),IF(ISNUMBER(W1061),IF(W1061&gt;0,"+",IF(W1061&lt;0,"−","0")),"yok"))</f>
        <v>−</v>
      </c>
      <c r="AK1061" s="10">
        <f>IF(AND(RIGHT(C1061,2)&lt;&gt;"12",ISNUMBER(U1061),ISNUMBER(V1061)),U1061-V1061,"")</f>
        <v>-330.19799999999998</v>
      </c>
      <c r="AL1061" s="11">
        <f>IF(AND(ISNUMBER(AK1061),ISNUMBER(V1061)),IF(V1061&lt;&gt;0,AK1061/ABS(V1061),""),"")</f>
        <v>-12.821729507241875</v>
      </c>
      <c r="AM1061" s="8">
        <f>IF(ISNUMBER(AK1061),IF(AK1061&gt;1,1,0),"")</f>
        <v>0</v>
      </c>
      <c r="AN1061" s="8">
        <f>IF(ISNUMBER(AK1061),IF(AK1061&gt;0.05*ABS(V1061),1,0),"")</f>
        <v>0</v>
      </c>
      <c r="AO1061" s="10"/>
      <c r="AP1061" s="10"/>
      <c r="AQ1061" s="10"/>
      <c r="AR1061" s="8">
        <v>0</v>
      </c>
      <c r="AS1061" s="10"/>
      <c r="AT1061" s="10"/>
      <c r="AU1061" s="10"/>
      <c r="AV1061" s="10">
        <v>25.753</v>
      </c>
      <c r="AW1061" s="11" t="str">
        <f>IF(AND(ISNUMBER(AV1061),ISNUMBER(AT1061)),IF(AT1061&lt;&gt;0,AV1061/ABS(AT1061),""),"")</f>
        <v/>
      </c>
      <c r="AX1061" s="8">
        <v>1</v>
      </c>
      <c r="AY1061" s="8">
        <v>0</v>
      </c>
      <c r="AZ1061" s="8" t="s">
        <v>683</v>
      </c>
      <c r="BA1061" s="8">
        <v>0</v>
      </c>
    </row>
    <row r="1062" spans="1:53" x14ac:dyDescent="0.2">
      <c r="A1062" s="8" t="s">
        <v>682</v>
      </c>
      <c r="B1062" s="8" t="s">
        <v>83</v>
      </c>
      <c r="C1062" s="8" t="s">
        <v>205</v>
      </c>
      <c r="D1062" s="8">
        <v>0</v>
      </c>
      <c r="E1062" s="8">
        <v>1</v>
      </c>
      <c r="F1062" s="8">
        <f>SUM(G1062:M1062)</f>
        <v>1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1</v>
      </c>
      <c r="N1062" s="8">
        <v>0</v>
      </c>
      <c r="O1062" s="8">
        <v>0</v>
      </c>
      <c r="P1062" s="8">
        <v>1</v>
      </c>
      <c r="Q1062" s="8">
        <v>0</v>
      </c>
      <c r="R1062" s="8">
        <v>0</v>
      </c>
      <c r="S1062" s="8">
        <v>1</v>
      </c>
      <c r="T1062" s="10">
        <v>-6.0919999999999996</v>
      </c>
      <c r="U1062" s="10">
        <v>-304.44499999999999</v>
      </c>
      <c r="V1062" s="10">
        <v>-49.85</v>
      </c>
      <c r="W1062" s="10">
        <f>IF(RIGHT(C1062,2)="12",IF(ISNUMBER(T1062),T1062,""),IF(COUNT(T1062,U1062,V1062)=3,T1062+U1062-V1062,""))</f>
        <v>-260.68699999999995</v>
      </c>
      <c r="X1062" s="10">
        <v>-260.68700000000001</v>
      </c>
      <c r="Y1062" s="10">
        <v>4.0819999999999999</v>
      </c>
      <c r="Z1062" s="10">
        <v>-258.67700000000002</v>
      </c>
      <c r="AA1062" s="10">
        <v>-10.394</v>
      </c>
      <c r="AB1062" s="10">
        <v>4.3010000000000002</v>
      </c>
      <c r="AC1062" s="8">
        <v>0</v>
      </c>
      <c r="AD1062" s="8">
        <v>0</v>
      </c>
      <c r="AE1062" s="8">
        <v>0</v>
      </c>
      <c r="AF1062" s="10">
        <v>0</v>
      </c>
      <c r="AG1062" s="8">
        <f>COUNTIF(Y1062:AB1062,"&gt;0")</f>
        <v>2</v>
      </c>
      <c r="AH1062" s="10">
        <v>4.3010000000000002</v>
      </c>
      <c r="AI1062" s="10">
        <v>4.0819999999999999</v>
      </c>
      <c r="AJ1062" s="8" t="str">
        <f>IF(ISNUMBER(X1062),IF(X1062&gt;0,"+",IF(X1062&lt;0,"−","0")),IF(ISNUMBER(W1062),IF(W1062&gt;0,"+",IF(W1062&lt;0,"−","0")),"yok"))</f>
        <v>−</v>
      </c>
      <c r="AK1062" s="10">
        <f>IF(AND(RIGHT(C1062,2)&lt;&gt;"12",ISNUMBER(U1062),ISNUMBER(V1062)),U1062-V1062,"")</f>
        <v>-254.595</v>
      </c>
      <c r="AL1062" s="11">
        <f>IF(AND(ISNUMBER(AK1062),ISNUMBER(V1062)),IF(V1062&lt;&gt;0,AK1062/ABS(V1062),""),"")</f>
        <v>-5.1072216649949844</v>
      </c>
      <c r="AM1062" s="8">
        <f>IF(ISNUMBER(AK1062),IF(AK1062&gt;1,1,0),"")</f>
        <v>0</v>
      </c>
      <c r="AN1062" s="8">
        <f>IF(ISNUMBER(AK1062),IF(AK1062&gt;0.05*ABS(V1062),1,0),"")</f>
        <v>0</v>
      </c>
      <c r="AO1062" s="10"/>
      <c r="AP1062" s="10"/>
      <c r="AQ1062" s="10"/>
      <c r="AR1062" s="8">
        <v>0</v>
      </c>
      <c r="AS1062" s="10"/>
      <c r="AT1062" s="10"/>
      <c r="AU1062" s="10"/>
      <c r="AV1062" s="10">
        <v>4.3010000000000002</v>
      </c>
      <c r="AW1062" s="11" t="str">
        <f>IF(AND(ISNUMBER(AV1062),ISNUMBER(AT1062)),IF(AT1062&lt;&gt;0,AV1062/ABS(AT1062),""),"")</f>
        <v/>
      </c>
      <c r="AX1062" s="8">
        <v>0</v>
      </c>
      <c r="AY1062" s="8">
        <v>0</v>
      </c>
      <c r="AZ1062" s="10"/>
      <c r="BA1062" s="8">
        <v>0</v>
      </c>
    </row>
    <row r="1063" spans="1:53" x14ac:dyDescent="0.2">
      <c r="A1063" s="8" t="s">
        <v>682</v>
      </c>
      <c r="B1063" s="8" t="s">
        <v>83</v>
      </c>
      <c r="C1063" s="8" t="s">
        <v>208</v>
      </c>
      <c r="D1063" s="8">
        <v>0</v>
      </c>
      <c r="E1063" s="8">
        <v>1</v>
      </c>
      <c r="F1063" s="8">
        <f>SUM(G1063:M1063)</f>
        <v>1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1</v>
      </c>
      <c r="N1063" s="8">
        <v>0</v>
      </c>
      <c r="O1063" s="8">
        <v>0</v>
      </c>
      <c r="P1063" s="8">
        <v>1</v>
      </c>
      <c r="Q1063" s="8">
        <v>0</v>
      </c>
      <c r="R1063" s="8">
        <v>0</v>
      </c>
      <c r="S1063" s="8">
        <v>0</v>
      </c>
      <c r="T1063" s="10">
        <v>-1.847</v>
      </c>
      <c r="U1063" s="10">
        <v>-52.902999999999999</v>
      </c>
      <c r="V1063" s="10">
        <v>-10.394</v>
      </c>
      <c r="W1063" s="10">
        <f>IF(RIGHT(C1063,2)="12",IF(ISNUMBER(T1063),T1063,""),IF(COUNT(T1063,U1063,V1063)=3,T1063+U1063-V1063,""))</f>
        <v>-44.356000000000002</v>
      </c>
      <c r="X1063" s="10">
        <v>-44.356000000000002</v>
      </c>
      <c r="Y1063" s="10">
        <v>4.3010000000000002</v>
      </c>
      <c r="Z1063" s="10">
        <v>-33.82</v>
      </c>
      <c r="AA1063" s="10">
        <v>-12.99</v>
      </c>
      <c r="AB1063" s="10">
        <v>-1.847</v>
      </c>
      <c r="AC1063" s="8">
        <v>0</v>
      </c>
      <c r="AD1063" s="8">
        <v>0</v>
      </c>
      <c r="AE1063" s="8">
        <v>0</v>
      </c>
      <c r="AF1063" s="10">
        <v>0</v>
      </c>
      <c r="AG1063" s="8">
        <f>COUNTIF(Y1063:AB1063,"&gt;0")</f>
        <v>1</v>
      </c>
      <c r="AH1063" s="10">
        <v>0</v>
      </c>
      <c r="AI1063" s="10">
        <v>4.3010000000000002</v>
      </c>
      <c r="AJ1063" s="8" t="str">
        <f>IF(ISNUMBER(X1063),IF(X1063&gt;0,"+",IF(X1063&lt;0,"−","0")),IF(ISNUMBER(W1063),IF(W1063&gt;0,"+",IF(W1063&lt;0,"−","0")),"yok"))</f>
        <v>−</v>
      </c>
      <c r="AK1063" s="10">
        <f>IF(AND(RIGHT(C1063,2)&lt;&gt;"12",ISNUMBER(U1063),ISNUMBER(V1063)),U1063-V1063,"")</f>
        <v>-42.509</v>
      </c>
      <c r="AL1063" s="11">
        <f>IF(AND(ISNUMBER(AK1063),ISNUMBER(V1063)),IF(V1063&lt;&gt;0,AK1063/ABS(V1063),""),"")</f>
        <v>-4.0897633249951895</v>
      </c>
      <c r="AM1063" s="8">
        <f>IF(ISNUMBER(AK1063),IF(AK1063&gt;1,1,0),"")</f>
        <v>0</v>
      </c>
      <c r="AN1063" s="8">
        <f>IF(ISNUMBER(AK1063),IF(AK1063&gt;0.05*ABS(V1063),1,0),"")</f>
        <v>0</v>
      </c>
      <c r="AO1063" s="10"/>
      <c r="AP1063" s="10"/>
      <c r="AQ1063" s="10"/>
      <c r="AR1063" s="8">
        <v>0</v>
      </c>
      <c r="AS1063" s="10"/>
      <c r="AT1063" s="10"/>
      <c r="AU1063" s="10"/>
      <c r="AV1063" s="10">
        <v>4.3010000000000002</v>
      </c>
      <c r="AW1063" s="11" t="str">
        <f>IF(AND(ISNUMBER(AV1063),ISNUMBER(AT1063)),IF(AT1063&lt;&gt;0,AV1063/ABS(AT1063),""),"")</f>
        <v/>
      </c>
      <c r="AX1063" s="8">
        <v>0</v>
      </c>
      <c r="AY1063" s="8">
        <v>0</v>
      </c>
      <c r="AZ1063" s="10"/>
      <c r="BA1063" s="8">
        <v>0</v>
      </c>
    </row>
    <row r="1064" spans="1:53" x14ac:dyDescent="0.2">
      <c r="A1064" s="8" t="s">
        <v>684</v>
      </c>
      <c r="B1064" s="8" t="s">
        <v>83</v>
      </c>
      <c r="C1064" s="8" t="s">
        <v>203</v>
      </c>
      <c r="D1064" s="8">
        <v>0</v>
      </c>
      <c r="E1064" s="8">
        <v>1</v>
      </c>
      <c r="F1064" s="8">
        <f>SUM(G1064:M1064)</f>
        <v>1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1</v>
      </c>
      <c r="N1064" s="8">
        <v>0</v>
      </c>
      <c r="O1064" s="8">
        <v>0</v>
      </c>
      <c r="P1064" s="8">
        <v>1</v>
      </c>
      <c r="Q1064" s="8">
        <v>0</v>
      </c>
      <c r="R1064" s="8">
        <v>0</v>
      </c>
      <c r="S1064" s="8">
        <v>0</v>
      </c>
      <c r="T1064" s="10">
        <v>-2.1880000000000002</v>
      </c>
      <c r="U1064" s="10">
        <v>-18.146000000000001</v>
      </c>
      <c r="V1064" s="10">
        <v>-6.03</v>
      </c>
      <c r="W1064" s="10">
        <f>IF(RIGHT(C1064,2)="12",IF(ISNUMBER(T1064),T1064,""),IF(COUNT(T1064,U1064,V1064)=3,T1064+U1064-V1064,""))</f>
        <v>-14.303999999999998</v>
      </c>
      <c r="X1064" s="10">
        <v>-14.304</v>
      </c>
      <c r="Y1064" s="10">
        <v>-1.194</v>
      </c>
      <c r="Z1064" s="10">
        <v>-42.134999999999998</v>
      </c>
      <c r="AA1064" s="10">
        <v>31.213000000000001</v>
      </c>
      <c r="AB1064" s="10">
        <v>-2.1880000000000002</v>
      </c>
      <c r="AC1064" s="8">
        <v>0</v>
      </c>
      <c r="AD1064" s="8">
        <v>0</v>
      </c>
      <c r="AE1064" s="8">
        <v>0</v>
      </c>
      <c r="AF1064" s="10">
        <v>0</v>
      </c>
      <c r="AG1064" s="8">
        <f>COUNTIF(Y1064:AB1064,"&gt;0")</f>
        <v>1</v>
      </c>
      <c r="AH1064" s="10">
        <v>0</v>
      </c>
      <c r="AI1064" s="10">
        <v>31.213000000000001</v>
      </c>
      <c r="AJ1064" s="8" t="str">
        <f>IF(ISNUMBER(X1064),IF(X1064&gt;0,"+",IF(X1064&lt;0,"−","0")),IF(ISNUMBER(W1064),IF(W1064&gt;0,"+",IF(W1064&lt;0,"−","0")),"yok"))</f>
        <v>−</v>
      </c>
      <c r="AK1064" s="10">
        <f>IF(AND(RIGHT(C1064,2)&lt;&gt;"12",ISNUMBER(U1064),ISNUMBER(V1064)),U1064-V1064,"")</f>
        <v>-12.116</v>
      </c>
      <c r="AL1064" s="11">
        <f>IF(AND(ISNUMBER(AK1064),ISNUMBER(V1064)),IF(V1064&lt;&gt;0,AK1064/ABS(V1064),""),"")</f>
        <v>-2.0092868988391377</v>
      </c>
      <c r="AM1064" s="8">
        <f>IF(ISNUMBER(AK1064),IF(AK1064&gt;1,1,0),"")</f>
        <v>0</v>
      </c>
      <c r="AN1064" s="8">
        <f>IF(ISNUMBER(AK1064),IF(AK1064&gt;0.05*ABS(V1064),1,0),"")</f>
        <v>0</v>
      </c>
      <c r="AO1064" s="10"/>
      <c r="AP1064" s="10"/>
      <c r="AQ1064" s="10"/>
      <c r="AR1064" s="8">
        <v>0</v>
      </c>
      <c r="AS1064" s="10"/>
      <c r="AT1064" s="10"/>
      <c r="AU1064" s="10"/>
      <c r="AV1064" s="10">
        <v>31.213000000000001</v>
      </c>
      <c r="AW1064" s="11" t="str">
        <f>IF(AND(ISNUMBER(AV1064),ISNUMBER(AT1064)),IF(AT1064&lt;&gt;0,AV1064/ABS(AT1064),""),"")</f>
        <v/>
      </c>
      <c r="AX1064" s="8">
        <v>0</v>
      </c>
      <c r="AY1064" s="8">
        <v>0</v>
      </c>
      <c r="AZ1064" s="10"/>
      <c r="BA1064" s="8">
        <v>0</v>
      </c>
    </row>
    <row r="1065" spans="1:53" x14ac:dyDescent="0.2">
      <c r="A1065" s="8" t="s">
        <v>684</v>
      </c>
      <c r="B1065" s="8" t="s">
        <v>83</v>
      </c>
      <c r="C1065" s="8" t="s">
        <v>205</v>
      </c>
      <c r="D1065" s="8">
        <v>0</v>
      </c>
      <c r="E1065" s="8">
        <v>1</v>
      </c>
      <c r="F1065" s="8">
        <f>SUM(G1065:M1065)</f>
        <v>1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1</v>
      </c>
      <c r="N1065" s="8">
        <v>0</v>
      </c>
      <c r="O1065" s="8">
        <v>0</v>
      </c>
      <c r="P1065" s="8">
        <v>1</v>
      </c>
      <c r="Q1065" s="8">
        <v>0</v>
      </c>
      <c r="R1065" s="8">
        <v>0</v>
      </c>
      <c r="S1065" s="8">
        <v>0</v>
      </c>
      <c r="T1065" s="10">
        <v>-2.23</v>
      </c>
      <c r="U1065" s="10">
        <v>-18.146000000000001</v>
      </c>
      <c r="V1065" s="10">
        <v>-7.2240000000000002</v>
      </c>
      <c r="W1065" s="10">
        <f>IF(RIGHT(C1065,2)="12",IF(ISNUMBER(T1065),T1065,""),IF(COUNT(T1065,U1065,V1065)=3,T1065+U1065-V1065,""))</f>
        <v>-13.152000000000001</v>
      </c>
      <c r="X1065" s="10">
        <v>-13.151999999999999</v>
      </c>
      <c r="Y1065" s="10">
        <v>-42.134999999999998</v>
      </c>
      <c r="Z1065" s="10">
        <v>31.213000000000001</v>
      </c>
      <c r="AA1065" s="10">
        <v>-2.1880000000000002</v>
      </c>
      <c r="AB1065" s="10">
        <v>-4.2000000000000003E-2</v>
      </c>
      <c r="AC1065" s="8">
        <v>0</v>
      </c>
      <c r="AD1065" s="8">
        <v>0</v>
      </c>
      <c r="AE1065" s="8">
        <v>0</v>
      </c>
      <c r="AF1065" s="10">
        <v>0</v>
      </c>
      <c r="AG1065" s="8">
        <f>COUNTIF(Y1065:AB1065,"&gt;0")</f>
        <v>1</v>
      </c>
      <c r="AH1065" s="10">
        <v>0</v>
      </c>
      <c r="AI1065" s="10">
        <v>31.213000000000001</v>
      </c>
      <c r="AJ1065" s="8" t="str">
        <f>IF(ISNUMBER(X1065),IF(X1065&gt;0,"+",IF(X1065&lt;0,"−","0")),IF(ISNUMBER(W1065),IF(W1065&gt;0,"+",IF(W1065&lt;0,"−","0")),"yok"))</f>
        <v>−</v>
      </c>
      <c r="AK1065" s="10">
        <f>IF(AND(RIGHT(C1065,2)&lt;&gt;"12",ISNUMBER(U1065),ISNUMBER(V1065)),U1065-V1065,"")</f>
        <v>-10.922000000000001</v>
      </c>
      <c r="AL1065" s="11">
        <f>IF(AND(ISNUMBER(AK1065),ISNUMBER(V1065)),IF(V1065&lt;&gt;0,AK1065/ABS(V1065),""),"")</f>
        <v>-1.5119047619047619</v>
      </c>
      <c r="AM1065" s="8">
        <f>IF(ISNUMBER(AK1065),IF(AK1065&gt;1,1,0),"")</f>
        <v>0</v>
      </c>
      <c r="AN1065" s="8">
        <f>IF(ISNUMBER(AK1065),IF(AK1065&gt;0.05*ABS(V1065),1,0),"")</f>
        <v>0</v>
      </c>
      <c r="AO1065" s="10"/>
      <c r="AP1065" s="10"/>
      <c r="AQ1065" s="10"/>
      <c r="AR1065" s="8">
        <v>0</v>
      </c>
      <c r="AS1065" s="10"/>
      <c r="AT1065" s="10"/>
      <c r="AU1065" s="10"/>
      <c r="AV1065" s="10">
        <v>31.213000000000001</v>
      </c>
      <c r="AW1065" s="11" t="str">
        <f>IF(AND(ISNUMBER(AV1065),ISNUMBER(AT1065)),IF(AT1065&lt;&gt;0,AV1065/ABS(AT1065),""),"")</f>
        <v/>
      </c>
      <c r="AX1065" s="8">
        <v>0</v>
      </c>
      <c r="AY1065" s="8">
        <v>0</v>
      </c>
      <c r="AZ1065" s="10"/>
      <c r="BA1065" s="8">
        <v>0</v>
      </c>
    </row>
    <row r="1066" spans="1:53" x14ac:dyDescent="0.2">
      <c r="A1066" s="8" t="s">
        <v>684</v>
      </c>
      <c r="B1066" s="8" t="s">
        <v>83</v>
      </c>
      <c r="C1066" s="8" t="s">
        <v>215</v>
      </c>
      <c r="D1066" s="8">
        <v>0</v>
      </c>
      <c r="E1066" s="8">
        <v>1</v>
      </c>
      <c r="F1066" s="8">
        <f>SUM(G1066:M1066)</f>
        <v>2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1</v>
      </c>
      <c r="M1066" s="8">
        <v>1</v>
      </c>
      <c r="N1066" s="8">
        <v>1</v>
      </c>
      <c r="O1066" s="8">
        <v>0</v>
      </c>
      <c r="P1066" s="8">
        <v>1</v>
      </c>
      <c r="Q1066" s="8">
        <v>0</v>
      </c>
      <c r="R1066" s="8">
        <v>0</v>
      </c>
      <c r="S1066" s="8">
        <v>0</v>
      </c>
      <c r="T1066" s="10">
        <v>-12.802</v>
      </c>
      <c r="U1066" s="10">
        <v>-18.146000000000001</v>
      </c>
      <c r="V1066" s="10">
        <v>-49.359000000000002</v>
      </c>
      <c r="W1066" s="10">
        <f>IF(RIGHT(C1066,2)="12",IF(ISNUMBER(T1066),T1066,""),IF(COUNT(T1066,U1066,V1066)=3,T1066+U1066-V1066,""))</f>
        <v>18.411000000000001</v>
      </c>
      <c r="X1066" s="10">
        <v>18.411000000000001</v>
      </c>
      <c r="Y1066" s="10">
        <v>31.213000000000001</v>
      </c>
      <c r="Z1066" s="10">
        <v>-2.1880000000000002</v>
      </c>
      <c r="AA1066" s="10">
        <v>-4.2000000000000003E-2</v>
      </c>
      <c r="AB1066" s="10">
        <v>-10.571</v>
      </c>
      <c r="AC1066" s="8">
        <v>0</v>
      </c>
      <c r="AD1066" s="8">
        <v>0</v>
      </c>
      <c r="AE1066" s="8">
        <v>0</v>
      </c>
      <c r="AF1066" s="10">
        <v>0</v>
      </c>
      <c r="AG1066" s="8">
        <f>COUNTIF(Y1066:AB1066,"&gt;0")</f>
        <v>1</v>
      </c>
      <c r="AH1066" s="10">
        <v>0</v>
      </c>
      <c r="AI1066" s="10">
        <v>31.213000000000001</v>
      </c>
      <c r="AJ1066" s="8" t="str">
        <f>IF(ISNUMBER(X1066),IF(X1066&gt;0,"+",IF(X1066&lt;0,"−","0")),IF(ISNUMBER(W1066),IF(W1066&gt;0,"+",IF(W1066&lt;0,"−","0")),"yok"))</f>
        <v>+</v>
      </c>
      <c r="AK1066" s="10">
        <f>IF(AND(RIGHT(C1066,2)&lt;&gt;"12",ISNUMBER(U1066),ISNUMBER(V1066)),U1066-V1066,"")</f>
        <v>31.213000000000001</v>
      </c>
      <c r="AL1066" s="11">
        <f>IF(AND(ISNUMBER(AK1066),ISNUMBER(V1066)),IF(V1066&lt;&gt;0,AK1066/ABS(V1066),""),"")</f>
        <v>0.63236694422496409</v>
      </c>
      <c r="AM1066" s="8">
        <f>IF(ISNUMBER(AK1066),IF(AK1066&gt;1,1,0),"")</f>
        <v>1</v>
      </c>
      <c r="AN1066" s="8">
        <f>IF(ISNUMBER(AK1066),IF(AK1066&gt;0.05*ABS(V1066),1,0),"")</f>
        <v>1</v>
      </c>
      <c r="AO1066" s="10"/>
      <c r="AP1066" s="10"/>
      <c r="AQ1066" s="10"/>
      <c r="AR1066" s="8">
        <v>0</v>
      </c>
      <c r="AS1066" s="10"/>
      <c r="AT1066" s="10"/>
      <c r="AU1066" s="10"/>
      <c r="AV1066" s="10">
        <v>31.213000000000001</v>
      </c>
      <c r="AW1066" s="11" t="str">
        <f>IF(AND(ISNUMBER(AV1066),ISNUMBER(AT1066)),IF(AT1066&lt;&gt;0,AV1066/ABS(AT1066),""),"")</f>
        <v/>
      </c>
      <c r="AX1066" s="8">
        <v>0</v>
      </c>
      <c r="AY1066" s="8">
        <v>1</v>
      </c>
      <c r="AZ1066" s="10"/>
      <c r="BA1066" s="8">
        <v>0</v>
      </c>
    </row>
    <row r="1067" spans="1:53" x14ac:dyDescent="0.2">
      <c r="A1067" s="8" t="s">
        <v>685</v>
      </c>
      <c r="B1067" s="8" t="s">
        <v>84</v>
      </c>
      <c r="C1067" s="8" t="s">
        <v>208</v>
      </c>
      <c r="D1067" s="8">
        <v>0</v>
      </c>
      <c r="E1067" s="8">
        <v>1</v>
      </c>
      <c r="F1067" s="8">
        <f>SUM(G1067:M1067)</f>
        <v>1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1</v>
      </c>
      <c r="N1067" s="8">
        <v>0</v>
      </c>
      <c r="O1067" s="8">
        <v>0</v>
      </c>
      <c r="P1067" s="8">
        <v>1</v>
      </c>
      <c r="Q1067" s="8">
        <v>0</v>
      </c>
      <c r="R1067" s="8">
        <v>0</v>
      </c>
      <c r="S1067" s="8">
        <v>0</v>
      </c>
      <c r="T1067" s="10"/>
      <c r="U1067" s="10">
        <v>-384.113</v>
      </c>
      <c r="V1067" s="10">
        <v>-103.99299999999999</v>
      </c>
      <c r="W1067" s="10" t="str">
        <f>IF(RIGHT(C1067,2)="12",IF(ISNUMBER(T1067),T1067,""),IF(COUNT(T1067,U1067,V1067)=3,T1067+U1067-V1067,""))</f>
        <v/>
      </c>
      <c r="X1067" s="10"/>
      <c r="Y1067" s="10">
        <v>43.508000000000003</v>
      </c>
      <c r="Z1067" s="10">
        <v>0.62</v>
      </c>
      <c r="AA1067" s="10">
        <v>-324.24900000000002</v>
      </c>
      <c r="AB1067" s="10"/>
      <c r="AC1067" s="8">
        <v>0</v>
      </c>
      <c r="AD1067" s="8">
        <v>0</v>
      </c>
      <c r="AE1067" s="8">
        <v>0</v>
      </c>
      <c r="AF1067" s="10">
        <v>0</v>
      </c>
      <c r="AG1067" s="8">
        <f>COUNTIF(Y1067:AB1067,"&gt;0")</f>
        <v>2</v>
      </c>
      <c r="AH1067" s="10">
        <v>0</v>
      </c>
      <c r="AI1067" s="10">
        <v>44.128</v>
      </c>
      <c r="AJ1067" s="8" t="str">
        <f>IF(ISNUMBER(X1067),IF(X1067&gt;0,"+",IF(X1067&lt;0,"−","0")),IF(ISNUMBER(W1067),IF(W1067&gt;0,"+",IF(W1067&lt;0,"−","0")),"yok"))</f>
        <v>yok</v>
      </c>
      <c r="AK1067" s="10">
        <f>IF(AND(RIGHT(C1067,2)&lt;&gt;"12",ISNUMBER(U1067),ISNUMBER(V1067)),U1067-V1067,"")</f>
        <v>-280.12</v>
      </c>
      <c r="AL1067" s="11">
        <f>IF(AND(ISNUMBER(AK1067),ISNUMBER(V1067)),IF(V1067&lt;&gt;0,AK1067/ABS(V1067),""),"")</f>
        <v>-2.6936428413450906</v>
      </c>
      <c r="AM1067" s="8">
        <f>IF(ISNUMBER(AK1067),IF(AK1067&gt;1,1,0),"")</f>
        <v>0</v>
      </c>
      <c r="AN1067" s="8">
        <f>IF(ISNUMBER(AK1067),IF(AK1067&gt;0.05*ABS(V1067),1,0),"")</f>
        <v>0</v>
      </c>
      <c r="AO1067" s="10"/>
      <c r="AP1067" s="10"/>
      <c r="AQ1067" s="10"/>
      <c r="AR1067" s="8">
        <v>0</v>
      </c>
      <c r="AS1067" s="10"/>
      <c r="AT1067" s="10"/>
      <c r="AU1067" s="10"/>
      <c r="AV1067" s="10">
        <v>43.508000000000003</v>
      </c>
      <c r="AW1067" s="11" t="str">
        <f>IF(AND(ISNUMBER(AV1067),ISNUMBER(AT1067)),IF(AT1067&lt;&gt;0,AV1067/ABS(AT1067),""),"")</f>
        <v/>
      </c>
      <c r="AX1067" s="8">
        <v>0</v>
      </c>
      <c r="AY1067" s="8">
        <v>0</v>
      </c>
      <c r="AZ1067" s="10"/>
      <c r="BA1067" s="8">
        <v>0</v>
      </c>
    </row>
    <row r="1068" spans="1:53" x14ac:dyDescent="0.2">
      <c r="A1068" s="8" t="s">
        <v>686</v>
      </c>
      <c r="B1068" s="8" t="s">
        <v>84</v>
      </c>
      <c r="C1068" s="8" t="s">
        <v>205</v>
      </c>
      <c r="D1068" s="8">
        <v>0</v>
      </c>
      <c r="E1068" s="8">
        <v>1</v>
      </c>
      <c r="F1068" s="8">
        <f>SUM(G1068:M1068)</f>
        <v>1</v>
      </c>
      <c r="G1068" s="8">
        <v>0</v>
      </c>
      <c r="H1068" s="8">
        <v>0</v>
      </c>
      <c r="I1068" s="8">
        <v>0</v>
      </c>
      <c r="J1068" s="8">
        <v>0</v>
      </c>
      <c r="K1068" s="8">
        <v>1</v>
      </c>
      <c r="L1068" s="8">
        <v>0</v>
      </c>
      <c r="M1068" s="8">
        <v>0</v>
      </c>
      <c r="N1068" s="8">
        <v>0</v>
      </c>
      <c r="O1068" s="8">
        <v>1</v>
      </c>
      <c r="P1068" s="8">
        <v>1</v>
      </c>
      <c r="Q1068" s="8">
        <v>0</v>
      </c>
      <c r="R1068" s="8">
        <v>0</v>
      </c>
      <c r="S1068" s="8">
        <v>1</v>
      </c>
      <c r="T1068" s="10">
        <v>15.651</v>
      </c>
      <c r="U1068" s="10">
        <v>-446.423</v>
      </c>
      <c r="V1068" s="10">
        <v>0</v>
      </c>
      <c r="W1068" s="10">
        <f>IF(RIGHT(C1068,2)="12",IF(ISNUMBER(T1068),T1068,""),IF(COUNT(T1068,U1068,V1068)=3,T1068+U1068-V1068,""))</f>
        <v>-430.77199999999999</v>
      </c>
      <c r="X1068" s="10">
        <v>-430.77100000000002</v>
      </c>
      <c r="Y1068" s="10">
        <v>-450.697</v>
      </c>
      <c r="Z1068" s="10">
        <v>4.2729999999999997</v>
      </c>
      <c r="AA1068" s="10">
        <v>-121.31399999999999</v>
      </c>
      <c r="AB1068" s="10">
        <v>136.96600000000001</v>
      </c>
      <c r="AC1068" s="8">
        <v>1</v>
      </c>
      <c r="AD1068" s="8">
        <v>0</v>
      </c>
      <c r="AE1068" s="8">
        <v>0</v>
      </c>
      <c r="AF1068" s="10">
        <v>15.651</v>
      </c>
      <c r="AG1068" s="8">
        <f>COUNTIF(Y1068:AB1068,"&gt;0")</f>
        <v>2</v>
      </c>
      <c r="AH1068" s="10">
        <v>136.96600000000001</v>
      </c>
      <c r="AI1068" s="10">
        <v>4.2729999999999997</v>
      </c>
      <c r="AJ1068" s="8" t="str">
        <f>IF(ISNUMBER(X1068),IF(X1068&gt;0,"+",IF(X1068&lt;0,"−","0")),IF(ISNUMBER(W1068),IF(W1068&gt;0,"+",IF(W1068&lt;0,"−","0")),"yok"))</f>
        <v>−</v>
      </c>
      <c r="AK1068" s="10">
        <f>IF(AND(RIGHT(C1068,2)&lt;&gt;"12",ISNUMBER(U1068),ISNUMBER(V1068)),U1068-V1068,"")</f>
        <v>-446.423</v>
      </c>
      <c r="AL1068" s="11" t="str">
        <f>IF(AND(ISNUMBER(AK1068),ISNUMBER(V1068)),IF(V1068&lt;&gt;0,AK1068/ABS(V1068),""),"")</f>
        <v/>
      </c>
      <c r="AM1068" s="8">
        <f>IF(ISNUMBER(AK1068),IF(AK1068&gt;1,1,0),"")</f>
        <v>0</v>
      </c>
      <c r="AN1068" s="8">
        <f>IF(ISNUMBER(AK1068),IF(AK1068&gt;0.05*ABS(V1068),1,0),"")</f>
        <v>0</v>
      </c>
      <c r="AO1068" s="10"/>
      <c r="AP1068" s="10"/>
      <c r="AQ1068" s="10"/>
      <c r="AR1068" s="8">
        <v>0</v>
      </c>
      <c r="AS1068" s="10"/>
      <c r="AT1068" s="10"/>
      <c r="AU1068" s="10"/>
      <c r="AV1068" s="10">
        <v>15.651</v>
      </c>
      <c r="AW1068" s="11" t="str">
        <f>IF(AND(ISNUMBER(AV1068),ISNUMBER(AT1068)),IF(AT1068&lt;&gt;0,AV1068/ABS(AT1068),""),"")</f>
        <v/>
      </c>
      <c r="AX1068" s="8">
        <v>1</v>
      </c>
      <c r="AY1068" s="8">
        <v>0</v>
      </c>
      <c r="AZ1068" s="8" t="s">
        <v>687</v>
      </c>
      <c r="BA1068" s="8">
        <v>0</v>
      </c>
    </row>
    <row r="1069" spans="1:53" x14ac:dyDescent="0.2">
      <c r="A1069" s="8" t="s">
        <v>686</v>
      </c>
      <c r="B1069" s="8" t="s">
        <v>84</v>
      </c>
      <c r="C1069" s="8" t="s">
        <v>208</v>
      </c>
      <c r="D1069" s="8">
        <v>0</v>
      </c>
      <c r="E1069" s="8">
        <v>1</v>
      </c>
      <c r="F1069" s="8">
        <f>SUM(G1069:M1069)</f>
        <v>1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1</v>
      </c>
      <c r="N1069" s="8">
        <v>0</v>
      </c>
      <c r="O1069" s="8">
        <v>0</v>
      </c>
      <c r="P1069" s="8">
        <v>1</v>
      </c>
      <c r="Q1069" s="8">
        <v>0</v>
      </c>
      <c r="R1069" s="8">
        <v>0</v>
      </c>
      <c r="S1069" s="8">
        <v>0</v>
      </c>
      <c r="T1069" s="10">
        <v>-36.671999999999997</v>
      </c>
      <c r="U1069" s="10"/>
      <c r="V1069" s="10">
        <v>-121.31399999999999</v>
      </c>
      <c r="W1069" s="10" t="str">
        <f>IF(RIGHT(C1069,2)="12",IF(ISNUMBER(T1069),T1069,""),IF(COUNT(T1069,U1069,V1069)=3,T1069+U1069-V1069,""))</f>
        <v/>
      </c>
      <c r="X1069" s="10"/>
      <c r="Y1069" s="10">
        <v>136.96600000000001</v>
      </c>
      <c r="Z1069" s="10">
        <v>-336.07799999999997</v>
      </c>
      <c r="AA1069" s="10"/>
      <c r="AB1069" s="10">
        <v>-36.671999999999997</v>
      </c>
      <c r="AC1069" s="8">
        <v>0</v>
      </c>
      <c r="AD1069" s="8">
        <v>0</v>
      </c>
      <c r="AE1069" s="8">
        <v>0</v>
      </c>
      <c r="AF1069" s="10">
        <v>0</v>
      </c>
      <c r="AG1069" s="8">
        <f>COUNTIF(Y1069:AB1069,"&gt;0")</f>
        <v>1</v>
      </c>
      <c r="AH1069" s="10">
        <v>0</v>
      </c>
      <c r="AI1069" s="10">
        <v>136.96600000000001</v>
      </c>
      <c r="AJ1069" s="8" t="str">
        <f>IF(ISNUMBER(X1069),IF(X1069&gt;0,"+",IF(X1069&lt;0,"−","0")),IF(ISNUMBER(W1069),IF(W1069&gt;0,"+",IF(W1069&lt;0,"−","0")),"yok"))</f>
        <v>yok</v>
      </c>
      <c r="AK1069" s="10" t="str">
        <f>IF(AND(RIGHT(C1069,2)&lt;&gt;"12",ISNUMBER(U1069),ISNUMBER(V1069)),U1069-V1069,"")</f>
        <v/>
      </c>
      <c r="AL1069" s="11" t="str">
        <f>IF(AND(ISNUMBER(AK1069),ISNUMBER(V1069)),IF(V1069&lt;&gt;0,AK1069/ABS(V1069),""),"")</f>
        <v/>
      </c>
      <c r="AM1069" s="8" t="str">
        <f>IF(ISNUMBER(AK1069),IF(AK1069&gt;1,1,0),"")</f>
        <v/>
      </c>
      <c r="AN1069" s="8" t="str">
        <f>IF(ISNUMBER(AK1069),IF(AK1069&gt;0.05*ABS(V1069),1,0),"")</f>
        <v/>
      </c>
      <c r="AO1069" s="10"/>
      <c r="AP1069" s="10"/>
      <c r="AQ1069" s="10"/>
      <c r="AR1069" s="8">
        <v>0</v>
      </c>
      <c r="AS1069" s="10"/>
      <c r="AT1069" s="10"/>
      <c r="AU1069" s="10"/>
      <c r="AV1069" s="10">
        <v>136.96600000000001</v>
      </c>
      <c r="AW1069" s="11" t="str">
        <f>IF(AND(ISNUMBER(AV1069),ISNUMBER(AT1069)),IF(AT1069&lt;&gt;0,AV1069/ABS(AT1069),""),"")</f>
        <v/>
      </c>
      <c r="AX1069" s="8">
        <v>0</v>
      </c>
      <c r="AY1069" s="8">
        <v>0</v>
      </c>
      <c r="AZ1069" s="10"/>
      <c r="BA1069" s="8">
        <v>0</v>
      </c>
    </row>
    <row r="1070" spans="1:53" x14ac:dyDescent="0.2">
      <c r="A1070" s="8" t="s">
        <v>688</v>
      </c>
      <c r="B1070" s="8" t="s">
        <v>83</v>
      </c>
      <c r="C1070" s="8" t="s">
        <v>203</v>
      </c>
      <c r="D1070" s="8">
        <v>0</v>
      </c>
      <c r="E1070" s="8">
        <v>1</v>
      </c>
      <c r="F1070" s="8">
        <f>SUM(G1070:M1070)</f>
        <v>1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1</v>
      </c>
      <c r="N1070" s="8">
        <v>0</v>
      </c>
      <c r="O1070" s="8">
        <v>0</v>
      </c>
      <c r="P1070" s="8">
        <v>1</v>
      </c>
      <c r="Q1070" s="8">
        <v>0</v>
      </c>
      <c r="R1070" s="8">
        <v>0</v>
      </c>
      <c r="S1070" s="8">
        <v>0</v>
      </c>
      <c r="T1070" s="10">
        <v>-2253.1379999999999</v>
      </c>
      <c r="U1070" s="10">
        <v>-5570.5879999999997</v>
      </c>
      <c r="V1070" s="10">
        <v>-409.31200000000001</v>
      </c>
      <c r="W1070" s="10">
        <f>IF(RIGHT(C1070,2)="12",IF(ISNUMBER(T1070),T1070,""),IF(COUNT(T1070,U1070,V1070)=3,T1070+U1070-V1070,""))</f>
        <v>-7414.4139999999998</v>
      </c>
      <c r="X1070" s="10">
        <v>-7414.4139999999998</v>
      </c>
      <c r="Y1070" s="10">
        <v>2879.2190000000001</v>
      </c>
      <c r="Z1070" s="10">
        <v>-5745.1270000000004</v>
      </c>
      <c r="AA1070" s="10">
        <v>-2295.3679999999999</v>
      </c>
      <c r="AB1070" s="10">
        <v>-2253.1379999999999</v>
      </c>
      <c r="AC1070" s="8">
        <v>0</v>
      </c>
      <c r="AD1070" s="8">
        <v>0</v>
      </c>
      <c r="AE1070" s="8">
        <v>0</v>
      </c>
      <c r="AF1070" s="10">
        <v>0</v>
      </c>
      <c r="AG1070" s="8">
        <f>COUNTIF(Y1070:AB1070,"&gt;0")</f>
        <v>1</v>
      </c>
      <c r="AH1070" s="10">
        <v>0</v>
      </c>
      <c r="AI1070" s="10">
        <v>2879.2190000000001</v>
      </c>
      <c r="AJ1070" s="8" t="str">
        <f>IF(ISNUMBER(X1070),IF(X1070&gt;0,"+",IF(X1070&lt;0,"−","0")),IF(ISNUMBER(W1070),IF(W1070&gt;0,"+",IF(W1070&lt;0,"−","0")),"yok"))</f>
        <v>−</v>
      </c>
      <c r="AK1070" s="10">
        <f>IF(AND(RIGHT(C1070,2)&lt;&gt;"12",ISNUMBER(U1070),ISNUMBER(V1070)),U1070-V1070,"")</f>
        <v>-5161.2759999999998</v>
      </c>
      <c r="AL1070" s="11">
        <f>IF(AND(ISNUMBER(AK1070),ISNUMBER(V1070)),IF(V1070&lt;&gt;0,AK1070/ABS(V1070),""),"")</f>
        <v>-12.609637635837698</v>
      </c>
      <c r="AM1070" s="8">
        <f>IF(ISNUMBER(AK1070),IF(AK1070&gt;1,1,0),"")</f>
        <v>0</v>
      </c>
      <c r="AN1070" s="8">
        <f>IF(ISNUMBER(AK1070),IF(AK1070&gt;0.05*ABS(V1070),1,0),"")</f>
        <v>0</v>
      </c>
      <c r="AO1070" s="10"/>
      <c r="AP1070" s="10"/>
      <c r="AQ1070" s="10"/>
      <c r="AR1070" s="8">
        <v>0</v>
      </c>
      <c r="AS1070" s="10"/>
      <c r="AT1070" s="10"/>
      <c r="AU1070" s="10"/>
      <c r="AV1070" s="10">
        <v>2879.2190000000001</v>
      </c>
      <c r="AW1070" s="11" t="str">
        <f>IF(AND(ISNUMBER(AV1070),ISNUMBER(AT1070)),IF(AT1070&lt;&gt;0,AV1070/ABS(AT1070),""),"")</f>
        <v/>
      </c>
      <c r="AX1070" s="8">
        <v>0</v>
      </c>
      <c r="AY1070" s="8">
        <v>0</v>
      </c>
      <c r="AZ1070" s="10"/>
      <c r="BA1070" s="8">
        <v>0</v>
      </c>
    </row>
    <row r="1071" spans="1:53" x14ac:dyDescent="0.2">
      <c r="A1071" s="8" t="s">
        <v>688</v>
      </c>
      <c r="B1071" s="8" t="s">
        <v>83</v>
      </c>
      <c r="C1071" s="8" t="s">
        <v>205</v>
      </c>
      <c r="D1071" s="8">
        <v>0</v>
      </c>
      <c r="E1071" s="8">
        <v>1</v>
      </c>
      <c r="F1071" s="8">
        <f>SUM(G1071:M1071)</f>
        <v>1</v>
      </c>
      <c r="G1071" s="8">
        <v>0</v>
      </c>
      <c r="H1071" s="8">
        <v>0</v>
      </c>
      <c r="I1071" s="8">
        <v>0</v>
      </c>
      <c r="J1071" s="8">
        <v>0</v>
      </c>
      <c r="K1071" s="8">
        <v>1</v>
      </c>
      <c r="L1071" s="8">
        <v>0</v>
      </c>
      <c r="M1071" s="8">
        <v>0</v>
      </c>
      <c r="N1071" s="8">
        <v>0</v>
      </c>
      <c r="O1071" s="8">
        <v>1</v>
      </c>
      <c r="P1071" s="8">
        <v>0</v>
      </c>
      <c r="Q1071" s="8">
        <v>0</v>
      </c>
      <c r="R1071" s="8">
        <v>0</v>
      </c>
      <c r="S1071" s="8">
        <v>0</v>
      </c>
      <c r="T1071" s="10">
        <v>-6814.8459999999995</v>
      </c>
      <c r="U1071" s="10">
        <v>-5570.5879999999997</v>
      </c>
      <c r="V1071" s="10">
        <v>2469.9070000000002</v>
      </c>
      <c r="W1071" s="10">
        <f>IF(RIGHT(C1071,2)="12",IF(ISNUMBER(T1071),T1071,""),IF(COUNT(T1071,U1071,V1071)=3,T1071+U1071-V1071,""))</f>
        <v>-14855.341</v>
      </c>
      <c r="X1071" s="10">
        <v>-14855.342000000001</v>
      </c>
      <c r="Y1071" s="10">
        <v>-5745.1270000000004</v>
      </c>
      <c r="Z1071" s="10">
        <v>-2295.3679999999999</v>
      </c>
      <c r="AA1071" s="10">
        <v>-2253.1379999999999</v>
      </c>
      <c r="AB1071" s="10">
        <v>-4561.7070000000003</v>
      </c>
      <c r="AC1071" s="8">
        <v>0</v>
      </c>
      <c r="AD1071" s="8">
        <v>0</v>
      </c>
      <c r="AE1071" s="8">
        <v>1</v>
      </c>
      <c r="AF1071" s="10">
        <v>2469.9070000000002</v>
      </c>
      <c r="AG1071" s="8">
        <f>COUNTIF(Y1071:AB1071,"&gt;0")</f>
        <v>0</v>
      </c>
      <c r="AH1071" s="10">
        <v>0</v>
      </c>
      <c r="AI1071" s="10">
        <v>0</v>
      </c>
      <c r="AJ1071" s="8" t="str">
        <f>IF(ISNUMBER(X1071),IF(X1071&gt;0,"+",IF(X1071&lt;0,"−","0")),IF(ISNUMBER(W1071),IF(W1071&gt;0,"+",IF(W1071&lt;0,"−","0")),"yok"))</f>
        <v>−</v>
      </c>
      <c r="AK1071" s="10">
        <f>IF(AND(RIGHT(C1071,2)&lt;&gt;"12",ISNUMBER(U1071),ISNUMBER(V1071)),U1071-V1071,"")</f>
        <v>-8040.4949999999999</v>
      </c>
      <c r="AL1071" s="11">
        <f>IF(AND(ISNUMBER(AK1071),ISNUMBER(V1071)),IF(V1071&lt;&gt;0,AK1071/ABS(V1071),""),"")</f>
        <v>-3.2553837047305829</v>
      </c>
      <c r="AM1071" s="8">
        <f>IF(ISNUMBER(AK1071),IF(AK1071&gt;1,1,0),"")</f>
        <v>0</v>
      </c>
      <c r="AN1071" s="8">
        <f>IF(ISNUMBER(AK1071),IF(AK1071&gt;0.05*ABS(V1071),1,0),"")</f>
        <v>0</v>
      </c>
      <c r="AO1071" s="10"/>
      <c r="AP1071" s="10"/>
      <c r="AQ1071" s="10"/>
      <c r="AR1071" s="8">
        <v>0</v>
      </c>
      <c r="AS1071" s="10"/>
      <c r="AT1071" s="10"/>
      <c r="AU1071" s="10"/>
      <c r="AV1071" s="10">
        <v>2469.9070000000002</v>
      </c>
      <c r="AW1071" s="11" t="str">
        <f>IF(AND(ISNUMBER(AV1071),ISNUMBER(AT1071)),IF(AT1071&lt;&gt;0,AV1071/ABS(AT1071),""),"")</f>
        <v/>
      </c>
      <c r="AX1071" s="8">
        <v>1</v>
      </c>
      <c r="AY1071" s="8">
        <v>0</v>
      </c>
      <c r="AZ1071" s="8" t="s">
        <v>689</v>
      </c>
      <c r="BA1071" s="8">
        <v>0</v>
      </c>
    </row>
    <row r="1072" spans="1:53" x14ac:dyDescent="0.2">
      <c r="A1072" s="8" t="s">
        <v>688</v>
      </c>
      <c r="B1072" s="8" t="s">
        <v>83</v>
      </c>
      <c r="C1072" s="8" t="s">
        <v>208</v>
      </c>
      <c r="D1072" s="8">
        <v>0</v>
      </c>
      <c r="E1072" s="8">
        <v>1</v>
      </c>
      <c r="F1072" s="8">
        <f>SUM(G1072:M1072)</f>
        <v>1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1</v>
      </c>
      <c r="N1072" s="8">
        <v>0</v>
      </c>
      <c r="O1072" s="8">
        <v>0</v>
      </c>
      <c r="P1072" s="8">
        <v>1</v>
      </c>
      <c r="Q1072" s="8">
        <v>0</v>
      </c>
      <c r="R1072" s="8">
        <v>0</v>
      </c>
      <c r="S1072" s="8">
        <v>0</v>
      </c>
      <c r="T1072" s="10">
        <v>-619.09100000000001</v>
      </c>
      <c r="U1072" s="10">
        <v>-5347.2749999999996</v>
      </c>
      <c r="V1072" s="10">
        <v>-2253.1379999999999</v>
      </c>
      <c r="W1072" s="10">
        <f>IF(RIGHT(C1072,2)="12",IF(ISNUMBER(T1072),T1072,""),IF(COUNT(T1072,U1072,V1072)=3,T1072+U1072-V1072,""))</f>
        <v>-3713.2280000000001</v>
      </c>
      <c r="X1072" s="10">
        <v>-3713.2280000000001</v>
      </c>
      <c r="Y1072" s="10">
        <v>-4561.7070000000003</v>
      </c>
      <c r="Z1072" s="10">
        <v>1868.549</v>
      </c>
      <c r="AA1072" s="10">
        <v>-400.97800000000001</v>
      </c>
      <c r="AB1072" s="10">
        <v>-619.09100000000001</v>
      </c>
      <c r="AC1072" s="8">
        <v>0</v>
      </c>
      <c r="AD1072" s="8">
        <v>0</v>
      </c>
      <c r="AE1072" s="8">
        <v>0</v>
      </c>
      <c r="AF1072" s="10">
        <v>0</v>
      </c>
      <c r="AG1072" s="8">
        <f>COUNTIF(Y1072:AB1072,"&gt;0")</f>
        <v>1</v>
      </c>
      <c r="AH1072" s="10">
        <v>0</v>
      </c>
      <c r="AI1072" s="10">
        <v>1868.549</v>
      </c>
      <c r="AJ1072" s="8" t="str">
        <f>IF(ISNUMBER(X1072),IF(X1072&gt;0,"+",IF(X1072&lt;0,"−","0")),IF(ISNUMBER(W1072),IF(W1072&gt;0,"+",IF(W1072&lt;0,"−","0")),"yok"))</f>
        <v>−</v>
      </c>
      <c r="AK1072" s="10">
        <f>IF(AND(RIGHT(C1072,2)&lt;&gt;"12",ISNUMBER(U1072),ISNUMBER(V1072)),U1072-V1072,"")</f>
        <v>-3094.1369999999997</v>
      </c>
      <c r="AL1072" s="11">
        <f>IF(AND(ISNUMBER(AK1072),ISNUMBER(V1072)),IF(V1072&lt;&gt;0,AK1072/ABS(V1072),""),"")</f>
        <v>-1.3732567645656857</v>
      </c>
      <c r="AM1072" s="8">
        <f>IF(ISNUMBER(AK1072),IF(AK1072&gt;1,1,0),"")</f>
        <v>0</v>
      </c>
      <c r="AN1072" s="8">
        <f>IF(ISNUMBER(AK1072),IF(AK1072&gt;0.05*ABS(V1072),1,0),"")</f>
        <v>0</v>
      </c>
      <c r="AO1072" s="10"/>
      <c r="AP1072" s="10"/>
      <c r="AQ1072" s="10"/>
      <c r="AR1072" s="8">
        <v>0</v>
      </c>
      <c r="AS1072" s="10"/>
      <c r="AT1072" s="10"/>
      <c r="AU1072" s="10"/>
      <c r="AV1072" s="10">
        <v>1868.549</v>
      </c>
      <c r="AW1072" s="11" t="str">
        <f>IF(AND(ISNUMBER(AV1072),ISNUMBER(AT1072)),IF(AT1072&lt;&gt;0,AV1072/ABS(AT1072),""),"")</f>
        <v/>
      </c>
      <c r="AX1072" s="8">
        <v>0</v>
      </c>
      <c r="AY1072" s="8">
        <v>0</v>
      </c>
      <c r="AZ1072" s="10"/>
      <c r="BA1072" s="8">
        <v>0</v>
      </c>
    </row>
    <row r="1073" spans="1:53" x14ac:dyDescent="0.2">
      <c r="A1073" s="8" t="s">
        <v>688</v>
      </c>
      <c r="B1073" s="8" t="s">
        <v>83</v>
      </c>
      <c r="C1073" s="8" t="s">
        <v>210</v>
      </c>
      <c r="D1073" s="8">
        <v>0</v>
      </c>
      <c r="E1073" s="8">
        <v>1</v>
      </c>
      <c r="F1073" s="8">
        <f>SUM(G1073:M1073)</f>
        <v>2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1</v>
      </c>
      <c r="M1073" s="8">
        <v>1</v>
      </c>
      <c r="N1073" s="8">
        <v>1</v>
      </c>
      <c r="O1073" s="8">
        <v>0</v>
      </c>
      <c r="P1073" s="8">
        <v>1</v>
      </c>
      <c r="Q1073" s="8">
        <v>0</v>
      </c>
      <c r="R1073" s="8">
        <v>0</v>
      </c>
      <c r="S1073" s="8">
        <v>1</v>
      </c>
      <c r="T1073" s="10">
        <v>-566.29100000000005</v>
      </c>
      <c r="U1073" s="10">
        <v>-5347.2749999999996</v>
      </c>
      <c r="V1073" s="10">
        <v>-6814.8459999999995</v>
      </c>
      <c r="W1073" s="10">
        <f>IF(RIGHT(C1073,2)="12",IF(ISNUMBER(T1073),T1073,""),IF(COUNT(T1073,U1073,V1073)=3,T1073+U1073-V1073,""))</f>
        <v>901.27999999999975</v>
      </c>
      <c r="X1073" s="10">
        <v>901.279</v>
      </c>
      <c r="Y1073" s="10">
        <v>1868.549</v>
      </c>
      <c r="Z1073" s="10">
        <v>-400.97800000000001</v>
      </c>
      <c r="AA1073" s="10">
        <v>-619.09100000000001</v>
      </c>
      <c r="AB1073" s="10">
        <v>52.8</v>
      </c>
      <c r="AC1073" s="8">
        <v>0</v>
      </c>
      <c r="AD1073" s="8">
        <v>0</v>
      </c>
      <c r="AE1073" s="8">
        <v>0</v>
      </c>
      <c r="AF1073" s="10">
        <v>0</v>
      </c>
      <c r="AG1073" s="8">
        <f>COUNTIF(Y1073:AB1073,"&gt;0")</f>
        <v>2</v>
      </c>
      <c r="AH1073" s="10">
        <v>52.8</v>
      </c>
      <c r="AI1073" s="10">
        <v>1868.549</v>
      </c>
      <c r="AJ1073" s="8" t="str">
        <f>IF(ISNUMBER(X1073),IF(X1073&gt;0,"+",IF(X1073&lt;0,"−","0")),IF(ISNUMBER(W1073),IF(W1073&gt;0,"+",IF(W1073&lt;0,"−","0")),"yok"))</f>
        <v>+</v>
      </c>
      <c r="AK1073" s="10">
        <f>IF(AND(RIGHT(C1073,2)&lt;&gt;"12",ISNUMBER(U1073),ISNUMBER(V1073)),U1073-V1073,"")</f>
        <v>1467.5709999999999</v>
      </c>
      <c r="AL1073" s="11">
        <f>IF(AND(ISNUMBER(AK1073),ISNUMBER(V1073)),IF(V1073&lt;&gt;0,AK1073/ABS(V1073),""),"")</f>
        <v>0.21534910693506501</v>
      </c>
      <c r="AM1073" s="8">
        <f>IF(ISNUMBER(AK1073),IF(AK1073&gt;1,1,0),"")</f>
        <v>1</v>
      </c>
      <c r="AN1073" s="8">
        <f>IF(ISNUMBER(AK1073),IF(AK1073&gt;0.05*ABS(V1073),1,0),"")</f>
        <v>1</v>
      </c>
      <c r="AO1073" s="10"/>
      <c r="AP1073" s="10"/>
      <c r="AQ1073" s="10"/>
      <c r="AR1073" s="8">
        <v>0</v>
      </c>
      <c r="AS1073" s="10"/>
      <c r="AT1073" s="10"/>
      <c r="AU1073" s="10"/>
      <c r="AV1073" s="10">
        <v>1467.5709999999999</v>
      </c>
      <c r="AW1073" s="11" t="str">
        <f>IF(AND(ISNUMBER(AV1073),ISNUMBER(AT1073)),IF(AT1073&lt;&gt;0,AV1073/ABS(AT1073),""),"")</f>
        <v/>
      </c>
      <c r="AX1073" s="8">
        <v>0</v>
      </c>
      <c r="AY1073" s="8">
        <v>1</v>
      </c>
      <c r="AZ1073" s="10"/>
      <c r="BA1073" s="8">
        <v>0</v>
      </c>
    </row>
    <row r="1074" spans="1:53" x14ac:dyDescent="0.2">
      <c r="A1074" s="8" t="s">
        <v>690</v>
      </c>
      <c r="B1074" s="8" t="s">
        <v>84</v>
      </c>
      <c r="C1074" s="8" t="s">
        <v>215</v>
      </c>
      <c r="D1074" s="8">
        <v>0</v>
      </c>
      <c r="E1074" s="8">
        <v>1</v>
      </c>
      <c r="F1074" s="8">
        <f>SUM(G1074:M1074)</f>
        <v>1</v>
      </c>
      <c r="G1074" s="8">
        <v>0</v>
      </c>
      <c r="H1074" s="8">
        <v>0</v>
      </c>
      <c r="I1074" s="8">
        <v>0</v>
      </c>
      <c r="J1074" s="8">
        <v>0</v>
      </c>
      <c r="K1074" s="8">
        <v>1</v>
      </c>
      <c r="L1074" s="8">
        <v>0</v>
      </c>
      <c r="M1074" s="8">
        <v>0</v>
      </c>
      <c r="N1074" s="8">
        <v>0</v>
      </c>
      <c r="O1074" s="8">
        <v>1</v>
      </c>
      <c r="P1074" s="8">
        <v>1</v>
      </c>
      <c r="Q1074" s="8">
        <v>0</v>
      </c>
      <c r="R1074" s="8">
        <v>0</v>
      </c>
      <c r="S1074" s="8">
        <v>1</v>
      </c>
      <c r="T1074" s="10">
        <v>415.02600000000001</v>
      </c>
      <c r="U1074" s="10">
        <v>-517.90499999999997</v>
      </c>
      <c r="V1074" s="10">
        <v>291.11200000000002</v>
      </c>
      <c r="W1074" s="10">
        <f>IF(RIGHT(C1074,2)="12",IF(ISNUMBER(T1074),T1074,""),IF(COUNT(T1074,U1074,V1074)=3,T1074+U1074-V1074,""))</f>
        <v>-393.99099999999999</v>
      </c>
      <c r="X1074" s="10">
        <v>-393.99</v>
      </c>
      <c r="Y1074" s="10">
        <v>-809.01700000000005</v>
      </c>
      <c r="Z1074" s="10">
        <v>0</v>
      </c>
      <c r="AA1074" s="10">
        <v>-117.33</v>
      </c>
      <c r="AB1074" s="10">
        <v>532.35599999999999</v>
      </c>
      <c r="AC1074" s="8">
        <v>1</v>
      </c>
      <c r="AD1074" s="8">
        <v>0</v>
      </c>
      <c r="AE1074" s="8">
        <v>1</v>
      </c>
      <c r="AF1074" s="10">
        <v>415.02600000000001</v>
      </c>
      <c r="AG1074" s="8">
        <f>COUNTIF(Y1074:AB1074,"&gt;0")</f>
        <v>1</v>
      </c>
      <c r="AH1074" s="10">
        <v>532.35599999999999</v>
      </c>
      <c r="AI1074" s="10">
        <v>0</v>
      </c>
      <c r="AJ1074" s="8" t="str">
        <f>IF(ISNUMBER(X1074),IF(X1074&gt;0,"+",IF(X1074&lt;0,"−","0")),IF(ISNUMBER(W1074),IF(W1074&gt;0,"+",IF(W1074&lt;0,"−","0")),"yok"))</f>
        <v>−</v>
      </c>
      <c r="AK1074" s="10">
        <f>IF(AND(RIGHT(C1074,2)&lt;&gt;"12",ISNUMBER(U1074),ISNUMBER(V1074)),U1074-V1074,"")</f>
        <v>-809.01700000000005</v>
      </c>
      <c r="AL1074" s="11">
        <f>IF(AND(ISNUMBER(AK1074),ISNUMBER(V1074)),IF(V1074&lt;&gt;0,AK1074/ABS(V1074),""),"")</f>
        <v>-2.7790575448624586</v>
      </c>
      <c r="AM1074" s="8">
        <f>IF(ISNUMBER(AK1074),IF(AK1074&gt;1,1,0),"")</f>
        <v>0</v>
      </c>
      <c r="AN1074" s="8">
        <f>IF(ISNUMBER(AK1074),IF(AK1074&gt;0.05*ABS(V1074),1,0),"")</f>
        <v>0</v>
      </c>
      <c r="AO1074" s="10"/>
      <c r="AP1074" s="10"/>
      <c r="AQ1074" s="10"/>
      <c r="AR1074" s="8">
        <v>0</v>
      </c>
      <c r="AS1074" s="10"/>
      <c r="AT1074" s="10"/>
      <c r="AU1074" s="10"/>
      <c r="AV1074" s="10">
        <v>415.02600000000001</v>
      </c>
      <c r="AW1074" s="11" t="str">
        <f>IF(AND(ISNUMBER(AV1074),ISNUMBER(AT1074)),IF(AT1074&lt;&gt;0,AV1074/ABS(AT1074),""),"")</f>
        <v/>
      </c>
      <c r="AX1074" s="8">
        <v>1</v>
      </c>
      <c r="AY1074" s="8">
        <v>0</v>
      </c>
      <c r="AZ1074" s="8" t="s">
        <v>691</v>
      </c>
      <c r="BA1074" s="8">
        <v>0</v>
      </c>
    </row>
    <row r="1075" spans="1:53" x14ac:dyDescent="0.2">
      <c r="A1075" s="8" t="s">
        <v>690</v>
      </c>
      <c r="B1075" s="8" t="s">
        <v>84</v>
      </c>
      <c r="C1075" s="8" t="s">
        <v>208</v>
      </c>
      <c r="D1075" s="8">
        <v>0</v>
      </c>
      <c r="E1075" s="8">
        <v>1</v>
      </c>
      <c r="F1075" s="8">
        <f>SUM(G1075:M1075)</f>
        <v>1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  <c r="M1075" s="8">
        <v>1</v>
      </c>
      <c r="N1075" s="8">
        <v>0</v>
      </c>
      <c r="O1075" s="8">
        <v>0</v>
      </c>
      <c r="P1075" s="8">
        <v>1</v>
      </c>
      <c r="Q1075" s="8">
        <v>0</v>
      </c>
      <c r="R1075" s="8">
        <v>0</v>
      </c>
      <c r="S1075" s="8">
        <v>0</v>
      </c>
      <c r="T1075" s="10">
        <v>-52.890999999999998</v>
      </c>
      <c r="U1075" s="10">
        <v>-527.28200000000004</v>
      </c>
      <c r="V1075" s="10">
        <v>0</v>
      </c>
      <c r="W1075" s="10">
        <f>IF(RIGHT(C1075,2)="12",IF(ISNUMBER(T1075),T1075,""),IF(COUNT(T1075,U1075,V1075)=3,T1075+U1075-V1075,""))</f>
        <v>-580.173</v>
      </c>
      <c r="X1075" s="10">
        <v>-580.17399999999998</v>
      </c>
      <c r="Y1075" s="10">
        <v>-117.33</v>
      </c>
      <c r="Z1075" s="10">
        <v>532.35599999999999</v>
      </c>
      <c r="AA1075" s="10">
        <v>-942.30899999999997</v>
      </c>
      <c r="AB1075" s="10">
        <v>-52.890999999999998</v>
      </c>
      <c r="AC1075" s="8">
        <v>0</v>
      </c>
      <c r="AD1075" s="8">
        <v>0</v>
      </c>
      <c r="AE1075" s="8">
        <v>0</v>
      </c>
      <c r="AF1075" s="10">
        <v>0</v>
      </c>
      <c r="AG1075" s="8">
        <f>COUNTIF(Y1075:AB1075,"&gt;0")</f>
        <v>1</v>
      </c>
      <c r="AH1075" s="10">
        <v>0</v>
      </c>
      <c r="AI1075" s="10">
        <v>532.35599999999999</v>
      </c>
      <c r="AJ1075" s="8" t="str">
        <f>IF(ISNUMBER(X1075),IF(X1075&gt;0,"+",IF(X1075&lt;0,"−","0")),IF(ISNUMBER(W1075),IF(W1075&gt;0,"+",IF(W1075&lt;0,"−","0")),"yok"))</f>
        <v>−</v>
      </c>
      <c r="AK1075" s="10">
        <f>IF(AND(RIGHT(C1075,2)&lt;&gt;"12",ISNUMBER(U1075),ISNUMBER(V1075)),U1075-V1075,"")</f>
        <v>-527.28200000000004</v>
      </c>
      <c r="AL1075" s="11" t="str">
        <f>IF(AND(ISNUMBER(AK1075),ISNUMBER(V1075)),IF(V1075&lt;&gt;0,AK1075/ABS(V1075),""),"")</f>
        <v/>
      </c>
      <c r="AM1075" s="8">
        <f>IF(ISNUMBER(AK1075),IF(AK1075&gt;1,1,0),"")</f>
        <v>0</v>
      </c>
      <c r="AN1075" s="8">
        <f>IF(ISNUMBER(AK1075),IF(AK1075&gt;0.05*ABS(V1075),1,0),"")</f>
        <v>0</v>
      </c>
      <c r="AO1075" s="10"/>
      <c r="AP1075" s="10"/>
      <c r="AQ1075" s="10"/>
      <c r="AR1075" s="8">
        <v>0</v>
      </c>
      <c r="AS1075" s="10"/>
      <c r="AT1075" s="10"/>
      <c r="AU1075" s="10"/>
      <c r="AV1075" s="10">
        <v>532.35599999999999</v>
      </c>
      <c r="AW1075" s="11" t="str">
        <f>IF(AND(ISNUMBER(AV1075),ISNUMBER(AT1075)),IF(AT1075&lt;&gt;0,AV1075/ABS(AT1075),""),"")</f>
        <v/>
      </c>
      <c r="AX1075" s="8">
        <v>0</v>
      </c>
      <c r="AY1075" s="8">
        <v>0</v>
      </c>
      <c r="AZ1075" s="10"/>
      <c r="BA1075" s="8">
        <v>0</v>
      </c>
    </row>
    <row r="1076" spans="1:53" x14ac:dyDescent="0.2">
      <c r="A1076" s="8" t="s">
        <v>690</v>
      </c>
      <c r="B1076" s="8" t="s">
        <v>84</v>
      </c>
      <c r="C1076" s="8" t="s">
        <v>210</v>
      </c>
      <c r="D1076" s="8">
        <v>0</v>
      </c>
      <c r="E1076" s="8">
        <v>1</v>
      </c>
      <c r="F1076" s="8">
        <f>SUM(G1076:M1076)</f>
        <v>1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1</v>
      </c>
      <c r="N1076" s="8">
        <v>0</v>
      </c>
      <c r="O1076" s="8">
        <v>0</v>
      </c>
      <c r="P1076" s="8">
        <v>1</v>
      </c>
      <c r="Q1076" s="8">
        <v>0</v>
      </c>
      <c r="R1076" s="8">
        <v>0</v>
      </c>
      <c r="S1076" s="8">
        <v>0</v>
      </c>
      <c r="T1076" s="10">
        <v>-99.165999999999997</v>
      </c>
      <c r="U1076" s="10">
        <v>-527.28200000000004</v>
      </c>
      <c r="V1076" s="10">
        <v>-117.33</v>
      </c>
      <c r="W1076" s="10">
        <f>IF(RIGHT(C1076,2)="12",IF(ISNUMBER(T1076),T1076,""),IF(COUNT(T1076,U1076,V1076)=3,T1076+U1076-V1076,""))</f>
        <v>-509.11800000000011</v>
      </c>
      <c r="X1076" s="10">
        <v>-509.11799999999999</v>
      </c>
      <c r="Y1076" s="10">
        <v>532.35599999999999</v>
      </c>
      <c r="Z1076" s="10">
        <v>-942.30899999999997</v>
      </c>
      <c r="AA1076" s="10">
        <v>-52.890999999999998</v>
      </c>
      <c r="AB1076" s="10">
        <v>-46.274000000000001</v>
      </c>
      <c r="AC1076" s="8">
        <v>0</v>
      </c>
      <c r="AD1076" s="8">
        <v>0</v>
      </c>
      <c r="AE1076" s="8">
        <v>0</v>
      </c>
      <c r="AF1076" s="10">
        <v>0</v>
      </c>
      <c r="AG1076" s="8">
        <f>COUNTIF(Y1076:AB1076,"&gt;0")</f>
        <v>1</v>
      </c>
      <c r="AH1076" s="10">
        <v>0</v>
      </c>
      <c r="AI1076" s="10">
        <v>532.35599999999999</v>
      </c>
      <c r="AJ1076" s="8" t="str">
        <f>IF(ISNUMBER(X1076),IF(X1076&gt;0,"+",IF(X1076&lt;0,"−","0")),IF(ISNUMBER(W1076),IF(W1076&gt;0,"+",IF(W1076&lt;0,"−","0")),"yok"))</f>
        <v>−</v>
      </c>
      <c r="AK1076" s="10">
        <f>IF(AND(RIGHT(C1076,2)&lt;&gt;"12",ISNUMBER(U1076),ISNUMBER(V1076)),U1076-V1076,"")</f>
        <v>-409.95200000000006</v>
      </c>
      <c r="AL1076" s="11">
        <f>IF(AND(ISNUMBER(AK1076),ISNUMBER(V1076)),IF(V1076&lt;&gt;0,AK1076/ABS(V1076),""),"")</f>
        <v>-3.494008352510015</v>
      </c>
      <c r="AM1076" s="8">
        <f>IF(ISNUMBER(AK1076),IF(AK1076&gt;1,1,0),"")</f>
        <v>0</v>
      </c>
      <c r="AN1076" s="8">
        <f>IF(ISNUMBER(AK1076),IF(AK1076&gt;0.05*ABS(V1076),1,0),"")</f>
        <v>0</v>
      </c>
      <c r="AO1076" s="10"/>
      <c r="AP1076" s="10"/>
      <c r="AQ1076" s="10"/>
      <c r="AR1076" s="8">
        <v>0</v>
      </c>
      <c r="AS1076" s="10"/>
      <c r="AT1076" s="10"/>
      <c r="AU1076" s="10"/>
      <c r="AV1076" s="10">
        <v>532.35599999999999</v>
      </c>
      <c r="AW1076" s="11" t="str">
        <f>IF(AND(ISNUMBER(AV1076),ISNUMBER(AT1076)),IF(AT1076&lt;&gt;0,AV1076/ABS(AT1076),""),"")</f>
        <v/>
      </c>
      <c r="AX1076" s="8">
        <v>0</v>
      </c>
      <c r="AY1076" s="8">
        <v>0</v>
      </c>
      <c r="AZ1076" s="10"/>
      <c r="BA1076" s="8">
        <v>0</v>
      </c>
    </row>
    <row r="1077" spans="1:53" x14ac:dyDescent="0.2">
      <c r="A1077" s="8" t="s">
        <v>692</v>
      </c>
      <c r="B1077" s="8" t="s">
        <v>83</v>
      </c>
      <c r="C1077" s="8" t="s">
        <v>203</v>
      </c>
      <c r="D1077" s="8">
        <v>0</v>
      </c>
      <c r="E1077" s="8">
        <v>1</v>
      </c>
      <c r="F1077" s="8">
        <f>SUM(G1077:M1077)</f>
        <v>2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1</v>
      </c>
      <c r="M1077" s="8">
        <v>1</v>
      </c>
      <c r="N1077" s="8">
        <v>1</v>
      </c>
      <c r="O1077" s="8">
        <v>0</v>
      </c>
      <c r="P1077" s="8">
        <v>1</v>
      </c>
      <c r="Q1077" s="8">
        <v>0</v>
      </c>
      <c r="R1077" s="8">
        <v>0</v>
      </c>
      <c r="S1077" s="8">
        <v>0</v>
      </c>
      <c r="T1077" s="10">
        <v>-31.332999999999998</v>
      </c>
      <c r="U1077" s="10">
        <v>-406.13</v>
      </c>
      <c r="V1077" s="10">
        <v>-2381.4229999999998</v>
      </c>
      <c r="W1077" s="10">
        <f>IF(RIGHT(C1077,2)="12",IF(ISNUMBER(T1077),T1077,""),IF(COUNT(T1077,U1077,V1077)=3,T1077+U1077-V1077,""))</f>
        <v>1943.9599999999998</v>
      </c>
      <c r="X1077" s="10">
        <v>1943.96</v>
      </c>
      <c r="Y1077" s="10">
        <v>1049.8420000000001</v>
      </c>
      <c r="Z1077" s="10">
        <v>-1010.043</v>
      </c>
      <c r="AA1077" s="10">
        <v>1935.4939999999999</v>
      </c>
      <c r="AB1077" s="10">
        <v>-31.332999999999998</v>
      </c>
      <c r="AC1077" s="8">
        <v>0</v>
      </c>
      <c r="AD1077" s="8">
        <v>0</v>
      </c>
      <c r="AE1077" s="8">
        <v>0</v>
      </c>
      <c r="AF1077" s="10">
        <v>0</v>
      </c>
      <c r="AG1077" s="8">
        <f>COUNTIF(Y1077:AB1077,"&gt;0")</f>
        <v>2</v>
      </c>
      <c r="AH1077" s="10">
        <v>0</v>
      </c>
      <c r="AI1077" s="10">
        <v>2985.3359999999998</v>
      </c>
      <c r="AJ1077" s="8" t="str">
        <f>IF(ISNUMBER(X1077),IF(X1077&gt;0,"+",IF(X1077&lt;0,"−","0")),IF(ISNUMBER(W1077),IF(W1077&gt;0,"+",IF(W1077&lt;0,"−","0")),"yok"))</f>
        <v>+</v>
      </c>
      <c r="AK1077" s="10">
        <f>IF(AND(RIGHT(C1077,2)&lt;&gt;"12",ISNUMBER(U1077),ISNUMBER(V1077)),U1077-V1077,"")</f>
        <v>1975.2929999999997</v>
      </c>
      <c r="AL1077" s="11">
        <f>IF(AND(ISNUMBER(AK1077),ISNUMBER(V1077)),IF(V1077&lt;&gt;0,AK1077/ABS(V1077),""),"")</f>
        <v>0.82945910911249277</v>
      </c>
      <c r="AM1077" s="8">
        <f>IF(ISNUMBER(AK1077),IF(AK1077&gt;1,1,0),"")</f>
        <v>1</v>
      </c>
      <c r="AN1077" s="8">
        <f>IF(ISNUMBER(AK1077),IF(AK1077&gt;0.05*ABS(V1077),1,0),"")</f>
        <v>1</v>
      </c>
      <c r="AO1077" s="10"/>
      <c r="AP1077" s="10"/>
      <c r="AQ1077" s="10"/>
      <c r="AR1077" s="8">
        <v>0</v>
      </c>
      <c r="AS1077" s="10"/>
      <c r="AT1077" s="10"/>
      <c r="AU1077" s="10"/>
      <c r="AV1077" s="10">
        <v>1975.2929999999999</v>
      </c>
      <c r="AW1077" s="11" t="str">
        <f>IF(AND(ISNUMBER(AV1077),ISNUMBER(AT1077)),IF(AT1077&lt;&gt;0,AV1077/ABS(AT1077),""),"")</f>
        <v/>
      </c>
      <c r="AX1077" s="8">
        <v>0</v>
      </c>
      <c r="AY1077" s="8">
        <v>1</v>
      </c>
      <c r="AZ1077" s="10"/>
      <c r="BA1077" s="8">
        <v>0</v>
      </c>
    </row>
    <row r="1078" spans="1:53" x14ac:dyDescent="0.2">
      <c r="A1078" s="8" t="s">
        <v>692</v>
      </c>
      <c r="B1078" s="8" t="s">
        <v>83</v>
      </c>
      <c r="C1078" s="8" t="s">
        <v>205</v>
      </c>
      <c r="D1078" s="8">
        <v>0</v>
      </c>
      <c r="E1078" s="8">
        <v>1</v>
      </c>
      <c r="F1078" s="8">
        <f>SUM(G1078:M1078)</f>
        <v>2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1</v>
      </c>
      <c r="M1078" s="8">
        <v>1</v>
      </c>
      <c r="N1078" s="8">
        <v>1</v>
      </c>
      <c r="O1078" s="8">
        <v>0</v>
      </c>
      <c r="P1078" s="8">
        <v>1</v>
      </c>
      <c r="Q1078" s="8">
        <v>0</v>
      </c>
      <c r="R1078" s="8">
        <v>0</v>
      </c>
      <c r="S1078" s="8">
        <v>0</v>
      </c>
      <c r="T1078" s="10">
        <v>-34.136000000000003</v>
      </c>
      <c r="U1078" s="10">
        <v>-406.13</v>
      </c>
      <c r="V1078" s="10">
        <v>-1331.5809999999999</v>
      </c>
      <c r="W1078" s="10">
        <f>IF(RIGHT(C1078,2)="12",IF(ISNUMBER(T1078),T1078,""),IF(COUNT(T1078,U1078,V1078)=3,T1078+U1078-V1078,""))</f>
        <v>891.31499999999983</v>
      </c>
      <c r="X1078" s="10">
        <v>891.31399999999996</v>
      </c>
      <c r="Y1078" s="10">
        <v>-1010.043</v>
      </c>
      <c r="Z1078" s="10">
        <v>1935.4939999999999</v>
      </c>
      <c r="AA1078" s="10">
        <v>-31.332999999999998</v>
      </c>
      <c r="AB1078" s="10">
        <v>-2.802</v>
      </c>
      <c r="AC1078" s="8">
        <v>0</v>
      </c>
      <c r="AD1078" s="8">
        <v>0</v>
      </c>
      <c r="AE1078" s="8">
        <v>0</v>
      </c>
      <c r="AF1078" s="10">
        <v>0</v>
      </c>
      <c r="AG1078" s="8">
        <f>COUNTIF(Y1078:AB1078,"&gt;0")</f>
        <v>1</v>
      </c>
      <c r="AH1078" s="10">
        <v>0</v>
      </c>
      <c r="AI1078" s="10">
        <v>1935.4939999999999</v>
      </c>
      <c r="AJ1078" s="8" t="str">
        <f>IF(ISNUMBER(X1078),IF(X1078&gt;0,"+",IF(X1078&lt;0,"−","0")),IF(ISNUMBER(W1078),IF(W1078&gt;0,"+",IF(W1078&lt;0,"−","0")),"yok"))</f>
        <v>+</v>
      </c>
      <c r="AK1078" s="10">
        <f>IF(AND(RIGHT(C1078,2)&lt;&gt;"12",ISNUMBER(U1078),ISNUMBER(V1078)),U1078-V1078,"")</f>
        <v>925.45099999999991</v>
      </c>
      <c r="AL1078" s="11">
        <f>IF(AND(ISNUMBER(AK1078),ISNUMBER(V1078)),IF(V1078&lt;&gt;0,AK1078/ABS(V1078),""),"")</f>
        <v>0.69500165592630114</v>
      </c>
      <c r="AM1078" s="8">
        <f>IF(ISNUMBER(AK1078),IF(AK1078&gt;1,1,0),"")</f>
        <v>1</v>
      </c>
      <c r="AN1078" s="8">
        <f>IF(ISNUMBER(AK1078),IF(AK1078&gt;0.05*ABS(V1078),1,0),"")</f>
        <v>1</v>
      </c>
      <c r="AO1078" s="10"/>
      <c r="AP1078" s="10"/>
      <c r="AQ1078" s="10"/>
      <c r="AR1078" s="8">
        <v>0</v>
      </c>
      <c r="AS1078" s="10"/>
      <c r="AT1078" s="10"/>
      <c r="AU1078" s="10"/>
      <c r="AV1078" s="10">
        <v>925.45100000000002</v>
      </c>
      <c r="AW1078" s="11" t="str">
        <f>IF(AND(ISNUMBER(AV1078),ISNUMBER(AT1078)),IF(AT1078&lt;&gt;0,AV1078/ABS(AT1078),""),"")</f>
        <v/>
      </c>
      <c r="AX1078" s="8">
        <v>0</v>
      </c>
      <c r="AY1078" s="8">
        <v>1</v>
      </c>
      <c r="AZ1078" s="10"/>
      <c r="BA1078" s="8">
        <v>0</v>
      </c>
    </row>
    <row r="1079" spans="1:53" x14ac:dyDescent="0.2">
      <c r="A1079" s="8" t="s">
        <v>692</v>
      </c>
      <c r="B1079" s="8" t="s">
        <v>83</v>
      </c>
      <c r="C1079" s="8" t="s">
        <v>215</v>
      </c>
      <c r="D1079" s="8">
        <v>0</v>
      </c>
      <c r="E1079" s="8">
        <v>1</v>
      </c>
      <c r="F1079" s="8">
        <f>SUM(G1079:M1079)</f>
        <v>2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1</v>
      </c>
      <c r="M1079" s="8">
        <v>1</v>
      </c>
      <c r="N1079" s="8">
        <v>1</v>
      </c>
      <c r="O1079" s="8">
        <v>0</v>
      </c>
      <c r="P1079" s="8">
        <v>1</v>
      </c>
      <c r="Q1079" s="8">
        <v>0</v>
      </c>
      <c r="R1079" s="8">
        <v>0</v>
      </c>
      <c r="S1079" s="8">
        <v>0</v>
      </c>
      <c r="T1079" s="10">
        <v>-98.338999999999999</v>
      </c>
      <c r="U1079" s="10">
        <v>-406.13</v>
      </c>
      <c r="V1079" s="10">
        <v>-2341.625</v>
      </c>
      <c r="W1079" s="10">
        <f>IF(RIGHT(C1079,2)="12",IF(ISNUMBER(T1079),T1079,""),IF(COUNT(T1079,U1079,V1079)=3,T1079+U1079-V1079,""))</f>
        <v>1837.1559999999999</v>
      </c>
      <c r="X1079" s="10">
        <v>1837.155</v>
      </c>
      <c r="Y1079" s="10">
        <v>1935.4939999999999</v>
      </c>
      <c r="Z1079" s="10">
        <v>-31.332999999999998</v>
      </c>
      <c r="AA1079" s="10">
        <v>-2.802</v>
      </c>
      <c r="AB1079" s="10">
        <v>-64.203000000000003</v>
      </c>
      <c r="AC1079" s="8">
        <v>0</v>
      </c>
      <c r="AD1079" s="8">
        <v>0</v>
      </c>
      <c r="AE1079" s="8">
        <v>0</v>
      </c>
      <c r="AF1079" s="10">
        <v>0</v>
      </c>
      <c r="AG1079" s="8">
        <f>COUNTIF(Y1079:AB1079,"&gt;0")</f>
        <v>1</v>
      </c>
      <c r="AH1079" s="10">
        <v>0</v>
      </c>
      <c r="AI1079" s="10">
        <v>1935.4939999999999</v>
      </c>
      <c r="AJ1079" s="8" t="str">
        <f>IF(ISNUMBER(X1079),IF(X1079&gt;0,"+",IF(X1079&lt;0,"−","0")),IF(ISNUMBER(W1079),IF(W1079&gt;0,"+",IF(W1079&lt;0,"−","0")),"yok"))</f>
        <v>+</v>
      </c>
      <c r="AK1079" s="10">
        <f>IF(AND(RIGHT(C1079,2)&lt;&gt;"12",ISNUMBER(U1079),ISNUMBER(V1079)),U1079-V1079,"")</f>
        <v>1935.4949999999999</v>
      </c>
      <c r="AL1079" s="11">
        <f>IF(AND(ISNUMBER(AK1079),ISNUMBER(V1079)),IF(V1079&lt;&gt;0,AK1079/ABS(V1079),""),"")</f>
        <v>0.8265606149575615</v>
      </c>
      <c r="AM1079" s="8">
        <f>IF(ISNUMBER(AK1079),IF(AK1079&gt;1,1,0),"")</f>
        <v>1</v>
      </c>
      <c r="AN1079" s="8">
        <f>IF(ISNUMBER(AK1079),IF(AK1079&gt;0.05*ABS(V1079),1,0),"")</f>
        <v>1</v>
      </c>
      <c r="AO1079" s="10"/>
      <c r="AP1079" s="10"/>
      <c r="AQ1079" s="10"/>
      <c r="AR1079" s="8">
        <v>0</v>
      </c>
      <c r="AS1079" s="10"/>
      <c r="AT1079" s="10"/>
      <c r="AU1079" s="10"/>
      <c r="AV1079" s="10">
        <v>1935.4949999999999</v>
      </c>
      <c r="AW1079" s="11" t="str">
        <f>IF(AND(ISNUMBER(AV1079),ISNUMBER(AT1079)),IF(AT1079&lt;&gt;0,AV1079/ABS(AT1079),""),"")</f>
        <v/>
      </c>
      <c r="AX1079" s="8">
        <v>0</v>
      </c>
      <c r="AY1079" s="8">
        <v>1</v>
      </c>
      <c r="AZ1079" s="10"/>
      <c r="BA1079" s="8">
        <v>0</v>
      </c>
    </row>
    <row r="1080" spans="1:53" x14ac:dyDescent="0.2">
      <c r="A1080" s="8" t="s">
        <v>693</v>
      </c>
      <c r="B1080" s="8" t="s">
        <v>83</v>
      </c>
      <c r="C1080" s="8" t="s">
        <v>203</v>
      </c>
      <c r="D1080" s="8">
        <v>0</v>
      </c>
      <c r="E1080" s="8">
        <v>1</v>
      </c>
      <c r="F1080" s="8">
        <f>SUM(G1080:M1080)</f>
        <v>1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1</v>
      </c>
      <c r="N1080" s="8">
        <v>0</v>
      </c>
      <c r="O1080" s="8">
        <v>0</v>
      </c>
      <c r="P1080" s="8">
        <v>1</v>
      </c>
      <c r="Q1080" s="8">
        <v>0</v>
      </c>
      <c r="R1080" s="8">
        <v>0</v>
      </c>
      <c r="S1080" s="8">
        <v>0</v>
      </c>
      <c r="T1080" s="10">
        <v>-0.70199999999999996</v>
      </c>
      <c r="U1080" s="10">
        <v>-19.498000000000001</v>
      </c>
      <c r="V1080" s="10">
        <v>-14.573</v>
      </c>
      <c r="W1080" s="10">
        <f>IF(RIGHT(C1080,2)="12",IF(ISNUMBER(T1080),T1080,""),IF(COUNT(T1080,U1080,V1080)=3,T1080+U1080-V1080,""))</f>
        <v>-5.6270000000000024</v>
      </c>
      <c r="X1080" s="10">
        <v>-5.6269999999999998</v>
      </c>
      <c r="Y1080" s="10">
        <v>-4.7389999999999999</v>
      </c>
      <c r="Z1080" s="10">
        <v>2.2189999999999999</v>
      </c>
      <c r="AA1080" s="10">
        <v>-2.4039999999999999</v>
      </c>
      <c r="AB1080" s="10">
        <v>-0.70199999999999996</v>
      </c>
      <c r="AC1080" s="8">
        <v>0</v>
      </c>
      <c r="AD1080" s="8">
        <v>0</v>
      </c>
      <c r="AE1080" s="8">
        <v>0</v>
      </c>
      <c r="AF1080" s="10">
        <v>0</v>
      </c>
      <c r="AG1080" s="8">
        <f>COUNTIF(Y1080:AB1080,"&gt;0")</f>
        <v>1</v>
      </c>
      <c r="AH1080" s="10">
        <v>0</v>
      </c>
      <c r="AI1080" s="10">
        <v>2.2189999999999999</v>
      </c>
      <c r="AJ1080" s="8" t="str">
        <f>IF(ISNUMBER(X1080),IF(X1080&gt;0,"+",IF(X1080&lt;0,"−","0")),IF(ISNUMBER(W1080),IF(W1080&gt;0,"+",IF(W1080&lt;0,"−","0")),"yok"))</f>
        <v>−</v>
      </c>
      <c r="AK1080" s="10">
        <f>IF(AND(RIGHT(C1080,2)&lt;&gt;"12",ISNUMBER(U1080),ISNUMBER(V1080)),U1080-V1080,"")</f>
        <v>-4.9250000000000007</v>
      </c>
      <c r="AL1080" s="11">
        <f>IF(AND(ISNUMBER(AK1080),ISNUMBER(V1080)),IF(V1080&lt;&gt;0,AK1080/ABS(V1080),""),"")</f>
        <v>-0.33795375008577511</v>
      </c>
      <c r="AM1080" s="8">
        <f>IF(ISNUMBER(AK1080),IF(AK1080&gt;1,1,0),"")</f>
        <v>0</v>
      </c>
      <c r="AN1080" s="8">
        <f>IF(ISNUMBER(AK1080),IF(AK1080&gt;0.05*ABS(V1080),1,0),"")</f>
        <v>0</v>
      </c>
      <c r="AO1080" s="10"/>
      <c r="AP1080" s="10"/>
      <c r="AQ1080" s="10"/>
      <c r="AR1080" s="8">
        <v>0</v>
      </c>
      <c r="AS1080" s="10"/>
      <c r="AT1080" s="10"/>
      <c r="AU1080" s="10"/>
      <c r="AV1080" s="10">
        <v>2.2189999999999999</v>
      </c>
      <c r="AW1080" s="11" t="str">
        <f>IF(AND(ISNUMBER(AV1080),ISNUMBER(AT1080)),IF(AT1080&lt;&gt;0,AV1080/ABS(AT1080),""),"")</f>
        <v/>
      </c>
      <c r="AX1080" s="8">
        <v>0</v>
      </c>
      <c r="AY1080" s="8">
        <v>0</v>
      </c>
      <c r="AZ1080" s="10"/>
      <c r="BA1080" s="8">
        <v>0</v>
      </c>
    </row>
    <row r="1081" spans="1:53" x14ac:dyDescent="0.2">
      <c r="A1081" s="8" t="s">
        <v>693</v>
      </c>
      <c r="B1081" s="8" t="s">
        <v>83</v>
      </c>
      <c r="C1081" s="8" t="s">
        <v>205</v>
      </c>
      <c r="D1081" s="8">
        <v>0</v>
      </c>
      <c r="E1081" s="8">
        <v>1</v>
      </c>
      <c r="F1081" s="8">
        <f>SUM(G1081:M1081)</f>
        <v>1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  <c r="M1081" s="8">
        <v>1</v>
      </c>
      <c r="N1081" s="8">
        <v>0</v>
      </c>
      <c r="O1081" s="8">
        <v>0</v>
      </c>
      <c r="P1081" s="8">
        <v>1</v>
      </c>
      <c r="Q1081" s="8">
        <v>0</v>
      </c>
      <c r="R1081" s="8">
        <v>0</v>
      </c>
      <c r="S1081" s="8">
        <v>0</v>
      </c>
      <c r="T1081" s="10">
        <v>-2.8879999999999999</v>
      </c>
      <c r="U1081" s="10">
        <v>-19.498000000000001</v>
      </c>
      <c r="V1081" s="10">
        <v>-19.312999999999999</v>
      </c>
      <c r="W1081" s="10">
        <f>IF(RIGHT(C1081,2)="12",IF(ISNUMBER(T1081),T1081,""),IF(COUNT(T1081,U1081,V1081)=3,T1081+U1081-V1081,""))</f>
        <v>-3.073000000000004</v>
      </c>
      <c r="X1081" s="10">
        <v>-3.073</v>
      </c>
      <c r="Y1081" s="10">
        <v>2.2189999999999999</v>
      </c>
      <c r="Z1081" s="10">
        <v>-2.4039999999999999</v>
      </c>
      <c r="AA1081" s="10">
        <v>-0.70199999999999996</v>
      </c>
      <c r="AB1081" s="10">
        <v>-2.1850000000000001</v>
      </c>
      <c r="AC1081" s="8">
        <v>0</v>
      </c>
      <c r="AD1081" s="8">
        <v>0</v>
      </c>
      <c r="AE1081" s="8">
        <v>0</v>
      </c>
      <c r="AF1081" s="10">
        <v>0</v>
      </c>
      <c r="AG1081" s="8">
        <f>COUNTIF(Y1081:AB1081,"&gt;0")</f>
        <v>1</v>
      </c>
      <c r="AH1081" s="10">
        <v>0</v>
      </c>
      <c r="AI1081" s="10">
        <v>2.2189999999999999</v>
      </c>
      <c r="AJ1081" s="8" t="str">
        <f>IF(ISNUMBER(X1081),IF(X1081&gt;0,"+",IF(X1081&lt;0,"−","0")),IF(ISNUMBER(W1081),IF(W1081&gt;0,"+",IF(W1081&lt;0,"−","0")),"yok"))</f>
        <v>−</v>
      </c>
      <c r="AK1081" s="10">
        <f>IF(AND(RIGHT(C1081,2)&lt;&gt;"12",ISNUMBER(U1081),ISNUMBER(V1081)),U1081-V1081,"")</f>
        <v>-0.18500000000000227</v>
      </c>
      <c r="AL1081" s="11">
        <f>IF(AND(ISNUMBER(AK1081),ISNUMBER(V1081)),IF(V1081&lt;&gt;0,AK1081/ABS(V1081),""),"")</f>
        <v>-9.5790400248538434E-3</v>
      </c>
      <c r="AM1081" s="8">
        <f>IF(ISNUMBER(AK1081),IF(AK1081&gt;1,1,0),"")</f>
        <v>0</v>
      </c>
      <c r="AN1081" s="8">
        <f>IF(ISNUMBER(AK1081),IF(AK1081&gt;0.05*ABS(V1081),1,0),"")</f>
        <v>0</v>
      </c>
      <c r="AO1081" s="10"/>
      <c r="AP1081" s="10"/>
      <c r="AQ1081" s="10"/>
      <c r="AR1081" s="8">
        <v>0</v>
      </c>
      <c r="AS1081" s="10"/>
      <c r="AT1081" s="10"/>
      <c r="AU1081" s="10"/>
      <c r="AV1081" s="10">
        <v>2.2189999999999999</v>
      </c>
      <c r="AW1081" s="11" t="str">
        <f>IF(AND(ISNUMBER(AV1081),ISNUMBER(AT1081)),IF(AT1081&lt;&gt;0,AV1081/ABS(AT1081),""),"")</f>
        <v/>
      </c>
      <c r="AX1081" s="8">
        <v>0</v>
      </c>
      <c r="AY1081" s="8">
        <v>0</v>
      </c>
      <c r="AZ1081" s="10"/>
      <c r="BA1081" s="8">
        <v>0</v>
      </c>
    </row>
    <row r="1082" spans="1:53" x14ac:dyDescent="0.2">
      <c r="A1082" s="8" t="s">
        <v>694</v>
      </c>
      <c r="B1082" s="8" t="s">
        <v>83</v>
      </c>
      <c r="C1082" s="8" t="s">
        <v>203</v>
      </c>
      <c r="D1082" s="8">
        <v>0</v>
      </c>
      <c r="E1082" s="8">
        <v>1</v>
      </c>
      <c r="F1082" s="8">
        <f>SUM(G1082:M1082)</f>
        <v>1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1</v>
      </c>
      <c r="N1082" s="8">
        <v>0</v>
      </c>
      <c r="O1082" s="8">
        <v>0</v>
      </c>
      <c r="P1082" s="8">
        <v>1</v>
      </c>
      <c r="Q1082" s="8">
        <v>0</v>
      </c>
      <c r="R1082" s="8">
        <v>0</v>
      </c>
      <c r="S1082" s="8">
        <v>0</v>
      </c>
      <c r="T1082" s="10">
        <v>-24.157</v>
      </c>
      <c r="U1082" s="10">
        <v>-15.542</v>
      </c>
      <c r="V1082" s="10">
        <v>-4.1820000000000004</v>
      </c>
      <c r="W1082" s="10">
        <f>IF(RIGHT(C1082,2)="12",IF(ISNUMBER(T1082),T1082,""),IF(COUNT(T1082,U1082,V1082)=3,T1082+U1082-V1082,""))</f>
        <v>-35.516999999999996</v>
      </c>
      <c r="X1082" s="10">
        <v>-35.517000000000003</v>
      </c>
      <c r="Y1082" s="10">
        <v>-0.13800000000000001</v>
      </c>
      <c r="Z1082" s="10">
        <v>-13.526999999999999</v>
      </c>
      <c r="AA1082" s="10">
        <v>2.306</v>
      </c>
      <c r="AB1082" s="10">
        <v>-24.157</v>
      </c>
      <c r="AC1082" s="8">
        <v>0</v>
      </c>
      <c r="AD1082" s="8">
        <v>0</v>
      </c>
      <c r="AE1082" s="8">
        <v>0</v>
      </c>
      <c r="AF1082" s="10">
        <v>0</v>
      </c>
      <c r="AG1082" s="8">
        <f>COUNTIF(Y1082:AB1082,"&gt;0")</f>
        <v>1</v>
      </c>
      <c r="AH1082" s="10">
        <v>0</v>
      </c>
      <c r="AI1082" s="10">
        <v>2.306</v>
      </c>
      <c r="AJ1082" s="8" t="str">
        <f>IF(ISNUMBER(X1082),IF(X1082&gt;0,"+",IF(X1082&lt;0,"−","0")),IF(ISNUMBER(W1082),IF(W1082&gt;0,"+",IF(W1082&lt;0,"−","0")),"yok"))</f>
        <v>−</v>
      </c>
      <c r="AK1082" s="10">
        <f>IF(AND(RIGHT(C1082,2)&lt;&gt;"12",ISNUMBER(U1082),ISNUMBER(V1082)),U1082-V1082,"")</f>
        <v>-11.36</v>
      </c>
      <c r="AL1082" s="11">
        <f>IF(AND(ISNUMBER(AK1082),ISNUMBER(V1082)),IF(V1082&lt;&gt;0,AK1082/ABS(V1082),""),"")</f>
        <v>-2.716403634624581</v>
      </c>
      <c r="AM1082" s="8">
        <f>IF(ISNUMBER(AK1082),IF(AK1082&gt;1,1,0),"")</f>
        <v>0</v>
      </c>
      <c r="AN1082" s="8">
        <f>IF(ISNUMBER(AK1082),IF(AK1082&gt;0.05*ABS(V1082),1,0),"")</f>
        <v>0</v>
      </c>
      <c r="AO1082" s="10"/>
      <c r="AP1082" s="10"/>
      <c r="AQ1082" s="10"/>
      <c r="AR1082" s="8">
        <v>0</v>
      </c>
      <c r="AS1082" s="10"/>
      <c r="AT1082" s="10"/>
      <c r="AU1082" s="10"/>
      <c r="AV1082" s="10">
        <v>2.306</v>
      </c>
      <c r="AW1082" s="11" t="str">
        <f>IF(AND(ISNUMBER(AV1082),ISNUMBER(AT1082)),IF(AT1082&lt;&gt;0,AV1082/ABS(AT1082),""),"")</f>
        <v/>
      </c>
      <c r="AX1082" s="8">
        <v>0</v>
      </c>
      <c r="AY1082" s="8">
        <v>0</v>
      </c>
      <c r="AZ1082" s="10"/>
      <c r="BA1082" s="8">
        <v>0</v>
      </c>
    </row>
    <row r="1083" spans="1:53" x14ac:dyDescent="0.2">
      <c r="A1083" s="8" t="s">
        <v>694</v>
      </c>
      <c r="B1083" s="8" t="s">
        <v>83</v>
      </c>
      <c r="C1083" s="8" t="s">
        <v>205</v>
      </c>
      <c r="D1083" s="8">
        <v>0</v>
      </c>
      <c r="E1083" s="8">
        <v>1</v>
      </c>
      <c r="F1083" s="8">
        <f>SUM(G1083:M1083)</f>
        <v>1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1</v>
      </c>
      <c r="N1083" s="8">
        <v>0</v>
      </c>
      <c r="O1083" s="8">
        <v>0</v>
      </c>
      <c r="P1083" s="8">
        <v>1</v>
      </c>
      <c r="Q1083" s="8">
        <v>0</v>
      </c>
      <c r="R1083" s="8">
        <v>0</v>
      </c>
      <c r="S1083" s="8">
        <v>1</v>
      </c>
      <c r="T1083" s="10">
        <v>-19.363</v>
      </c>
      <c r="U1083" s="10">
        <v>-15.542</v>
      </c>
      <c r="V1083" s="10">
        <v>-4.32</v>
      </c>
      <c r="W1083" s="10">
        <f>IF(RIGHT(C1083,2)="12",IF(ISNUMBER(T1083),T1083,""),IF(COUNT(T1083,U1083,V1083)=3,T1083+U1083-V1083,""))</f>
        <v>-30.585000000000001</v>
      </c>
      <c r="X1083" s="10">
        <v>-30.584</v>
      </c>
      <c r="Y1083" s="10">
        <v>-13.526999999999999</v>
      </c>
      <c r="Z1083" s="10">
        <v>2.306</v>
      </c>
      <c r="AA1083" s="10">
        <v>-24.157</v>
      </c>
      <c r="AB1083" s="10">
        <v>4.7939999999999996</v>
      </c>
      <c r="AC1083" s="8">
        <v>0</v>
      </c>
      <c r="AD1083" s="8">
        <v>0</v>
      </c>
      <c r="AE1083" s="8">
        <v>0</v>
      </c>
      <c r="AF1083" s="10">
        <v>0</v>
      </c>
      <c r="AG1083" s="8">
        <f>COUNTIF(Y1083:AB1083,"&gt;0")</f>
        <v>2</v>
      </c>
      <c r="AH1083" s="10">
        <v>4.7939999999999996</v>
      </c>
      <c r="AI1083" s="10">
        <v>2.306</v>
      </c>
      <c r="AJ1083" s="8" t="str">
        <f>IF(ISNUMBER(X1083),IF(X1083&gt;0,"+",IF(X1083&lt;0,"−","0")),IF(ISNUMBER(W1083),IF(W1083&gt;0,"+",IF(W1083&lt;0,"−","0")),"yok"))</f>
        <v>−</v>
      </c>
      <c r="AK1083" s="10">
        <f>IF(AND(RIGHT(C1083,2)&lt;&gt;"12",ISNUMBER(U1083),ISNUMBER(V1083)),U1083-V1083,"")</f>
        <v>-11.222</v>
      </c>
      <c r="AL1083" s="11">
        <f>IF(AND(ISNUMBER(AK1083),ISNUMBER(V1083)),IF(V1083&lt;&gt;0,AK1083/ABS(V1083),""),"")</f>
        <v>-2.5976851851851848</v>
      </c>
      <c r="AM1083" s="8">
        <f>IF(ISNUMBER(AK1083),IF(AK1083&gt;1,1,0),"")</f>
        <v>0</v>
      </c>
      <c r="AN1083" s="8">
        <f>IF(ISNUMBER(AK1083),IF(AK1083&gt;0.05*ABS(V1083),1,0),"")</f>
        <v>0</v>
      </c>
      <c r="AO1083" s="10"/>
      <c r="AP1083" s="10"/>
      <c r="AQ1083" s="10"/>
      <c r="AR1083" s="8">
        <v>0</v>
      </c>
      <c r="AS1083" s="10"/>
      <c r="AT1083" s="10"/>
      <c r="AU1083" s="10"/>
      <c r="AV1083" s="10">
        <v>4.7939999999999996</v>
      </c>
      <c r="AW1083" s="11" t="str">
        <f>IF(AND(ISNUMBER(AV1083),ISNUMBER(AT1083)),IF(AT1083&lt;&gt;0,AV1083/ABS(AT1083),""),"")</f>
        <v/>
      </c>
      <c r="AX1083" s="8">
        <v>0</v>
      </c>
      <c r="AY1083" s="8">
        <v>0</v>
      </c>
      <c r="AZ1083" s="10"/>
      <c r="BA1083" s="8">
        <v>0</v>
      </c>
    </row>
    <row r="1084" spans="1:53" x14ac:dyDescent="0.2">
      <c r="A1084" s="8" t="s">
        <v>694</v>
      </c>
      <c r="B1084" s="8" t="s">
        <v>83</v>
      </c>
      <c r="C1084" s="8" t="s">
        <v>215</v>
      </c>
      <c r="D1084" s="8">
        <v>0</v>
      </c>
      <c r="E1084" s="8">
        <v>1</v>
      </c>
      <c r="F1084" s="8">
        <f>SUM(G1084:M1084)</f>
        <v>2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1</v>
      </c>
      <c r="M1084" s="8">
        <v>1</v>
      </c>
      <c r="N1084" s="8">
        <v>0</v>
      </c>
      <c r="O1084" s="8">
        <v>0</v>
      </c>
      <c r="P1084" s="8">
        <v>1</v>
      </c>
      <c r="Q1084" s="8">
        <v>0</v>
      </c>
      <c r="R1084" s="8">
        <v>0</v>
      </c>
      <c r="S1084" s="8">
        <v>1</v>
      </c>
      <c r="T1084" s="10">
        <v>-41.279000000000003</v>
      </c>
      <c r="U1084" s="10">
        <v>-15.542</v>
      </c>
      <c r="V1084" s="10">
        <v>-17.847999999999999</v>
      </c>
      <c r="W1084" s="10">
        <f>IF(RIGHT(C1084,2)="12",IF(ISNUMBER(T1084),T1084,""),IF(COUNT(T1084,U1084,V1084)=3,T1084+U1084-V1084,""))</f>
        <v>-38.973000000000006</v>
      </c>
      <c r="X1084" s="10">
        <v>-38.972000000000001</v>
      </c>
      <c r="Y1084" s="10">
        <v>2.306</v>
      </c>
      <c r="Z1084" s="10">
        <v>-24.157</v>
      </c>
      <c r="AA1084" s="10">
        <v>4.7939999999999996</v>
      </c>
      <c r="AB1084" s="10">
        <v>-21.916</v>
      </c>
      <c r="AC1084" s="8">
        <v>0</v>
      </c>
      <c r="AD1084" s="8">
        <v>0</v>
      </c>
      <c r="AE1084" s="8">
        <v>0</v>
      </c>
      <c r="AF1084" s="10">
        <v>0</v>
      </c>
      <c r="AG1084" s="8">
        <f>COUNTIF(Y1084:AB1084,"&gt;0")</f>
        <v>2</v>
      </c>
      <c r="AH1084" s="10">
        <v>4.7939999999999996</v>
      </c>
      <c r="AI1084" s="10">
        <v>2.306</v>
      </c>
      <c r="AJ1084" s="8" t="str">
        <f>IF(ISNUMBER(X1084),IF(X1084&gt;0,"+",IF(X1084&lt;0,"−","0")),IF(ISNUMBER(W1084),IF(W1084&gt;0,"+",IF(W1084&lt;0,"−","0")),"yok"))</f>
        <v>−</v>
      </c>
      <c r="AK1084" s="10">
        <f>IF(AND(RIGHT(C1084,2)&lt;&gt;"12",ISNUMBER(U1084),ISNUMBER(V1084)),U1084-V1084,"")</f>
        <v>2.3059999999999992</v>
      </c>
      <c r="AL1084" s="11">
        <f>IF(AND(ISNUMBER(AK1084),ISNUMBER(V1084)),IF(V1084&lt;&gt;0,AK1084/ABS(V1084),""),"")</f>
        <v>0.12920215150156877</v>
      </c>
      <c r="AM1084" s="8">
        <f>IF(ISNUMBER(AK1084),IF(AK1084&gt;1,1,0),"")</f>
        <v>1</v>
      </c>
      <c r="AN1084" s="8">
        <f>IF(ISNUMBER(AK1084),IF(AK1084&gt;0.05*ABS(V1084),1,0),"")</f>
        <v>1</v>
      </c>
      <c r="AO1084" s="10"/>
      <c r="AP1084" s="10"/>
      <c r="AQ1084" s="10"/>
      <c r="AR1084" s="8">
        <v>0</v>
      </c>
      <c r="AS1084" s="10"/>
      <c r="AT1084" s="10"/>
      <c r="AU1084" s="10"/>
      <c r="AV1084" s="10">
        <v>2.306</v>
      </c>
      <c r="AW1084" s="11" t="str">
        <f>IF(AND(ISNUMBER(AV1084),ISNUMBER(AT1084)),IF(AT1084&lt;&gt;0,AV1084/ABS(AT1084),""),"")</f>
        <v/>
      </c>
      <c r="AX1084" s="8">
        <v>0</v>
      </c>
      <c r="AY1084" s="8">
        <v>1</v>
      </c>
      <c r="AZ1084" s="10"/>
      <c r="BA1084" s="8">
        <v>0</v>
      </c>
    </row>
    <row r="1085" spans="1:53" x14ac:dyDescent="0.2">
      <c r="A1085" s="8" t="s">
        <v>694</v>
      </c>
      <c r="B1085" s="8" t="s">
        <v>83</v>
      </c>
      <c r="C1085" s="8" t="s">
        <v>208</v>
      </c>
      <c r="D1085" s="8">
        <v>0</v>
      </c>
      <c r="E1085" s="8">
        <v>1</v>
      </c>
      <c r="F1085" s="8">
        <f>SUM(G1085:M1085)</f>
        <v>1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1</v>
      </c>
      <c r="N1085" s="8">
        <v>0</v>
      </c>
      <c r="O1085" s="8">
        <v>0</v>
      </c>
      <c r="P1085" s="8">
        <v>1</v>
      </c>
      <c r="Q1085" s="8">
        <v>0</v>
      </c>
      <c r="R1085" s="8">
        <v>0</v>
      </c>
      <c r="S1085" s="8">
        <v>0</v>
      </c>
      <c r="T1085" s="10">
        <v>-0.36499999999999999</v>
      </c>
      <c r="U1085" s="10">
        <v>-47.298999999999999</v>
      </c>
      <c r="V1085" s="10">
        <v>-24.157</v>
      </c>
      <c r="W1085" s="10">
        <f>IF(RIGHT(C1085,2)="12",IF(ISNUMBER(T1085),T1085,""),IF(COUNT(T1085,U1085,V1085)=3,T1085+U1085-V1085,""))</f>
        <v>-23.507000000000001</v>
      </c>
      <c r="X1085" s="10">
        <v>-23.506</v>
      </c>
      <c r="Y1085" s="10">
        <v>4.7939999999999996</v>
      </c>
      <c r="Z1085" s="10">
        <v>-21.916</v>
      </c>
      <c r="AA1085" s="10">
        <v>-6.0190000000000001</v>
      </c>
      <c r="AB1085" s="10">
        <v>-0.36499999999999999</v>
      </c>
      <c r="AC1085" s="8">
        <v>0</v>
      </c>
      <c r="AD1085" s="8">
        <v>0</v>
      </c>
      <c r="AE1085" s="8">
        <v>0</v>
      </c>
      <c r="AF1085" s="10">
        <v>0</v>
      </c>
      <c r="AG1085" s="8">
        <f>COUNTIF(Y1085:AB1085,"&gt;0")</f>
        <v>1</v>
      </c>
      <c r="AH1085" s="10">
        <v>0</v>
      </c>
      <c r="AI1085" s="10">
        <v>4.7939999999999996</v>
      </c>
      <c r="AJ1085" s="8" t="str">
        <f>IF(ISNUMBER(X1085),IF(X1085&gt;0,"+",IF(X1085&lt;0,"−","0")),IF(ISNUMBER(W1085),IF(W1085&gt;0,"+",IF(W1085&lt;0,"−","0")),"yok"))</f>
        <v>−</v>
      </c>
      <c r="AK1085" s="10">
        <f>IF(AND(RIGHT(C1085,2)&lt;&gt;"12",ISNUMBER(U1085),ISNUMBER(V1085)),U1085-V1085,"")</f>
        <v>-23.141999999999999</v>
      </c>
      <c r="AL1085" s="11">
        <f>IF(AND(ISNUMBER(AK1085),ISNUMBER(V1085)),IF(V1085&lt;&gt;0,AK1085/ABS(V1085),""),"")</f>
        <v>-0.95798319327731085</v>
      </c>
      <c r="AM1085" s="8">
        <f>IF(ISNUMBER(AK1085),IF(AK1085&gt;1,1,0),"")</f>
        <v>0</v>
      </c>
      <c r="AN1085" s="8">
        <f>IF(ISNUMBER(AK1085),IF(AK1085&gt;0.05*ABS(V1085),1,0),"")</f>
        <v>0</v>
      </c>
      <c r="AO1085" s="10"/>
      <c r="AP1085" s="10"/>
      <c r="AQ1085" s="10"/>
      <c r="AR1085" s="8">
        <v>0</v>
      </c>
      <c r="AS1085" s="10"/>
      <c r="AT1085" s="10"/>
      <c r="AU1085" s="10"/>
      <c r="AV1085" s="10">
        <v>4.7939999999999996</v>
      </c>
      <c r="AW1085" s="11" t="str">
        <f>IF(AND(ISNUMBER(AV1085),ISNUMBER(AT1085)),IF(AT1085&lt;&gt;0,AV1085/ABS(AT1085),""),"")</f>
        <v/>
      </c>
      <c r="AX1085" s="8">
        <v>0</v>
      </c>
      <c r="AY1085" s="8">
        <v>0</v>
      </c>
      <c r="AZ1085" s="10"/>
      <c r="BA1085" s="8">
        <v>0</v>
      </c>
    </row>
    <row r="1086" spans="1:53" x14ac:dyDescent="0.2">
      <c r="A1086" s="8" t="s">
        <v>694</v>
      </c>
      <c r="B1086" s="8" t="s">
        <v>84</v>
      </c>
      <c r="C1086" s="8" t="s">
        <v>203</v>
      </c>
      <c r="D1086" s="8">
        <v>0</v>
      </c>
      <c r="E1086" s="8">
        <v>1</v>
      </c>
      <c r="F1086" s="8">
        <f>SUM(G1086:M1086)</f>
        <v>1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1</v>
      </c>
      <c r="N1086" s="8">
        <v>0</v>
      </c>
      <c r="O1086" s="8">
        <v>0</v>
      </c>
      <c r="P1086" s="8">
        <v>1</v>
      </c>
      <c r="Q1086" s="8">
        <v>0</v>
      </c>
      <c r="R1086" s="8">
        <v>0</v>
      </c>
      <c r="S1086" s="8">
        <v>0</v>
      </c>
      <c r="T1086" s="10">
        <v>-510.43</v>
      </c>
      <c r="U1086" s="10">
        <v>-1449.16</v>
      </c>
      <c r="V1086" s="10">
        <v>-352.58100000000002</v>
      </c>
      <c r="W1086" s="10">
        <f>IF(RIGHT(C1086,2)="12",IF(ISNUMBER(T1086),T1086,""),IF(COUNT(T1086,U1086,V1086)=3,T1086+U1086-V1086,""))</f>
        <v>-1607.009</v>
      </c>
      <c r="X1086" s="10">
        <v>-1607.008</v>
      </c>
      <c r="Y1086" s="10">
        <v>-259.512</v>
      </c>
      <c r="Z1086" s="10">
        <v>50.125</v>
      </c>
      <c r="AA1086" s="10">
        <v>-887.19</v>
      </c>
      <c r="AB1086" s="10">
        <v>-510.43</v>
      </c>
      <c r="AC1086" s="8">
        <v>0</v>
      </c>
      <c r="AD1086" s="8">
        <v>0</v>
      </c>
      <c r="AE1086" s="8">
        <v>0</v>
      </c>
      <c r="AF1086" s="10">
        <v>0</v>
      </c>
      <c r="AG1086" s="8">
        <f>COUNTIF(Y1086:AB1086,"&gt;0")</f>
        <v>1</v>
      </c>
      <c r="AH1086" s="10">
        <v>0</v>
      </c>
      <c r="AI1086" s="10">
        <v>50.125</v>
      </c>
      <c r="AJ1086" s="8" t="str">
        <f>IF(ISNUMBER(X1086),IF(X1086&gt;0,"+",IF(X1086&lt;0,"−","0")),IF(ISNUMBER(W1086),IF(W1086&gt;0,"+",IF(W1086&lt;0,"−","0")),"yok"))</f>
        <v>−</v>
      </c>
      <c r="AK1086" s="10">
        <f>IF(AND(RIGHT(C1086,2)&lt;&gt;"12",ISNUMBER(U1086),ISNUMBER(V1086)),U1086-V1086,"")</f>
        <v>-1096.5790000000002</v>
      </c>
      <c r="AL1086" s="11">
        <f>IF(AND(ISNUMBER(AK1086),ISNUMBER(V1086)),IF(V1086&lt;&gt;0,AK1086/ABS(V1086),""),"")</f>
        <v>-3.1101477391010866</v>
      </c>
      <c r="AM1086" s="8">
        <f>IF(ISNUMBER(AK1086),IF(AK1086&gt;1,1,0),"")</f>
        <v>0</v>
      </c>
      <c r="AN1086" s="8">
        <f>IF(ISNUMBER(AK1086),IF(AK1086&gt;0.05*ABS(V1086),1,0),"")</f>
        <v>0</v>
      </c>
      <c r="AO1086" s="10"/>
      <c r="AP1086" s="10"/>
      <c r="AQ1086" s="10"/>
      <c r="AR1086" s="8">
        <v>0</v>
      </c>
      <c r="AS1086" s="10"/>
      <c r="AT1086" s="10"/>
      <c r="AU1086" s="10"/>
      <c r="AV1086" s="10">
        <v>50.125</v>
      </c>
      <c r="AW1086" s="11" t="str">
        <f>IF(AND(ISNUMBER(AV1086),ISNUMBER(AT1086)),IF(AT1086&lt;&gt;0,AV1086/ABS(AT1086),""),"")</f>
        <v/>
      </c>
      <c r="AX1086" s="8">
        <v>0</v>
      </c>
      <c r="AY1086" s="8">
        <v>0</v>
      </c>
      <c r="AZ1086" s="10"/>
      <c r="BA1086" s="8">
        <v>0</v>
      </c>
    </row>
    <row r="1087" spans="1:53" x14ac:dyDescent="0.2">
      <c r="A1087" s="8" t="s">
        <v>694</v>
      </c>
      <c r="B1087" s="8" t="s">
        <v>84</v>
      </c>
      <c r="C1087" s="8" t="s">
        <v>205</v>
      </c>
      <c r="D1087" s="8">
        <v>0</v>
      </c>
      <c r="E1087" s="8">
        <v>1</v>
      </c>
      <c r="F1087" s="8">
        <f>SUM(G1087:M1087)</f>
        <v>1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1</v>
      </c>
      <c r="N1087" s="8">
        <v>0</v>
      </c>
      <c r="O1087" s="8">
        <v>0</v>
      </c>
      <c r="P1087" s="8">
        <v>1</v>
      </c>
      <c r="Q1087" s="8">
        <v>0</v>
      </c>
      <c r="R1087" s="8">
        <v>0</v>
      </c>
      <c r="S1087" s="8">
        <v>0</v>
      </c>
      <c r="T1087" s="10">
        <v>-880.26099999999997</v>
      </c>
      <c r="U1087" s="10">
        <v>-1449.16</v>
      </c>
      <c r="V1087" s="10">
        <v>-612.09400000000005</v>
      </c>
      <c r="W1087" s="10">
        <f>IF(RIGHT(C1087,2)="12",IF(ISNUMBER(T1087),T1087,""),IF(COUNT(T1087,U1087,V1087)=3,T1087+U1087-V1087,""))</f>
        <v>-1717.3270000000002</v>
      </c>
      <c r="X1087" s="10">
        <v>-1717.326</v>
      </c>
      <c r="Y1087" s="10">
        <v>50.125</v>
      </c>
      <c r="Z1087" s="10">
        <v>-887.19</v>
      </c>
      <c r="AA1087" s="10">
        <v>-510.43</v>
      </c>
      <c r="AB1087" s="10">
        <v>-369.83</v>
      </c>
      <c r="AC1087" s="8">
        <v>0</v>
      </c>
      <c r="AD1087" s="8">
        <v>0</v>
      </c>
      <c r="AE1087" s="8">
        <v>0</v>
      </c>
      <c r="AF1087" s="10">
        <v>0</v>
      </c>
      <c r="AG1087" s="8">
        <f>COUNTIF(Y1087:AB1087,"&gt;0")</f>
        <v>1</v>
      </c>
      <c r="AH1087" s="10">
        <v>0</v>
      </c>
      <c r="AI1087" s="10">
        <v>50.125</v>
      </c>
      <c r="AJ1087" s="8" t="str">
        <f>IF(ISNUMBER(X1087),IF(X1087&gt;0,"+",IF(X1087&lt;0,"−","0")),IF(ISNUMBER(W1087),IF(W1087&gt;0,"+",IF(W1087&lt;0,"−","0")),"yok"))</f>
        <v>−</v>
      </c>
      <c r="AK1087" s="10">
        <f>IF(AND(RIGHT(C1087,2)&lt;&gt;"12",ISNUMBER(U1087),ISNUMBER(V1087)),U1087-V1087,"")</f>
        <v>-837.06600000000003</v>
      </c>
      <c r="AL1087" s="11">
        <f>IF(AND(ISNUMBER(AK1087),ISNUMBER(V1087)),IF(V1087&lt;&gt;0,AK1087/ABS(V1087),""),"")</f>
        <v>-1.3675448542217372</v>
      </c>
      <c r="AM1087" s="8">
        <f>IF(ISNUMBER(AK1087),IF(AK1087&gt;1,1,0),"")</f>
        <v>0</v>
      </c>
      <c r="AN1087" s="8">
        <f>IF(ISNUMBER(AK1087),IF(AK1087&gt;0.05*ABS(V1087),1,0),"")</f>
        <v>0</v>
      </c>
      <c r="AO1087" s="10"/>
      <c r="AP1087" s="10"/>
      <c r="AQ1087" s="10"/>
      <c r="AR1087" s="8">
        <v>0</v>
      </c>
      <c r="AS1087" s="10"/>
      <c r="AT1087" s="10"/>
      <c r="AU1087" s="10"/>
      <c r="AV1087" s="10">
        <v>50.125</v>
      </c>
      <c r="AW1087" s="11" t="str">
        <f>IF(AND(ISNUMBER(AV1087),ISNUMBER(AT1087)),IF(AT1087&lt;&gt;0,AV1087/ABS(AT1087),""),"")</f>
        <v/>
      </c>
      <c r="AX1087" s="8">
        <v>0</v>
      </c>
      <c r="AY1087" s="8">
        <v>0</v>
      </c>
      <c r="AZ1087" s="10"/>
      <c r="BA1087" s="8">
        <v>0</v>
      </c>
    </row>
    <row r="1088" spans="1:53" x14ac:dyDescent="0.2">
      <c r="A1088" s="8" t="s">
        <v>695</v>
      </c>
      <c r="B1088" s="8" t="s">
        <v>83</v>
      </c>
      <c r="C1088" s="8" t="s">
        <v>203</v>
      </c>
      <c r="D1088" s="8">
        <v>0</v>
      </c>
      <c r="E1088" s="8">
        <v>1</v>
      </c>
      <c r="F1088" s="8">
        <f>SUM(G1088:M1088)</f>
        <v>1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1</v>
      </c>
      <c r="N1088" s="8">
        <v>1</v>
      </c>
      <c r="O1088" s="8">
        <v>0</v>
      </c>
      <c r="P1088" s="8">
        <v>1</v>
      </c>
      <c r="Q1088" s="8">
        <v>0</v>
      </c>
      <c r="R1088" s="8">
        <v>0</v>
      </c>
      <c r="S1088" s="8">
        <v>0</v>
      </c>
      <c r="T1088" s="10">
        <v>0</v>
      </c>
      <c r="U1088" s="10">
        <v>-0.41399999999999998</v>
      </c>
      <c r="V1088" s="10">
        <v>-1.327</v>
      </c>
      <c r="W1088" s="10">
        <f>IF(RIGHT(C1088,2)="12",IF(ISNUMBER(T1088),T1088,""),IF(COUNT(T1088,U1088,V1088)=3,T1088+U1088-V1088,""))</f>
        <v>0.91300000000000003</v>
      </c>
      <c r="X1088" s="10">
        <v>0.91300000000000003</v>
      </c>
      <c r="Y1088" s="10">
        <v>1.0409999999999999</v>
      </c>
      <c r="Z1088" s="10">
        <v>2.1999999999999999E-2</v>
      </c>
      <c r="AA1088" s="10">
        <v>-0.15</v>
      </c>
      <c r="AB1088" s="10">
        <v>0</v>
      </c>
      <c r="AC1088" s="8">
        <v>0</v>
      </c>
      <c r="AD1088" s="8">
        <v>0</v>
      </c>
      <c r="AE1088" s="8">
        <v>0</v>
      </c>
      <c r="AF1088" s="10">
        <v>0</v>
      </c>
      <c r="AG1088" s="8">
        <f>COUNTIF(Y1088:AB1088,"&gt;0")</f>
        <v>2</v>
      </c>
      <c r="AH1088" s="10">
        <v>0</v>
      </c>
      <c r="AI1088" s="10">
        <v>1.0629999999999999</v>
      </c>
      <c r="AJ1088" s="8" t="str">
        <f>IF(ISNUMBER(X1088),IF(X1088&gt;0,"+",IF(X1088&lt;0,"−","0")),IF(ISNUMBER(W1088),IF(W1088&gt;0,"+",IF(W1088&lt;0,"−","0")),"yok"))</f>
        <v>+</v>
      </c>
      <c r="AK1088" s="10">
        <f>IF(AND(RIGHT(C1088,2)&lt;&gt;"12",ISNUMBER(U1088),ISNUMBER(V1088)),U1088-V1088,"")</f>
        <v>0.91300000000000003</v>
      </c>
      <c r="AL1088" s="11">
        <f>IF(AND(ISNUMBER(AK1088),ISNUMBER(V1088)),IF(V1088&lt;&gt;0,AK1088/ABS(V1088),""),"")</f>
        <v>0.68801808590806335</v>
      </c>
      <c r="AM1088" s="8">
        <f>IF(ISNUMBER(AK1088),IF(AK1088&gt;1,1,0),"")</f>
        <v>0</v>
      </c>
      <c r="AN1088" s="8">
        <f>IF(ISNUMBER(AK1088),IF(AK1088&gt;0.05*ABS(V1088),1,0),"")</f>
        <v>1</v>
      </c>
      <c r="AO1088" s="10"/>
      <c r="AP1088" s="10"/>
      <c r="AQ1088" s="10"/>
      <c r="AR1088" s="8">
        <v>0</v>
      </c>
      <c r="AS1088" s="10"/>
      <c r="AT1088" s="10"/>
      <c r="AU1088" s="10"/>
      <c r="AV1088" s="10">
        <v>0.91300000000000003</v>
      </c>
      <c r="AW1088" s="11" t="str">
        <f>IF(AND(ISNUMBER(AV1088),ISNUMBER(AT1088)),IF(AT1088&lt;&gt;0,AV1088/ABS(AT1088),""),"")</f>
        <v/>
      </c>
      <c r="AX1088" s="8">
        <v>0</v>
      </c>
      <c r="AY1088" s="8">
        <v>0</v>
      </c>
      <c r="AZ1088" s="10"/>
      <c r="BA1088" s="8">
        <v>0</v>
      </c>
    </row>
    <row r="1089" spans="1:53" x14ac:dyDescent="0.2">
      <c r="A1089" s="8" t="s">
        <v>696</v>
      </c>
      <c r="B1089" s="8" t="s">
        <v>82</v>
      </c>
      <c r="C1089" s="8" t="s">
        <v>208</v>
      </c>
      <c r="D1089" s="8">
        <v>0</v>
      </c>
      <c r="E1089" s="8">
        <v>1</v>
      </c>
      <c r="F1089" s="8">
        <f>SUM(G1089:M1089)</f>
        <v>1</v>
      </c>
      <c r="G1089" s="8">
        <v>0</v>
      </c>
      <c r="H1089" s="8">
        <v>0</v>
      </c>
      <c r="I1089" s="8">
        <v>0</v>
      </c>
      <c r="J1089" s="8">
        <v>1</v>
      </c>
      <c r="K1089" s="8">
        <v>0</v>
      </c>
      <c r="L1089" s="8">
        <v>0</v>
      </c>
      <c r="M1089" s="8">
        <v>0</v>
      </c>
      <c r="N1089" s="8">
        <v>0</v>
      </c>
      <c r="O1089" s="8">
        <v>1</v>
      </c>
      <c r="P1089" s="8">
        <v>0</v>
      </c>
      <c r="Q1089" s="8">
        <v>0</v>
      </c>
      <c r="R1089" s="8">
        <v>0</v>
      </c>
      <c r="S1089" s="8">
        <v>0</v>
      </c>
      <c r="T1089" s="10">
        <v>0</v>
      </c>
      <c r="U1089" s="10">
        <v>0</v>
      </c>
      <c r="V1089" s="10">
        <v>0.96499999999999997</v>
      </c>
      <c r="W1089" s="10">
        <f>IF(RIGHT(C1089,2)="12",IF(ISNUMBER(T1089),T1089,""),IF(COUNT(T1089,U1089,V1089)=3,T1089+U1089-V1089,""))</f>
        <v>-0.96499999999999997</v>
      </c>
      <c r="X1089" s="10">
        <v>-0.96499999999999997</v>
      </c>
      <c r="Y1089" s="10"/>
      <c r="Z1089" s="10"/>
      <c r="AA1089" s="10"/>
      <c r="AB1089" s="10">
        <v>0</v>
      </c>
      <c r="AC1089" s="8">
        <v>0</v>
      </c>
      <c r="AD1089" s="8">
        <v>0</v>
      </c>
      <c r="AE1089" s="8">
        <v>1</v>
      </c>
      <c r="AF1089" s="10">
        <v>0.96499999999999997</v>
      </c>
      <c r="AG1089" s="8">
        <f>COUNTIF(Y1089:AB1089,"&gt;0")</f>
        <v>0</v>
      </c>
      <c r="AH1089" s="10">
        <v>0</v>
      </c>
      <c r="AI1089" s="10">
        <v>0</v>
      </c>
      <c r="AJ1089" s="8" t="str">
        <f>IF(ISNUMBER(X1089),IF(X1089&gt;0,"+",IF(X1089&lt;0,"−","0")),IF(ISNUMBER(W1089),IF(W1089&gt;0,"+",IF(W1089&lt;0,"−","0")),"yok"))</f>
        <v>−</v>
      </c>
      <c r="AK1089" s="10">
        <f>IF(AND(RIGHT(C1089,2)&lt;&gt;"12",ISNUMBER(U1089),ISNUMBER(V1089)),U1089-V1089,"")</f>
        <v>-0.96499999999999997</v>
      </c>
      <c r="AL1089" s="11">
        <f>IF(AND(ISNUMBER(AK1089),ISNUMBER(V1089)),IF(V1089&lt;&gt;0,AK1089/ABS(V1089),""),"")</f>
        <v>-1</v>
      </c>
      <c r="AM1089" s="8">
        <f>IF(ISNUMBER(AK1089),IF(AK1089&gt;1,1,0),"")</f>
        <v>0</v>
      </c>
      <c r="AN1089" s="8">
        <f>IF(ISNUMBER(AK1089),IF(AK1089&gt;0.05*ABS(V1089),1,0),"")</f>
        <v>0</v>
      </c>
      <c r="AO1089" s="10"/>
      <c r="AP1089" s="10"/>
      <c r="AQ1089" s="10"/>
      <c r="AR1089" s="8">
        <v>0</v>
      </c>
      <c r="AS1089" s="10"/>
      <c r="AT1089" s="10"/>
      <c r="AU1089" s="10"/>
      <c r="AV1089" s="10">
        <v>0.96499999999999997</v>
      </c>
      <c r="AW1089" s="11" t="str">
        <f>IF(AND(ISNUMBER(AV1089),ISNUMBER(AT1089)),IF(AT1089&lt;&gt;0,AV1089/ABS(AT1089),""),"")</f>
        <v/>
      </c>
      <c r="AX1089" s="8">
        <v>1</v>
      </c>
      <c r="AY1089" s="8">
        <v>0</v>
      </c>
      <c r="AZ1089" s="8" t="s">
        <v>697</v>
      </c>
      <c r="BA1089" s="8">
        <v>0</v>
      </c>
    </row>
    <row r="1090" spans="1:53" x14ac:dyDescent="0.2">
      <c r="A1090" s="8" t="s">
        <v>696</v>
      </c>
      <c r="B1090" s="8" t="s">
        <v>83</v>
      </c>
      <c r="C1090" s="8" t="s">
        <v>208</v>
      </c>
      <c r="D1090" s="8">
        <v>0</v>
      </c>
      <c r="E1090" s="8">
        <v>1</v>
      </c>
      <c r="F1090" s="8">
        <f>SUM(G1090:M1090)</f>
        <v>1</v>
      </c>
      <c r="G1090" s="8">
        <v>0</v>
      </c>
      <c r="H1090" s="8">
        <v>0</v>
      </c>
      <c r="I1090" s="8">
        <v>0</v>
      </c>
      <c r="J1090" s="8">
        <v>0</v>
      </c>
      <c r="K1090" s="8">
        <v>1</v>
      </c>
      <c r="L1090" s="8">
        <v>0</v>
      </c>
      <c r="M1090" s="8">
        <v>0</v>
      </c>
      <c r="N1090" s="8">
        <v>0</v>
      </c>
      <c r="O1090" s="8">
        <v>1</v>
      </c>
      <c r="P1090" s="8">
        <v>1</v>
      </c>
      <c r="Q1090" s="8">
        <v>0</v>
      </c>
      <c r="R1090" s="8">
        <v>0</v>
      </c>
      <c r="S1090" s="8">
        <v>0</v>
      </c>
      <c r="T1090" s="10">
        <v>9.0329999999999995</v>
      </c>
      <c r="U1090" s="10">
        <v>-236.63</v>
      </c>
      <c r="V1090" s="10">
        <v>0</v>
      </c>
      <c r="W1090" s="10">
        <f>IF(RIGHT(C1090,2)="12",IF(ISNUMBER(T1090),T1090,""),IF(COUNT(T1090,U1090,V1090)=3,T1090+U1090-V1090,""))</f>
        <v>-227.59700000000001</v>
      </c>
      <c r="X1090" s="10">
        <v>-227.596</v>
      </c>
      <c r="Y1090" s="10">
        <v>83.509</v>
      </c>
      <c r="Z1090" s="10">
        <v>-275.17700000000002</v>
      </c>
      <c r="AA1090" s="10">
        <v>-44.962000000000003</v>
      </c>
      <c r="AB1090" s="10">
        <v>9.0329999999999995</v>
      </c>
      <c r="AC1090" s="8">
        <v>1</v>
      </c>
      <c r="AD1090" s="8">
        <v>0</v>
      </c>
      <c r="AE1090" s="8">
        <v>0</v>
      </c>
      <c r="AF1090" s="10">
        <v>9.0329999999999995</v>
      </c>
      <c r="AG1090" s="8">
        <f>COUNTIF(Y1090:AB1090,"&gt;0")</f>
        <v>2</v>
      </c>
      <c r="AH1090" s="10">
        <v>0</v>
      </c>
      <c r="AI1090" s="10">
        <v>83.509</v>
      </c>
      <c r="AJ1090" s="8" t="str">
        <f>IF(ISNUMBER(X1090),IF(X1090&gt;0,"+",IF(X1090&lt;0,"−","0")),IF(ISNUMBER(W1090),IF(W1090&gt;0,"+",IF(W1090&lt;0,"−","0")),"yok"))</f>
        <v>−</v>
      </c>
      <c r="AK1090" s="10">
        <f>IF(AND(RIGHT(C1090,2)&lt;&gt;"12",ISNUMBER(U1090),ISNUMBER(V1090)),U1090-V1090,"")</f>
        <v>-236.63</v>
      </c>
      <c r="AL1090" s="11" t="str">
        <f>IF(AND(ISNUMBER(AK1090),ISNUMBER(V1090)),IF(V1090&lt;&gt;0,AK1090/ABS(V1090),""),"")</f>
        <v/>
      </c>
      <c r="AM1090" s="8">
        <f>IF(ISNUMBER(AK1090),IF(AK1090&gt;1,1,0),"")</f>
        <v>0</v>
      </c>
      <c r="AN1090" s="8">
        <f>IF(ISNUMBER(AK1090),IF(AK1090&gt;0.05*ABS(V1090),1,0),"")</f>
        <v>0</v>
      </c>
      <c r="AO1090" s="10"/>
      <c r="AP1090" s="10"/>
      <c r="AQ1090" s="10"/>
      <c r="AR1090" s="8">
        <v>0</v>
      </c>
      <c r="AS1090" s="10"/>
      <c r="AT1090" s="10"/>
      <c r="AU1090" s="10"/>
      <c r="AV1090" s="10">
        <v>9.0329999999999995</v>
      </c>
      <c r="AW1090" s="11" t="str">
        <f>IF(AND(ISNUMBER(AV1090),ISNUMBER(AT1090)),IF(AT1090&lt;&gt;0,AV1090/ABS(AT1090),""),"")</f>
        <v/>
      </c>
      <c r="AX1090" s="8">
        <v>1</v>
      </c>
      <c r="AY1090" s="8">
        <v>0</v>
      </c>
      <c r="AZ1090" s="8" t="s">
        <v>698</v>
      </c>
      <c r="BA1090" s="8">
        <v>0</v>
      </c>
    </row>
    <row r="1091" spans="1:53" x14ac:dyDescent="0.2">
      <c r="A1091" s="8" t="s">
        <v>696</v>
      </c>
      <c r="B1091" s="8" t="s">
        <v>83</v>
      </c>
      <c r="C1091" s="8" t="s">
        <v>210</v>
      </c>
      <c r="D1091" s="8">
        <v>0</v>
      </c>
      <c r="E1091" s="8">
        <v>1</v>
      </c>
      <c r="F1091" s="8">
        <f>SUM(G1091:M1091)</f>
        <v>1</v>
      </c>
      <c r="G1091" s="8">
        <v>0</v>
      </c>
      <c r="H1091" s="8">
        <v>0</v>
      </c>
      <c r="I1091" s="8">
        <v>0</v>
      </c>
      <c r="J1091" s="8">
        <v>0</v>
      </c>
      <c r="K1091" s="8">
        <v>1</v>
      </c>
      <c r="L1091" s="8">
        <v>0</v>
      </c>
      <c r="M1091" s="8">
        <v>0</v>
      </c>
      <c r="N1091" s="8">
        <v>0</v>
      </c>
      <c r="O1091" s="8">
        <v>1</v>
      </c>
      <c r="P1091" s="8">
        <v>1</v>
      </c>
      <c r="Q1091" s="8">
        <v>0</v>
      </c>
      <c r="R1091" s="8">
        <v>0</v>
      </c>
      <c r="S1091" s="8">
        <v>0</v>
      </c>
      <c r="T1091" s="10">
        <v>0.54</v>
      </c>
      <c r="U1091" s="10">
        <v>-236.63</v>
      </c>
      <c r="V1091" s="10">
        <v>83.509</v>
      </c>
      <c r="W1091" s="10">
        <f>IF(RIGHT(C1091,2)="12",IF(ISNUMBER(T1091),T1091,""),IF(COUNT(T1091,U1091,V1091)=3,T1091+U1091-V1091,""))</f>
        <v>-319.59899999999999</v>
      </c>
      <c r="X1091" s="10">
        <v>-319.59899999999999</v>
      </c>
      <c r="Y1091" s="10">
        <v>-275.17700000000002</v>
      </c>
      <c r="Z1091" s="10">
        <v>-44.962000000000003</v>
      </c>
      <c r="AA1091" s="10">
        <v>9.0329999999999995</v>
      </c>
      <c r="AB1091" s="10">
        <v>-8.4930000000000003</v>
      </c>
      <c r="AC1091" s="8">
        <v>1</v>
      </c>
      <c r="AD1091" s="8">
        <v>0</v>
      </c>
      <c r="AE1091" s="8">
        <v>1</v>
      </c>
      <c r="AF1091" s="10">
        <v>83.509</v>
      </c>
      <c r="AG1091" s="8">
        <f>COUNTIF(Y1091:AB1091,"&gt;0")</f>
        <v>1</v>
      </c>
      <c r="AH1091" s="10">
        <v>0</v>
      </c>
      <c r="AI1091" s="10">
        <v>0</v>
      </c>
      <c r="AJ1091" s="8" t="str">
        <f>IF(ISNUMBER(X1091),IF(X1091&gt;0,"+",IF(X1091&lt;0,"−","0")),IF(ISNUMBER(W1091),IF(W1091&gt;0,"+",IF(W1091&lt;0,"−","0")),"yok"))</f>
        <v>−</v>
      </c>
      <c r="AK1091" s="10">
        <f>IF(AND(RIGHT(C1091,2)&lt;&gt;"12",ISNUMBER(U1091),ISNUMBER(V1091)),U1091-V1091,"")</f>
        <v>-320.13900000000001</v>
      </c>
      <c r="AL1091" s="11">
        <f>IF(AND(ISNUMBER(AK1091),ISNUMBER(V1091)),IF(V1091&lt;&gt;0,AK1091/ABS(V1091),""),"")</f>
        <v>-3.8335867990276498</v>
      </c>
      <c r="AM1091" s="8">
        <f>IF(ISNUMBER(AK1091),IF(AK1091&gt;1,1,0),"")</f>
        <v>0</v>
      </c>
      <c r="AN1091" s="8">
        <f>IF(ISNUMBER(AK1091),IF(AK1091&gt;0.05*ABS(V1091),1,0),"")</f>
        <v>0</v>
      </c>
      <c r="AO1091" s="10"/>
      <c r="AP1091" s="10"/>
      <c r="AQ1091" s="10"/>
      <c r="AR1091" s="8">
        <v>0</v>
      </c>
      <c r="AS1091" s="10"/>
      <c r="AT1091" s="10"/>
      <c r="AU1091" s="10"/>
      <c r="AV1091" s="10">
        <v>83.509</v>
      </c>
      <c r="AW1091" s="11" t="str">
        <f>IF(AND(ISNUMBER(AV1091),ISNUMBER(AT1091)),IF(AT1091&lt;&gt;0,AV1091/ABS(AT1091),""),"")</f>
        <v/>
      </c>
      <c r="AX1091" s="8">
        <v>1</v>
      </c>
      <c r="AY1091" s="8">
        <v>0</v>
      </c>
      <c r="AZ1091" s="8" t="s">
        <v>699</v>
      </c>
      <c r="BA1091" s="8">
        <v>0</v>
      </c>
    </row>
    <row r="1092" spans="1:53" x14ac:dyDescent="0.2">
      <c r="A1092" s="8" t="s">
        <v>700</v>
      </c>
      <c r="B1092" s="8" t="s">
        <v>83</v>
      </c>
      <c r="C1092" s="8" t="s">
        <v>205</v>
      </c>
      <c r="D1092" s="8">
        <v>0</v>
      </c>
      <c r="E1092" s="8">
        <v>1</v>
      </c>
      <c r="F1092" s="8">
        <f>SUM(G1092:M1092)</f>
        <v>1</v>
      </c>
      <c r="G1092" s="8">
        <v>0</v>
      </c>
      <c r="H1092" s="8">
        <v>0</v>
      </c>
      <c r="I1092" s="8">
        <v>0</v>
      </c>
      <c r="J1092" s="8">
        <v>0</v>
      </c>
      <c r="K1092" s="8">
        <v>1</v>
      </c>
      <c r="L1092" s="8">
        <v>0</v>
      </c>
      <c r="M1092" s="8">
        <v>0</v>
      </c>
      <c r="N1092" s="8">
        <v>0</v>
      </c>
      <c r="O1092" s="8">
        <v>1</v>
      </c>
      <c r="P1092" s="8">
        <v>0</v>
      </c>
      <c r="Q1092" s="8">
        <v>0</v>
      </c>
      <c r="R1092" s="8">
        <v>0</v>
      </c>
      <c r="S1092" s="8">
        <v>0</v>
      </c>
      <c r="T1092" s="10">
        <v>-2.4670000000000001</v>
      </c>
      <c r="U1092" s="10">
        <v>-3.9E-2</v>
      </c>
      <c r="V1092" s="10">
        <v>3.01</v>
      </c>
      <c r="W1092" s="10">
        <f>IF(RIGHT(C1092,2)="12",IF(ISNUMBER(T1092),T1092,""),IF(COUNT(T1092,U1092,V1092)=3,T1092+U1092-V1092,""))</f>
        <v>-5.516</v>
      </c>
      <c r="X1092" s="10">
        <v>-5.5170000000000003</v>
      </c>
      <c r="Y1092" s="10"/>
      <c r="Z1092" s="10"/>
      <c r="AA1092" s="10">
        <v>-2.4350000000000001</v>
      </c>
      <c r="AB1092" s="10">
        <v>-3.1E-2</v>
      </c>
      <c r="AC1092" s="8">
        <v>0</v>
      </c>
      <c r="AD1092" s="8">
        <v>0</v>
      </c>
      <c r="AE1092" s="8">
        <v>1</v>
      </c>
      <c r="AF1092" s="10">
        <v>3.01</v>
      </c>
      <c r="AG1092" s="8">
        <f>COUNTIF(Y1092:AB1092,"&gt;0")</f>
        <v>0</v>
      </c>
      <c r="AH1092" s="10">
        <v>0</v>
      </c>
      <c r="AI1092" s="10">
        <v>0</v>
      </c>
      <c r="AJ1092" s="8" t="str">
        <f>IF(ISNUMBER(X1092),IF(X1092&gt;0,"+",IF(X1092&lt;0,"−","0")),IF(ISNUMBER(W1092),IF(W1092&gt;0,"+",IF(W1092&lt;0,"−","0")),"yok"))</f>
        <v>−</v>
      </c>
      <c r="AK1092" s="10">
        <f>IF(AND(RIGHT(C1092,2)&lt;&gt;"12",ISNUMBER(U1092),ISNUMBER(V1092)),U1092-V1092,"")</f>
        <v>-3.0489999999999999</v>
      </c>
      <c r="AL1092" s="11">
        <f>IF(AND(ISNUMBER(AK1092),ISNUMBER(V1092)),IF(V1092&lt;&gt;0,AK1092/ABS(V1092),""),"")</f>
        <v>-1.0129568106312292</v>
      </c>
      <c r="AM1092" s="8">
        <f>IF(ISNUMBER(AK1092),IF(AK1092&gt;1,1,0),"")</f>
        <v>0</v>
      </c>
      <c r="AN1092" s="8">
        <f>IF(ISNUMBER(AK1092),IF(AK1092&gt;0.05*ABS(V1092),1,0),"")</f>
        <v>0</v>
      </c>
      <c r="AO1092" s="10"/>
      <c r="AP1092" s="10"/>
      <c r="AQ1092" s="10"/>
      <c r="AR1092" s="8">
        <v>0</v>
      </c>
      <c r="AS1092" s="10"/>
      <c r="AT1092" s="10"/>
      <c r="AU1092" s="10"/>
      <c r="AV1092" s="10">
        <v>3.01</v>
      </c>
      <c r="AW1092" s="11" t="str">
        <f>IF(AND(ISNUMBER(AV1092),ISNUMBER(AT1092)),IF(AT1092&lt;&gt;0,AV1092/ABS(AT1092),""),"")</f>
        <v/>
      </c>
      <c r="AX1092" s="8">
        <v>1</v>
      </c>
      <c r="AY1092" s="8">
        <v>0</v>
      </c>
      <c r="AZ1092" s="8" t="s">
        <v>701</v>
      </c>
      <c r="BA1092" s="8">
        <v>0</v>
      </c>
    </row>
    <row r="1093" spans="1:53" x14ac:dyDescent="0.2">
      <c r="A1093" s="8" t="s">
        <v>702</v>
      </c>
      <c r="B1093" s="8" t="s">
        <v>83</v>
      </c>
      <c r="C1093" s="8" t="s">
        <v>203</v>
      </c>
      <c r="D1093" s="8">
        <v>0</v>
      </c>
      <c r="E1093" s="8">
        <v>1</v>
      </c>
      <c r="F1093" s="8">
        <f>SUM(G1093:M1093)</f>
        <v>1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1</v>
      </c>
      <c r="N1093" s="8">
        <v>0</v>
      </c>
      <c r="O1093" s="8">
        <v>0</v>
      </c>
      <c r="P1093" s="8">
        <v>1</v>
      </c>
      <c r="Q1093" s="8">
        <v>0</v>
      </c>
      <c r="R1093" s="8">
        <v>0</v>
      </c>
      <c r="S1093" s="8">
        <v>0</v>
      </c>
      <c r="T1093" s="10">
        <v>-554.04100000000005</v>
      </c>
      <c r="U1093" s="10">
        <v>-701.80399999999997</v>
      </c>
      <c r="V1093" s="10">
        <v>-37.74</v>
      </c>
      <c r="W1093" s="10">
        <f>IF(RIGHT(C1093,2)="12",IF(ISNUMBER(T1093),T1093,""),IF(COUNT(T1093,U1093,V1093)=3,T1093+U1093-V1093,""))</f>
        <v>-1218.105</v>
      </c>
      <c r="X1093" s="10">
        <v>-1218.105</v>
      </c>
      <c r="Y1093" s="10">
        <v>-41.273000000000003</v>
      </c>
      <c r="Z1093" s="10">
        <v>9.0069999999999997</v>
      </c>
      <c r="AA1093" s="10">
        <v>-631.79700000000003</v>
      </c>
      <c r="AB1093" s="10">
        <v>-554.04100000000005</v>
      </c>
      <c r="AC1093" s="8">
        <v>0</v>
      </c>
      <c r="AD1093" s="8">
        <v>0</v>
      </c>
      <c r="AE1093" s="8">
        <v>0</v>
      </c>
      <c r="AF1093" s="10">
        <v>0</v>
      </c>
      <c r="AG1093" s="8">
        <f>COUNTIF(Y1093:AB1093,"&gt;0")</f>
        <v>1</v>
      </c>
      <c r="AH1093" s="10">
        <v>0</v>
      </c>
      <c r="AI1093" s="10">
        <v>9.0069999999999997</v>
      </c>
      <c r="AJ1093" s="8" t="str">
        <f>IF(ISNUMBER(X1093),IF(X1093&gt;0,"+",IF(X1093&lt;0,"−","0")),IF(ISNUMBER(W1093),IF(W1093&gt;0,"+",IF(W1093&lt;0,"−","0")),"yok"))</f>
        <v>−</v>
      </c>
      <c r="AK1093" s="10">
        <f>IF(AND(RIGHT(C1093,2)&lt;&gt;"12",ISNUMBER(U1093),ISNUMBER(V1093)),U1093-V1093,"")</f>
        <v>-664.06399999999996</v>
      </c>
      <c r="AL1093" s="11">
        <f>IF(AND(ISNUMBER(AK1093),ISNUMBER(V1093)),IF(V1093&lt;&gt;0,AK1093/ABS(V1093),""),"")</f>
        <v>-17.5957604663487</v>
      </c>
      <c r="AM1093" s="8">
        <f>IF(ISNUMBER(AK1093),IF(AK1093&gt;1,1,0),"")</f>
        <v>0</v>
      </c>
      <c r="AN1093" s="8">
        <f>IF(ISNUMBER(AK1093),IF(AK1093&gt;0.05*ABS(V1093),1,0),"")</f>
        <v>0</v>
      </c>
      <c r="AO1093" s="10"/>
      <c r="AP1093" s="10"/>
      <c r="AQ1093" s="10"/>
      <c r="AR1093" s="8">
        <v>0</v>
      </c>
      <c r="AS1093" s="10"/>
      <c r="AT1093" s="10"/>
      <c r="AU1093" s="10"/>
      <c r="AV1093" s="10">
        <v>9.0069999999999997</v>
      </c>
      <c r="AW1093" s="11" t="str">
        <f>IF(AND(ISNUMBER(AV1093),ISNUMBER(AT1093)),IF(AT1093&lt;&gt;0,AV1093/ABS(AT1093),""),"")</f>
        <v/>
      </c>
      <c r="AX1093" s="8">
        <v>0</v>
      </c>
      <c r="AY1093" s="8">
        <v>0</v>
      </c>
      <c r="AZ1093" s="10"/>
      <c r="BA1093" s="8">
        <v>0</v>
      </c>
    </row>
    <row r="1094" spans="1:53" x14ac:dyDescent="0.2">
      <c r="A1094" s="8" t="s">
        <v>702</v>
      </c>
      <c r="B1094" s="8" t="s">
        <v>83</v>
      </c>
      <c r="C1094" s="8" t="s">
        <v>205</v>
      </c>
      <c r="D1094" s="8">
        <v>0</v>
      </c>
      <c r="E1094" s="8">
        <v>1</v>
      </c>
      <c r="F1094" s="8">
        <f>SUM(G1094:M1094)</f>
        <v>1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  <c r="M1094" s="8">
        <v>1</v>
      </c>
      <c r="N1094" s="8">
        <v>0</v>
      </c>
      <c r="O1094" s="8">
        <v>0</v>
      </c>
      <c r="P1094" s="8">
        <v>1</v>
      </c>
      <c r="Q1094" s="8">
        <v>0</v>
      </c>
      <c r="R1094" s="8">
        <v>0</v>
      </c>
      <c r="S1094" s="8">
        <v>1</v>
      </c>
      <c r="T1094" s="10">
        <v>-278.63900000000001</v>
      </c>
      <c r="U1094" s="10">
        <v>-701.80399999999997</v>
      </c>
      <c r="V1094" s="10">
        <v>-79.013999999999996</v>
      </c>
      <c r="W1094" s="10">
        <f>IF(RIGHT(C1094,2)="12",IF(ISNUMBER(T1094),T1094,""),IF(COUNT(T1094,U1094,V1094)=3,T1094+U1094-V1094,""))</f>
        <v>-901.42899999999997</v>
      </c>
      <c r="X1094" s="10">
        <v>-901.42899999999997</v>
      </c>
      <c r="Y1094" s="10">
        <v>9.0069999999999997</v>
      </c>
      <c r="Z1094" s="10">
        <v>-631.79700000000003</v>
      </c>
      <c r="AA1094" s="10">
        <v>-554.04100000000005</v>
      </c>
      <c r="AB1094" s="10">
        <v>275.40199999999999</v>
      </c>
      <c r="AC1094" s="8">
        <v>0</v>
      </c>
      <c r="AD1094" s="8">
        <v>0</v>
      </c>
      <c r="AE1094" s="8">
        <v>0</v>
      </c>
      <c r="AF1094" s="10">
        <v>0</v>
      </c>
      <c r="AG1094" s="8">
        <f>COUNTIF(Y1094:AB1094,"&gt;0")</f>
        <v>2</v>
      </c>
      <c r="AH1094" s="10">
        <v>275.40199999999999</v>
      </c>
      <c r="AI1094" s="10">
        <v>9.0069999999999997</v>
      </c>
      <c r="AJ1094" s="8" t="str">
        <f>IF(ISNUMBER(X1094),IF(X1094&gt;0,"+",IF(X1094&lt;0,"−","0")),IF(ISNUMBER(W1094),IF(W1094&gt;0,"+",IF(W1094&lt;0,"−","0")),"yok"))</f>
        <v>−</v>
      </c>
      <c r="AK1094" s="10">
        <f>IF(AND(RIGHT(C1094,2)&lt;&gt;"12",ISNUMBER(U1094),ISNUMBER(V1094)),U1094-V1094,"")</f>
        <v>-622.79</v>
      </c>
      <c r="AL1094" s="11">
        <f>IF(AND(ISNUMBER(AK1094),ISNUMBER(V1094)),IF(V1094&lt;&gt;0,AK1094/ABS(V1094),""),"")</f>
        <v>-7.8820209076872452</v>
      </c>
      <c r="AM1094" s="8">
        <f>IF(ISNUMBER(AK1094),IF(AK1094&gt;1,1,0),"")</f>
        <v>0</v>
      </c>
      <c r="AN1094" s="8">
        <f>IF(ISNUMBER(AK1094),IF(AK1094&gt;0.05*ABS(V1094),1,0),"")</f>
        <v>0</v>
      </c>
      <c r="AO1094" s="10"/>
      <c r="AP1094" s="10"/>
      <c r="AQ1094" s="10"/>
      <c r="AR1094" s="8">
        <v>0</v>
      </c>
      <c r="AS1094" s="10"/>
      <c r="AT1094" s="10"/>
      <c r="AU1094" s="10"/>
      <c r="AV1094" s="10">
        <v>275.40199999999999</v>
      </c>
      <c r="AW1094" s="11" t="str">
        <f>IF(AND(ISNUMBER(AV1094),ISNUMBER(AT1094)),IF(AT1094&lt;&gt;0,AV1094/ABS(AT1094),""),"")</f>
        <v/>
      </c>
      <c r="AX1094" s="8">
        <v>0</v>
      </c>
      <c r="AY1094" s="8">
        <v>0</v>
      </c>
      <c r="AZ1094" s="10"/>
      <c r="BA1094" s="8">
        <v>0</v>
      </c>
    </row>
    <row r="1095" spans="1:53" x14ac:dyDescent="0.2">
      <c r="A1095" s="8" t="s">
        <v>702</v>
      </c>
      <c r="B1095" s="8" t="s">
        <v>83</v>
      </c>
      <c r="C1095" s="8" t="s">
        <v>208</v>
      </c>
      <c r="D1095" s="8">
        <v>0</v>
      </c>
      <c r="E1095" s="8">
        <v>1</v>
      </c>
      <c r="F1095" s="8">
        <f>SUM(G1095:M1095)</f>
        <v>2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1</v>
      </c>
      <c r="M1095" s="8">
        <v>1</v>
      </c>
      <c r="N1095" s="8">
        <v>0</v>
      </c>
      <c r="O1095" s="8">
        <v>0</v>
      </c>
      <c r="P1095" s="8">
        <v>1</v>
      </c>
      <c r="Q1095" s="8">
        <v>0</v>
      </c>
      <c r="R1095" s="8">
        <v>0</v>
      </c>
      <c r="S1095" s="8">
        <v>0</v>
      </c>
      <c r="T1095" s="10">
        <v>-139.672</v>
      </c>
      <c r="U1095" s="10">
        <v>-465.88200000000001</v>
      </c>
      <c r="V1095" s="10">
        <v>-554.04100000000005</v>
      </c>
      <c r="W1095" s="10">
        <f>IF(RIGHT(C1095,2)="12",IF(ISNUMBER(T1095),T1095,""),IF(COUNT(T1095,U1095,V1095)=3,T1095+U1095-V1095,""))</f>
        <v>-51.51299999999992</v>
      </c>
      <c r="X1095" s="10">
        <v>-51.514000000000003</v>
      </c>
      <c r="Y1095" s="10">
        <v>275.40199999999999</v>
      </c>
      <c r="Z1095" s="10">
        <v>-32.963000000000001</v>
      </c>
      <c r="AA1095" s="10">
        <v>-154.279</v>
      </c>
      <c r="AB1095" s="10">
        <v>-139.672</v>
      </c>
      <c r="AC1095" s="8">
        <v>0</v>
      </c>
      <c r="AD1095" s="8">
        <v>0</v>
      </c>
      <c r="AE1095" s="8">
        <v>0</v>
      </c>
      <c r="AF1095" s="10">
        <v>0</v>
      </c>
      <c r="AG1095" s="8">
        <f>COUNTIF(Y1095:AB1095,"&gt;0")</f>
        <v>1</v>
      </c>
      <c r="AH1095" s="10">
        <v>0</v>
      </c>
      <c r="AI1095" s="10">
        <v>275.40199999999999</v>
      </c>
      <c r="AJ1095" s="8" t="str">
        <f>IF(ISNUMBER(X1095),IF(X1095&gt;0,"+",IF(X1095&lt;0,"−","0")),IF(ISNUMBER(W1095),IF(W1095&gt;0,"+",IF(W1095&lt;0,"−","0")),"yok"))</f>
        <v>−</v>
      </c>
      <c r="AK1095" s="10">
        <f>IF(AND(RIGHT(C1095,2)&lt;&gt;"12",ISNUMBER(U1095),ISNUMBER(V1095)),U1095-V1095,"")</f>
        <v>88.159000000000049</v>
      </c>
      <c r="AL1095" s="11">
        <f>IF(AND(ISNUMBER(AK1095),ISNUMBER(V1095)),IF(V1095&lt;&gt;0,AK1095/ABS(V1095),""),"")</f>
        <v>0.15911999292471143</v>
      </c>
      <c r="AM1095" s="8">
        <f>IF(ISNUMBER(AK1095),IF(AK1095&gt;1,1,0),"")</f>
        <v>1</v>
      </c>
      <c r="AN1095" s="8">
        <f>IF(ISNUMBER(AK1095),IF(AK1095&gt;0.05*ABS(V1095),1,0),"")</f>
        <v>1</v>
      </c>
      <c r="AO1095" s="10"/>
      <c r="AP1095" s="10"/>
      <c r="AQ1095" s="10"/>
      <c r="AR1095" s="8">
        <v>0</v>
      </c>
      <c r="AS1095" s="10"/>
      <c r="AT1095" s="10"/>
      <c r="AU1095" s="10"/>
      <c r="AV1095" s="10">
        <v>88.159000000000106</v>
      </c>
      <c r="AW1095" s="11" t="str">
        <f>IF(AND(ISNUMBER(AV1095),ISNUMBER(AT1095)),IF(AT1095&lt;&gt;0,AV1095/ABS(AT1095),""),"")</f>
        <v/>
      </c>
      <c r="AX1095" s="8">
        <v>0</v>
      </c>
      <c r="AY1095" s="8">
        <v>1</v>
      </c>
      <c r="AZ1095" s="10"/>
      <c r="BA1095" s="8">
        <v>0</v>
      </c>
    </row>
    <row r="1096" spans="1:53" x14ac:dyDescent="0.2">
      <c r="A1096" s="8" t="s">
        <v>703</v>
      </c>
      <c r="B1096" s="8" t="s">
        <v>84</v>
      </c>
      <c r="C1096" s="8" t="s">
        <v>203</v>
      </c>
      <c r="D1096" s="8">
        <v>0</v>
      </c>
      <c r="E1096" s="8">
        <v>1</v>
      </c>
      <c r="F1096" s="8">
        <f>SUM(G1096:M1096)</f>
        <v>1</v>
      </c>
      <c r="G1096" s="8">
        <v>0</v>
      </c>
      <c r="H1096" s="8">
        <v>0</v>
      </c>
      <c r="I1096" s="8">
        <v>0</v>
      </c>
      <c r="J1096" s="8">
        <v>0</v>
      </c>
      <c r="K1096" s="8">
        <v>1</v>
      </c>
      <c r="L1096" s="8">
        <v>0</v>
      </c>
      <c r="M1096" s="8">
        <v>0</v>
      </c>
      <c r="N1096" s="8">
        <v>0</v>
      </c>
      <c r="O1096" s="8">
        <v>1</v>
      </c>
      <c r="P1096" s="8">
        <v>1</v>
      </c>
      <c r="Q1096" s="8">
        <v>0</v>
      </c>
      <c r="R1096" s="8">
        <v>0</v>
      </c>
      <c r="S1096" s="8">
        <v>0</v>
      </c>
      <c r="T1096" s="10">
        <v>144.125</v>
      </c>
      <c r="U1096" s="10">
        <v>-531.54700000000003</v>
      </c>
      <c r="V1096" s="10">
        <v>565.303</v>
      </c>
      <c r="W1096" s="10">
        <f>IF(RIGHT(C1096,2)="12",IF(ISNUMBER(T1096),T1096,""),IF(COUNT(T1096,U1096,V1096)=3,T1096+U1096-V1096,""))</f>
        <v>-952.72500000000002</v>
      </c>
      <c r="X1096" s="10">
        <v>-952.72500000000002</v>
      </c>
      <c r="Y1096" s="10"/>
      <c r="Z1096" s="10"/>
      <c r="AA1096" s="10">
        <v>-64.084999999999994</v>
      </c>
      <c r="AB1096" s="10">
        <v>144.125</v>
      </c>
      <c r="AC1096" s="8">
        <v>1</v>
      </c>
      <c r="AD1096" s="8">
        <v>0</v>
      </c>
      <c r="AE1096" s="8">
        <v>1</v>
      </c>
      <c r="AF1096" s="10">
        <v>565.303</v>
      </c>
      <c r="AG1096" s="8">
        <f>COUNTIF(Y1096:AB1096,"&gt;0")</f>
        <v>1</v>
      </c>
      <c r="AH1096" s="10">
        <v>0</v>
      </c>
      <c r="AI1096" s="10">
        <v>0</v>
      </c>
      <c r="AJ1096" s="8" t="str">
        <f>IF(ISNUMBER(X1096),IF(X1096&gt;0,"+",IF(X1096&lt;0,"−","0")),IF(ISNUMBER(W1096),IF(W1096&gt;0,"+",IF(W1096&lt;0,"−","0")),"yok"))</f>
        <v>−</v>
      </c>
      <c r="AK1096" s="10">
        <f>IF(AND(RIGHT(C1096,2)&lt;&gt;"12",ISNUMBER(U1096),ISNUMBER(V1096)),U1096-V1096,"")</f>
        <v>-1096.8499999999999</v>
      </c>
      <c r="AL1096" s="11">
        <f>IF(AND(ISNUMBER(AK1096),ISNUMBER(V1096)),IF(V1096&lt;&gt;0,AK1096/ABS(V1096),""),"")</f>
        <v>-1.9402868903932933</v>
      </c>
      <c r="AM1096" s="8">
        <f>IF(ISNUMBER(AK1096),IF(AK1096&gt;1,1,0),"")</f>
        <v>0</v>
      </c>
      <c r="AN1096" s="8">
        <f>IF(ISNUMBER(AK1096),IF(AK1096&gt;0.05*ABS(V1096),1,0),"")</f>
        <v>0</v>
      </c>
      <c r="AO1096" s="10"/>
      <c r="AP1096" s="10"/>
      <c r="AQ1096" s="10"/>
      <c r="AR1096" s="8">
        <v>0</v>
      </c>
      <c r="AS1096" s="10"/>
      <c r="AT1096" s="10"/>
      <c r="AU1096" s="10"/>
      <c r="AV1096" s="10">
        <v>565.303</v>
      </c>
      <c r="AW1096" s="11" t="str">
        <f>IF(AND(ISNUMBER(AV1096),ISNUMBER(AT1096)),IF(AT1096&lt;&gt;0,AV1096/ABS(AT1096),""),"")</f>
        <v/>
      </c>
      <c r="AX1096" s="8">
        <v>1</v>
      </c>
      <c r="AY1096" s="8">
        <v>0</v>
      </c>
      <c r="AZ1096" s="8" t="s">
        <v>704</v>
      </c>
      <c r="BA1096" s="8">
        <v>0</v>
      </c>
    </row>
    <row r="1097" spans="1:53" x14ac:dyDescent="0.2">
      <c r="A1097" s="8" t="s">
        <v>705</v>
      </c>
      <c r="B1097" s="8" t="s">
        <v>83</v>
      </c>
      <c r="C1097" s="8" t="s">
        <v>203</v>
      </c>
      <c r="D1097" s="8">
        <v>0</v>
      </c>
      <c r="E1097" s="8">
        <v>1</v>
      </c>
      <c r="F1097" s="8">
        <f>SUM(G1097:M1097)</f>
        <v>1</v>
      </c>
      <c r="G1097" s="8">
        <v>0</v>
      </c>
      <c r="H1097" s="8">
        <v>0</v>
      </c>
      <c r="I1097" s="8">
        <v>0</v>
      </c>
      <c r="J1097" s="8">
        <v>0</v>
      </c>
      <c r="K1097" s="8">
        <v>1</v>
      </c>
      <c r="L1097" s="8">
        <v>0</v>
      </c>
      <c r="M1097" s="8">
        <v>0</v>
      </c>
      <c r="N1097" s="8">
        <v>0</v>
      </c>
      <c r="O1097" s="8">
        <v>1</v>
      </c>
      <c r="P1097" s="8">
        <v>1</v>
      </c>
      <c r="Q1097" s="8">
        <v>0</v>
      </c>
      <c r="R1097" s="8">
        <v>0</v>
      </c>
      <c r="S1097" s="8">
        <v>0</v>
      </c>
      <c r="T1097" s="10">
        <v>2.3319999999999999</v>
      </c>
      <c r="U1097" s="10">
        <v>-8.8350000000000009</v>
      </c>
      <c r="V1097" s="10">
        <v>-0.14199999999999999</v>
      </c>
      <c r="W1097" s="10">
        <f>IF(RIGHT(C1097,2)="12",IF(ISNUMBER(T1097),T1097,""),IF(COUNT(T1097,U1097,V1097)=3,T1097+U1097-V1097,""))</f>
        <v>-6.3610000000000007</v>
      </c>
      <c r="X1097" s="10">
        <v>-6.359</v>
      </c>
      <c r="Y1097" s="10">
        <v>-0.82899999999999996</v>
      </c>
      <c r="Z1097" s="10">
        <v>-1.671</v>
      </c>
      <c r="AA1097" s="10">
        <v>-6.1920000000000002</v>
      </c>
      <c r="AB1097" s="10">
        <v>2.3319999999999999</v>
      </c>
      <c r="AC1097" s="8">
        <v>1</v>
      </c>
      <c r="AD1097" s="8">
        <v>0</v>
      </c>
      <c r="AE1097" s="8">
        <v>0</v>
      </c>
      <c r="AF1097" s="10">
        <v>2.3319999999999999</v>
      </c>
      <c r="AG1097" s="8">
        <f>COUNTIF(Y1097:AB1097,"&gt;0")</f>
        <v>1</v>
      </c>
      <c r="AH1097" s="10">
        <v>0</v>
      </c>
      <c r="AI1097" s="10">
        <v>0</v>
      </c>
      <c r="AJ1097" s="8" t="str">
        <f>IF(ISNUMBER(X1097),IF(X1097&gt;0,"+",IF(X1097&lt;0,"−","0")),IF(ISNUMBER(W1097),IF(W1097&gt;0,"+",IF(W1097&lt;0,"−","0")),"yok"))</f>
        <v>−</v>
      </c>
      <c r="AK1097" s="10">
        <f>IF(AND(RIGHT(C1097,2)&lt;&gt;"12",ISNUMBER(U1097),ISNUMBER(V1097)),U1097-V1097,"")</f>
        <v>-8.6930000000000014</v>
      </c>
      <c r="AL1097" s="11">
        <f>IF(AND(ISNUMBER(AK1097),ISNUMBER(V1097)),IF(V1097&lt;&gt;0,AK1097/ABS(V1097),""),"")</f>
        <v>-61.218309859154942</v>
      </c>
      <c r="AM1097" s="8">
        <f>IF(ISNUMBER(AK1097),IF(AK1097&gt;1,1,0),"")</f>
        <v>0</v>
      </c>
      <c r="AN1097" s="8">
        <f>IF(ISNUMBER(AK1097),IF(AK1097&gt;0.05*ABS(V1097),1,0),"")</f>
        <v>0</v>
      </c>
      <c r="AO1097" s="10"/>
      <c r="AP1097" s="10"/>
      <c r="AQ1097" s="10"/>
      <c r="AR1097" s="8">
        <v>0</v>
      </c>
      <c r="AS1097" s="10"/>
      <c r="AT1097" s="10"/>
      <c r="AU1097" s="10"/>
      <c r="AV1097" s="10">
        <v>2.3319999999999999</v>
      </c>
      <c r="AW1097" s="11" t="str">
        <f>IF(AND(ISNUMBER(AV1097),ISNUMBER(AT1097)),IF(AT1097&lt;&gt;0,AV1097/ABS(AT1097),""),"")</f>
        <v/>
      </c>
      <c r="AX1097" s="8">
        <v>1</v>
      </c>
      <c r="AY1097" s="8">
        <v>0</v>
      </c>
      <c r="AZ1097" s="8" t="s">
        <v>706</v>
      </c>
      <c r="BA1097" s="8">
        <v>0</v>
      </c>
    </row>
    <row r="1098" spans="1:53" x14ac:dyDescent="0.2">
      <c r="A1098" s="8" t="s">
        <v>705</v>
      </c>
      <c r="B1098" s="8" t="s">
        <v>83</v>
      </c>
      <c r="C1098" s="8" t="s">
        <v>215</v>
      </c>
      <c r="D1098" s="8">
        <v>0</v>
      </c>
      <c r="E1098" s="8">
        <v>1</v>
      </c>
      <c r="F1098" s="8">
        <f>SUM(G1098:M1098)</f>
        <v>1</v>
      </c>
      <c r="G1098" s="8">
        <v>0</v>
      </c>
      <c r="H1098" s="8">
        <v>0</v>
      </c>
      <c r="I1098" s="8">
        <v>0</v>
      </c>
      <c r="J1098" s="8">
        <v>0</v>
      </c>
      <c r="K1098" s="8">
        <v>1</v>
      </c>
      <c r="L1098" s="8">
        <v>0</v>
      </c>
      <c r="M1098" s="8">
        <v>0</v>
      </c>
      <c r="N1098" s="8">
        <v>0</v>
      </c>
      <c r="O1098" s="8">
        <v>1</v>
      </c>
      <c r="P1098" s="8">
        <v>1</v>
      </c>
      <c r="Q1098" s="8">
        <v>0</v>
      </c>
      <c r="R1098" s="8">
        <v>0</v>
      </c>
      <c r="S1098" s="8">
        <v>1</v>
      </c>
      <c r="T1098" s="10">
        <v>1.93</v>
      </c>
      <c r="U1098" s="10">
        <v>-8.8350000000000009</v>
      </c>
      <c r="V1098" s="10">
        <v>-2.6429999999999998</v>
      </c>
      <c r="W1098" s="10">
        <f>IF(RIGHT(C1098,2)="12",IF(ISNUMBER(T1098),T1098,""),IF(COUNT(T1098,U1098,V1098)=3,T1098+U1098-V1098,""))</f>
        <v>-4.2620000000000013</v>
      </c>
      <c r="X1098" s="10">
        <v>-4.2610000000000001</v>
      </c>
      <c r="Y1098" s="10">
        <v>-6.1920000000000002</v>
      </c>
      <c r="Z1098" s="10">
        <v>2.3319999999999999</v>
      </c>
      <c r="AA1098" s="10">
        <v>-2.3319999999999999</v>
      </c>
      <c r="AB1098" s="10">
        <v>1.93</v>
      </c>
      <c r="AC1098" s="8">
        <v>1</v>
      </c>
      <c r="AD1098" s="8">
        <v>0</v>
      </c>
      <c r="AE1098" s="8">
        <v>0</v>
      </c>
      <c r="AF1098" s="10">
        <v>1.93</v>
      </c>
      <c r="AG1098" s="8">
        <f>COUNTIF(Y1098:AB1098,"&gt;0")</f>
        <v>2</v>
      </c>
      <c r="AH1098" s="10">
        <v>1.93</v>
      </c>
      <c r="AI1098" s="10">
        <v>0</v>
      </c>
      <c r="AJ1098" s="8" t="str">
        <f>IF(ISNUMBER(X1098),IF(X1098&gt;0,"+",IF(X1098&lt;0,"−","0")),IF(ISNUMBER(W1098),IF(W1098&gt;0,"+",IF(W1098&lt;0,"−","0")),"yok"))</f>
        <v>−</v>
      </c>
      <c r="AK1098" s="10">
        <f>IF(AND(RIGHT(C1098,2)&lt;&gt;"12",ISNUMBER(U1098),ISNUMBER(V1098)),U1098-V1098,"")</f>
        <v>-6.1920000000000011</v>
      </c>
      <c r="AL1098" s="11">
        <f>IF(AND(ISNUMBER(AK1098),ISNUMBER(V1098)),IF(V1098&lt;&gt;0,AK1098/ABS(V1098),""),"")</f>
        <v>-2.3427922814982978</v>
      </c>
      <c r="AM1098" s="8">
        <f>IF(ISNUMBER(AK1098),IF(AK1098&gt;1,1,0),"")</f>
        <v>0</v>
      </c>
      <c r="AN1098" s="8">
        <f>IF(ISNUMBER(AK1098),IF(AK1098&gt;0.05*ABS(V1098),1,0),"")</f>
        <v>0</v>
      </c>
      <c r="AO1098" s="10"/>
      <c r="AP1098" s="10"/>
      <c r="AQ1098" s="10"/>
      <c r="AR1098" s="8">
        <v>0</v>
      </c>
      <c r="AS1098" s="10"/>
      <c r="AT1098" s="10"/>
      <c r="AU1098" s="10"/>
      <c r="AV1098" s="10">
        <v>1.93</v>
      </c>
      <c r="AW1098" s="11" t="str">
        <f>IF(AND(ISNUMBER(AV1098),ISNUMBER(AT1098)),IF(AT1098&lt;&gt;0,AV1098/ABS(AT1098),""),"")</f>
        <v/>
      </c>
      <c r="AX1098" s="8">
        <v>1</v>
      </c>
      <c r="AY1098" s="8">
        <v>0</v>
      </c>
      <c r="AZ1098" s="8" t="s">
        <v>707</v>
      </c>
      <c r="BA1098" s="8">
        <v>0</v>
      </c>
    </row>
    <row r="1099" spans="1:53" x14ac:dyDescent="0.2">
      <c r="A1099" s="8" t="s">
        <v>705</v>
      </c>
      <c r="B1099" s="8" t="s">
        <v>83</v>
      </c>
      <c r="C1099" s="8" t="s">
        <v>208</v>
      </c>
      <c r="D1099" s="8">
        <v>0</v>
      </c>
      <c r="E1099" s="8">
        <v>1</v>
      </c>
      <c r="F1099" s="8">
        <f>SUM(G1099:M1099)</f>
        <v>1</v>
      </c>
      <c r="G1099" s="8">
        <v>0</v>
      </c>
      <c r="H1099" s="8">
        <v>0</v>
      </c>
      <c r="I1099" s="8">
        <v>0</v>
      </c>
      <c r="J1099" s="8">
        <v>0</v>
      </c>
      <c r="K1099" s="8">
        <v>1</v>
      </c>
      <c r="L1099" s="8">
        <v>0</v>
      </c>
      <c r="M1099" s="8">
        <v>0</v>
      </c>
      <c r="N1099" s="8">
        <v>0</v>
      </c>
      <c r="O1099" s="8">
        <v>1</v>
      </c>
      <c r="P1099" s="8">
        <v>1</v>
      </c>
      <c r="Q1099" s="8">
        <v>0</v>
      </c>
      <c r="R1099" s="8">
        <v>0</v>
      </c>
      <c r="S1099" s="8">
        <v>0</v>
      </c>
      <c r="T1099" s="10">
        <v>-0.153</v>
      </c>
      <c r="U1099" s="10">
        <v>0.92300000000000004</v>
      </c>
      <c r="V1099" s="10">
        <v>2.3319999999999999</v>
      </c>
      <c r="W1099" s="10">
        <f>IF(RIGHT(C1099,2)="12",IF(ISNUMBER(T1099),T1099,""),IF(COUNT(T1099,U1099,V1099)=3,T1099+U1099-V1099,""))</f>
        <v>-1.5619999999999998</v>
      </c>
      <c r="X1099" s="10">
        <v>-1.5629999999999999</v>
      </c>
      <c r="Y1099" s="10">
        <v>-2.3319999999999999</v>
      </c>
      <c r="Z1099" s="10">
        <v>1.93</v>
      </c>
      <c r="AA1099" s="10">
        <v>-1.0069999999999999</v>
      </c>
      <c r="AB1099" s="10">
        <v>-0.153</v>
      </c>
      <c r="AC1099" s="8">
        <v>0</v>
      </c>
      <c r="AD1099" s="8">
        <v>1</v>
      </c>
      <c r="AE1099" s="8">
        <v>1</v>
      </c>
      <c r="AF1099" s="10">
        <v>2.3319999999999999</v>
      </c>
      <c r="AG1099" s="8">
        <f>COUNTIF(Y1099:AB1099,"&gt;0")</f>
        <v>1</v>
      </c>
      <c r="AH1099" s="10">
        <v>0</v>
      </c>
      <c r="AI1099" s="10">
        <v>1.93</v>
      </c>
      <c r="AJ1099" s="8" t="str">
        <f>IF(ISNUMBER(X1099),IF(X1099&gt;0,"+",IF(X1099&lt;0,"−","0")),IF(ISNUMBER(W1099),IF(W1099&gt;0,"+",IF(W1099&lt;0,"−","0")),"yok"))</f>
        <v>−</v>
      </c>
      <c r="AK1099" s="10">
        <f>IF(AND(RIGHT(C1099,2)&lt;&gt;"12",ISNUMBER(U1099),ISNUMBER(V1099)),U1099-V1099,"")</f>
        <v>-1.4089999999999998</v>
      </c>
      <c r="AL1099" s="11">
        <f>IF(AND(ISNUMBER(AK1099),ISNUMBER(V1099)),IF(V1099&lt;&gt;0,AK1099/ABS(V1099),""),"")</f>
        <v>-0.60420240137221259</v>
      </c>
      <c r="AM1099" s="8">
        <f>IF(ISNUMBER(AK1099),IF(AK1099&gt;1,1,0),"")</f>
        <v>0</v>
      </c>
      <c r="AN1099" s="8">
        <f>IF(ISNUMBER(AK1099),IF(AK1099&gt;0.05*ABS(V1099),1,0),"")</f>
        <v>0</v>
      </c>
      <c r="AO1099" s="10"/>
      <c r="AP1099" s="10"/>
      <c r="AQ1099" s="10"/>
      <c r="AR1099" s="8">
        <v>0</v>
      </c>
      <c r="AS1099" s="10"/>
      <c r="AT1099" s="10"/>
      <c r="AU1099" s="10"/>
      <c r="AV1099" s="10">
        <v>2.3319999999999999</v>
      </c>
      <c r="AW1099" s="11" t="str">
        <f>IF(AND(ISNUMBER(AV1099),ISNUMBER(AT1099)),IF(AT1099&lt;&gt;0,AV1099/ABS(AT1099),""),"")</f>
        <v/>
      </c>
      <c r="AX1099" s="8">
        <v>1</v>
      </c>
      <c r="AY1099" s="8">
        <v>0</v>
      </c>
      <c r="AZ1099" s="8" t="s">
        <v>708</v>
      </c>
      <c r="BA1099" s="8">
        <v>0</v>
      </c>
    </row>
    <row r="1100" spans="1:53" x14ac:dyDescent="0.2">
      <c r="A1100" s="8" t="s">
        <v>705</v>
      </c>
      <c r="B1100" s="8" t="s">
        <v>83</v>
      </c>
      <c r="C1100" s="8" t="s">
        <v>210</v>
      </c>
      <c r="D1100" s="8">
        <v>0</v>
      </c>
      <c r="E1100" s="8">
        <v>1</v>
      </c>
      <c r="F1100" s="8">
        <f>SUM(G1100:M1100)</f>
        <v>1</v>
      </c>
      <c r="G1100" s="8">
        <v>0</v>
      </c>
      <c r="H1100" s="8">
        <v>0</v>
      </c>
      <c r="I1100" s="8">
        <v>0</v>
      </c>
      <c r="J1100" s="8">
        <v>0</v>
      </c>
      <c r="K1100" s="8">
        <v>1</v>
      </c>
      <c r="L1100" s="8">
        <v>0</v>
      </c>
      <c r="M1100" s="8">
        <v>0</v>
      </c>
      <c r="N1100" s="8">
        <v>0</v>
      </c>
      <c r="O1100" s="8">
        <v>1</v>
      </c>
      <c r="P1100" s="8">
        <v>1</v>
      </c>
      <c r="Q1100" s="8">
        <v>0</v>
      </c>
      <c r="R1100" s="8">
        <v>0</v>
      </c>
      <c r="S1100" s="8">
        <v>0</v>
      </c>
      <c r="T1100" s="10">
        <v>-2.0030000000000001</v>
      </c>
      <c r="U1100" s="10">
        <v>0.92300000000000004</v>
      </c>
      <c r="V1100" s="10">
        <v>0</v>
      </c>
      <c r="W1100" s="10">
        <f>IF(RIGHT(C1100,2)="12",IF(ISNUMBER(T1100),T1100,""),IF(COUNT(T1100,U1100,V1100)=3,T1100+U1100-V1100,""))</f>
        <v>-1.08</v>
      </c>
      <c r="X1100" s="10">
        <v>-1.08</v>
      </c>
      <c r="Y1100" s="10">
        <v>1.93</v>
      </c>
      <c r="Z1100" s="10">
        <v>-1.0069999999999999</v>
      </c>
      <c r="AA1100" s="10">
        <v>-0.153</v>
      </c>
      <c r="AB1100" s="10">
        <v>-1.85</v>
      </c>
      <c r="AC1100" s="8">
        <v>0</v>
      </c>
      <c r="AD1100" s="8">
        <v>1</v>
      </c>
      <c r="AE1100" s="8">
        <v>0</v>
      </c>
      <c r="AF1100" s="10">
        <v>0.92300000000000004</v>
      </c>
      <c r="AG1100" s="8">
        <f>COUNTIF(Y1100:AB1100,"&gt;0")</f>
        <v>1</v>
      </c>
      <c r="AH1100" s="10">
        <v>0</v>
      </c>
      <c r="AI1100" s="10">
        <v>1.93</v>
      </c>
      <c r="AJ1100" s="8" t="str">
        <f>IF(ISNUMBER(X1100),IF(X1100&gt;0,"+",IF(X1100&lt;0,"−","0")),IF(ISNUMBER(W1100),IF(W1100&gt;0,"+",IF(W1100&lt;0,"−","0")),"yok"))</f>
        <v>−</v>
      </c>
      <c r="AK1100" s="10">
        <f>IF(AND(RIGHT(C1100,2)&lt;&gt;"12",ISNUMBER(U1100),ISNUMBER(V1100)),U1100-V1100,"")</f>
        <v>0.92300000000000004</v>
      </c>
      <c r="AL1100" s="11" t="str">
        <f>IF(AND(ISNUMBER(AK1100),ISNUMBER(V1100)),IF(V1100&lt;&gt;0,AK1100/ABS(V1100),""),"")</f>
        <v/>
      </c>
      <c r="AM1100" s="8">
        <f>IF(ISNUMBER(AK1100),IF(AK1100&gt;1,1,0),"")</f>
        <v>0</v>
      </c>
      <c r="AN1100" s="8">
        <f>IF(ISNUMBER(AK1100),IF(AK1100&gt;0.05*ABS(V1100),1,0),"")</f>
        <v>1</v>
      </c>
      <c r="AO1100" s="10"/>
      <c r="AP1100" s="10"/>
      <c r="AQ1100" s="10"/>
      <c r="AR1100" s="8">
        <v>0</v>
      </c>
      <c r="AS1100" s="10"/>
      <c r="AT1100" s="10"/>
      <c r="AU1100" s="10"/>
      <c r="AV1100" s="10">
        <v>0.92300000000000004</v>
      </c>
      <c r="AW1100" s="11" t="str">
        <f>IF(AND(ISNUMBER(AV1100),ISNUMBER(AT1100)),IF(AT1100&lt;&gt;0,AV1100/ABS(AT1100),""),"")</f>
        <v/>
      </c>
      <c r="AX1100" s="8">
        <v>1</v>
      </c>
      <c r="AY1100" s="8">
        <v>0</v>
      </c>
      <c r="AZ1100" s="8" t="s">
        <v>709</v>
      </c>
      <c r="BA1100" s="8">
        <v>0</v>
      </c>
    </row>
    <row r="1101" spans="1:53" x14ac:dyDescent="0.2">
      <c r="A1101" s="8" t="s">
        <v>650</v>
      </c>
      <c r="B1101" s="8" t="s">
        <v>82</v>
      </c>
      <c r="C1101" s="8" t="s">
        <v>203</v>
      </c>
      <c r="D1101" s="8">
        <v>0</v>
      </c>
      <c r="E1101" s="8">
        <v>0</v>
      </c>
      <c r="F1101" s="8">
        <f>SUM(G1101:M1101)</f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1</v>
      </c>
      <c r="Q1101" s="8">
        <v>0</v>
      </c>
      <c r="R1101" s="8">
        <v>1</v>
      </c>
      <c r="S1101" s="8">
        <v>0</v>
      </c>
      <c r="T1101" s="10">
        <v>-13.334</v>
      </c>
      <c r="U1101" s="10">
        <v>-19.571000000000002</v>
      </c>
      <c r="V1101" s="10">
        <v>0</v>
      </c>
      <c r="W1101" s="10">
        <f>IF(RIGHT(C1101,2)="12",IF(ISNUMBER(T1101),T1101,""),IF(COUNT(T1101,U1101,V1101)=3,T1101+U1101-V1101,""))</f>
        <v>-32.905000000000001</v>
      </c>
      <c r="X1101" s="10">
        <v>-32.905999999999999</v>
      </c>
      <c r="Y1101" s="10">
        <v>-11.699</v>
      </c>
      <c r="Z1101" s="10">
        <v>-28.466999999999999</v>
      </c>
      <c r="AA1101" s="10">
        <v>20.594999999999999</v>
      </c>
      <c r="AB1101" s="10">
        <v>-13.334</v>
      </c>
      <c r="AC1101" s="8">
        <v>0</v>
      </c>
      <c r="AD1101" s="8">
        <v>0</v>
      </c>
      <c r="AE1101" s="8">
        <v>0</v>
      </c>
      <c r="AF1101" s="10">
        <v>0</v>
      </c>
      <c r="AG1101" s="8">
        <f>COUNTIF(Y1101:AB1101,"&gt;0")</f>
        <v>1</v>
      </c>
      <c r="AH1101" s="10">
        <v>0</v>
      </c>
      <c r="AI1101" s="10">
        <v>20.594999999999999</v>
      </c>
      <c r="AJ1101" s="8" t="str">
        <f>IF(ISNUMBER(X1101),IF(X1101&gt;0,"+",IF(X1101&lt;0,"−","0")),IF(ISNUMBER(W1101),IF(W1101&gt;0,"+",IF(W1101&lt;0,"−","0")),"yok"))</f>
        <v>−</v>
      </c>
      <c r="AK1101" s="10">
        <f>IF(AND(RIGHT(C1101,2)&lt;&gt;"12",ISNUMBER(U1101),ISNUMBER(V1101)),U1101-V1101,"")</f>
        <v>-19.571000000000002</v>
      </c>
      <c r="AL1101" s="11" t="str">
        <f>IF(AND(ISNUMBER(AK1101),ISNUMBER(V1101)),IF(V1101&lt;&gt;0,AK1101/ABS(V1101),""),"")</f>
        <v/>
      </c>
      <c r="AM1101" s="8">
        <f>IF(ISNUMBER(AK1101),IF(AK1101&gt;1,1,0),"")</f>
        <v>0</v>
      </c>
      <c r="AN1101" s="8">
        <f>IF(ISNUMBER(AK1101),IF(AK1101&gt;0.05*ABS(V1101),1,0),"")</f>
        <v>0</v>
      </c>
      <c r="AO1101" s="10"/>
      <c r="AP1101" s="10"/>
      <c r="AQ1101" s="10"/>
      <c r="AR1101" s="8">
        <v>0</v>
      </c>
      <c r="AS1101" s="10"/>
      <c r="AT1101" s="10"/>
      <c r="AU1101" s="10"/>
      <c r="AV1101" s="10">
        <v>20.594999999999999</v>
      </c>
      <c r="AW1101" s="11" t="str">
        <f>IF(AND(ISNUMBER(AV1101),ISNUMBER(AT1101)),IF(AT1101&lt;&gt;0,AV1101/ABS(AT1101),""),"")</f>
        <v/>
      </c>
      <c r="AX1101" s="8">
        <v>0</v>
      </c>
      <c r="AY1101" s="8">
        <v>0</v>
      </c>
      <c r="AZ1101" s="10"/>
      <c r="BA1101" s="8">
        <v>0</v>
      </c>
    </row>
    <row r="1102" spans="1:53" x14ac:dyDescent="0.2">
      <c r="A1102" s="8" t="s">
        <v>650</v>
      </c>
      <c r="B1102" s="8" t="s">
        <v>82</v>
      </c>
      <c r="C1102" s="8" t="s">
        <v>205</v>
      </c>
      <c r="D1102" s="8">
        <v>0</v>
      </c>
      <c r="E1102" s="8">
        <v>0</v>
      </c>
      <c r="F1102" s="8">
        <f>SUM(G1102:M1102)</f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1</v>
      </c>
      <c r="Q1102" s="8">
        <v>0</v>
      </c>
      <c r="R1102" s="8">
        <v>1</v>
      </c>
      <c r="S1102" s="8">
        <v>0</v>
      </c>
      <c r="T1102" s="10">
        <v>-167.245</v>
      </c>
      <c r="U1102" s="10">
        <v>-19.571000000000002</v>
      </c>
      <c r="V1102" s="10">
        <v>-11.699</v>
      </c>
      <c r="W1102" s="10">
        <f>IF(RIGHT(C1102,2)="12",IF(ISNUMBER(T1102),T1102,""),IF(COUNT(T1102,U1102,V1102)=3,T1102+U1102-V1102,""))</f>
        <v>-175.11699999999999</v>
      </c>
      <c r="X1102" s="10">
        <v>-175.11600000000001</v>
      </c>
      <c r="Y1102" s="10">
        <v>-28.466999999999999</v>
      </c>
      <c r="Z1102" s="10">
        <v>20.594999999999999</v>
      </c>
      <c r="AA1102" s="10">
        <v>-13.334</v>
      </c>
      <c r="AB1102" s="10">
        <v>-153.91</v>
      </c>
      <c r="AC1102" s="8">
        <v>0</v>
      </c>
      <c r="AD1102" s="8">
        <v>0</v>
      </c>
      <c r="AE1102" s="8">
        <v>0</v>
      </c>
      <c r="AF1102" s="10">
        <v>0</v>
      </c>
      <c r="AG1102" s="8">
        <f>COUNTIF(Y1102:AB1102,"&gt;0")</f>
        <v>1</v>
      </c>
      <c r="AH1102" s="10">
        <v>0</v>
      </c>
      <c r="AI1102" s="10">
        <v>20.594999999999999</v>
      </c>
      <c r="AJ1102" s="8" t="str">
        <f>IF(ISNUMBER(X1102),IF(X1102&gt;0,"+",IF(X1102&lt;0,"−","0")),IF(ISNUMBER(W1102),IF(W1102&gt;0,"+",IF(W1102&lt;0,"−","0")),"yok"))</f>
        <v>−</v>
      </c>
      <c r="AK1102" s="10">
        <f>IF(AND(RIGHT(C1102,2)&lt;&gt;"12",ISNUMBER(U1102),ISNUMBER(V1102)),U1102-V1102,"")</f>
        <v>-7.8720000000000017</v>
      </c>
      <c r="AL1102" s="11">
        <f>IF(AND(ISNUMBER(AK1102),ISNUMBER(V1102)),IF(V1102&lt;&gt;0,AK1102/ABS(V1102),""),"")</f>
        <v>-0.67287802376271488</v>
      </c>
      <c r="AM1102" s="8">
        <f>IF(ISNUMBER(AK1102),IF(AK1102&gt;1,1,0),"")</f>
        <v>0</v>
      </c>
      <c r="AN1102" s="8">
        <f>IF(ISNUMBER(AK1102),IF(AK1102&gt;0.05*ABS(V1102),1,0),"")</f>
        <v>0</v>
      </c>
      <c r="AO1102" s="10"/>
      <c r="AP1102" s="10"/>
      <c r="AQ1102" s="10"/>
      <c r="AR1102" s="8">
        <v>0</v>
      </c>
      <c r="AS1102" s="10"/>
      <c r="AT1102" s="10"/>
      <c r="AU1102" s="10"/>
      <c r="AV1102" s="10">
        <v>20.594999999999999</v>
      </c>
      <c r="AW1102" s="11" t="str">
        <f>IF(AND(ISNUMBER(AV1102),ISNUMBER(AT1102)),IF(AT1102&lt;&gt;0,AV1102/ABS(AT1102),""),"")</f>
        <v/>
      </c>
      <c r="AX1102" s="8">
        <v>0</v>
      </c>
      <c r="AY1102" s="8">
        <v>0</v>
      </c>
      <c r="AZ1102" s="10"/>
      <c r="BA1102" s="8">
        <v>0</v>
      </c>
    </row>
    <row r="1103" spans="1:53" x14ac:dyDescent="0.2">
      <c r="A1103" s="8" t="s">
        <v>650</v>
      </c>
      <c r="B1103" s="8" t="s">
        <v>82</v>
      </c>
      <c r="C1103" s="8" t="s">
        <v>215</v>
      </c>
      <c r="D1103" s="8">
        <v>0</v>
      </c>
      <c r="E1103" s="8">
        <v>0</v>
      </c>
      <c r="F1103" s="8">
        <f>SUM(G1103:M1103)</f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1</v>
      </c>
      <c r="Q1103" s="8">
        <v>1</v>
      </c>
      <c r="R1103" s="8">
        <v>1</v>
      </c>
      <c r="S1103" s="8">
        <v>0</v>
      </c>
      <c r="T1103" s="10">
        <v>-177.58500000000001</v>
      </c>
      <c r="U1103" s="10">
        <v>-19.571000000000002</v>
      </c>
      <c r="V1103" s="10">
        <v>-40.167000000000002</v>
      </c>
      <c r="W1103" s="10">
        <f>IF(RIGHT(C1103,2)="12",IF(ISNUMBER(T1103),T1103,""),IF(COUNT(T1103,U1103,V1103)=3,T1103+U1103-V1103,""))</f>
        <v>-156.989</v>
      </c>
      <c r="X1103" s="10">
        <v>-156.989</v>
      </c>
      <c r="Y1103" s="10">
        <v>20.594999999999999</v>
      </c>
      <c r="Z1103" s="10">
        <v>-13.334</v>
      </c>
      <c r="AA1103" s="10">
        <v>-153.91</v>
      </c>
      <c r="AB1103" s="10">
        <v>-10.34</v>
      </c>
      <c r="AC1103" s="8">
        <v>0</v>
      </c>
      <c r="AD1103" s="8">
        <v>0</v>
      </c>
      <c r="AE1103" s="8">
        <v>0</v>
      </c>
      <c r="AF1103" s="10">
        <v>0</v>
      </c>
      <c r="AG1103" s="8">
        <f>COUNTIF(Y1103:AB1103,"&gt;0")</f>
        <v>1</v>
      </c>
      <c r="AH1103" s="10">
        <v>0</v>
      </c>
      <c r="AI1103" s="10">
        <v>20.594999999999999</v>
      </c>
      <c r="AJ1103" s="8" t="str">
        <f>IF(ISNUMBER(X1103),IF(X1103&gt;0,"+",IF(X1103&lt;0,"−","0")),IF(ISNUMBER(W1103),IF(W1103&gt;0,"+",IF(W1103&lt;0,"−","0")),"yok"))</f>
        <v>−</v>
      </c>
      <c r="AK1103" s="10">
        <f>IF(AND(RIGHT(C1103,2)&lt;&gt;"12",ISNUMBER(U1103),ISNUMBER(V1103)),U1103-V1103,"")</f>
        <v>20.596</v>
      </c>
      <c r="AL1103" s="11">
        <f>IF(AND(ISNUMBER(AK1103),ISNUMBER(V1103)),IF(V1103&lt;&gt;0,AK1103/ABS(V1103),""),"")</f>
        <v>0.51275923021385716</v>
      </c>
      <c r="AM1103" s="8">
        <f>IF(ISNUMBER(AK1103),IF(AK1103&gt;1,1,0),"")</f>
        <v>1</v>
      </c>
      <c r="AN1103" s="8">
        <f>IF(ISNUMBER(AK1103),IF(AK1103&gt;0.05*ABS(V1103),1,0),"")</f>
        <v>1</v>
      </c>
      <c r="AO1103" s="10"/>
      <c r="AP1103" s="10"/>
      <c r="AQ1103" s="10"/>
      <c r="AR1103" s="8">
        <v>0</v>
      </c>
      <c r="AS1103" s="10"/>
      <c r="AT1103" s="10"/>
      <c r="AU1103" s="10"/>
      <c r="AV1103" s="10">
        <v>20.596</v>
      </c>
      <c r="AW1103" s="11" t="str">
        <f>IF(AND(ISNUMBER(AV1103),ISNUMBER(AT1103)),IF(AT1103&lt;&gt;0,AV1103/ABS(AT1103),""),"")</f>
        <v/>
      </c>
      <c r="AX1103" s="8">
        <v>0</v>
      </c>
      <c r="AY1103" s="8">
        <v>1</v>
      </c>
      <c r="AZ1103" s="10"/>
      <c r="BA1103" s="8">
        <v>0</v>
      </c>
    </row>
    <row r="1104" spans="1:53" x14ac:dyDescent="0.2">
      <c r="A1104" s="8" t="s">
        <v>650</v>
      </c>
      <c r="B1104" s="8" t="s">
        <v>82</v>
      </c>
      <c r="C1104" s="8" t="s">
        <v>290</v>
      </c>
      <c r="D1104" s="8">
        <v>0</v>
      </c>
      <c r="E1104" s="8">
        <v>0</v>
      </c>
      <c r="F1104" s="8">
        <f>SUM(G1104:M1104)</f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1</v>
      </c>
      <c r="Q1104" s="8">
        <v>0</v>
      </c>
      <c r="R1104" s="8">
        <v>0</v>
      </c>
      <c r="S1104" s="8">
        <v>1</v>
      </c>
      <c r="T1104" s="10">
        <v>-43.408999999999999</v>
      </c>
      <c r="U1104" s="10"/>
      <c r="V1104" s="10"/>
      <c r="W1104" s="10">
        <f>IF(RIGHT(C1104,2)="12",IF(ISNUMBER(T1104),T1104,""),IF(COUNT(T1104,U1104,V1104)=3,T1104+U1104-V1104,""))</f>
        <v>-43.408999999999999</v>
      </c>
      <c r="X1104" s="10">
        <v>-43.408999999999999</v>
      </c>
      <c r="Y1104" s="10">
        <v>-13.334</v>
      </c>
      <c r="Z1104" s="10">
        <v>-153.91</v>
      </c>
      <c r="AA1104" s="10">
        <v>-10.34</v>
      </c>
      <c r="AB1104" s="10">
        <v>134.17500000000001</v>
      </c>
      <c r="AC1104" s="8">
        <v>0</v>
      </c>
      <c r="AD1104" s="8">
        <v>0</v>
      </c>
      <c r="AE1104" s="8">
        <v>0</v>
      </c>
      <c r="AF1104" s="10">
        <v>0</v>
      </c>
      <c r="AG1104" s="8">
        <f>COUNTIF(Y1104:AB1104,"&gt;0")</f>
        <v>1</v>
      </c>
      <c r="AH1104" s="10">
        <v>134.17500000000001</v>
      </c>
      <c r="AI1104" s="10">
        <v>0</v>
      </c>
      <c r="AJ1104" s="8" t="str">
        <f>IF(ISNUMBER(X1104),IF(X1104&gt;0,"+",IF(X1104&lt;0,"−","0")),IF(ISNUMBER(W1104),IF(W1104&gt;0,"+",IF(W1104&lt;0,"−","0")),"yok"))</f>
        <v>−</v>
      </c>
      <c r="AK1104" s="10" t="str">
        <f>IF(AND(RIGHT(C1104,2)&lt;&gt;"12",ISNUMBER(U1104),ISNUMBER(V1104)),U1104-V1104,"")</f>
        <v/>
      </c>
      <c r="AL1104" s="11" t="str">
        <f>IF(AND(ISNUMBER(AK1104),ISNUMBER(V1104)),IF(V1104&lt;&gt;0,AK1104/ABS(V1104),""),"")</f>
        <v/>
      </c>
      <c r="AM1104" s="8" t="str">
        <f>IF(ISNUMBER(AK1104),IF(AK1104&gt;1,1,0),"")</f>
        <v/>
      </c>
      <c r="AN1104" s="8" t="str">
        <f>IF(ISNUMBER(AK1104),IF(AK1104&gt;0.05*ABS(V1104),1,0),"")</f>
        <v/>
      </c>
      <c r="AO1104" s="10"/>
      <c r="AP1104" s="10"/>
      <c r="AQ1104" s="10"/>
      <c r="AR1104" s="8">
        <v>0</v>
      </c>
      <c r="AS1104" s="10"/>
      <c r="AT1104" s="10"/>
      <c r="AU1104" s="10"/>
      <c r="AV1104" s="10">
        <v>134.17500000000001</v>
      </c>
      <c r="AW1104" s="11" t="str">
        <f>IF(AND(ISNUMBER(AV1104),ISNUMBER(AT1104)),IF(AT1104&lt;&gt;0,AV1104/ABS(AT1104),""),"")</f>
        <v/>
      </c>
      <c r="AX1104" s="8">
        <v>0</v>
      </c>
      <c r="AY1104" s="8">
        <v>0</v>
      </c>
      <c r="AZ1104" s="10"/>
      <c r="BA1104" s="8">
        <v>0</v>
      </c>
    </row>
    <row r="1105" spans="1:53" x14ac:dyDescent="0.2">
      <c r="A1105" s="8" t="s">
        <v>650</v>
      </c>
      <c r="B1105" s="8" t="s">
        <v>82</v>
      </c>
      <c r="C1105" s="8" t="s">
        <v>208</v>
      </c>
      <c r="D1105" s="8">
        <v>0</v>
      </c>
      <c r="E1105" s="8">
        <v>0</v>
      </c>
      <c r="F1105" s="8">
        <f>SUM(G1105:M1105)</f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1</v>
      </c>
      <c r="Q1105" s="8">
        <v>0</v>
      </c>
      <c r="R1105" s="8">
        <v>1</v>
      </c>
      <c r="S1105" s="8">
        <v>0</v>
      </c>
      <c r="T1105" s="10">
        <v>-28.866</v>
      </c>
      <c r="U1105" s="10">
        <v>-43.408999999999999</v>
      </c>
      <c r="V1105" s="10">
        <v>-13.334</v>
      </c>
      <c r="W1105" s="10">
        <f>IF(RIGHT(C1105,2)="12",IF(ISNUMBER(T1105),T1105,""),IF(COUNT(T1105,U1105,V1105)=3,T1105+U1105-V1105,""))</f>
        <v>-58.941000000000003</v>
      </c>
      <c r="X1105" s="10">
        <v>-58.941000000000003</v>
      </c>
      <c r="Y1105" s="10">
        <v>-153.91</v>
      </c>
      <c r="Z1105" s="10">
        <v>-10.34</v>
      </c>
      <c r="AA1105" s="10">
        <v>134.17500000000001</v>
      </c>
      <c r="AB1105" s="10">
        <v>-28.866</v>
      </c>
      <c r="AC1105" s="8">
        <v>0</v>
      </c>
      <c r="AD1105" s="8">
        <v>0</v>
      </c>
      <c r="AE1105" s="8">
        <v>0</v>
      </c>
      <c r="AF1105" s="10">
        <v>0</v>
      </c>
      <c r="AG1105" s="8">
        <f>COUNTIF(Y1105:AB1105,"&gt;0")</f>
        <v>1</v>
      </c>
      <c r="AH1105" s="10">
        <v>0</v>
      </c>
      <c r="AI1105" s="10">
        <v>134.17500000000001</v>
      </c>
      <c r="AJ1105" s="8" t="str">
        <f>IF(ISNUMBER(X1105),IF(X1105&gt;0,"+",IF(X1105&lt;0,"−","0")),IF(ISNUMBER(W1105),IF(W1105&gt;0,"+",IF(W1105&lt;0,"−","0")),"yok"))</f>
        <v>−</v>
      </c>
      <c r="AK1105" s="10">
        <f>IF(AND(RIGHT(C1105,2)&lt;&gt;"12",ISNUMBER(U1105),ISNUMBER(V1105)),U1105-V1105,"")</f>
        <v>-30.074999999999999</v>
      </c>
      <c r="AL1105" s="11">
        <f>IF(AND(ISNUMBER(AK1105),ISNUMBER(V1105)),IF(V1105&lt;&gt;0,AK1105/ABS(V1105),""),"")</f>
        <v>-2.2555122243887804</v>
      </c>
      <c r="AM1105" s="8">
        <f>IF(ISNUMBER(AK1105),IF(AK1105&gt;1,1,0),"")</f>
        <v>0</v>
      </c>
      <c r="AN1105" s="8">
        <f>IF(ISNUMBER(AK1105),IF(AK1105&gt;0.05*ABS(V1105),1,0),"")</f>
        <v>0</v>
      </c>
      <c r="AO1105" s="10"/>
      <c r="AP1105" s="10"/>
      <c r="AQ1105" s="10"/>
      <c r="AR1105" s="8">
        <v>0</v>
      </c>
      <c r="AS1105" s="10"/>
      <c r="AT1105" s="10"/>
      <c r="AU1105" s="10"/>
      <c r="AV1105" s="10">
        <v>134.17500000000001</v>
      </c>
      <c r="AW1105" s="11" t="str">
        <f>IF(AND(ISNUMBER(AV1105),ISNUMBER(AT1105)),IF(AT1105&lt;&gt;0,AV1105/ABS(AT1105),""),"")</f>
        <v/>
      </c>
      <c r="AX1105" s="8">
        <v>0</v>
      </c>
      <c r="AY1105" s="8">
        <v>0</v>
      </c>
      <c r="AZ1105" s="10"/>
      <c r="BA1105" s="8">
        <v>0</v>
      </c>
    </row>
    <row r="1106" spans="1:53" x14ac:dyDescent="0.2">
      <c r="A1106" s="8" t="s">
        <v>650</v>
      </c>
      <c r="B1106" s="8" t="s">
        <v>82</v>
      </c>
      <c r="C1106" s="8" t="s">
        <v>210</v>
      </c>
      <c r="D1106" s="8">
        <v>0</v>
      </c>
      <c r="E1106" s="8">
        <v>0</v>
      </c>
      <c r="F1106" s="8">
        <f>SUM(G1106:M1106)</f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1</v>
      </c>
      <c r="O1106" s="8">
        <v>0</v>
      </c>
      <c r="P1106" s="8">
        <v>1</v>
      </c>
      <c r="Q1106" s="8">
        <v>1</v>
      </c>
      <c r="R1106" s="8">
        <v>1</v>
      </c>
      <c r="S1106" s="8">
        <v>0</v>
      </c>
      <c r="T1106" s="10">
        <v>-53.49</v>
      </c>
      <c r="U1106" s="10">
        <v>-43.408999999999999</v>
      </c>
      <c r="V1106" s="10">
        <v>-167.245</v>
      </c>
      <c r="W1106" s="10">
        <f>IF(RIGHT(C1106,2)="12",IF(ISNUMBER(T1106),T1106,""),IF(COUNT(T1106,U1106,V1106)=3,T1106+U1106-V1106,""))</f>
        <v>70.346000000000004</v>
      </c>
      <c r="X1106" s="10">
        <v>70.344999999999999</v>
      </c>
      <c r="Y1106" s="10">
        <v>-10.34</v>
      </c>
      <c r="Z1106" s="10">
        <v>134.17500000000001</v>
      </c>
      <c r="AA1106" s="10">
        <v>-28.866</v>
      </c>
      <c r="AB1106" s="10">
        <v>-24.623000000000001</v>
      </c>
      <c r="AC1106" s="8">
        <v>0</v>
      </c>
      <c r="AD1106" s="8">
        <v>0</v>
      </c>
      <c r="AE1106" s="8">
        <v>0</v>
      </c>
      <c r="AF1106" s="10">
        <v>0</v>
      </c>
      <c r="AG1106" s="8">
        <f>COUNTIF(Y1106:AB1106,"&gt;0")</f>
        <v>1</v>
      </c>
      <c r="AH1106" s="10">
        <v>0</v>
      </c>
      <c r="AI1106" s="10">
        <v>134.17500000000001</v>
      </c>
      <c r="AJ1106" s="8" t="str">
        <f>IF(ISNUMBER(X1106),IF(X1106&gt;0,"+",IF(X1106&lt;0,"−","0")),IF(ISNUMBER(W1106),IF(W1106&gt;0,"+",IF(W1106&lt;0,"−","0")),"yok"))</f>
        <v>+</v>
      </c>
      <c r="AK1106" s="10">
        <f>IF(AND(RIGHT(C1106,2)&lt;&gt;"12",ISNUMBER(U1106),ISNUMBER(V1106)),U1106-V1106,"")</f>
        <v>123.83600000000001</v>
      </c>
      <c r="AL1106" s="11">
        <f>IF(AND(ISNUMBER(AK1106),ISNUMBER(V1106)),IF(V1106&lt;&gt;0,AK1106/ABS(V1106),""),"")</f>
        <v>0.74044665012406952</v>
      </c>
      <c r="AM1106" s="8">
        <f>IF(ISNUMBER(AK1106),IF(AK1106&gt;1,1,0),"")</f>
        <v>1</v>
      </c>
      <c r="AN1106" s="8">
        <f>IF(ISNUMBER(AK1106),IF(AK1106&gt;0.05*ABS(V1106),1,0),"")</f>
        <v>1</v>
      </c>
      <c r="AO1106" s="10"/>
      <c r="AP1106" s="10"/>
      <c r="AQ1106" s="10"/>
      <c r="AR1106" s="8">
        <v>0</v>
      </c>
      <c r="AS1106" s="10"/>
      <c r="AT1106" s="10"/>
      <c r="AU1106" s="10"/>
      <c r="AV1106" s="10">
        <v>123.836</v>
      </c>
      <c r="AW1106" s="11" t="str">
        <f>IF(AND(ISNUMBER(AV1106),ISNUMBER(AT1106)),IF(AT1106&lt;&gt;0,AV1106/ABS(AT1106),""),"")</f>
        <v/>
      </c>
      <c r="AX1106" s="8">
        <v>0</v>
      </c>
      <c r="AY1106" s="8">
        <v>1</v>
      </c>
      <c r="AZ1106" s="10"/>
      <c r="BA1106" s="8">
        <v>0</v>
      </c>
    </row>
    <row r="1107" spans="1:53" x14ac:dyDescent="0.2">
      <c r="A1107" s="8" t="s">
        <v>650</v>
      </c>
      <c r="B1107" s="8" t="s">
        <v>84</v>
      </c>
      <c r="C1107" s="8" t="s">
        <v>290</v>
      </c>
      <c r="D1107" s="8">
        <v>0</v>
      </c>
      <c r="E1107" s="8">
        <v>0</v>
      </c>
      <c r="F1107" s="8">
        <f>SUM(G1107:M1107)</f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1</v>
      </c>
      <c r="Q1107" s="8">
        <v>0</v>
      </c>
      <c r="R1107" s="8">
        <v>0</v>
      </c>
      <c r="S1107" s="8">
        <v>1</v>
      </c>
      <c r="T1107" s="10">
        <v>-173.13200000000001</v>
      </c>
      <c r="U1107" s="10"/>
      <c r="V1107" s="10"/>
      <c r="W1107" s="10">
        <f>IF(RIGHT(C1107,2)="12",IF(ISNUMBER(T1107),T1107,""),IF(COUNT(T1107,U1107,V1107)=3,T1107+U1107-V1107,""))</f>
        <v>-173.13200000000001</v>
      </c>
      <c r="X1107" s="10">
        <v>-173.13200000000001</v>
      </c>
      <c r="Y1107" s="10">
        <v>0</v>
      </c>
      <c r="Z1107" s="10">
        <v>0</v>
      </c>
      <c r="AA1107" s="10">
        <v>-777.48299999999995</v>
      </c>
      <c r="AB1107" s="10">
        <v>604.35</v>
      </c>
      <c r="AC1107" s="8">
        <v>0</v>
      </c>
      <c r="AD1107" s="8">
        <v>0</v>
      </c>
      <c r="AE1107" s="8">
        <v>0</v>
      </c>
      <c r="AF1107" s="10">
        <v>0</v>
      </c>
      <c r="AG1107" s="8">
        <f>COUNTIF(Y1107:AB1107,"&gt;0")</f>
        <v>1</v>
      </c>
      <c r="AH1107" s="10">
        <v>604.35</v>
      </c>
      <c r="AI1107" s="10">
        <v>0</v>
      </c>
      <c r="AJ1107" s="8" t="str">
        <f>IF(ISNUMBER(X1107),IF(X1107&gt;0,"+",IF(X1107&lt;0,"−","0")),IF(ISNUMBER(W1107),IF(W1107&gt;0,"+",IF(W1107&lt;0,"−","0")),"yok"))</f>
        <v>−</v>
      </c>
      <c r="AK1107" s="10" t="str">
        <f>IF(AND(RIGHT(C1107,2)&lt;&gt;"12",ISNUMBER(U1107),ISNUMBER(V1107)),U1107-V1107,"")</f>
        <v/>
      </c>
      <c r="AL1107" s="11" t="str">
        <f>IF(AND(ISNUMBER(AK1107),ISNUMBER(V1107)),IF(V1107&lt;&gt;0,AK1107/ABS(V1107),""),"")</f>
        <v/>
      </c>
      <c r="AM1107" s="8" t="str">
        <f>IF(ISNUMBER(AK1107),IF(AK1107&gt;1,1,0),"")</f>
        <v/>
      </c>
      <c r="AN1107" s="8" t="str">
        <f>IF(ISNUMBER(AK1107),IF(AK1107&gt;0.05*ABS(V1107),1,0),"")</f>
        <v/>
      </c>
      <c r="AO1107" s="10"/>
      <c r="AP1107" s="10"/>
      <c r="AQ1107" s="10"/>
      <c r="AR1107" s="8">
        <v>0</v>
      </c>
      <c r="AS1107" s="10"/>
      <c r="AT1107" s="10"/>
      <c r="AU1107" s="10"/>
      <c r="AV1107" s="10">
        <v>604.35</v>
      </c>
      <c r="AW1107" s="11" t="str">
        <f>IF(AND(ISNUMBER(AV1107),ISNUMBER(AT1107)),IF(AT1107&lt;&gt;0,AV1107/ABS(AT1107),""),"")</f>
        <v/>
      </c>
      <c r="AX1107" s="8">
        <v>0</v>
      </c>
      <c r="AY1107" s="8">
        <v>0</v>
      </c>
      <c r="AZ1107" s="10"/>
      <c r="BA1107" s="8">
        <v>0</v>
      </c>
    </row>
    <row r="1108" spans="1:53" x14ac:dyDescent="0.2">
      <c r="A1108" s="8" t="s">
        <v>651</v>
      </c>
      <c r="B1108" s="8" t="s">
        <v>83</v>
      </c>
      <c r="C1108" s="8" t="s">
        <v>203</v>
      </c>
      <c r="D1108" s="8">
        <v>0</v>
      </c>
      <c r="E1108" s="8">
        <v>0</v>
      </c>
      <c r="F1108" s="8">
        <f>SUM(G1108:M1108)</f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1</v>
      </c>
      <c r="P1108" s="8">
        <v>1</v>
      </c>
      <c r="Q1108" s="8">
        <v>0</v>
      </c>
      <c r="R1108" s="8">
        <v>0</v>
      </c>
      <c r="S1108" s="8">
        <v>0</v>
      </c>
      <c r="T1108" s="10">
        <v>0.1</v>
      </c>
      <c r="U1108" s="10">
        <v>0</v>
      </c>
      <c r="V1108" s="10"/>
      <c r="W1108" s="10" t="str">
        <f>IF(RIGHT(C1108,2)="12",IF(ISNUMBER(T1108),T1108,""),IF(COUNT(T1108,U1108,V1108)=3,T1108+U1108-V1108,""))</f>
        <v/>
      </c>
      <c r="X1108" s="10"/>
      <c r="Y1108" s="10"/>
      <c r="Z1108" s="10">
        <v>4.7E-2</v>
      </c>
      <c r="AA1108" s="10">
        <v>2E-3</v>
      </c>
      <c r="AB1108" s="10">
        <v>0.1</v>
      </c>
      <c r="AC1108" s="8">
        <v>1</v>
      </c>
      <c r="AD1108" s="8">
        <v>0</v>
      </c>
      <c r="AE1108" s="8">
        <v>0</v>
      </c>
      <c r="AF1108" s="10">
        <v>0.1</v>
      </c>
      <c r="AG1108" s="8">
        <f>COUNTIF(Y1108:AB1108,"&gt;0")</f>
        <v>3</v>
      </c>
      <c r="AH1108" s="10">
        <v>0</v>
      </c>
      <c r="AI1108" s="10">
        <v>4.9000000000000002E-2</v>
      </c>
      <c r="AJ1108" s="8" t="str">
        <f>IF(ISNUMBER(X1108),IF(X1108&gt;0,"+",IF(X1108&lt;0,"−","0")),IF(ISNUMBER(W1108),IF(W1108&gt;0,"+",IF(W1108&lt;0,"−","0")),"yok"))</f>
        <v>yok</v>
      </c>
      <c r="AK1108" s="10" t="str">
        <f>IF(AND(RIGHT(C1108,2)&lt;&gt;"12",ISNUMBER(U1108),ISNUMBER(V1108)),U1108-V1108,"")</f>
        <v/>
      </c>
      <c r="AL1108" s="11" t="str">
        <f>IF(AND(ISNUMBER(AK1108),ISNUMBER(V1108)),IF(V1108&lt;&gt;0,AK1108/ABS(V1108),""),"")</f>
        <v/>
      </c>
      <c r="AM1108" s="8" t="str">
        <f>IF(ISNUMBER(AK1108),IF(AK1108&gt;1,1,0),"")</f>
        <v/>
      </c>
      <c r="AN1108" s="8" t="str">
        <f>IF(ISNUMBER(AK1108),IF(AK1108&gt;0.05*ABS(V1108),1,0),"")</f>
        <v/>
      </c>
      <c r="AO1108" s="10"/>
      <c r="AP1108" s="10"/>
      <c r="AQ1108" s="10"/>
      <c r="AR1108" s="8">
        <v>0</v>
      </c>
      <c r="AS1108" s="10"/>
      <c r="AT1108" s="10"/>
      <c r="AU1108" s="10"/>
      <c r="AV1108" s="10">
        <v>0.1</v>
      </c>
      <c r="AW1108" s="11" t="str">
        <f>IF(AND(ISNUMBER(AV1108),ISNUMBER(AT1108)),IF(AT1108&lt;&gt;0,AV1108/ABS(AT1108),""),"")</f>
        <v/>
      </c>
      <c r="AX1108" s="8">
        <v>1</v>
      </c>
      <c r="AY1108" s="8">
        <v>0</v>
      </c>
      <c r="AZ1108" s="8" t="s">
        <v>710</v>
      </c>
      <c r="BA1108" s="8">
        <v>0</v>
      </c>
    </row>
    <row r="1109" spans="1:53" x14ac:dyDescent="0.2">
      <c r="A1109" s="8" t="s">
        <v>654</v>
      </c>
      <c r="B1109" s="8" t="s">
        <v>83</v>
      </c>
      <c r="C1109" s="8" t="s">
        <v>205</v>
      </c>
      <c r="D1109" s="8">
        <v>0</v>
      </c>
      <c r="E1109" s="8">
        <v>0</v>
      </c>
      <c r="F1109" s="8">
        <f>SUM(G1109:M1109)</f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1</v>
      </c>
      <c r="Q1109" s="8">
        <v>0</v>
      </c>
      <c r="R1109" s="8">
        <v>0</v>
      </c>
      <c r="S1109" s="8">
        <v>1</v>
      </c>
      <c r="T1109" s="10">
        <v>-1.5249999999999999</v>
      </c>
      <c r="U1109" s="10">
        <v>-5.6989999999999998</v>
      </c>
      <c r="V1109" s="10">
        <v>-5.2649999999999997</v>
      </c>
      <c r="W1109" s="10">
        <f>IF(RIGHT(C1109,2)="12",IF(ISNUMBER(T1109),T1109,""),IF(COUNT(T1109,U1109,V1109)=3,T1109+U1109-V1109,""))</f>
        <v>-1.9590000000000005</v>
      </c>
      <c r="X1109" s="10">
        <v>-1.9590000000000001</v>
      </c>
      <c r="Y1109" s="10">
        <v>-0.52400000000000002</v>
      </c>
      <c r="Z1109" s="10">
        <v>9.0999999999999998E-2</v>
      </c>
      <c r="AA1109" s="10">
        <v>-2.7959999999999998</v>
      </c>
      <c r="AB1109" s="10">
        <v>1.2709999999999999</v>
      </c>
      <c r="AC1109" s="8">
        <v>0</v>
      </c>
      <c r="AD1109" s="8">
        <v>0</v>
      </c>
      <c r="AE1109" s="8">
        <v>0</v>
      </c>
      <c r="AF1109" s="10">
        <v>0</v>
      </c>
      <c r="AG1109" s="8">
        <f>COUNTIF(Y1109:AB1109,"&gt;0")</f>
        <v>2</v>
      </c>
      <c r="AH1109" s="10">
        <v>1.2709999999999999</v>
      </c>
      <c r="AI1109" s="10">
        <v>9.0999999999999998E-2</v>
      </c>
      <c r="AJ1109" s="8" t="str">
        <f>IF(ISNUMBER(X1109),IF(X1109&gt;0,"+",IF(X1109&lt;0,"−","0")),IF(ISNUMBER(W1109),IF(W1109&gt;0,"+",IF(W1109&lt;0,"−","0")),"yok"))</f>
        <v>−</v>
      </c>
      <c r="AK1109" s="10">
        <f>IF(AND(RIGHT(C1109,2)&lt;&gt;"12",ISNUMBER(U1109),ISNUMBER(V1109)),U1109-V1109,"")</f>
        <v>-0.43400000000000016</v>
      </c>
      <c r="AL1109" s="11">
        <f>IF(AND(ISNUMBER(AK1109),ISNUMBER(V1109)),IF(V1109&lt;&gt;0,AK1109/ABS(V1109),""),"")</f>
        <v>-8.2431149097815806E-2</v>
      </c>
      <c r="AM1109" s="8">
        <f>IF(ISNUMBER(AK1109),IF(AK1109&gt;1,1,0),"")</f>
        <v>0</v>
      </c>
      <c r="AN1109" s="8">
        <f>IF(ISNUMBER(AK1109),IF(AK1109&gt;0.05*ABS(V1109),1,0),"")</f>
        <v>0</v>
      </c>
      <c r="AO1109" s="10"/>
      <c r="AP1109" s="10"/>
      <c r="AQ1109" s="10"/>
      <c r="AR1109" s="8">
        <v>0</v>
      </c>
      <c r="AS1109" s="10"/>
      <c r="AT1109" s="10"/>
      <c r="AU1109" s="10"/>
      <c r="AV1109" s="10">
        <v>1.2709999999999999</v>
      </c>
      <c r="AW1109" s="11" t="str">
        <f>IF(AND(ISNUMBER(AV1109),ISNUMBER(AT1109)),IF(AT1109&lt;&gt;0,AV1109/ABS(AT1109),""),"")</f>
        <v/>
      </c>
      <c r="AX1109" s="8">
        <v>0</v>
      </c>
      <c r="AY1109" s="8">
        <v>0</v>
      </c>
      <c r="AZ1109" s="10"/>
      <c r="BA1109" s="8">
        <v>0</v>
      </c>
    </row>
    <row r="1110" spans="1:53" x14ac:dyDescent="0.2">
      <c r="A1110" s="8" t="s">
        <v>654</v>
      </c>
      <c r="B1110" s="8" t="s">
        <v>83</v>
      </c>
      <c r="C1110" s="8" t="s">
        <v>215</v>
      </c>
      <c r="D1110" s="8">
        <v>0</v>
      </c>
      <c r="E1110" s="8">
        <v>0</v>
      </c>
      <c r="F1110" s="8">
        <f>SUM(G1110:M1110)</f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1</v>
      </c>
      <c r="Q1110" s="8">
        <v>0</v>
      </c>
      <c r="R1110" s="8">
        <v>0</v>
      </c>
      <c r="S1110" s="8">
        <v>1</v>
      </c>
      <c r="T1110" s="10">
        <v>-3.6840000000000002</v>
      </c>
      <c r="U1110" s="10">
        <v>-5.6989999999999998</v>
      </c>
      <c r="V1110" s="10">
        <v>-5.79</v>
      </c>
      <c r="W1110" s="10">
        <f>IF(RIGHT(C1110,2)="12",IF(ISNUMBER(T1110),T1110,""),IF(COUNT(T1110,U1110,V1110)=3,T1110+U1110-V1110,""))</f>
        <v>-3.5929999999999991</v>
      </c>
      <c r="X1110" s="10">
        <v>-3.593</v>
      </c>
      <c r="Y1110" s="10">
        <v>9.0999999999999998E-2</v>
      </c>
      <c r="Z1110" s="10">
        <v>-2.7959999999999998</v>
      </c>
      <c r="AA1110" s="10">
        <v>1.2709999999999999</v>
      </c>
      <c r="AB1110" s="10">
        <v>-2.1579999999999999</v>
      </c>
      <c r="AC1110" s="8">
        <v>0</v>
      </c>
      <c r="AD1110" s="8">
        <v>0</v>
      </c>
      <c r="AE1110" s="8">
        <v>0</v>
      </c>
      <c r="AF1110" s="10">
        <v>0</v>
      </c>
      <c r="AG1110" s="8">
        <f>COUNTIF(Y1110:AB1110,"&gt;0")</f>
        <v>2</v>
      </c>
      <c r="AH1110" s="10">
        <v>1.2709999999999999</v>
      </c>
      <c r="AI1110" s="10">
        <v>9.0999999999999998E-2</v>
      </c>
      <c r="AJ1110" s="8" t="str">
        <f>IF(ISNUMBER(X1110),IF(X1110&gt;0,"+",IF(X1110&lt;0,"−","0")),IF(ISNUMBER(W1110),IF(W1110&gt;0,"+",IF(W1110&lt;0,"−","0")),"yok"))</f>
        <v>−</v>
      </c>
      <c r="AK1110" s="10">
        <f>IF(AND(RIGHT(C1110,2)&lt;&gt;"12",ISNUMBER(U1110),ISNUMBER(V1110)),U1110-V1110,"")</f>
        <v>9.1000000000000192E-2</v>
      </c>
      <c r="AL1110" s="11">
        <f>IF(AND(ISNUMBER(AK1110),ISNUMBER(V1110)),IF(V1110&lt;&gt;0,AK1110/ABS(V1110),""),"")</f>
        <v>1.5716753022452536E-2</v>
      </c>
      <c r="AM1110" s="8">
        <f>IF(ISNUMBER(AK1110),IF(AK1110&gt;1,1,0),"")</f>
        <v>0</v>
      </c>
      <c r="AN1110" s="8">
        <f>IF(ISNUMBER(AK1110),IF(AK1110&gt;0.05*ABS(V1110),1,0),"")</f>
        <v>0</v>
      </c>
      <c r="AO1110" s="10"/>
      <c r="AP1110" s="10"/>
      <c r="AQ1110" s="10"/>
      <c r="AR1110" s="8">
        <v>0</v>
      </c>
      <c r="AS1110" s="10"/>
      <c r="AT1110" s="10"/>
      <c r="AU1110" s="10"/>
      <c r="AV1110" s="10">
        <v>9.1000000000000206E-2</v>
      </c>
      <c r="AW1110" s="11" t="str">
        <f>IF(AND(ISNUMBER(AV1110),ISNUMBER(AT1110)),IF(AT1110&lt;&gt;0,AV1110/ABS(AT1110),""),"")</f>
        <v/>
      </c>
      <c r="AX1110" s="8">
        <v>0</v>
      </c>
      <c r="AY1110" s="8">
        <v>0</v>
      </c>
      <c r="AZ1110" s="10"/>
      <c r="BA1110" s="8">
        <v>0</v>
      </c>
    </row>
    <row r="1111" spans="1:53" x14ac:dyDescent="0.2">
      <c r="A1111" s="8" t="s">
        <v>654</v>
      </c>
      <c r="B1111" s="8" t="s">
        <v>83</v>
      </c>
      <c r="C1111" s="8" t="s">
        <v>290</v>
      </c>
      <c r="D1111" s="8">
        <v>0</v>
      </c>
      <c r="E1111" s="8">
        <v>0</v>
      </c>
      <c r="F1111" s="8">
        <f>SUM(G1111:M1111)</f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1</v>
      </c>
      <c r="Q1111" s="8">
        <v>0</v>
      </c>
      <c r="R1111" s="8">
        <v>0</v>
      </c>
      <c r="S1111" s="8">
        <v>1</v>
      </c>
      <c r="T1111" s="10">
        <v>-7.2080000000000002</v>
      </c>
      <c r="U1111" s="10"/>
      <c r="V1111" s="10"/>
      <c r="W1111" s="10">
        <f>IF(RIGHT(C1111,2)="12",IF(ISNUMBER(T1111),T1111,""),IF(COUNT(T1111,U1111,V1111)=3,T1111+U1111-V1111,""))</f>
        <v>-7.2080000000000002</v>
      </c>
      <c r="X1111" s="10">
        <v>-7.2080000000000002</v>
      </c>
      <c r="Y1111" s="10">
        <v>-2.7959999999999998</v>
      </c>
      <c r="Z1111" s="10">
        <v>1.2709999999999999</v>
      </c>
      <c r="AA1111" s="10">
        <v>-2.1579999999999999</v>
      </c>
      <c r="AB1111" s="10">
        <v>-3.5230000000000001</v>
      </c>
      <c r="AC1111" s="8">
        <v>0</v>
      </c>
      <c r="AD1111" s="8">
        <v>0</v>
      </c>
      <c r="AE1111" s="8">
        <v>0</v>
      </c>
      <c r="AF1111" s="10">
        <v>0</v>
      </c>
      <c r="AG1111" s="8">
        <f>COUNTIF(Y1111:AB1111,"&gt;0")</f>
        <v>1</v>
      </c>
      <c r="AH1111" s="10">
        <v>1.2709999999999999</v>
      </c>
      <c r="AI1111" s="10">
        <v>0</v>
      </c>
      <c r="AJ1111" s="8" t="str">
        <f>IF(ISNUMBER(X1111),IF(X1111&gt;0,"+",IF(X1111&lt;0,"−","0")),IF(ISNUMBER(W1111),IF(W1111&gt;0,"+",IF(W1111&lt;0,"−","0")),"yok"))</f>
        <v>−</v>
      </c>
      <c r="AK1111" s="10" t="str">
        <f>IF(AND(RIGHT(C1111,2)&lt;&gt;"12",ISNUMBER(U1111),ISNUMBER(V1111)),U1111-V1111,"")</f>
        <v/>
      </c>
      <c r="AL1111" s="11" t="str">
        <f>IF(AND(ISNUMBER(AK1111),ISNUMBER(V1111)),IF(V1111&lt;&gt;0,AK1111/ABS(V1111),""),"")</f>
        <v/>
      </c>
      <c r="AM1111" s="8" t="str">
        <f>IF(ISNUMBER(AK1111),IF(AK1111&gt;1,1,0),"")</f>
        <v/>
      </c>
      <c r="AN1111" s="8" t="str">
        <f>IF(ISNUMBER(AK1111),IF(AK1111&gt;0.05*ABS(V1111),1,0),"")</f>
        <v/>
      </c>
      <c r="AO1111" s="10"/>
      <c r="AP1111" s="10"/>
      <c r="AQ1111" s="10"/>
      <c r="AR1111" s="8">
        <v>0</v>
      </c>
      <c r="AS1111" s="10"/>
      <c r="AT1111" s="10"/>
      <c r="AU1111" s="10"/>
      <c r="AV1111" s="10">
        <v>1.2709999999999999</v>
      </c>
      <c r="AW1111" s="11" t="str">
        <f>IF(AND(ISNUMBER(AV1111),ISNUMBER(AT1111)),IF(AT1111&lt;&gt;0,AV1111/ABS(AT1111),""),"")</f>
        <v/>
      </c>
      <c r="AX1111" s="8">
        <v>0</v>
      </c>
      <c r="AY1111" s="8">
        <v>0</v>
      </c>
      <c r="AZ1111" s="10"/>
      <c r="BA1111" s="8">
        <v>0</v>
      </c>
    </row>
    <row r="1112" spans="1:53" x14ac:dyDescent="0.2">
      <c r="A1112" s="8" t="s">
        <v>655</v>
      </c>
      <c r="B1112" s="8" t="s">
        <v>82</v>
      </c>
      <c r="C1112" s="8" t="s">
        <v>203</v>
      </c>
      <c r="D1112" s="8">
        <v>0</v>
      </c>
      <c r="E1112" s="8">
        <v>0</v>
      </c>
      <c r="F1112" s="8">
        <f>SUM(G1112:M1112)</f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1</v>
      </c>
      <c r="O1112" s="8">
        <v>1</v>
      </c>
      <c r="P1112" s="8">
        <v>1</v>
      </c>
      <c r="Q1112" s="8">
        <v>1</v>
      </c>
      <c r="R1112" s="8">
        <v>1</v>
      </c>
      <c r="S1112" s="8">
        <v>0</v>
      </c>
      <c r="T1112" s="10">
        <v>-1.9119999999999999</v>
      </c>
      <c r="U1112" s="10">
        <v>12.263</v>
      </c>
      <c r="V1112" s="10">
        <v>-2.036</v>
      </c>
      <c r="W1112" s="10">
        <f>IF(RIGHT(C1112,2)="12",IF(ISNUMBER(T1112),T1112,""),IF(COUNT(T1112,U1112,V1112)=3,T1112+U1112-V1112,""))</f>
        <v>12.386999999999999</v>
      </c>
      <c r="X1112" s="10">
        <v>12.387</v>
      </c>
      <c r="Y1112" s="10">
        <v>10.178000000000001</v>
      </c>
      <c r="Z1112" s="10">
        <v>5.8490000000000002</v>
      </c>
      <c r="AA1112" s="10">
        <v>-1.7270000000000001</v>
      </c>
      <c r="AB1112" s="10">
        <v>-1.9119999999999999</v>
      </c>
      <c r="AC1112" s="8">
        <v>0</v>
      </c>
      <c r="AD1112" s="8">
        <v>1</v>
      </c>
      <c r="AE1112" s="8">
        <v>0</v>
      </c>
      <c r="AF1112" s="10">
        <v>12.263</v>
      </c>
      <c r="AG1112" s="8">
        <f>COUNTIF(Y1112:AB1112,"&gt;0")</f>
        <v>2</v>
      </c>
      <c r="AH1112" s="10">
        <v>0</v>
      </c>
      <c r="AI1112" s="10">
        <v>16.027000000000001</v>
      </c>
      <c r="AJ1112" s="8" t="str">
        <f>IF(ISNUMBER(X1112),IF(X1112&gt;0,"+",IF(X1112&lt;0,"−","0")),IF(ISNUMBER(W1112),IF(W1112&gt;0,"+",IF(W1112&lt;0,"−","0")),"yok"))</f>
        <v>+</v>
      </c>
      <c r="AK1112" s="10">
        <f>IF(AND(RIGHT(C1112,2)&lt;&gt;"12",ISNUMBER(U1112),ISNUMBER(V1112)),U1112-V1112,"")</f>
        <v>14.298999999999999</v>
      </c>
      <c r="AL1112" s="11">
        <f>IF(AND(ISNUMBER(AK1112),ISNUMBER(V1112)),IF(V1112&lt;&gt;0,AK1112/ABS(V1112),""),"")</f>
        <v>7.0230844793713159</v>
      </c>
      <c r="AM1112" s="8">
        <f>IF(ISNUMBER(AK1112),IF(AK1112&gt;1,1,0),"")</f>
        <v>1</v>
      </c>
      <c r="AN1112" s="8">
        <f>IF(ISNUMBER(AK1112),IF(AK1112&gt;0.05*ABS(V1112),1,0),"")</f>
        <v>1</v>
      </c>
      <c r="AO1112" s="10"/>
      <c r="AP1112" s="10"/>
      <c r="AQ1112" s="10"/>
      <c r="AR1112" s="8">
        <v>0</v>
      </c>
      <c r="AS1112" s="10"/>
      <c r="AT1112" s="10"/>
      <c r="AU1112" s="10"/>
      <c r="AV1112" s="10">
        <v>12.263</v>
      </c>
      <c r="AW1112" s="11" t="str">
        <f>IF(AND(ISNUMBER(AV1112),ISNUMBER(AT1112)),IF(AT1112&lt;&gt;0,AV1112/ABS(AT1112),""),"")</f>
        <v/>
      </c>
      <c r="AX1112" s="8">
        <v>1</v>
      </c>
      <c r="AY1112" s="8">
        <v>0</v>
      </c>
      <c r="AZ1112" s="8" t="s">
        <v>711</v>
      </c>
      <c r="BA1112" s="8">
        <v>0</v>
      </c>
    </row>
    <row r="1113" spans="1:53" x14ac:dyDescent="0.2">
      <c r="A1113" s="8" t="s">
        <v>655</v>
      </c>
      <c r="B1113" s="8" t="s">
        <v>82</v>
      </c>
      <c r="C1113" s="8" t="s">
        <v>205</v>
      </c>
      <c r="D1113" s="8">
        <v>0</v>
      </c>
      <c r="E1113" s="8">
        <v>0</v>
      </c>
      <c r="F1113" s="8">
        <f>SUM(G1113:M1113)</f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  <c r="M1113" s="8">
        <v>0</v>
      </c>
      <c r="N1113" s="8">
        <v>1</v>
      </c>
      <c r="O1113" s="8">
        <v>1</v>
      </c>
      <c r="P1113" s="8">
        <v>1</v>
      </c>
      <c r="Q1113" s="8">
        <v>1</v>
      </c>
      <c r="R1113" s="8">
        <v>1</v>
      </c>
      <c r="S1113" s="8">
        <v>0</v>
      </c>
      <c r="T1113" s="10">
        <v>-3.6070000000000002</v>
      </c>
      <c r="U1113" s="10">
        <v>12.263</v>
      </c>
      <c r="V1113" s="10">
        <v>8.141</v>
      </c>
      <c r="W1113" s="10">
        <f>IF(RIGHT(C1113,2)="12",IF(ISNUMBER(T1113),T1113,""),IF(COUNT(T1113,U1113,V1113)=3,T1113+U1113-V1113,""))</f>
        <v>0.51499999999999879</v>
      </c>
      <c r="X1113" s="10">
        <v>0.51300000000000001</v>
      </c>
      <c r="Y1113" s="10">
        <v>5.8490000000000002</v>
      </c>
      <c r="Z1113" s="10">
        <v>-1.7270000000000001</v>
      </c>
      <c r="AA1113" s="10">
        <v>-1.9119999999999999</v>
      </c>
      <c r="AB1113" s="10">
        <v>-1.6950000000000001</v>
      </c>
      <c r="AC1113" s="8">
        <v>0</v>
      </c>
      <c r="AD1113" s="8">
        <v>1</v>
      </c>
      <c r="AE1113" s="8">
        <v>1</v>
      </c>
      <c r="AF1113" s="10">
        <v>12.263</v>
      </c>
      <c r="AG1113" s="8">
        <f>COUNTIF(Y1113:AB1113,"&gt;0")</f>
        <v>1</v>
      </c>
      <c r="AH1113" s="10">
        <v>0</v>
      </c>
      <c r="AI1113" s="10">
        <v>5.8490000000000002</v>
      </c>
      <c r="AJ1113" s="8" t="str">
        <f>IF(ISNUMBER(X1113),IF(X1113&gt;0,"+",IF(X1113&lt;0,"−","0")),IF(ISNUMBER(W1113),IF(W1113&gt;0,"+",IF(W1113&lt;0,"−","0")),"yok"))</f>
        <v>+</v>
      </c>
      <c r="AK1113" s="10">
        <f>IF(AND(RIGHT(C1113,2)&lt;&gt;"12",ISNUMBER(U1113),ISNUMBER(V1113)),U1113-V1113,"")</f>
        <v>4.1219999999999999</v>
      </c>
      <c r="AL1113" s="11">
        <f>IF(AND(ISNUMBER(AK1113),ISNUMBER(V1113)),IF(V1113&lt;&gt;0,AK1113/ABS(V1113),""),"")</f>
        <v>0.50632600417639106</v>
      </c>
      <c r="AM1113" s="8">
        <f>IF(ISNUMBER(AK1113),IF(AK1113&gt;1,1,0),"")</f>
        <v>1</v>
      </c>
      <c r="AN1113" s="8">
        <f>IF(ISNUMBER(AK1113),IF(AK1113&gt;0.05*ABS(V1113),1,0),"")</f>
        <v>1</v>
      </c>
      <c r="AO1113" s="10"/>
      <c r="AP1113" s="10"/>
      <c r="AQ1113" s="10"/>
      <c r="AR1113" s="8">
        <v>0</v>
      </c>
      <c r="AS1113" s="10"/>
      <c r="AT1113" s="10"/>
      <c r="AU1113" s="10"/>
      <c r="AV1113" s="10">
        <v>12.263</v>
      </c>
      <c r="AW1113" s="11" t="str">
        <f>IF(AND(ISNUMBER(AV1113),ISNUMBER(AT1113)),IF(AT1113&lt;&gt;0,AV1113/ABS(AT1113),""),"")</f>
        <v/>
      </c>
      <c r="AX1113" s="8">
        <v>1</v>
      </c>
      <c r="AY1113" s="8">
        <v>0</v>
      </c>
      <c r="AZ1113" s="8" t="s">
        <v>712</v>
      </c>
      <c r="BA1113" s="8">
        <v>0</v>
      </c>
    </row>
    <row r="1114" spans="1:53" x14ac:dyDescent="0.2">
      <c r="A1114" s="8" t="s">
        <v>657</v>
      </c>
      <c r="B1114" s="8" t="s">
        <v>83</v>
      </c>
      <c r="C1114" s="8" t="s">
        <v>290</v>
      </c>
      <c r="D1114" s="8">
        <v>0</v>
      </c>
      <c r="E1114" s="8">
        <v>0</v>
      </c>
      <c r="F1114" s="8">
        <f>SUM(G1114:M1114)</f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1</v>
      </c>
      <c r="Q1114" s="8">
        <v>0</v>
      </c>
      <c r="R1114" s="8">
        <v>0</v>
      </c>
      <c r="S1114" s="8">
        <v>1</v>
      </c>
      <c r="T1114" s="10">
        <v>-2.9710000000000001</v>
      </c>
      <c r="U1114" s="10"/>
      <c r="V1114" s="10"/>
      <c r="W1114" s="10">
        <f>IF(RIGHT(C1114,2)="12",IF(ISNUMBER(T1114),T1114,""),IF(COUNT(T1114,U1114,V1114)=3,T1114+U1114-V1114,""))</f>
        <v>-2.9710000000000001</v>
      </c>
      <c r="X1114" s="10">
        <v>-2.9710000000000001</v>
      </c>
      <c r="Y1114" s="10">
        <v>0</v>
      </c>
      <c r="Z1114" s="10">
        <v>-7.524</v>
      </c>
      <c r="AA1114" s="10">
        <v>-0.33300000000000002</v>
      </c>
      <c r="AB1114" s="10">
        <v>4.8860000000000001</v>
      </c>
      <c r="AC1114" s="8">
        <v>0</v>
      </c>
      <c r="AD1114" s="8">
        <v>0</v>
      </c>
      <c r="AE1114" s="8">
        <v>0</v>
      </c>
      <c r="AF1114" s="10">
        <v>0</v>
      </c>
      <c r="AG1114" s="8">
        <f>COUNTIF(Y1114:AB1114,"&gt;0")</f>
        <v>1</v>
      </c>
      <c r="AH1114" s="10">
        <v>4.8860000000000001</v>
      </c>
      <c r="AI1114" s="10">
        <v>0</v>
      </c>
      <c r="AJ1114" s="8" t="str">
        <f>IF(ISNUMBER(X1114),IF(X1114&gt;0,"+",IF(X1114&lt;0,"−","0")),IF(ISNUMBER(W1114),IF(W1114&gt;0,"+",IF(W1114&lt;0,"−","0")),"yok"))</f>
        <v>−</v>
      </c>
      <c r="AK1114" s="10" t="str">
        <f>IF(AND(RIGHT(C1114,2)&lt;&gt;"12",ISNUMBER(U1114),ISNUMBER(V1114)),U1114-V1114,"")</f>
        <v/>
      </c>
      <c r="AL1114" s="11" t="str">
        <f>IF(AND(ISNUMBER(AK1114),ISNUMBER(V1114)),IF(V1114&lt;&gt;0,AK1114/ABS(V1114),""),"")</f>
        <v/>
      </c>
      <c r="AM1114" s="8" t="str">
        <f>IF(ISNUMBER(AK1114),IF(AK1114&gt;1,1,0),"")</f>
        <v/>
      </c>
      <c r="AN1114" s="8" t="str">
        <f>IF(ISNUMBER(AK1114),IF(AK1114&gt;0.05*ABS(V1114),1,0),"")</f>
        <v/>
      </c>
      <c r="AO1114" s="10"/>
      <c r="AP1114" s="10"/>
      <c r="AQ1114" s="10"/>
      <c r="AR1114" s="8">
        <v>0</v>
      </c>
      <c r="AS1114" s="10"/>
      <c r="AT1114" s="10"/>
      <c r="AU1114" s="10"/>
      <c r="AV1114" s="10">
        <v>4.8860000000000001</v>
      </c>
      <c r="AW1114" s="11" t="str">
        <f>IF(AND(ISNUMBER(AV1114),ISNUMBER(AT1114)),IF(AT1114&lt;&gt;0,AV1114/ABS(AT1114),""),"")</f>
        <v/>
      </c>
      <c r="AX1114" s="8">
        <v>0</v>
      </c>
      <c r="AY1114" s="8">
        <v>0</v>
      </c>
      <c r="AZ1114" s="10"/>
      <c r="BA1114" s="8">
        <v>0</v>
      </c>
    </row>
    <row r="1115" spans="1:53" x14ac:dyDescent="0.2">
      <c r="A1115" s="8" t="s">
        <v>660</v>
      </c>
      <c r="B1115" s="8" t="s">
        <v>84</v>
      </c>
      <c r="C1115" s="8" t="s">
        <v>210</v>
      </c>
      <c r="D1115" s="8">
        <v>0</v>
      </c>
      <c r="E1115" s="8">
        <v>0</v>
      </c>
      <c r="F1115" s="8">
        <f>SUM(G1115:M1115)</f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1</v>
      </c>
      <c r="Q1115" s="8">
        <v>0</v>
      </c>
      <c r="R1115" s="8">
        <v>0</v>
      </c>
      <c r="S1115" s="8">
        <v>1</v>
      </c>
      <c r="T1115" s="10">
        <v>-2.8889999999999998</v>
      </c>
      <c r="U1115" s="10">
        <v>0</v>
      </c>
      <c r="V1115" s="10">
        <v>0</v>
      </c>
      <c r="W1115" s="10">
        <f>IF(RIGHT(C1115,2)="12",IF(ISNUMBER(T1115),T1115,""),IF(COUNT(T1115,U1115,V1115)=3,T1115+U1115-V1115,""))</f>
        <v>-2.8889999999999998</v>
      </c>
      <c r="X1115" s="10">
        <v>-2.8889999999999998</v>
      </c>
      <c r="Y1115" s="10">
        <v>0</v>
      </c>
      <c r="Z1115" s="10">
        <v>0</v>
      </c>
      <c r="AA1115" s="10">
        <v>-5.2750000000000004</v>
      </c>
      <c r="AB1115" s="10">
        <v>2.3860000000000001</v>
      </c>
      <c r="AC1115" s="8">
        <v>0</v>
      </c>
      <c r="AD1115" s="8">
        <v>0</v>
      </c>
      <c r="AE1115" s="8">
        <v>0</v>
      </c>
      <c r="AF1115" s="10">
        <v>0</v>
      </c>
      <c r="AG1115" s="8">
        <f>COUNTIF(Y1115:AB1115,"&gt;0")</f>
        <v>1</v>
      </c>
      <c r="AH1115" s="10">
        <v>2.3860000000000001</v>
      </c>
      <c r="AI1115" s="10">
        <v>0</v>
      </c>
      <c r="AJ1115" s="8" t="str">
        <f>IF(ISNUMBER(X1115),IF(X1115&gt;0,"+",IF(X1115&lt;0,"−","0")),IF(ISNUMBER(W1115),IF(W1115&gt;0,"+",IF(W1115&lt;0,"−","0")),"yok"))</f>
        <v>−</v>
      </c>
      <c r="AK1115" s="10">
        <f>IF(AND(RIGHT(C1115,2)&lt;&gt;"12",ISNUMBER(U1115),ISNUMBER(V1115)),U1115-V1115,"")</f>
        <v>0</v>
      </c>
      <c r="AL1115" s="11" t="str">
        <f>IF(AND(ISNUMBER(AK1115),ISNUMBER(V1115)),IF(V1115&lt;&gt;0,AK1115/ABS(V1115),""),"")</f>
        <v/>
      </c>
      <c r="AM1115" s="8">
        <f>IF(ISNUMBER(AK1115),IF(AK1115&gt;1,1,0),"")</f>
        <v>0</v>
      </c>
      <c r="AN1115" s="8">
        <f>IF(ISNUMBER(AK1115),IF(AK1115&gt;0.05*ABS(V1115),1,0),"")</f>
        <v>0</v>
      </c>
      <c r="AO1115" s="10"/>
      <c r="AP1115" s="10"/>
      <c r="AQ1115" s="10"/>
      <c r="AR1115" s="8">
        <v>0</v>
      </c>
      <c r="AS1115" s="10"/>
      <c r="AT1115" s="10"/>
      <c r="AU1115" s="10"/>
      <c r="AV1115" s="10">
        <v>2.3860000000000001</v>
      </c>
      <c r="AW1115" s="11" t="str">
        <f>IF(AND(ISNUMBER(AV1115),ISNUMBER(AT1115)),IF(AT1115&lt;&gt;0,AV1115/ABS(AT1115),""),"")</f>
        <v/>
      </c>
      <c r="AX1115" s="8">
        <v>0</v>
      </c>
      <c r="AY1115" s="8">
        <v>0</v>
      </c>
      <c r="AZ1115" s="10"/>
      <c r="BA1115" s="8">
        <v>0</v>
      </c>
    </row>
    <row r="1116" spans="1:53" x14ac:dyDescent="0.2">
      <c r="A1116" s="8" t="s">
        <v>661</v>
      </c>
      <c r="B1116" s="8" t="s">
        <v>82</v>
      </c>
      <c r="C1116" s="8" t="s">
        <v>210</v>
      </c>
      <c r="D1116" s="8">
        <v>0</v>
      </c>
      <c r="E1116" s="8">
        <v>0</v>
      </c>
      <c r="F1116" s="8">
        <f>SUM(G1116:M1116)</f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1</v>
      </c>
      <c r="Q1116" s="8">
        <v>0</v>
      </c>
      <c r="R1116" s="8">
        <v>0</v>
      </c>
      <c r="S1116" s="8">
        <v>1</v>
      </c>
      <c r="T1116" s="10">
        <v>-80.296000000000006</v>
      </c>
      <c r="U1116" s="10">
        <v>-207.63499999999999</v>
      </c>
      <c r="V1116" s="10">
        <v>0</v>
      </c>
      <c r="W1116" s="10">
        <f>IF(RIGHT(C1116,2)="12",IF(ISNUMBER(T1116),T1116,""),IF(COUNT(T1116,U1116,V1116)=3,T1116+U1116-V1116,""))</f>
        <v>-287.93099999999998</v>
      </c>
      <c r="X1116" s="10">
        <v>-287.93099999999998</v>
      </c>
      <c r="Y1116" s="10"/>
      <c r="Z1116" s="10"/>
      <c r="AA1116" s="10">
        <v>-188.68700000000001</v>
      </c>
      <c r="AB1116" s="10">
        <v>108.39100000000001</v>
      </c>
      <c r="AC1116" s="8">
        <v>0</v>
      </c>
      <c r="AD1116" s="8">
        <v>0</v>
      </c>
      <c r="AE1116" s="8">
        <v>0</v>
      </c>
      <c r="AF1116" s="10">
        <v>0</v>
      </c>
      <c r="AG1116" s="8">
        <f>COUNTIF(Y1116:AB1116,"&gt;0")</f>
        <v>1</v>
      </c>
      <c r="AH1116" s="10">
        <v>108.39100000000001</v>
      </c>
      <c r="AI1116" s="10">
        <v>0</v>
      </c>
      <c r="AJ1116" s="8" t="str">
        <f>IF(ISNUMBER(X1116),IF(X1116&gt;0,"+",IF(X1116&lt;0,"−","0")),IF(ISNUMBER(W1116),IF(W1116&gt;0,"+",IF(W1116&lt;0,"−","0")),"yok"))</f>
        <v>−</v>
      </c>
      <c r="AK1116" s="10">
        <f>IF(AND(RIGHT(C1116,2)&lt;&gt;"12",ISNUMBER(U1116),ISNUMBER(V1116)),U1116-V1116,"")</f>
        <v>-207.63499999999999</v>
      </c>
      <c r="AL1116" s="11" t="str">
        <f>IF(AND(ISNUMBER(AK1116),ISNUMBER(V1116)),IF(V1116&lt;&gt;0,AK1116/ABS(V1116),""),"")</f>
        <v/>
      </c>
      <c r="AM1116" s="8">
        <f>IF(ISNUMBER(AK1116),IF(AK1116&gt;1,1,0),"")</f>
        <v>0</v>
      </c>
      <c r="AN1116" s="8">
        <f>IF(ISNUMBER(AK1116),IF(AK1116&gt;0.05*ABS(V1116),1,0),"")</f>
        <v>0</v>
      </c>
      <c r="AO1116" s="10"/>
      <c r="AP1116" s="10"/>
      <c r="AQ1116" s="10"/>
      <c r="AR1116" s="8">
        <v>0</v>
      </c>
      <c r="AS1116" s="10"/>
      <c r="AT1116" s="10"/>
      <c r="AU1116" s="10"/>
      <c r="AV1116" s="10">
        <v>108.39100000000001</v>
      </c>
      <c r="AW1116" s="11" t="str">
        <f>IF(AND(ISNUMBER(AV1116),ISNUMBER(AT1116)),IF(AT1116&lt;&gt;0,AV1116/ABS(AT1116),""),"")</f>
        <v/>
      </c>
      <c r="AX1116" s="8">
        <v>0</v>
      </c>
      <c r="AY1116" s="8">
        <v>0</v>
      </c>
      <c r="AZ1116" s="10"/>
      <c r="BA1116" s="8">
        <v>0</v>
      </c>
    </row>
    <row r="1117" spans="1:53" x14ac:dyDescent="0.2">
      <c r="A1117" s="8" t="s">
        <v>661</v>
      </c>
      <c r="B1117" s="8" t="s">
        <v>83</v>
      </c>
      <c r="C1117" s="8" t="s">
        <v>290</v>
      </c>
      <c r="D1117" s="8">
        <v>0</v>
      </c>
      <c r="E1117" s="8">
        <v>0</v>
      </c>
      <c r="F1117" s="8">
        <f>SUM(G1117:M1117)</f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1</v>
      </c>
      <c r="Q1117" s="8">
        <v>0</v>
      </c>
      <c r="R1117" s="8">
        <v>0</v>
      </c>
      <c r="S1117" s="8">
        <v>1</v>
      </c>
      <c r="T1117" s="10">
        <v>-657.44799999999998</v>
      </c>
      <c r="U1117" s="10"/>
      <c r="V1117" s="10"/>
      <c r="W1117" s="10">
        <f>IF(RIGHT(C1117,2)="12",IF(ISNUMBER(T1117),T1117,""),IF(COUNT(T1117,U1117,V1117)=3,T1117+U1117-V1117,""))</f>
        <v>-657.44799999999998</v>
      </c>
      <c r="X1117" s="10">
        <v>-657.44799999999998</v>
      </c>
      <c r="Y1117" s="10">
        <v>-821.47900000000004</v>
      </c>
      <c r="Z1117" s="10">
        <v>-125.73</v>
      </c>
      <c r="AA1117" s="10">
        <v>-175.45699999999999</v>
      </c>
      <c r="AB1117" s="10">
        <v>465.21800000000002</v>
      </c>
      <c r="AC1117" s="8">
        <v>0</v>
      </c>
      <c r="AD1117" s="8">
        <v>0</v>
      </c>
      <c r="AE1117" s="8">
        <v>0</v>
      </c>
      <c r="AF1117" s="10">
        <v>0</v>
      </c>
      <c r="AG1117" s="8">
        <f>COUNTIF(Y1117:AB1117,"&gt;0")</f>
        <v>1</v>
      </c>
      <c r="AH1117" s="10">
        <v>465.21800000000002</v>
      </c>
      <c r="AI1117" s="10">
        <v>0</v>
      </c>
      <c r="AJ1117" s="8" t="str">
        <f>IF(ISNUMBER(X1117),IF(X1117&gt;0,"+",IF(X1117&lt;0,"−","0")),IF(ISNUMBER(W1117),IF(W1117&gt;0,"+",IF(W1117&lt;0,"−","0")),"yok"))</f>
        <v>−</v>
      </c>
      <c r="AK1117" s="10" t="str">
        <f>IF(AND(RIGHT(C1117,2)&lt;&gt;"12",ISNUMBER(U1117),ISNUMBER(V1117)),U1117-V1117,"")</f>
        <v/>
      </c>
      <c r="AL1117" s="11" t="str">
        <f>IF(AND(ISNUMBER(AK1117),ISNUMBER(V1117)),IF(V1117&lt;&gt;0,AK1117/ABS(V1117),""),"")</f>
        <v/>
      </c>
      <c r="AM1117" s="8" t="str">
        <f>IF(ISNUMBER(AK1117),IF(AK1117&gt;1,1,0),"")</f>
        <v/>
      </c>
      <c r="AN1117" s="8" t="str">
        <f>IF(ISNUMBER(AK1117),IF(AK1117&gt;0.05*ABS(V1117),1,0),"")</f>
        <v/>
      </c>
      <c r="AO1117" s="10"/>
      <c r="AP1117" s="10"/>
      <c r="AQ1117" s="10"/>
      <c r="AR1117" s="8">
        <v>0</v>
      </c>
      <c r="AS1117" s="10"/>
      <c r="AT1117" s="10"/>
      <c r="AU1117" s="10"/>
      <c r="AV1117" s="10">
        <v>465.21800000000002</v>
      </c>
      <c r="AW1117" s="11" t="str">
        <f>IF(AND(ISNUMBER(AV1117),ISNUMBER(AT1117)),IF(AT1117&lt;&gt;0,AV1117/ABS(AT1117),""),"")</f>
        <v/>
      </c>
      <c r="AX1117" s="8">
        <v>0</v>
      </c>
      <c r="AY1117" s="8">
        <v>0</v>
      </c>
      <c r="AZ1117" s="10"/>
      <c r="BA1117" s="8">
        <v>0</v>
      </c>
    </row>
    <row r="1118" spans="1:53" x14ac:dyDescent="0.2">
      <c r="A1118" s="8" t="s">
        <v>662</v>
      </c>
      <c r="B1118" s="8" t="s">
        <v>82</v>
      </c>
      <c r="C1118" s="8" t="s">
        <v>210</v>
      </c>
      <c r="D1118" s="8">
        <v>0</v>
      </c>
      <c r="E1118" s="8">
        <v>0</v>
      </c>
      <c r="F1118" s="8">
        <f>SUM(G1118:M1118)</f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1</v>
      </c>
      <c r="Q1118" s="8">
        <v>0</v>
      </c>
      <c r="R1118" s="8">
        <v>0</v>
      </c>
      <c r="S1118" s="8">
        <v>1</v>
      </c>
      <c r="T1118" s="10">
        <v>-1.0129999999999999</v>
      </c>
      <c r="U1118" s="10">
        <v>-3.9489999999999998</v>
      </c>
      <c r="V1118" s="10">
        <v>-2.4590000000000001</v>
      </c>
      <c r="W1118" s="10">
        <f>IF(RIGHT(C1118,2)="12",IF(ISNUMBER(T1118),T1118,""),IF(COUNT(T1118,U1118,V1118)=3,T1118+U1118-V1118,""))</f>
        <v>-2.5029999999999997</v>
      </c>
      <c r="X1118" s="10">
        <v>-2.5030000000000001</v>
      </c>
      <c r="Y1118" s="10">
        <v>-0.79900000000000004</v>
      </c>
      <c r="Z1118" s="10">
        <v>-0.69</v>
      </c>
      <c r="AA1118" s="10">
        <v>-3.589</v>
      </c>
      <c r="AB1118" s="10">
        <v>2.5760000000000001</v>
      </c>
      <c r="AC1118" s="8">
        <v>0</v>
      </c>
      <c r="AD1118" s="8">
        <v>0</v>
      </c>
      <c r="AE1118" s="8">
        <v>0</v>
      </c>
      <c r="AF1118" s="10">
        <v>0</v>
      </c>
      <c r="AG1118" s="8">
        <f>COUNTIF(Y1118:AB1118,"&gt;0")</f>
        <v>1</v>
      </c>
      <c r="AH1118" s="10">
        <v>2.5760000000000001</v>
      </c>
      <c r="AI1118" s="10">
        <v>0</v>
      </c>
      <c r="AJ1118" s="8" t="str">
        <f>IF(ISNUMBER(X1118),IF(X1118&gt;0,"+",IF(X1118&lt;0,"−","0")),IF(ISNUMBER(W1118),IF(W1118&gt;0,"+",IF(W1118&lt;0,"−","0")),"yok"))</f>
        <v>−</v>
      </c>
      <c r="AK1118" s="10">
        <f>IF(AND(RIGHT(C1118,2)&lt;&gt;"12",ISNUMBER(U1118),ISNUMBER(V1118)),U1118-V1118,"")</f>
        <v>-1.4899999999999998</v>
      </c>
      <c r="AL1118" s="11">
        <f>IF(AND(ISNUMBER(AK1118),ISNUMBER(V1118)),IF(V1118&lt;&gt;0,AK1118/ABS(V1118),""),"")</f>
        <v>-0.60593737291581928</v>
      </c>
      <c r="AM1118" s="8">
        <f>IF(ISNUMBER(AK1118),IF(AK1118&gt;1,1,0),"")</f>
        <v>0</v>
      </c>
      <c r="AN1118" s="8">
        <f>IF(ISNUMBER(AK1118),IF(AK1118&gt;0.05*ABS(V1118),1,0),"")</f>
        <v>0</v>
      </c>
      <c r="AO1118" s="10"/>
      <c r="AP1118" s="10"/>
      <c r="AQ1118" s="10"/>
      <c r="AR1118" s="8">
        <v>0</v>
      </c>
      <c r="AS1118" s="10"/>
      <c r="AT1118" s="10"/>
      <c r="AU1118" s="10"/>
      <c r="AV1118" s="10">
        <v>2.5760000000000001</v>
      </c>
      <c r="AW1118" s="11" t="str">
        <f>IF(AND(ISNUMBER(AV1118),ISNUMBER(AT1118)),IF(AT1118&lt;&gt;0,AV1118/ABS(AT1118),""),"")</f>
        <v/>
      </c>
      <c r="AX1118" s="8">
        <v>0</v>
      </c>
      <c r="AY1118" s="8">
        <v>0</v>
      </c>
      <c r="AZ1118" s="10"/>
      <c r="BA1118" s="8">
        <v>0</v>
      </c>
    </row>
    <row r="1119" spans="1:53" x14ac:dyDescent="0.2">
      <c r="A1119" s="8" t="s">
        <v>662</v>
      </c>
      <c r="B1119" s="8" t="s">
        <v>84</v>
      </c>
      <c r="C1119" s="8" t="s">
        <v>215</v>
      </c>
      <c r="D1119" s="8">
        <v>0</v>
      </c>
      <c r="E1119" s="8">
        <v>0</v>
      </c>
      <c r="F1119" s="8">
        <f>SUM(G1119:M1119)</f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1</v>
      </c>
      <c r="Q1119" s="8">
        <v>0</v>
      </c>
      <c r="R1119" s="8">
        <v>0</v>
      </c>
      <c r="S1119" s="8">
        <v>1</v>
      </c>
      <c r="T1119" s="10">
        <v>-0.98899999999999999</v>
      </c>
      <c r="U1119" s="10">
        <v>-3.173</v>
      </c>
      <c r="V1119" s="10">
        <v>-2.62</v>
      </c>
      <c r="W1119" s="10">
        <f>IF(RIGHT(C1119,2)="12",IF(ISNUMBER(T1119),T1119,""),IF(COUNT(T1119,U1119,V1119)=3,T1119+U1119-V1119,""))</f>
        <v>-1.5419999999999998</v>
      </c>
      <c r="X1119" s="10">
        <v>-1.542</v>
      </c>
      <c r="Y1119" s="10">
        <v>-0.55200000000000005</v>
      </c>
      <c r="Z1119" s="10">
        <v>-0.81200000000000006</v>
      </c>
      <c r="AA1119" s="10">
        <v>-104.051</v>
      </c>
      <c r="AB1119" s="10">
        <v>103.874</v>
      </c>
      <c r="AC1119" s="8">
        <v>0</v>
      </c>
      <c r="AD1119" s="8">
        <v>0</v>
      </c>
      <c r="AE1119" s="8">
        <v>0</v>
      </c>
      <c r="AF1119" s="10">
        <v>0</v>
      </c>
      <c r="AG1119" s="8">
        <f>COUNTIF(Y1119:AB1119,"&gt;0")</f>
        <v>1</v>
      </c>
      <c r="AH1119" s="10">
        <v>103.874</v>
      </c>
      <c r="AI1119" s="10">
        <v>0</v>
      </c>
      <c r="AJ1119" s="8" t="str">
        <f>IF(ISNUMBER(X1119),IF(X1119&gt;0,"+",IF(X1119&lt;0,"−","0")),IF(ISNUMBER(W1119),IF(W1119&gt;0,"+",IF(W1119&lt;0,"−","0")),"yok"))</f>
        <v>−</v>
      </c>
      <c r="AK1119" s="10">
        <f>IF(AND(RIGHT(C1119,2)&lt;&gt;"12",ISNUMBER(U1119),ISNUMBER(V1119)),U1119-V1119,"")</f>
        <v>-0.55299999999999994</v>
      </c>
      <c r="AL1119" s="11">
        <f>IF(AND(ISNUMBER(AK1119),ISNUMBER(V1119)),IF(V1119&lt;&gt;0,AK1119/ABS(V1119),""),"")</f>
        <v>-0.21106870229007629</v>
      </c>
      <c r="AM1119" s="8">
        <f>IF(ISNUMBER(AK1119),IF(AK1119&gt;1,1,0),"")</f>
        <v>0</v>
      </c>
      <c r="AN1119" s="8">
        <f>IF(ISNUMBER(AK1119),IF(AK1119&gt;0.05*ABS(V1119),1,0),"")</f>
        <v>0</v>
      </c>
      <c r="AO1119" s="10"/>
      <c r="AP1119" s="10"/>
      <c r="AQ1119" s="10"/>
      <c r="AR1119" s="8">
        <v>0</v>
      </c>
      <c r="AS1119" s="10"/>
      <c r="AT1119" s="10"/>
      <c r="AU1119" s="10"/>
      <c r="AV1119" s="10">
        <v>103.874</v>
      </c>
      <c r="AW1119" s="11" t="str">
        <f>IF(AND(ISNUMBER(AV1119),ISNUMBER(AT1119)),IF(AT1119&lt;&gt;0,AV1119/ABS(AT1119),""),"")</f>
        <v/>
      </c>
      <c r="AX1119" s="8">
        <v>0</v>
      </c>
      <c r="AY1119" s="8">
        <v>0</v>
      </c>
      <c r="AZ1119" s="10"/>
      <c r="BA1119" s="8">
        <v>0</v>
      </c>
    </row>
    <row r="1120" spans="1:53" x14ac:dyDescent="0.2">
      <c r="A1120" s="8" t="s">
        <v>662</v>
      </c>
      <c r="B1120" s="8" t="s">
        <v>84</v>
      </c>
      <c r="C1120" s="8" t="s">
        <v>290</v>
      </c>
      <c r="D1120" s="8">
        <v>0</v>
      </c>
      <c r="E1120" s="8">
        <v>0</v>
      </c>
      <c r="F1120" s="8">
        <f>SUM(G1120:M1120)</f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1</v>
      </c>
      <c r="Q1120" s="8">
        <v>0</v>
      </c>
      <c r="R1120" s="8">
        <v>0</v>
      </c>
      <c r="S1120" s="8">
        <v>1</v>
      </c>
      <c r="T1120" s="10">
        <v>-448.90499999999997</v>
      </c>
      <c r="U1120" s="10"/>
      <c r="V1120" s="10"/>
      <c r="W1120" s="10">
        <f>IF(RIGHT(C1120,2)="12",IF(ISNUMBER(T1120),T1120,""),IF(COUNT(T1120,U1120,V1120)=3,T1120+U1120-V1120,""))</f>
        <v>-448.90499999999997</v>
      </c>
      <c r="X1120" s="10">
        <v>-448.90499999999997</v>
      </c>
      <c r="Y1120" s="10">
        <v>-0.81200000000000006</v>
      </c>
      <c r="Z1120" s="10">
        <v>-104.051</v>
      </c>
      <c r="AA1120" s="10">
        <v>103.874</v>
      </c>
      <c r="AB1120" s="10">
        <v>-447.91500000000002</v>
      </c>
      <c r="AC1120" s="8">
        <v>0</v>
      </c>
      <c r="AD1120" s="8">
        <v>0</v>
      </c>
      <c r="AE1120" s="8">
        <v>0</v>
      </c>
      <c r="AF1120" s="10">
        <v>0</v>
      </c>
      <c r="AG1120" s="8">
        <f>COUNTIF(Y1120:AB1120,"&gt;0")</f>
        <v>1</v>
      </c>
      <c r="AH1120" s="10">
        <v>103.874</v>
      </c>
      <c r="AI1120" s="10">
        <v>0</v>
      </c>
      <c r="AJ1120" s="8" t="str">
        <f>IF(ISNUMBER(X1120),IF(X1120&gt;0,"+",IF(X1120&lt;0,"−","0")),IF(ISNUMBER(W1120),IF(W1120&gt;0,"+",IF(W1120&lt;0,"−","0")),"yok"))</f>
        <v>−</v>
      </c>
      <c r="AK1120" s="10" t="str">
        <f>IF(AND(RIGHT(C1120,2)&lt;&gt;"12",ISNUMBER(U1120),ISNUMBER(V1120)),U1120-V1120,"")</f>
        <v/>
      </c>
      <c r="AL1120" s="11" t="str">
        <f>IF(AND(ISNUMBER(AK1120),ISNUMBER(V1120)),IF(V1120&lt;&gt;0,AK1120/ABS(V1120),""),"")</f>
        <v/>
      </c>
      <c r="AM1120" s="8" t="str">
        <f>IF(ISNUMBER(AK1120),IF(AK1120&gt;1,1,0),"")</f>
        <v/>
      </c>
      <c r="AN1120" s="8" t="str">
        <f>IF(ISNUMBER(AK1120),IF(AK1120&gt;0.05*ABS(V1120),1,0),"")</f>
        <v/>
      </c>
      <c r="AO1120" s="10"/>
      <c r="AP1120" s="10"/>
      <c r="AQ1120" s="10"/>
      <c r="AR1120" s="8">
        <v>0</v>
      </c>
      <c r="AS1120" s="10"/>
      <c r="AT1120" s="10"/>
      <c r="AU1120" s="10"/>
      <c r="AV1120" s="10">
        <v>103.874</v>
      </c>
      <c r="AW1120" s="11" t="str">
        <f>IF(AND(ISNUMBER(AV1120),ISNUMBER(AT1120)),IF(AT1120&lt;&gt;0,AV1120/ABS(AT1120),""),"")</f>
        <v/>
      </c>
      <c r="AX1120" s="8">
        <v>0</v>
      </c>
      <c r="AY1120" s="8">
        <v>0</v>
      </c>
      <c r="AZ1120" s="10"/>
      <c r="BA1120" s="8">
        <v>0</v>
      </c>
    </row>
    <row r="1121" spans="1:53" x14ac:dyDescent="0.2">
      <c r="A1121" s="8" t="s">
        <v>663</v>
      </c>
      <c r="B1121" s="8" t="s">
        <v>82</v>
      </c>
      <c r="C1121" s="8" t="s">
        <v>203</v>
      </c>
      <c r="D1121" s="8">
        <v>0</v>
      </c>
      <c r="E1121" s="8">
        <v>0</v>
      </c>
      <c r="F1121" s="8">
        <f>SUM(G1121:M1121)</f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1</v>
      </c>
      <c r="Q1121" s="8">
        <v>0</v>
      </c>
      <c r="R1121" s="8">
        <v>1</v>
      </c>
      <c r="S1121" s="8">
        <v>0</v>
      </c>
      <c r="T1121" s="10">
        <v>-51.481000000000002</v>
      </c>
      <c r="U1121" s="10">
        <v>-137.774</v>
      </c>
      <c r="V1121" s="10">
        <v>-53.828000000000003</v>
      </c>
      <c r="W1121" s="10">
        <f>IF(RIGHT(C1121,2)="12",IF(ISNUMBER(T1121),T1121,""),IF(COUNT(T1121,U1121,V1121)=3,T1121+U1121-V1121,""))</f>
        <v>-135.42699999999999</v>
      </c>
      <c r="X1121" s="10">
        <v>-135.42699999999999</v>
      </c>
      <c r="Y1121" s="10">
        <v>30.366</v>
      </c>
      <c r="Z1121" s="10">
        <v>-91.364999999999995</v>
      </c>
      <c r="AA1121" s="10">
        <v>-22.946999999999999</v>
      </c>
      <c r="AB1121" s="10">
        <v>-51.481000000000002</v>
      </c>
      <c r="AC1121" s="8">
        <v>0</v>
      </c>
      <c r="AD1121" s="8">
        <v>0</v>
      </c>
      <c r="AE1121" s="8">
        <v>0</v>
      </c>
      <c r="AF1121" s="10">
        <v>0</v>
      </c>
      <c r="AG1121" s="8">
        <f>COUNTIF(Y1121:AB1121,"&gt;0")</f>
        <v>1</v>
      </c>
      <c r="AH1121" s="10">
        <v>0</v>
      </c>
      <c r="AI1121" s="10">
        <v>30.366</v>
      </c>
      <c r="AJ1121" s="8" t="str">
        <f>IF(ISNUMBER(X1121),IF(X1121&gt;0,"+",IF(X1121&lt;0,"−","0")),IF(ISNUMBER(W1121),IF(W1121&gt;0,"+",IF(W1121&lt;0,"−","0")),"yok"))</f>
        <v>−</v>
      </c>
      <c r="AK1121" s="10">
        <f>IF(AND(RIGHT(C1121,2)&lt;&gt;"12",ISNUMBER(U1121),ISNUMBER(V1121)),U1121-V1121,"")</f>
        <v>-83.945999999999998</v>
      </c>
      <c r="AL1121" s="11">
        <f>IF(AND(ISNUMBER(AK1121),ISNUMBER(V1121)),IF(V1121&lt;&gt;0,AK1121/ABS(V1121),""),"")</f>
        <v>-1.5595229248718139</v>
      </c>
      <c r="AM1121" s="8">
        <f>IF(ISNUMBER(AK1121),IF(AK1121&gt;1,1,0),"")</f>
        <v>0</v>
      </c>
      <c r="AN1121" s="8">
        <f>IF(ISNUMBER(AK1121),IF(AK1121&gt;0.05*ABS(V1121),1,0),"")</f>
        <v>0</v>
      </c>
      <c r="AO1121" s="10"/>
      <c r="AP1121" s="10"/>
      <c r="AQ1121" s="10"/>
      <c r="AR1121" s="8">
        <v>0</v>
      </c>
      <c r="AS1121" s="10"/>
      <c r="AT1121" s="10"/>
      <c r="AU1121" s="10"/>
      <c r="AV1121" s="10">
        <v>30.366</v>
      </c>
      <c r="AW1121" s="11" t="str">
        <f>IF(AND(ISNUMBER(AV1121),ISNUMBER(AT1121)),IF(AT1121&lt;&gt;0,AV1121/ABS(AT1121),""),"")</f>
        <v/>
      </c>
      <c r="AX1121" s="8">
        <v>0</v>
      </c>
      <c r="AY1121" s="8">
        <v>0</v>
      </c>
      <c r="AZ1121" s="10"/>
      <c r="BA1121" s="8">
        <v>0</v>
      </c>
    </row>
    <row r="1122" spans="1:53" x14ac:dyDescent="0.2">
      <c r="A1122" s="8" t="s">
        <v>663</v>
      </c>
      <c r="B1122" s="8" t="s">
        <v>82</v>
      </c>
      <c r="C1122" s="8" t="s">
        <v>205</v>
      </c>
      <c r="D1122" s="8">
        <v>0</v>
      </c>
      <c r="E1122" s="8">
        <v>0</v>
      </c>
      <c r="F1122" s="8">
        <f>SUM(G1122:M1122)</f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1</v>
      </c>
      <c r="Q1122" s="8">
        <v>0</v>
      </c>
      <c r="R1122" s="8">
        <v>0</v>
      </c>
      <c r="S1122" s="8">
        <v>1</v>
      </c>
      <c r="T1122" s="10">
        <v>0</v>
      </c>
      <c r="U1122" s="10">
        <v>-137.774</v>
      </c>
      <c r="V1122" s="10">
        <v>-23.462</v>
      </c>
      <c r="W1122" s="10">
        <f>IF(RIGHT(C1122,2)="12",IF(ISNUMBER(T1122),T1122,""),IF(COUNT(T1122,U1122,V1122)=3,T1122+U1122-V1122,""))</f>
        <v>-114.312</v>
      </c>
      <c r="X1122" s="10">
        <v>-114.312</v>
      </c>
      <c r="Y1122" s="10">
        <v>-91.364999999999995</v>
      </c>
      <c r="Z1122" s="10">
        <v>-22.946999999999999</v>
      </c>
      <c r="AA1122" s="10">
        <v>-51.481000000000002</v>
      </c>
      <c r="AB1122" s="10">
        <v>51.481000000000002</v>
      </c>
      <c r="AC1122" s="8">
        <v>0</v>
      </c>
      <c r="AD1122" s="8">
        <v>0</v>
      </c>
      <c r="AE1122" s="8">
        <v>0</v>
      </c>
      <c r="AF1122" s="10">
        <v>0</v>
      </c>
      <c r="AG1122" s="8">
        <f>COUNTIF(Y1122:AB1122,"&gt;0")</f>
        <v>1</v>
      </c>
      <c r="AH1122" s="10">
        <v>51.481000000000002</v>
      </c>
      <c r="AI1122" s="10">
        <v>0</v>
      </c>
      <c r="AJ1122" s="8" t="str">
        <f>IF(ISNUMBER(X1122),IF(X1122&gt;0,"+",IF(X1122&lt;0,"−","0")),IF(ISNUMBER(W1122),IF(W1122&gt;0,"+",IF(W1122&lt;0,"−","0")),"yok"))</f>
        <v>−</v>
      </c>
      <c r="AK1122" s="10">
        <f>IF(AND(RIGHT(C1122,2)&lt;&gt;"12",ISNUMBER(U1122),ISNUMBER(V1122)),U1122-V1122,"")</f>
        <v>-114.312</v>
      </c>
      <c r="AL1122" s="11">
        <f>IF(AND(ISNUMBER(AK1122),ISNUMBER(V1122)),IF(V1122&lt;&gt;0,AK1122/ABS(V1122),""),"")</f>
        <v>-4.8722189071690396</v>
      </c>
      <c r="AM1122" s="8">
        <f>IF(ISNUMBER(AK1122),IF(AK1122&gt;1,1,0),"")</f>
        <v>0</v>
      </c>
      <c r="AN1122" s="8">
        <f>IF(ISNUMBER(AK1122),IF(AK1122&gt;0.05*ABS(V1122),1,0),"")</f>
        <v>0</v>
      </c>
      <c r="AO1122" s="10"/>
      <c r="AP1122" s="10"/>
      <c r="AQ1122" s="10"/>
      <c r="AR1122" s="8">
        <v>0</v>
      </c>
      <c r="AS1122" s="10"/>
      <c r="AT1122" s="10"/>
      <c r="AU1122" s="10"/>
      <c r="AV1122" s="10">
        <v>51.481000000000002</v>
      </c>
      <c r="AW1122" s="11" t="str">
        <f>IF(AND(ISNUMBER(AV1122),ISNUMBER(AT1122)),IF(AT1122&lt;&gt;0,AV1122/ABS(AT1122),""),"")</f>
        <v/>
      </c>
      <c r="AX1122" s="8">
        <v>0</v>
      </c>
      <c r="AY1122" s="8">
        <v>0</v>
      </c>
      <c r="AZ1122" s="10"/>
      <c r="BA1122" s="8">
        <v>0</v>
      </c>
    </row>
    <row r="1123" spans="1:53" x14ac:dyDescent="0.2">
      <c r="A1123" s="8" t="s">
        <v>663</v>
      </c>
      <c r="B1123" s="8" t="s">
        <v>82</v>
      </c>
      <c r="C1123" s="8" t="s">
        <v>215</v>
      </c>
      <c r="D1123" s="8">
        <v>0</v>
      </c>
      <c r="E1123" s="8">
        <v>0</v>
      </c>
      <c r="F1123" s="8">
        <f>SUM(G1123:M1123)</f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1</v>
      </c>
      <c r="Q1123" s="8">
        <v>0</v>
      </c>
      <c r="R1123" s="8">
        <v>0</v>
      </c>
      <c r="S1123" s="8">
        <v>1</v>
      </c>
      <c r="T1123" s="10">
        <v>-68.123000000000005</v>
      </c>
      <c r="U1123" s="10">
        <v>-137.774</v>
      </c>
      <c r="V1123" s="10">
        <v>-114.827</v>
      </c>
      <c r="W1123" s="10">
        <f>IF(RIGHT(C1123,2)="12",IF(ISNUMBER(T1123),T1123,""),IF(COUNT(T1123,U1123,V1123)=3,T1123+U1123-V1123,""))</f>
        <v>-91.07</v>
      </c>
      <c r="X1123" s="10">
        <v>-91.070999999999998</v>
      </c>
      <c r="Y1123" s="10">
        <v>-22.946999999999999</v>
      </c>
      <c r="Z1123" s="10">
        <v>-51.481000000000002</v>
      </c>
      <c r="AA1123" s="10">
        <v>51.481000000000002</v>
      </c>
      <c r="AB1123" s="10">
        <v>-68.123000000000005</v>
      </c>
      <c r="AC1123" s="8">
        <v>0</v>
      </c>
      <c r="AD1123" s="8">
        <v>0</v>
      </c>
      <c r="AE1123" s="8">
        <v>0</v>
      </c>
      <c r="AF1123" s="10">
        <v>0</v>
      </c>
      <c r="AG1123" s="8">
        <f>COUNTIF(Y1123:AB1123,"&gt;0")</f>
        <v>1</v>
      </c>
      <c r="AH1123" s="10">
        <v>51.481000000000002</v>
      </c>
      <c r="AI1123" s="10">
        <v>0</v>
      </c>
      <c r="AJ1123" s="8" t="str">
        <f>IF(ISNUMBER(X1123),IF(X1123&gt;0,"+",IF(X1123&lt;0,"−","0")),IF(ISNUMBER(W1123),IF(W1123&gt;0,"+",IF(W1123&lt;0,"−","0")),"yok"))</f>
        <v>−</v>
      </c>
      <c r="AK1123" s="10">
        <f>IF(AND(RIGHT(C1123,2)&lt;&gt;"12",ISNUMBER(U1123),ISNUMBER(V1123)),U1123-V1123,"")</f>
        <v>-22.947000000000003</v>
      </c>
      <c r="AL1123" s="11">
        <f>IF(AND(ISNUMBER(AK1123),ISNUMBER(V1123)),IF(V1123&lt;&gt;0,AK1123/ABS(V1123),""),"")</f>
        <v>-0.19983975894171235</v>
      </c>
      <c r="AM1123" s="8">
        <f>IF(ISNUMBER(AK1123),IF(AK1123&gt;1,1,0),"")</f>
        <v>0</v>
      </c>
      <c r="AN1123" s="8">
        <f>IF(ISNUMBER(AK1123),IF(AK1123&gt;0.05*ABS(V1123),1,0),"")</f>
        <v>0</v>
      </c>
      <c r="AO1123" s="10"/>
      <c r="AP1123" s="10"/>
      <c r="AQ1123" s="10"/>
      <c r="AR1123" s="8">
        <v>0</v>
      </c>
      <c r="AS1123" s="10"/>
      <c r="AT1123" s="10"/>
      <c r="AU1123" s="10"/>
      <c r="AV1123" s="10">
        <v>51.481000000000002</v>
      </c>
      <c r="AW1123" s="11" t="str">
        <f>IF(AND(ISNUMBER(AV1123),ISNUMBER(AT1123)),IF(AT1123&lt;&gt;0,AV1123/ABS(AT1123),""),"")</f>
        <v/>
      </c>
      <c r="AX1123" s="8">
        <v>0</v>
      </c>
      <c r="AY1123" s="8">
        <v>0</v>
      </c>
      <c r="AZ1123" s="10"/>
      <c r="BA1123" s="8">
        <v>0</v>
      </c>
    </row>
    <row r="1124" spans="1:53" x14ac:dyDescent="0.2">
      <c r="A1124" s="8" t="s">
        <v>663</v>
      </c>
      <c r="B1124" s="8" t="s">
        <v>82</v>
      </c>
      <c r="C1124" s="8" t="s">
        <v>290</v>
      </c>
      <c r="D1124" s="8">
        <v>0</v>
      </c>
      <c r="E1124" s="8">
        <v>0</v>
      </c>
      <c r="F1124" s="8">
        <f>SUM(G1124:M1124)</f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1</v>
      </c>
      <c r="Q1124" s="8">
        <v>0</v>
      </c>
      <c r="R1124" s="8">
        <v>0</v>
      </c>
      <c r="S1124" s="8">
        <v>1</v>
      </c>
      <c r="T1124" s="10">
        <v>-115.45699999999999</v>
      </c>
      <c r="U1124" s="10"/>
      <c r="V1124" s="10"/>
      <c r="W1124" s="10">
        <f>IF(RIGHT(C1124,2)="12",IF(ISNUMBER(T1124),T1124,""),IF(COUNT(T1124,U1124,V1124)=3,T1124+U1124-V1124,""))</f>
        <v>-115.45699999999999</v>
      </c>
      <c r="X1124" s="10">
        <v>-115.45699999999999</v>
      </c>
      <c r="Y1124" s="10">
        <v>-51.481000000000002</v>
      </c>
      <c r="Z1124" s="10">
        <v>51.481000000000002</v>
      </c>
      <c r="AA1124" s="10">
        <v>-68.123000000000005</v>
      </c>
      <c r="AB1124" s="10">
        <v>-47.334000000000003</v>
      </c>
      <c r="AC1124" s="8">
        <v>0</v>
      </c>
      <c r="AD1124" s="8">
        <v>0</v>
      </c>
      <c r="AE1124" s="8">
        <v>0</v>
      </c>
      <c r="AF1124" s="10">
        <v>0</v>
      </c>
      <c r="AG1124" s="8">
        <f>COUNTIF(Y1124:AB1124,"&gt;0")</f>
        <v>1</v>
      </c>
      <c r="AH1124" s="10">
        <v>51.481000000000002</v>
      </c>
      <c r="AI1124" s="10">
        <v>0</v>
      </c>
      <c r="AJ1124" s="8" t="str">
        <f>IF(ISNUMBER(X1124),IF(X1124&gt;0,"+",IF(X1124&lt;0,"−","0")),IF(ISNUMBER(W1124),IF(W1124&gt;0,"+",IF(W1124&lt;0,"−","0")),"yok"))</f>
        <v>−</v>
      </c>
      <c r="AK1124" s="10" t="str">
        <f>IF(AND(RIGHT(C1124,2)&lt;&gt;"12",ISNUMBER(U1124),ISNUMBER(V1124)),U1124-V1124,"")</f>
        <v/>
      </c>
      <c r="AL1124" s="11" t="str">
        <f>IF(AND(ISNUMBER(AK1124),ISNUMBER(V1124)),IF(V1124&lt;&gt;0,AK1124/ABS(V1124),""),"")</f>
        <v/>
      </c>
      <c r="AM1124" s="8" t="str">
        <f>IF(ISNUMBER(AK1124),IF(AK1124&gt;1,1,0),"")</f>
        <v/>
      </c>
      <c r="AN1124" s="8" t="str">
        <f>IF(ISNUMBER(AK1124),IF(AK1124&gt;0.05*ABS(V1124),1,0),"")</f>
        <v/>
      </c>
      <c r="AO1124" s="10"/>
      <c r="AP1124" s="10"/>
      <c r="AQ1124" s="10"/>
      <c r="AR1124" s="8">
        <v>0</v>
      </c>
      <c r="AS1124" s="10"/>
      <c r="AT1124" s="10"/>
      <c r="AU1124" s="10"/>
      <c r="AV1124" s="10">
        <v>51.481000000000002</v>
      </c>
      <c r="AW1124" s="11" t="str">
        <f>IF(AND(ISNUMBER(AV1124),ISNUMBER(AT1124)),IF(AT1124&lt;&gt;0,AV1124/ABS(AT1124),""),"")</f>
        <v/>
      </c>
      <c r="AX1124" s="8">
        <v>0</v>
      </c>
      <c r="AY1124" s="8">
        <v>0</v>
      </c>
      <c r="AZ1124" s="10"/>
      <c r="BA1124" s="8">
        <v>0</v>
      </c>
    </row>
    <row r="1125" spans="1:53" x14ac:dyDescent="0.2">
      <c r="A1125" s="8" t="s">
        <v>663</v>
      </c>
      <c r="B1125" s="8" t="s">
        <v>83</v>
      </c>
      <c r="C1125" s="8" t="s">
        <v>210</v>
      </c>
      <c r="D1125" s="8">
        <v>0</v>
      </c>
      <c r="E1125" s="8">
        <v>0</v>
      </c>
      <c r="F1125" s="8">
        <f>SUM(G1125:M1125)</f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1</v>
      </c>
      <c r="Q1125" s="8">
        <v>0</v>
      </c>
      <c r="R1125" s="8">
        <v>0</v>
      </c>
      <c r="S1125" s="8">
        <v>1</v>
      </c>
      <c r="T1125" s="10">
        <v>-1.194</v>
      </c>
      <c r="U1125" s="10"/>
      <c r="V1125" s="10">
        <v>-2.5070000000000001</v>
      </c>
      <c r="W1125" s="10" t="str">
        <f>IF(RIGHT(C1125,2)="12",IF(ISNUMBER(T1125),T1125,""),IF(COUNT(T1125,U1125,V1125)=3,T1125+U1125-V1125,""))</f>
        <v/>
      </c>
      <c r="X1125" s="10"/>
      <c r="Y1125" s="10">
        <v>-0.66900000000000004</v>
      </c>
      <c r="Z1125" s="10"/>
      <c r="AA1125" s="10">
        <v>-28.457000000000001</v>
      </c>
      <c r="AB1125" s="10">
        <v>27.262</v>
      </c>
      <c r="AC1125" s="8">
        <v>0</v>
      </c>
      <c r="AD1125" s="8">
        <v>0</v>
      </c>
      <c r="AE1125" s="8">
        <v>0</v>
      </c>
      <c r="AF1125" s="10">
        <v>0</v>
      </c>
      <c r="AG1125" s="8">
        <f>COUNTIF(Y1125:AB1125,"&gt;0")</f>
        <v>1</v>
      </c>
      <c r="AH1125" s="10">
        <v>27.262</v>
      </c>
      <c r="AI1125" s="10">
        <v>0</v>
      </c>
      <c r="AJ1125" s="8" t="str">
        <f>IF(ISNUMBER(X1125),IF(X1125&gt;0,"+",IF(X1125&lt;0,"−","0")),IF(ISNUMBER(W1125),IF(W1125&gt;0,"+",IF(W1125&lt;0,"−","0")),"yok"))</f>
        <v>yok</v>
      </c>
      <c r="AK1125" s="10" t="str">
        <f>IF(AND(RIGHT(C1125,2)&lt;&gt;"12",ISNUMBER(U1125),ISNUMBER(V1125)),U1125-V1125,"")</f>
        <v/>
      </c>
      <c r="AL1125" s="11" t="str">
        <f>IF(AND(ISNUMBER(AK1125),ISNUMBER(V1125)),IF(V1125&lt;&gt;0,AK1125/ABS(V1125),""),"")</f>
        <v/>
      </c>
      <c r="AM1125" s="8" t="str">
        <f>IF(ISNUMBER(AK1125),IF(AK1125&gt;1,1,0),"")</f>
        <v/>
      </c>
      <c r="AN1125" s="8" t="str">
        <f>IF(ISNUMBER(AK1125),IF(AK1125&gt;0.05*ABS(V1125),1,0),"")</f>
        <v/>
      </c>
      <c r="AO1125" s="10"/>
      <c r="AP1125" s="10"/>
      <c r="AQ1125" s="10"/>
      <c r="AR1125" s="8">
        <v>0</v>
      </c>
      <c r="AS1125" s="10"/>
      <c r="AT1125" s="10"/>
      <c r="AU1125" s="10"/>
      <c r="AV1125" s="10">
        <v>27.262</v>
      </c>
      <c r="AW1125" s="11" t="str">
        <f>IF(AND(ISNUMBER(AV1125),ISNUMBER(AT1125)),IF(AT1125&lt;&gt;0,AV1125/ABS(AT1125),""),"")</f>
        <v/>
      </c>
      <c r="AX1125" s="8">
        <v>0</v>
      </c>
      <c r="AY1125" s="8">
        <v>0</v>
      </c>
      <c r="AZ1125" s="10"/>
      <c r="BA1125" s="8">
        <v>0</v>
      </c>
    </row>
    <row r="1126" spans="1:53" x14ac:dyDescent="0.2">
      <c r="A1126" s="8" t="s">
        <v>663</v>
      </c>
      <c r="B1126" s="8" t="s">
        <v>84</v>
      </c>
      <c r="C1126" s="8" t="s">
        <v>290</v>
      </c>
      <c r="D1126" s="8">
        <v>0</v>
      </c>
      <c r="E1126" s="8">
        <v>0</v>
      </c>
      <c r="F1126" s="8">
        <f>SUM(G1126:M1126)</f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1</v>
      </c>
      <c r="Q1126" s="8">
        <v>0</v>
      </c>
      <c r="R1126" s="8">
        <v>0</v>
      </c>
      <c r="S1126" s="8">
        <v>1</v>
      </c>
      <c r="T1126" s="10">
        <v>-58.814999999999998</v>
      </c>
      <c r="U1126" s="10"/>
      <c r="V1126" s="10"/>
      <c r="W1126" s="10">
        <f>IF(RIGHT(C1126,2)="12",IF(ISNUMBER(T1126),T1126,""),IF(COUNT(T1126,U1126,V1126)=3,T1126+U1126-V1126,""))</f>
        <v>-58.814999999999998</v>
      </c>
      <c r="X1126" s="10">
        <v>-58.814999999999998</v>
      </c>
      <c r="Y1126" s="10">
        <v>0</v>
      </c>
      <c r="Z1126" s="10">
        <v>-46.204000000000001</v>
      </c>
      <c r="AA1126" s="10">
        <v>-442.31799999999998</v>
      </c>
      <c r="AB1126" s="10">
        <v>429.70600000000002</v>
      </c>
      <c r="AC1126" s="8">
        <v>0</v>
      </c>
      <c r="AD1126" s="8">
        <v>0</v>
      </c>
      <c r="AE1126" s="8">
        <v>0</v>
      </c>
      <c r="AF1126" s="10">
        <v>0</v>
      </c>
      <c r="AG1126" s="8">
        <f>COUNTIF(Y1126:AB1126,"&gt;0")</f>
        <v>1</v>
      </c>
      <c r="AH1126" s="10">
        <v>429.70600000000002</v>
      </c>
      <c r="AI1126" s="10">
        <v>0</v>
      </c>
      <c r="AJ1126" s="8" t="str">
        <f>IF(ISNUMBER(X1126),IF(X1126&gt;0,"+",IF(X1126&lt;0,"−","0")),IF(ISNUMBER(W1126),IF(W1126&gt;0,"+",IF(W1126&lt;0,"−","0")),"yok"))</f>
        <v>−</v>
      </c>
      <c r="AK1126" s="10" t="str">
        <f>IF(AND(RIGHT(C1126,2)&lt;&gt;"12",ISNUMBER(U1126),ISNUMBER(V1126)),U1126-V1126,"")</f>
        <v/>
      </c>
      <c r="AL1126" s="11" t="str">
        <f>IF(AND(ISNUMBER(AK1126),ISNUMBER(V1126)),IF(V1126&lt;&gt;0,AK1126/ABS(V1126),""),"")</f>
        <v/>
      </c>
      <c r="AM1126" s="8" t="str">
        <f>IF(ISNUMBER(AK1126),IF(AK1126&gt;1,1,0),"")</f>
        <v/>
      </c>
      <c r="AN1126" s="8" t="str">
        <f>IF(ISNUMBER(AK1126),IF(AK1126&gt;0.05*ABS(V1126),1,0),"")</f>
        <v/>
      </c>
      <c r="AO1126" s="10"/>
      <c r="AP1126" s="10"/>
      <c r="AQ1126" s="10"/>
      <c r="AR1126" s="8">
        <v>0</v>
      </c>
      <c r="AS1126" s="10"/>
      <c r="AT1126" s="10"/>
      <c r="AU1126" s="10"/>
      <c r="AV1126" s="10">
        <v>429.70600000000002</v>
      </c>
      <c r="AW1126" s="11" t="str">
        <f>IF(AND(ISNUMBER(AV1126),ISNUMBER(AT1126)),IF(AT1126&lt;&gt;0,AV1126/ABS(AT1126),""),"")</f>
        <v/>
      </c>
      <c r="AX1126" s="8">
        <v>0</v>
      </c>
      <c r="AY1126" s="8">
        <v>0</v>
      </c>
      <c r="AZ1126" s="10"/>
      <c r="BA1126" s="8">
        <v>0</v>
      </c>
    </row>
    <row r="1127" spans="1:53" x14ac:dyDescent="0.2">
      <c r="A1127" s="8" t="s">
        <v>713</v>
      </c>
      <c r="B1127" s="8" t="s">
        <v>82</v>
      </c>
      <c r="C1127" s="8" t="s">
        <v>203</v>
      </c>
      <c r="D1127" s="8">
        <v>0</v>
      </c>
      <c r="E1127" s="8">
        <v>0</v>
      </c>
      <c r="F1127" s="8">
        <f>SUM(G1127:M1127)</f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1</v>
      </c>
      <c r="Q1127" s="8">
        <v>0</v>
      </c>
      <c r="R1127" s="8">
        <v>1</v>
      </c>
      <c r="S1127" s="8">
        <v>0</v>
      </c>
      <c r="T1127" s="10">
        <v>-9.2129999999999992</v>
      </c>
      <c r="U1127" s="10">
        <v>-57.774000000000001</v>
      </c>
      <c r="V1127" s="10">
        <v>-13.491</v>
      </c>
      <c r="W1127" s="10">
        <f>IF(RIGHT(C1127,2)="12",IF(ISNUMBER(T1127),T1127,""),IF(COUNT(T1127,U1127,V1127)=3,T1127+U1127-V1127,""))</f>
        <v>-53.495999999999995</v>
      </c>
      <c r="X1127" s="10">
        <v>-53.497</v>
      </c>
      <c r="Y1127" s="10">
        <v>-16.960999999999999</v>
      </c>
      <c r="Z1127" s="10">
        <v>14.528</v>
      </c>
      <c r="AA1127" s="10">
        <v>-41.85</v>
      </c>
      <c r="AB1127" s="10">
        <v>-9.2129999999999992</v>
      </c>
      <c r="AC1127" s="8">
        <v>0</v>
      </c>
      <c r="AD1127" s="8">
        <v>0</v>
      </c>
      <c r="AE1127" s="8">
        <v>0</v>
      </c>
      <c r="AF1127" s="10">
        <v>0</v>
      </c>
      <c r="AG1127" s="8">
        <f>COUNTIF(Y1127:AB1127,"&gt;0")</f>
        <v>1</v>
      </c>
      <c r="AH1127" s="10">
        <v>0</v>
      </c>
      <c r="AI1127" s="10">
        <v>14.528</v>
      </c>
      <c r="AJ1127" s="8" t="str">
        <f>IF(ISNUMBER(X1127),IF(X1127&gt;0,"+",IF(X1127&lt;0,"−","0")),IF(ISNUMBER(W1127),IF(W1127&gt;0,"+",IF(W1127&lt;0,"−","0")),"yok"))</f>
        <v>−</v>
      </c>
      <c r="AK1127" s="10">
        <f>IF(AND(RIGHT(C1127,2)&lt;&gt;"12",ISNUMBER(U1127),ISNUMBER(V1127)),U1127-V1127,"")</f>
        <v>-44.283000000000001</v>
      </c>
      <c r="AL1127" s="11">
        <f>IF(AND(ISNUMBER(AK1127),ISNUMBER(V1127)),IF(V1127&lt;&gt;0,AK1127/ABS(V1127),""),"")</f>
        <v>-3.2824104958861464</v>
      </c>
      <c r="AM1127" s="8">
        <f>IF(ISNUMBER(AK1127),IF(AK1127&gt;1,1,0),"")</f>
        <v>0</v>
      </c>
      <c r="AN1127" s="8">
        <f>IF(ISNUMBER(AK1127),IF(AK1127&gt;0.05*ABS(V1127),1,0),"")</f>
        <v>0</v>
      </c>
      <c r="AO1127" s="10"/>
      <c r="AP1127" s="10"/>
      <c r="AQ1127" s="10"/>
      <c r="AR1127" s="8">
        <v>0</v>
      </c>
      <c r="AS1127" s="10"/>
      <c r="AT1127" s="10"/>
      <c r="AU1127" s="10"/>
      <c r="AV1127" s="10">
        <v>14.528</v>
      </c>
      <c r="AW1127" s="11" t="str">
        <f>IF(AND(ISNUMBER(AV1127),ISNUMBER(AT1127)),IF(AT1127&lt;&gt;0,AV1127/ABS(AT1127),""),"")</f>
        <v/>
      </c>
      <c r="AX1127" s="8">
        <v>0</v>
      </c>
      <c r="AY1127" s="8">
        <v>0</v>
      </c>
      <c r="AZ1127" s="10"/>
      <c r="BA1127" s="8">
        <v>0</v>
      </c>
    </row>
    <row r="1128" spans="1:53" x14ac:dyDescent="0.2">
      <c r="A1128" s="8" t="s">
        <v>713</v>
      </c>
      <c r="B1128" s="8" t="s">
        <v>82</v>
      </c>
      <c r="C1128" s="8" t="s">
        <v>205</v>
      </c>
      <c r="D1128" s="8">
        <v>0</v>
      </c>
      <c r="E1128" s="8">
        <v>0</v>
      </c>
      <c r="F1128" s="8">
        <f>SUM(G1128:M1128)</f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1</v>
      </c>
      <c r="Q1128" s="8">
        <v>0</v>
      </c>
      <c r="R1128" s="8">
        <v>1</v>
      </c>
      <c r="S1128" s="8">
        <v>0</v>
      </c>
      <c r="T1128" s="10">
        <v>-18.785</v>
      </c>
      <c r="U1128" s="10">
        <v>-57.774000000000001</v>
      </c>
      <c r="V1128" s="10">
        <v>-30.452000000000002</v>
      </c>
      <c r="W1128" s="10">
        <f>IF(RIGHT(C1128,2)="12",IF(ISNUMBER(T1128),T1128,""),IF(COUNT(T1128,U1128,V1128)=3,T1128+U1128-V1128,""))</f>
        <v>-46.106999999999999</v>
      </c>
      <c r="X1128" s="10">
        <v>-46.106999999999999</v>
      </c>
      <c r="Y1128" s="10">
        <v>14.528</v>
      </c>
      <c r="Z1128" s="10">
        <v>-41.85</v>
      </c>
      <c r="AA1128" s="10">
        <v>-9.2129999999999992</v>
      </c>
      <c r="AB1128" s="10">
        <v>-9.5709999999999997</v>
      </c>
      <c r="AC1128" s="8">
        <v>0</v>
      </c>
      <c r="AD1128" s="8">
        <v>0</v>
      </c>
      <c r="AE1128" s="8">
        <v>0</v>
      </c>
      <c r="AF1128" s="10">
        <v>0</v>
      </c>
      <c r="AG1128" s="8">
        <f>COUNTIF(Y1128:AB1128,"&gt;0")</f>
        <v>1</v>
      </c>
      <c r="AH1128" s="10">
        <v>0</v>
      </c>
      <c r="AI1128" s="10">
        <v>14.528</v>
      </c>
      <c r="AJ1128" s="8" t="str">
        <f>IF(ISNUMBER(X1128),IF(X1128&gt;0,"+",IF(X1128&lt;0,"−","0")),IF(ISNUMBER(W1128),IF(W1128&gt;0,"+",IF(W1128&lt;0,"−","0")),"yok"))</f>
        <v>−</v>
      </c>
      <c r="AK1128" s="10">
        <f>IF(AND(RIGHT(C1128,2)&lt;&gt;"12",ISNUMBER(U1128),ISNUMBER(V1128)),U1128-V1128,"")</f>
        <v>-27.321999999999999</v>
      </c>
      <c r="AL1128" s="11">
        <f>IF(AND(ISNUMBER(AK1128),ISNUMBER(V1128)),IF(V1128&lt;&gt;0,AK1128/ABS(V1128),""),"")</f>
        <v>-0.89721528963614861</v>
      </c>
      <c r="AM1128" s="8">
        <f>IF(ISNUMBER(AK1128),IF(AK1128&gt;1,1,0),"")</f>
        <v>0</v>
      </c>
      <c r="AN1128" s="8">
        <f>IF(ISNUMBER(AK1128),IF(AK1128&gt;0.05*ABS(V1128),1,0),"")</f>
        <v>0</v>
      </c>
      <c r="AO1128" s="10"/>
      <c r="AP1128" s="10"/>
      <c r="AQ1128" s="10"/>
      <c r="AR1128" s="8">
        <v>0</v>
      </c>
      <c r="AS1128" s="10"/>
      <c r="AT1128" s="10"/>
      <c r="AU1128" s="10"/>
      <c r="AV1128" s="10">
        <v>14.528</v>
      </c>
      <c r="AW1128" s="11" t="str">
        <f>IF(AND(ISNUMBER(AV1128),ISNUMBER(AT1128)),IF(AT1128&lt;&gt;0,AV1128/ABS(AT1128),""),"")</f>
        <v/>
      </c>
      <c r="AX1128" s="8">
        <v>0</v>
      </c>
      <c r="AY1128" s="8">
        <v>0</v>
      </c>
      <c r="AZ1128" s="10"/>
      <c r="BA1128" s="8">
        <v>0</v>
      </c>
    </row>
    <row r="1129" spans="1:53" x14ac:dyDescent="0.2">
      <c r="A1129" s="8" t="s">
        <v>664</v>
      </c>
      <c r="B1129" s="8" t="s">
        <v>83</v>
      </c>
      <c r="C1129" s="8" t="s">
        <v>290</v>
      </c>
      <c r="D1129" s="8">
        <v>0</v>
      </c>
      <c r="E1129" s="8">
        <v>0</v>
      </c>
      <c r="F1129" s="8">
        <f>SUM(G1129:M1129)</f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1</v>
      </c>
      <c r="Q1129" s="8">
        <v>0</v>
      </c>
      <c r="R1129" s="8">
        <v>0</v>
      </c>
      <c r="S1129" s="8">
        <v>1</v>
      </c>
      <c r="T1129" s="10">
        <v>-17.488</v>
      </c>
      <c r="U1129" s="10"/>
      <c r="V1129" s="10"/>
      <c r="W1129" s="10">
        <f>IF(RIGHT(C1129,2)="12",IF(ISNUMBER(T1129),T1129,""),IF(COUNT(T1129,U1129,V1129)=3,T1129+U1129-V1129,""))</f>
        <v>-17.488</v>
      </c>
      <c r="X1129" s="10">
        <v>-17.488</v>
      </c>
      <c r="Y1129" s="10">
        <v>-5.7080000000000002</v>
      </c>
      <c r="Z1129" s="10">
        <v>-7.9880000000000004</v>
      </c>
      <c r="AA1129" s="10">
        <v>-6.7919999999999998</v>
      </c>
      <c r="AB1129" s="10">
        <v>3.0009999999999999</v>
      </c>
      <c r="AC1129" s="8">
        <v>0</v>
      </c>
      <c r="AD1129" s="8">
        <v>0</v>
      </c>
      <c r="AE1129" s="8">
        <v>0</v>
      </c>
      <c r="AF1129" s="10">
        <v>0</v>
      </c>
      <c r="AG1129" s="8">
        <f>COUNTIF(Y1129:AB1129,"&gt;0")</f>
        <v>1</v>
      </c>
      <c r="AH1129" s="10">
        <v>3.0009999999999999</v>
      </c>
      <c r="AI1129" s="10">
        <v>0</v>
      </c>
      <c r="AJ1129" s="8" t="str">
        <f>IF(ISNUMBER(X1129),IF(X1129&gt;0,"+",IF(X1129&lt;0,"−","0")),IF(ISNUMBER(W1129),IF(W1129&gt;0,"+",IF(W1129&lt;0,"−","0")),"yok"))</f>
        <v>−</v>
      </c>
      <c r="AK1129" s="10" t="str">
        <f>IF(AND(RIGHT(C1129,2)&lt;&gt;"12",ISNUMBER(U1129),ISNUMBER(V1129)),U1129-V1129,"")</f>
        <v/>
      </c>
      <c r="AL1129" s="11" t="str">
        <f>IF(AND(ISNUMBER(AK1129),ISNUMBER(V1129)),IF(V1129&lt;&gt;0,AK1129/ABS(V1129),""),"")</f>
        <v/>
      </c>
      <c r="AM1129" s="8" t="str">
        <f>IF(ISNUMBER(AK1129),IF(AK1129&gt;1,1,0),"")</f>
        <v/>
      </c>
      <c r="AN1129" s="8" t="str">
        <f>IF(ISNUMBER(AK1129),IF(AK1129&gt;0.05*ABS(V1129),1,0),"")</f>
        <v/>
      </c>
      <c r="AO1129" s="10"/>
      <c r="AP1129" s="10"/>
      <c r="AQ1129" s="10"/>
      <c r="AR1129" s="8">
        <v>0</v>
      </c>
      <c r="AS1129" s="10"/>
      <c r="AT1129" s="10"/>
      <c r="AU1129" s="10"/>
      <c r="AV1129" s="10">
        <v>3.0009999999999999</v>
      </c>
      <c r="AW1129" s="11" t="str">
        <f>IF(AND(ISNUMBER(AV1129),ISNUMBER(AT1129)),IF(AT1129&lt;&gt;0,AV1129/ABS(AT1129),""),"")</f>
        <v/>
      </c>
      <c r="AX1129" s="8">
        <v>0</v>
      </c>
      <c r="AY1129" s="8">
        <v>0</v>
      </c>
      <c r="AZ1129" s="10"/>
      <c r="BA1129" s="8">
        <v>0</v>
      </c>
    </row>
    <row r="1130" spans="1:53" x14ac:dyDescent="0.2">
      <c r="A1130" s="8" t="s">
        <v>665</v>
      </c>
      <c r="B1130" s="8" t="s">
        <v>83</v>
      </c>
      <c r="C1130" s="8" t="s">
        <v>205</v>
      </c>
      <c r="D1130" s="8">
        <v>0</v>
      </c>
      <c r="E1130" s="8">
        <v>0</v>
      </c>
      <c r="F1130" s="8">
        <f>SUM(G1130:M1130)</f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1</v>
      </c>
      <c r="Q1130" s="8">
        <v>0</v>
      </c>
      <c r="R1130" s="8">
        <v>0</v>
      </c>
      <c r="S1130" s="8">
        <v>1</v>
      </c>
      <c r="T1130" s="10">
        <v>-50.686999999999998</v>
      </c>
      <c r="U1130" s="10">
        <v>-3375.3710000000001</v>
      </c>
      <c r="V1130" s="10">
        <v>-54.533000000000001</v>
      </c>
      <c r="W1130" s="10">
        <f>IF(RIGHT(C1130,2)="12",IF(ISNUMBER(T1130),T1130,""),IF(COUNT(T1130,U1130,V1130)=3,T1130+U1130-V1130,""))</f>
        <v>-3371.5250000000001</v>
      </c>
      <c r="X1130" s="10">
        <v>-3371.5259999999998</v>
      </c>
      <c r="Y1130" s="10">
        <v>54.533000000000001</v>
      </c>
      <c r="Z1130" s="10">
        <v>-3375.3710000000001</v>
      </c>
      <c r="AA1130" s="10">
        <v>-433.64299999999997</v>
      </c>
      <c r="AB1130" s="10">
        <v>382.95499999999998</v>
      </c>
      <c r="AC1130" s="8">
        <v>0</v>
      </c>
      <c r="AD1130" s="8">
        <v>0</v>
      </c>
      <c r="AE1130" s="8">
        <v>0</v>
      </c>
      <c r="AF1130" s="10">
        <v>0</v>
      </c>
      <c r="AG1130" s="8">
        <f>COUNTIF(Y1130:AB1130,"&gt;0")</f>
        <v>2</v>
      </c>
      <c r="AH1130" s="10">
        <v>382.95499999999998</v>
      </c>
      <c r="AI1130" s="10">
        <v>54.533000000000001</v>
      </c>
      <c r="AJ1130" s="8" t="str">
        <f>IF(ISNUMBER(X1130),IF(X1130&gt;0,"+",IF(X1130&lt;0,"−","0")),IF(ISNUMBER(W1130),IF(W1130&gt;0,"+",IF(W1130&lt;0,"−","0")),"yok"))</f>
        <v>−</v>
      </c>
      <c r="AK1130" s="10">
        <f>IF(AND(RIGHT(C1130,2)&lt;&gt;"12",ISNUMBER(U1130),ISNUMBER(V1130)),U1130-V1130,"")</f>
        <v>-3320.8380000000002</v>
      </c>
      <c r="AL1130" s="11">
        <f>IF(AND(ISNUMBER(AK1130),ISNUMBER(V1130)),IF(V1130&lt;&gt;0,AK1130/ABS(V1130),""),"")</f>
        <v>-60.89593457172721</v>
      </c>
      <c r="AM1130" s="8">
        <f>IF(ISNUMBER(AK1130),IF(AK1130&gt;1,1,0),"")</f>
        <v>0</v>
      </c>
      <c r="AN1130" s="8">
        <f>IF(ISNUMBER(AK1130),IF(AK1130&gt;0.05*ABS(V1130),1,0),"")</f>
        <v>0</v>
      </c>
      <c r="AO1130" s="10"/>
      <c r="AP1130" s="10"/>
      <c r="AQ1130" s="10"/>
      <c r="AR1130" s="8">
        <v>0</v>
      </c>
      <c r="AS1130" s="10"/>
      <c r="AT1130" s="10"/>
      <c r="AU1130" s="10"/>
      <c r="AV1130" s="10">
        <v>382.95499999999998</v>
      </c>
      <c r="AW1130" s="11" t="str">
        <f>IF(AND(ISNUMBER(AV1130),ISNUMBER(AT1130)),IF(AT1130&lt;&gt;0,AV1130/ABS(AT1130),""),"")</f>
        <v/>
      </c>
      <c r="AX1130" s="8">
        <v>0</v>
      </c>
      <c r="AY1130" s="8">
        <v>0</v>
      </c>
      <c r="AZ1130" s="10"/>
      <c r="BA1130" s="8">
        <v>0</v>
      </c>
    </row>
    <row r="1131" spans="1:53" x14ac:dyDescent="0.2">
      <c r="A1131" s="8" t="s">
        <v>665</v>
      </c>
      <c r="B1131" s="8" t="s">
        <v>83</v>
      </c>
      <c r="C1131" s="8" t="s">
        <v>215</v>
      </c>
      <c r="D1131" s="8">
        <v>0</v>
      </c>
      <c r="E1131" s="8">
        <v>0</v>
      </c>
      <c r="F1131" s="8">
        <f>SUM(G1131:M1131)</f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1</v>
      </c>
      <c r="Q1131" s="8">
        <v>0</v>
      </c>
      <c r="R1131" s="8">
        <v>0</v>
      </c>
      <c r="S1131" s="8">
        <v>1</v>
      </c>
      <c r="T1131" s="10">
        <v>-60.249000000000002</v>
      </c>
      <c r="U1131" s="10">
        <v>-3375.3710000000001</v>
      </c>
      <c r="V1131" s="10">
        <v>0</v>
      </c>
      <c r="W1131" s="10">
        <f>IF(RIGHT(C1131,2)="12",IF(ISNUMBER(T1131),T1131,""),IF(COUNT(T1131,U1131,V1131)=3,T1131+U1131-V1131,""))</f>
        <v>-3435.62</v>
      </c>
      <c r="X1131" s="10">
        <v>-3435.6210000000001</v>
      </c>
      <c r="Y1131" s="10">
        <v>-3375.3710000000001</v>
      </c>
      <c r="Z1131" s="10">
        <v>-433.64299999999997</v>
      </c>
      <c r="AA1131" s="10">
        <v>382.95499999999998</v>
      </c>
      <c r="AB1131" s="10">
        <v>-9.5609999999999999</v>
      </c>
      <c r="AC1131" s="8">
        <v>0</v>
      </c>
      <c r="AD1131" s="8">
        <v>0</v>
      </c>
      <c r="AE1131" s="8">
        <v>0</v>
      </c>
      <c r="AF1131" s="10">
        <v>0</v>
      </c>
      <c r="AG1131" s="8">
        <f>COUNTIF(Y1131:AB1131,"&gt;0")</f>
        <v>1</v>
      </c>
      <c r="AH1131" s="10">
        <v>382.95499999999998</v>
      </c>
      <c r="AI1131" s="10">
        <v>0</v>
      </c>
      <c r="AJ1131" s="8" t="str">
        <f>IF(ISNUMBER(X1131),IF(X1131&gt;0,"+",IF(X1131&lt;0,"−","0")),IF(ISNUMBER(W1131),IF(W1131&gt;0,"+",IF(W1131&lt;0,"−","0")),"yok"))</f>
        <v>−</v>
      </c>
      <c r="AK1131" s="10">
        <f>IF(AND(RIGHT(C1131,2)&lt;&gt;"12",ISNUMBER(U1131),ISNUMBER(V1131)),U1131-V1131,"")</f>
        <v>-3375.3710000000001</v>
      </c>
      <c r="AL1131" s="11" t="str">
        <f>IF(AND(ISNUMBER(AK1131),ISNUMBER(V1131)),IF(V1131&lt;&gt;0,AK1131/ABS(V1131),""),"")</f>
        <v/>
      </c>
      <c r="AM1131" s="8">
        <f>IF(ISNUMBER(AK1131),IF(AK1131&gt;1,1,0),"")</f>
        <v>0</v>
      </c>
      <c r="AN1131" s="8">
        <f>IF(ISNUMBER(AK1131),IF(AK1131&gt;0.05*ABS(V1131),1,0),"")</f>
        <v>0</v>
      </c>
      <c r="AO1131" s="10"/>
      <c r="AP1131" s="10"/>
      <c r="AQ1131" s="10"/>
      <c r="AR1131" s="8">
        <v>0</v>
      </c>
      <c r="AS1131" s="10"/>
      <c r="AT1131" s="10"/>
      <c r="AU1131" s="10"/>
      <c r="AV1131" s="10">
        <v>382.95499999999998</v>
      </c>
      <c r="AW1131" s="11" t="str">
        <f>IF(AND(ISNUMBER(AV1131),ISNUMBER(AT1131)),IF(AT1131&lt;&gt;0,AV1131/ABS(AT1131),""),"")</f>
        <v/>
      </c>
      <c r="AX1131" s="8">
        <v>0</v>
      </c>
      <c r="AY1131" s="8">
        <v>0</v>
      </c>
      <c r="AZ1131" s="10"/>
      <c r="BA1131" s="8">
        <v>0</v>
      </c>
    </row>
    <row r="1132" spans="1:53" x14ac:dyDescent="0.2">
      <c r="A1132" s="8" t="s">
        <v>665</v>
      </c>
      <c r="B1132" s="8" t="s">
        <v>83</v>
      </c>
      <c r="C1132" s="8" t="s">
        <v>290</v>
      </c>
      <c r="D1132" s="8">
        <v>0</v>
      </c>
      <c r="E1132" s="8">
        <v>0</v>
      </c>
      <c r="F1132" s="8">
        <f>SUM(G1132:M1132)</f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1</v>
      </c>
      <c r="Q1132" s="8">
        <v>0</v>
      </c>
      <c r="R1132" s="8">
        <v>0</v>
      </c>
      <c r="S1132" s="8">
        <v>1</v>
      </c>
      <c r="T1132" s="10">
        <v>-86.335999999999999</v>
      </c>
      <c r="U1132" s="10"/>
      <c r="V1132" s="10"/>
      <c r="W1132" s="10">
        <f>IF(RIGHT(C1132,2)="12",IF(ISNUMBER(T1132),T1132,""),IF(COUNT(T1132,U1132,V1132)=3,T1132+U1132-V1132,""))</f>
        <v>-86.335999999999999</v>
      </c>
      <c r="X1132" s="10">
        <v>-86.335999999999999</v>
      </c>
      <c r="Y1132" s="10">
        <v>-433.64299999999997</v>
      </c>
      <c r="Z1132" s="10">
        <v>382.95499999999998</v>
      </c>
      <c r="AA1132" s="10">
        <v>-9.5609999999999999</v>
      </c>
      <c r="AB1132" s="10">
        <v>-26.085999999999999</v>
      </c>
      <c r="AC1132" s="8">
        <v>0</v>
      </c>
      <c r="AD1132" s="8">
        <v>0</v>
      </c>
      <c r="AE1132" s="8">
        <v>0</v>
      </c>
      <c r="AF1132" s="10">
        <v>0</v>
      </c>
      <c r="AG1132" s="8">
        <f>COUNTIF(Y1132:AB1132,"&gt;0")</f>
        <v>1</v>
      </c>
      <c r="AH1132" s="10">
        <v>382.95499999999998</v>
      </c>
      <c r="AI1132" s="10">
        <v>0</v>
      </c>
      <c r="AJ1132" s="8" t="str">
        <f>IF(ISNUMBER(X1132),IF(X1132&gt;0,"+",IF(X1132&lt;0,"−","0")),IF(ISNUMBER(W1132),IF(W1132&gt;0,"+",IF(W1132&lt;0,"−","0")),"yok"))</f>
        <v>−</v>
      </c>
      <c r="AK1132" s="10" t="str">
        <f>IF(AND(RIGHT(C1132,2)&lt;&gt;"12",ISNUMBER(U1132),ISNUMBER(V1132)),U1132-V1132,"")</f>
        <v/>
      </c>
      <c r="AL1132" s="11" t="str">
        <f>IF(AND(ISNUMBER(AK1132),ISNUMBER(V1132)),IF(V1132&lt;&gt;0,AK1132/ABS(V1132),""),"")</f>
        <v/>
      </c>
      <c r="AM1132" s="8" t="str">
        <f>IF(ISNUMBER(AK1132),IF(AK1132&gt;1,1,0),"")</f>
        <v/>
      </c>
      <c r="AN1132" s="8" t="str">
        <f>IF(ISNUMBER(AK1132),IF(AK1132&gt;0.05*ABS(V1132),1,0),"")</f>
        <v/>
      </c>
      <c r="AO1132" s="10"/>
      <c r="AP1132" s="10"/>
      <c r="AQ1132" s="10"/>
      <c r="AR1132" s="8">
        <v>0</v>
      </c>
      <c r="AS1132" s="10"/>
      <c r="AT1132" s="10"/>
      <c r="AU1132" s="10"/>
      <c r="AV1132" s="10">
        <v>382.95499999999998</v>
      </c>
      <c r="AW1132" s="11" t="str">
        <f>IF(AND(ISNUMBER(AV1132),ISNUMBER(AT1132)),IF(AT1132&lt;&gt;0,AV1132/ABS(AT1132),""),"")</f>
        <v/>
      </c>
      <c r="AX1132" s="8">
        <v>0</v>
      </c>
      <c r="AY1132" s="8">
        <v>0</v>
      </c>
      <c r="AZ1132" s="10"/>
      <c r="BA1132" s="8">
        <v>0</v>
      </c>
    </row>
    <row r="1133" spans="1:53" x14ac:dyDescent="0.2">
      <c r="A1133" s="8" t="s">
        <v>714</v>
      </c>
      <c r="B1133" s="8" t="s">
        <v>83</v>
      </c>
      <c r="C1133" s="8" t="s">
        <v>205</v>
      </c>
      <c r="D1133" s="8">
        <v>0</v>
      </c>
      <c r="E1133" s="8">
        <v>0</v>
      </c>
      <c r="F1133" s="8">
        <f>SUM(G1133:M1133)</f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1</v>
      </c>
      <c r="O1133" s="8">
        <v>0</v>
      </c>
      <c r="P1133" s="8">
        <v>1</v>
      </c>
      <c r="Q1133" s="8">
        <v>0</v>
      </c>
      <c r="R1133" s="8">
        <v>0</v>
      </c>
      <c r="S1133" s="8">
        <v>0</v>
      </c>
      <c r="T1133" s="10">
        <v>0</v>
      </c>
      <c r="U1133" s="10">
        <v>-8.4000000000000005E-2</v>
      </c>
      <c r="V1133" s="10">
        <v>-9.6000000000000002E-2</v>
      </c>
      <c r="W1133" s="10">
        <f>IF(RIGHT(C1133,2)="12",IF(ISNUMBER(T1133),T1133,""),IF(COUNT(T1133,U1133,V1133)=3,T1133+U1133-V1133,""))</f>
        <v>1.1999999999999997E-2</v>
      </c>
      <c r="X1133" s="10">
        <v>1.0999999999999999E-2</v>
      </c>
      <c r="Y1133" s="10">
        <v>-3.3000000000000002E-2</v>
      </c>
      <c r="Z1133" s="10">
        <v>4.3999999999999997E-2</v>
      </c>
      <c r="AA1133" s="10"/>
      <c r="AB1133" s="10"/>
      <c r="AC1133" s="8">
        <v>0</v>
      </c>
      <c r="AD1133" s="8">
        <v>0</v>
      </c>
      <c r="AE1133" s="8">
        <v>0</v>
      </c>
      <c r="AF1133" s="10">
        <v>0</v>
      </c>
      <c r="AG1133" s="8">
        <f>COUNTIF(Y1133:AB1133,"&gt;0")</f>
        <v>1</v>
      </c>
      <c r="AH1133" s="10">
        <v>0</v>
      </c>
      <c r="AI1133" s="10">
        <v>4.3999999999999997E-2</v>
      </c>
      <c r="AJ1133" s="8" t="str">
        <f>IF(ISNUMBER(X1133),IF(X1133&gt;0,"+",IF(X1133&lt;0,"−","0")),IF(ISNUMBER(W1133),IF(W1133&gt;0,"+",IF(W1133&lt;0,"−","0")),"yok"))</f>
        <v>+</v>
      </c>
      <c r="AK1133" s="10">
        <f>IF(AND(RIGHT(C1133,2)&lt;&gt;"12",ISNUMBER(U1133),ISNUMBER(V1133)),U1133-V1133,"")</f>
        <v>1.1999999999999997E-2</v>
      </c>
      <c r="AL1133" s="11">
        <f>IF(AND(ISNUMBER(AK1133),ISNUMBER(V1133)),IF(V1133&lt;&gt;0,AK1133/ABS(V1133),""),"")</f>
        <v>0.12499999999999996</v>
      </c>
      <c r="AM1133" s="8">
        <f>IF(ISNUMBER(AK1133),IF(AK1133&gt;1,1,0),"")</f>
        <v>0</v>
      </c>
      <c r="AN1133" s="8">
        <f>IF(ISNUMBER(AK1133),IF(AK1133&gt;0.05*ABS(V1133),1,0),"")</f>
        <v>1</v>
      </c>
      <c r="AO1133" s="10"/>
      <c r="AP1133" s="10"/>
      <c r="AQ1133" s="10"/>
      <c r="AR1133" s="8">
        <v>0</v>
      </c>
      <c r="AS1133" s="10"/>
      <c r="AT1133" s="10"/>
      <c r="AU1133" s="10"/>
      <c r="AV1133" s="10">
        <v>1.2E-2</v>
      </c>
      <c r="AW1133" s="11" t="str">
        <f>IF(AND(ISNUMBER(AV1133),ISNUMBER(AT1133)),IF(AT1133&lt;&gt;0,AV1133/ABS(AT1133),""),"")</f>
        <v/>
      </c>
      <c r="AX1133" s="8">
        <v>0</v>
      </c>
      <c r="AY1133" s="8">
        <v>0</v>
      </c>
      <c r="AZ1133" s="10"/>
      <c r="BA1133" s="8">
        <v>0</v>
      </c>
    </row>
    <row r="1134" spans="1:53" x14ac:dyDescent="0.2">
      <c r="A1134" s="8" t="s">
        <v>715</v>
      </c>
      <c r="B1134" s="8" t="s">
        <v>84</v>
      </c>
      <c r="C1134" s="8" t="s">
        <v>203</v>
      </c>
      <c r="D1134" s="8">
        <v>0</v>
      </c>
      <c r="E1134" s="8">
        <v>0</v>
      </c>
      <c r="F1134" s="8">
        <f>SUM(G1134:M1134)</f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v>1</v>
      </c>
      <c r="P1134" s="8">
        <v>0</v>
      </c>
      <c r="Q1134" s="8">
        <v>0</v>
      </c>
      <c r="R1134" s="8">
        <v>0</v>
      </c>
      <c r="S1134" s="8">
        <v>0</v>
      </c>
      <c r="T1134" s="10"/>
      <c r="U1134" s="10"/>
      <c r="V1134" s="10">
        <v>2.496</v>
      </c>
      <c r="W1134" s="10" t="str">
        <f>IF(RIGHT(C1134,2)="12",IF(ISNUMBER(T1134),T1134,""),IF(COUNT(T1134,U1134,V1134)=3,T1134+U1134-V1134,""))</f>
        <v/>
      </c>
      <c r="X1134" s="10"/>
      <c r="Y1134" s="10"/>
      <c r="Z1134" s="10"/>
      <c r="AA1134" s="10"/>
      <c r="AB1134" s="10"/>
      <c r="AC1134" s="8">
        <v>0</v>
      </c>
      <c r="AD1134" s="8">
        <v>0</v>
      </c>
      <c r="AE1134" s="8">
        <v>1</v>
      </c>
      <c r="AF1134" s="10">
        <v>2.496</v>
      </c>
      <c r="AG1134" s="8">
        <f>COUNTIF(Y1134:AB1134,"&gt;0")</f>
        <v>0</v>
      </c>
      <c r="AH1134" s="10">
        <v>0</v>
      </c>
      <c r="AI1134" s="10">
        <v>0</v>
      </c>
      <c r="AJ1134" s="8" t="str">
        <f>IF(ISNUMBER(X1134),IF(X1134&gt;0,"+",IF(X1134&lt;0,"−","0")),IF(ISNUMBER(W1134),IF(W1134&gt;0,"+",IF(W1134&lt;0,"−","0")),"yok"))</f>
        <v>yok</v>
      </c>
      <c r="AK1134" s="10" t="str">
        <f>IF(AND(RIGHT(C1134,2)&lt;&gt;"12",ISNUMBER(U1134),ISNUMBER(V1134)),U1134-V1134,"")</f>
        <v/>
      </c>
      <c r="AL1134" s="11" t="str">
        <f>IF(AND(ISNUMBER(AK1134),ISNUMBER(V1134)),IF(V1134&lt;&gt;0,AK1134/ABS(V1134),""),"")</f>
        <v/>
      </c>
      <c r="AM1134" s="8" t="str">
        <f>IF(ISNUMBER(AK1134),IF(AK1134&gt;1,1,0),"")</f>
        <v/>
      </c>
      <c r="AN1134" s="8" t="str">
        <f>IF(ISNUMBER(AK1134),IF(AK1134&gt;0.05*ABS(V1134),1,0),"")</f>
        <v/>
      </c>
      <c r="AO1134" s="10"/>
      <c r="AP1134" s="10"/>
      <c r="AQ1134" s="10"/>
      <c r="AR1134" s="8">
        <v>0</v>
      </c>
      <c r="AS1134" s="10"/>
      <c r="AT1134" s="10"/>
      <c r="AU1134" s="10"/>
      <c r="AV1134" s="10">
        <v>2.496</v>
      </c>
      <c r="AW1134" s="11" t="str">
        <f>IF(AND(ISNUMBER(AV1134),ISNUMBER(AT1134)),IF(AT1134&lt;&gt;0,AV1134/ABS(AT1134),""),"")</f>
        <v/>
      </c>
      <c r="AX1134" s="8">
        <v>1</v>
      </c>
      <c r="AY1134" s="8">
        <v>0</v>
      </c>
      <c r="AZ1134" s="8" t="s">
        <v>716</v>
      </c>
      <c r="BA1134" s="8">
        <v>0</v>
      </c>
    </row>
    <row r="1135" spans="1:53" x14ac:dyDescent="0.2">
      <c r="A1135" s="8" t="s">
        <v>667</v>
      </c>
      <c r="B1135" s="8" t="s">
        <v>83</v>
      </c>
      <c r="C1135" s="8" t="s">
        <v>290</v>
      </c>
      <c r="D1135" s="8">
        <v>0</v>
      </c>
      <c r="E1135" s="8">
        <v>0</v>
      </c>
      <c r="F1135" s="8">
        <f>SUM(G1135:M1135)</f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1</v>
      </c>
      <c r="Q1135" s="8">
        <v>0</v>
      </c>
      <c r="R1135" s="8">
        <v>0</v>
      </c>
      <c r="S1135" s="8">
        <v>1</v>
      </c>
      <c r="T1135" s="10">
        <v>-37.576000000000001</v>
      </c>
      <c r="U1135" s="10"/>
      <c r="V1135" s="10"/>
      <c r="W1135" s="10">
        <f>IF(RIGHT(C1135,2)="12",IF(ISNUMBER(T1135),T1135,""),IF(COUNT(T1135,U1135,V1135)=3,T1135+U1135-V1135,""))</f>
        <v>-37.576000000000001</v>
      </c>
      <c r="X1135" s="10">
        <v>-37.576000000000001</v>
      </c>
      <c r="Y1135" s="10">
        <v>-0.47699999999999998</v>
      </c>
      <c r="Z1135" s="10">
        <v>-36.551000000000002</v>
      </c>
      <c r="AA1135" s="10">
        <v>-8.3569999999999993</v>
      </c>
      <c r="AB1135" s="10">
        <v>7.81</v>
      </c>
      <c r="AC1135" s="8">
        <v>0</v>
      </c>
      <c r="AD1135" s="8">
        <v>0</v>
      </c>
      <c r="AE1135" s="8">
        <v>0</v>
      </c>
      <c r="AF1135" s="10">
        <v>0</v>
      </c>
      <c r="AG1135" s="8">
        <f>COUNTIF(Y1135:AB1135,"&gt;0")</f>
        <v>1</v>
      </c>
      <c r="AH1135" s="10">
        <v>7.81</v>
      </c>
      <c r="AI1135" s="10">
        <v>0</v>
      </c>
      <c r="AJ1135" s="8" t="str">
        <f>IF(ISNUMBER(X1135),IF(X1135&gt;0,"+",IF(X1135&lt;0,"−","0")),IF(ISNUMBER(W1135),IF(W1135&gt;0,"+",IF(W1135&lt;0,"−","0")),"yok"))</f>
        <v>−</v>
      </c>
      <c r="AK1135" s="10" t="str">
        <f>IF(AND(RIGHT(C1135,2)&lt;&gt;"12",ISNUMBER(U1135),ISNUMBER(V1135)),U1135-V1135,"")</f>
        <v/>
      </c>
      <c r="AL1135" s="11" t="str">
        <f>IF(AND(ISNUMBER(AK1135),ISNUMBER(V1135)),IF(V1135&lt;&gt;0,AK1135/ABS(V1135),""),"")</f>
        <v/>
      </c>
      <c r="AM1135" s="8" t="str">
        <f>IF(ISNUMBER(AK1135),IF(AK1135&gt;1,1,0),"")</f>
        <v/>
      </c>
      <c r="AN1135" s="8" t="str">
        <f>IF(ISNUMBER(AK1135),IF(AK1135&gt;0.05*ABS(V1135),1,0),"")</f>
        <v/>
      </c>
      <c r="AO1135" s="10"/>
      <c r="AP1135" s="10"/>
      <c r="AQ1135" s="10"/>
      <c r="AR1135" s="8">
        <v>0</v>
      </c>
      <c r="AS1135" s="10"/>
      <c r="AT1135" s="10"/>
      <c r="AU1135" s="10"/>
      <c r="AV1135" s="10">
        <v>7.81</v>
      </c>
      <c r="AW1135" s="11" t="str">
        <f>IF(AND(ISNUMBER(AV1135),ISNUMBER(AT1135)),IF(AT1135&lt;&gt;0,AV1135/ABS(AT1135),""),"")</f>
        <v/>
      </c>
      <c r="AX1135" s="8">
        <v>0</v>
      </c>
      <c r="AY1135" s="8">
        <v>0</v>
      </c>
      <c r="AZ1135" s="10"/>
      <c r="BA1135" s="8">
        <v>0</v>
      </c>
    </row>
    <row r="1136" spans="1:53" x14ac:dyDescent="0.2">
      <c r="A1136" s="8" t="s">
        <v>717</v>
      </c>
      <c r="B1136" s="8" t="s">
        <v>82</v>
      </c>
      <c r="C1136" s="8" t="s">
        <v>203</v>
      </c>
      <c r="D1136" s="8">
        <v>0</v>
      </c>
      <c r="E1136" s="8">
        <v>0</v>
      </c>
      <c r="F1136" s="8">
        <f>SUM(G1136:M1136)</f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>
        <v>1</v>
      </c>
      <c r="P1136" s="8">
        <v>1</v>
      </c>
      <c r="Q1136" s="8">
        <v>0</v>
      </c>
      <c r="R1136" s="8">
        <v>0</v>
      </c>
      <c r="S1136" s="8">
        <v>0</v>
      </c>
      <c r="T1136" s="10">
        <v>0.23400000000000001</v>
      </c>
      <c r="U1136" s="10"/>
      <c r="V1136" s="10"/>
      <c r="W1136" s="10" t="str">
        <f>IF(RIGHT(C1136,2)="12",IF(ISNUMBER(T1136),T1136,""),IF(COUNT(T1136,U1136,V1136)=3,T1136+U1136-V1136,""))</f>
        <v/>
      </c>
      <c r="X1136" s="10"/>
      <c r="Y1136" s="10"/>
      <c r="Z1136" s="10"/>
      <c r="AA1136" s="10"/>
      <c r="AB1136" s="10">
        <v>0.23400000000000001</v>
      </c>
      <c r="AC1136" s="8">
        <v>1</v>
      </c>
      <c r="AD1136" s="8">
        <v>0</v>
      </c>
      <c r="AE1136" s="8">
        <v>0</v>
      </c>
      <c r="AF1136" s="10">
        <v>0.23400000000000001</v>
      </c>
      <c r="AG1136" s="8">
        <f>COUNTIF(Y1136:AB1136,"&gt;0")</f>
        <v>1</v>
      </c>
      <c r="AH1136" s="10">
        <v>0</v>
      </c>
      <c r="AI1136" s="10">
        <v>0</v>
      </c>
      <c r="AJ1136" s="8" t="str">
        <f>IF(ISNUMBER(X1136),IF(X1136&gt;0,"+",IF(X1136&lt;0,"−","0")),IF(ISNUMBER(W1136),IF(W1136&gt;0,"+",IF(W1136&lt;0,"−","0")),"yok"))</f>
        <v>yok</v>
      </c>
      <c r="AK1136" s="10" t="str">
        <f>IF(AND(RIGHT(C1136,2)&lt;&gt;"12",ISNUMBER(U1136),ISNUMBER(V1136)),U1136-V1136,"")</f>
        <v/>
      </c>
      <c r="AL1136" s="11" t="str">
        <f>IF(AND(ISNUMBER(AK1136),ISNUMBER(V1136)),IF(V1136&lt;&gt;0,AK1136/ABS(V1136),""),"")</f>
        <v/>
      </c>
      <c r="AM1136" s="8" t="str">
        <f>IF(ISNUMBER(AK1136),IF(AK1136&gt;1,1,0),"")</f>
        <v/>
      </c>
      <c r="AN1136" s="8" t="str">
        <f>IF(ISNUMBER(AK1136),IF(AK1136&gt;0.05*ABS(V1136),1,0),"")</f>
        <v/>
      </c>
      <c r="AO1136" s="10"/>
      <c r="AP1136" s="10"/>
      <c r="AQ1136" s="10"/>
      <c r="AR1136" s="8">
        <v>0</v>
      </c>
      <c r="AS1136" s="10"/>
      <c r="AT1136" s="10"/>
      <c r="AU1136" s="10"/>
      <c r="AV1136" s="10">
        <v>0.23400000000000001</v>
      </c>
      <c r="AW1136" s="11" t="str">
        <f>IF(AND(ISNUMBER(AV1136),ISNUMBER(AT1136)),IF(AT1136&lt;&gt;0,AV1136/ABS(AT1136),""),"")</f>
        <v/>
      </c>
      <c r="AX1136" s="8">
        <v>1</v>
      </c>
      <c r="AY1136" s="8">
        <v>0</v>
      </c>
      <c r="AZ1136" s="8" t="s">
        <v>718</v>
      </c>
      <c r="BA1136" s="8">
        <v>0</v>
      </c>
    </row>
    <row r="1137" spans="1:53" x14ac:dyDescent="0.2">
      <c r="A1137" s="8" t="s">
        <v>717</v>
      </c>
      <c r="B1137" s="8" t="s">
        <v>82</v>
      </c>
      <c r="C1137" s="8" t="s">
        <v>208</v>
      </c>
      <c r="D1137" s="8">
        <v>0</v>
      </c>
      <c r="E1137" s="8">
        <v>0</v>
      </c>
      <c r="F1137" s="8">
        <f>SUM(G1137:M1137)</f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>
        <v>0</v>
      </c>
      <c r="O1137" s="8">
        <v>1</v>
      </c>
      <c r="P1137" s="8">
        <v>0</v>
      </c>
      <c r="Q1137" s="8">
        <v>0</v>
      </c>
      <c r="R1137" s="8">
        <v>0</v>
      </c>
      <c r="S1137" s="8">
        <v>0</v>
      </c>
      <c r="T1137" s="10">
        <v>-0.27</v>
      </c>
      <c r="U1137" s="10"/>
      <c r="V1137" s="10">
        <v>0.23400000000000001</v>
      </c>
      <c r="W1137" s="10" t="str">
        <f>IF(RIGHT(C1137,2)="12",IF(ISNUMBER(T1137),T1137,""),IF(COUNT(T1137,U1137,V1137)=3,T1137+U1137-V1137,""))</f>
        <v/>
      </c>
      <c r="X1137" s="10"/>
      <c r="Y1137" s="10">
        <v>-0.78900000000000003</v>
      </c>
      <c r="Z1137" s="10"/>
      <c r="AA1137" s="10"/>
      <c r="AB1137" s="10">
        <v>-0.27</v>
      </c>
      <c r="AC1137" s="8">
        <v>0</v>
      </c>
      <c r="AD1137" s="8">
        <v>0</v>
      </c>
      <c r="AE1137" s="8">
        <v>1</v>
      </c>
      <c r="AF1137" s="10">
        <v>0.23400000000000001</v>
      </c>
      <c r="AG1137" s="8">
        <f>COUNTIF(Y1137:AB1137,"&gt;0")</f>
        <v>0</v>
      </c>
      <c r="AH1137" s="10">
        <v>0</v>
      </c>
      <c r="AI1137" s="10">
        <v>0</v>
      </c>
      <c r="AJ1137" s="8" t="str">
        <f>IF(ISNUMBER(X1137),IF(X1137&gt;0,"+",IF(X1137&lt;0,"−","0")),IF(ISNUMBER(W1137),IF(W1137&gt;0,"+",IF(W1137&lt;0,"−","0")),"yok"))</f>
        <v>yok</v>
      </c>
      <c r="AK1137" s="10" t="str">
        <f>IF(AND(RIGHT(C1137,2)&lt;&gt;"12",ISNUMBER(U1137),ISNUMBER(V1137)),U1137-V1137,"")</f>
        <v/>
      </c>
      <c r="AL1137" s="11" t="str">
        <f>IF(AND(ISNUMBER(AK1137),ISNUMBER(V1137)),IF(V1137&lt;&gt;0,AK1137/ABS(V1137),""),"")</f>
        <v/>
      </c>
      <c r="AM1137" s="8" t="str">
        <f>IF(ISNUMBER(AK1137),IF(AK1137&gt;1,1,0),"")</f>
        <v/>
      </c>
      <c r="AN1137" s="8" t="str">
        <f>IF(ISNUMBER(AK1137),IF(AK1137&gt;0.05*ABS(V1137),1,0),"")</f>
        <v/>
      </c>
      <c r="AO1137" s="10"/>
      <c r="AP1137" s="10"/>
      <c r="AQ1137" s="10"/>
      <c r="AR1137" s="8">
        <v>0</v>
      </c>
      <c r="AS1137" s="10"/>
      <c r="AT1137" s="10"/>
      <c r="AU1137" s="10"/>
      <c r="AV1137" s="10">
        <v>0.23400000000000001</v>
      </c>
      <c r="AW1137" s="11" t="str">
        <f>IF(AND(ISNUMBER(AV1137),ISNUMBER(AT1137)),IF(AT1137&lt;&gt;0,AV1137/ABS(AT1137),""),"")</f>
        <v/>
      </c>
      <c r="AX1137" s="8">
        <v>1</v>
      </c>
      <c r="AY1137" s="8">
        <v>0</v>
      </c>
      <c r="AZ1137" s="8" t="s">
        <v>719</v>
      </c>
      <c r="BA1137" s="8">
        <v>0</v>
      </c>
    </row>
    <row r="1138" spans="1:53" x14ac:dyDescent="0.2">
      <c r="A1138" s="8" t="s">
        <v>720</v>
      </c>
      <c r="B1138" s="8" t="s">
        <v>83</v>
      </c>
      <c r="C1138" s="8" t="s">
        <v>203</v>
      </c>
      <c r="D1138" s="8">
        <v>0</v>
      </c>
      <c r="E1138" s="8">
        <v>0</v>
      </c>
      <c r="F1138" s="8">
        <f>SUM(G1138:M1138)</f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1</v>
      </c>
      <c r="P1138" s="8">
        <v>1</v>
      </c>
      <c r="Q1138" s="8">
        <v>0</v>
      </c>
      <c r="R1138" s="8">
        <v>0</v>
      </c>
      <c r="S1138" s="8">
        <v>0</v>
      </c>
      <c r="T1138" s="10"/>
      <c r="U1138" s="10">
        <v>9.1999999999999998E-2</v>
      </c>
      <c r="V1138" s="10">
        <v>0</v>
      </c>
      <c r="W1138" s="10" t="str">
        <f>IF(RIGHT(C1138,2)="12",IF(ISNUMBER(T1138),T1138,""),IF(COUNT(T1138,U1138,V1138)=3,T1138+U1138-V1138,""))</f>
        <v/>
      </c>
      <c r="X1138" s="10"/>
      <c r="Y1138" s="10">
        <v>-0.13400000000000001</v>
      </c>
      <c r="Z1138" s="10">
        <v>0</v>
      </c>
      <c r="AA1138" s="10">
        <v>0.22700000000000001</v>
      </c>
      <c r="AB1138" s="10"/>
      <c r="AC1138" s="8">
        <v>0</v>
      </c>
      <c r="AD1138" s="8">
        <v>1</v>
      </c>
      <c r="AE1138" s="8">
        <v>0</v>
      </c>
      <c r="AF1138" s="10">
        <v>9.1999999999999998E-2</v>
      </c>
      <c r="AG1138" s="8">
        <f>COUNTIF(Y1138:AB1138,"&gt;0")</f>
        <v>1</v>
      </c>
      <c r="AH1138" s="10">
        <v>0</v>
      </c>
      <c r="AI1138" s="10">
        <v>0.22700000000000001</v>
      </c>
      <c r="AJ1138" s="8" t="str">
        <f>IF(ISNUMBER(X1138),IF(X1138&gt;0,"+",IF(X1138&lt;0,"−","0")),IF(ISNUMBER(W1138),IF(W1138&gt;0,"+",IF(W1138&lt;0,"−","0")),"yok"))</f>
        <v>yok</v>
      </c>
      <c r="AK1138" s="10">
        <f>IF(AND(RIGHT(C1138,2)&lt;&gt;"12",ISNUMBER(U1138),ISNUMBER(V1138)),U1138-V1138,"")</f>
        <v>9.1999999999999998E-2</v>
      </c>
      <c r="AL1138" s="11" t="str">
        <f>IF(AND(ISNUMBER(AK1138),ISNUMBER(V1138)),IF(V1138&lt;&gt;0,AK1138/ABS(V1138),""),"")</f>
        <v/>
      </c>
      <c r="AM1138" s="8">
        <f>IF(ISNUMBER(AK1138),IF(AK1138&gt;1,1,0),"")</f>
        <v>0</v>
      </c>
      <c r="AN1138" s="8">
        <f>IF(ISNUMBER(AK1138),IF(AK1138&gt;0.05*ABS(V1138),1,0),"")</f>
        <v>1</v>
      </c>
      <c r="AO1138" s="10"/>
      <c r="AP1138" s="10"/>
      <c r="AQ1138" s="10"/>
      <c r="AR1138" s="8">
        <v>0</v>
      </c>
      <c r="AS1138" s="10"/>
      <c r="AT1138" s="10"/>
      <c r="AU1138" s="10"/>
      <c r="AV1138" s="10">
        <v>9.1999999999999998E-2</v>
      </c>
      <c r="AW1138" s="11" t="str">
        <f>IF(AND(ISNUMBER(AV1138),ISNUMBER(AT1138)),IF(AT1138&lt;&gt;0,AV1138/ABS(AT1138),""),"")</f>
        <v/>
      </c>
      <c r="AX1138" s="8">
        <v>1</v>
      </c>
      <c r="AY1138" s="8">
        <v>0</v>
      </c>
      <c r="AZ1138" s="8" t="s">
        <v>721</v>
      </c>
      <c r="BA1138" s="8">
        <v>0</v>
      </c>
    </row>
    <row r="1139" spans="1:53" x14ac:dyDescent="0.2">
      <c r="A1139" s="8" t="s">
        <v>720</v>
      </c>
      <c r="B1139" s="8" t="s">
        <v>83</v>
      </c>
      <c r="C1139" s="8" t="s">
        <v>205</v>
      </c>
      <c r="D1139" s="8">
        <v>0</v>
      </c>
      <c r="E1139" s="8">
        <v>0</v>
      </c>
      <c r="F1139" s="8">
        <f>SUM(G1139:M1139)</f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>
        <v>1</v>
      </c>
      <c r="P1139" s="8">
        <v>1</v>
      </c>
      <c r="Q1139" s="8">
        <v>0</v>
      </c>
      <c r="R1139" s="8">
        <v>0</v>
      </c>
      <c r="S1139" s="8">
        <v>0</v>
      </c>
      <c r="T1139" s="10"/>
      <c r="U1139" s="10">
        <v>9.1999999999999998E-2</v>
      </c>
      <c r="V1139" s="10">
        <v>-0.13400000000000001</v>
      </c>
      <c r="W1139" s="10" t="str">
        <f>IF(RIGHT(C1139,2)="12",IF(ISNUMBER(T1139),T1139,""),IF(COUNT(T1139,U1139,V1139)=3,T1139+U1139-V1139,""))</f>
        <v/>
      </c>
      <c r="X1139" s="10"/>
      <c r="Y1139" s="10">
        <v>0</v>
      </c>
      <c r="Z1139" s="10">
        <v>0.22700000000000001</v>
      </c>
      <c r="AA1139" s="10"/>
      <c r="AB1139" s="10"/>
      <c r="AC1139" s="8">
        <v>0</v>
      </c>
      <c r="AD1139" s="8">
        <v>1</v>
      </c>
      <c r="AE1139" s="8">
        <v>0</v>
      </c>
      <c r="AF1139" s="10">
        <v>9.1999999999999998E-2</v>
      </c>
      <c r="AG1139" s="8">
        <f>COUNTIF(Y1139:AB1139,"&gt;0")</f>
        <v>1</v>
      </c>
      <c r="AH1139" s="10">
        <v>0</v>
      </c>
      <c r="AI1139" s="10">
        <v>0.22700000000000001</v>
      </c>
      <c r="AJ1139" s="8" t="str">
        <f>IF(ISNUMBER(X1139),IF(X1139&gt;0,"+",IF(X1139&lt;0,"−","0")),IF(ISNUMBER(W1139),IF(W1139&gt;0,"+",IF(W1139&lt;0,"−","0")),"yok"))</f>
        <v>yok</v>
      </c>
      <c r="AK1139" s="10">
        <f>IF(AND(RIGHT(C1139,2)&lt;&gt;"12",ISNUMBER(U1139),ISNUMBER(V1139)),U1139-V1139,"")</f>
        <v>0.22600000000000001</v>
      </c>
      <c r="AL1139" s="11">
        <f>IF(AND(ISNUMBER(AK1139),ISNUMBER(V1139)),IF(V1139&lt;&gt;0,AK1139/ABS(V1139),""),"")</f>
        <v>1.6865671641791045</v>
      </c>
      <c r="AM1139" s="8">
        <f>IF(ISNUMBER(AK1139),IF(AK1139&gt;1,1,0),"")</f>
        <v>0</v>
      </c>
      <c r="AN1139" s="8">
        <f>IF(ISNUMBER(AK1139),IF(AK1139&gt;0.05*ABS(V1139),1,0),"")</f>
        <v>1</v>
      </c>
      <c r="AO1139" s="10"/>
      <c r="AP1139" s="10"/>
      <c r="AQ1139" s="10"/>
      <c r="AR1139" s="8">
        <v>0</v>
      </c>
      <c r="AS1139" s="10"/>
      <c r="AT1139" s="10"/>
      <c r="AU1139" s="10"/>
      <c r="AV1139" s="10">
        <v>9.1999999999999998E-2</v>
      </c>
      <c r="AW1139" s="11" t="str">
        <f>IF(AND(ISNUMBER(AV1139),ISNUMBER(AT1139)),IF(AT1139&lt;&gt;0,AV1139/ABS(AT1139),""),"")</f>
        <v/>
      </c>
      <c r="AX1139" s="8">
        <v>1</v>
      </c>
      <c r="AY1139" s="8">
        <v>0</v>
      </c>
      <c r="AZ1139" s="8" t="s">
        <v>721</v>
      </c>
      <c r="BA1139" s="8">
        <v>0</v>
      </c>
    </row>
    <row r="1140" spans="1:53" x14ac:dyDescent="0.2">
      <c r="A1140" s="8" t="s">
        <v>720</v>
      </c>
      <c r="B1140" s="8" t="s">
        <v>83</v>
      </c>
      <c r="C1140" s="8" t="s">
        <v>215</v>
      </c>
      <c r="D1140" s="8">
        <v>0</v>
      </c>
      <c r="E1140" s="8">
        <v>0</v>
      </c>
      <c r="F1140" s="8">
        <f>SUM(G1140:M1140)</f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1</v>
      </c>
      <c r="P1140" s="8">
        <v>1</v>
      </c>
      <c r="Q1140" s="8">
        <v>0</v>
      </c>
      <c r="R1140" s="8">
        <v>0</v>
      </c>
      <c r="S1140" s="8">
        <v>0</v>
      </c>
      <c r="T1140" s="10"/>
      <c r="U1140" s="10">
        <v>9.1999999999999998E-2</v>
      </c>
      <c r="V1140" s="10">
        <v>-0.13400000000000001</v>
      </c>
      <c r="W1140" s="10" t="str">
        <f>IF(RIGHT(C1140,2)="12",IF(ISNUMBER(T1140),T1140,""),IF(COUNT(T1140,U1140,V1140)=3,T1140+U1140-V1140,""))</f>
        <v/>
      </c>
      <c r="X1140" s="10"/>
      <c r="Y1140" s="10">
        <v>0.22700000000000001</v>
      </c>
      <c r="Z1140" s="10"/>
      <c r="AA1140" s="10"/>
      <c r="AB1140" s="10"/>
      <c r="AC1140" s="8">
        <v>0</v>
      </c>
      <c r="AD1140" s="8">
        <v>1</v>
      </c>
      <c r="AE1140" s="8">
        <v>0</v>
      </c>
      <c r="AF1140" s="10">
        <v>9.1999999999999998E-2</v>
      </c>
      <c r="AG1140" s="8">
        <f>COUNTIF(Y1140:AB1140,"&gt;0")</f>
        <v>1</v>
      </c>
      <c r="AH1140" s="10">
        <v>0</v>
      </c>
      <c r="AI1140" s="10">
        <v>0.22700000000000001</v>
      </c>
      <c r="AJ1140" s="8" t="str">
        <f>IF(ISNUMBER(X1140),IF(X1140&gt;0,"+",IF(X1140&lt;0,"−","0")),IF(ISNUMBER(W1140),IF(W1140&gt;0,"+",IF(W1140&lt;0,"−","0")),"yok"))</f>
        <v>yok</v>
      </c>
      <c r="AK1140" s="10">
        <f>IF(AND(RIGHT(C1140,2)&lt;&gt;"12",ISNUMBER(U1140),ISNUMBER(V1140)),U1140-V1140,"")</f>
        <v>0.22600000000000001</v>
      </c>
      <c r="AL1140" s="11">
        <f>IF(AND(ISNUMBER(AK1140),ISNUMBER(V1140)),IF(V1140&lt;&gt;0,AK1140/ABS(V1140),""),"")</f>
        <v>1.6865671641791045</v>
      </c>
      <c r="AM1140" s="8">
        <f>IF(ISNUMBER(AK1140),IF(AK1140&gt;1,1,0),"")</f>
        <v>0</v>
      </c>
      <c r="AN1140" s="8">
        <f>IF(ISNUMBER(AK1140),IF(AK1140&gt;0.05*ABS(V1140),1,0),"")</f>
        <v>1</v>
      </c>
      <c r="AO1140" s="10"/>
      <c r="AP1140" s="10"/>
      <c r="AQ1140" s="10"/>
      <c r="AR1140" s="8">
        <v>0</v>
      </c>
      <c r="AS1140" s="10"/>
      <c r="AT1140" s="10"/>
      <c r="AU1140" s="10"/>
      <c r="AV1140" s="10">
        <v>9.1999999999999998E-2</v>
      </c>
      <c r="AW1140" s="11" t="str">
        <f>IF(AND(ISNUMBER(AV1140),ISNUMBER(AT1140)),IF(AT1140&lt;&gt;0,AV1140/ABS(AT1140),""),"")</f>
        <v/>
      </c>
      <c r="AX1140" s="8">
        <v>1</v>
      </c>
      <c r="AY1140" s="8">
        <v>0</v>
      </c>
      <c r="AZ1140" s="8" t="s">
        <v>721</v>
      </c>
      <c r="BA1140" s="8">
        <v>0</v>
      </c>
    </row>
    <row r="1141" spans="1:53" x14ac:dyDescent="0.2">
      <c r="A1141" s="8" t="s">
        <v>668</v>
      </c>
      <c r="B1141" s="8" t="s">
        <v>83</v>
      </c>
      <c r="C1141" s="8" t="s">
        <v>290</v>
      </c>
      <c r="D1141" s="8">
        <v>0</v>
      </c>
      <c r="E1141" s="8">
        <v>0</v>
      </c>
      <c r="F1141" s="8">
        <f>SUM(G1141:M1141)</f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1</v>
      </c>
      <c r="O1141" s="8">
        <v>1</v>
      </c>
      <c r="P1141" s="8">
        <v>1</v>
      </c>
      <c r="Q1141" s="8">
        <v>0</v>
      </c>
      <c r="R1141" s="8">
        <v>0</v>
      </c>
      <c r="S1141" s="8">
        <v>1</v>
      </c>
      <c r="T1141" s="10">
        <v>0.435</v>
      </c>
      <c r="U1141" s="10"/>
      <c r="V1141" s="10"/>
      <c r="W1141" s="10">
        <f>IF(RIGHT(C1141,2)="12",IF(ISNUMBER(T1141),T1141,""),IF(COUNT(T1141,U1141,V1141)=3,T1141+U1141-V1141,""))</f>
        <v>0.435</v>
      </c>
      <c r="X1141" s="10">
        <v>0.435</v>
      </c>
      <c r="Y1141" s="10">
        <v>-14.147</v>
      </c>
      <c r="Z1141" s="10">
        <v>14.147</v>
      </c>
      <c r="AA1141" s="10">
        <v>-62.91</v>
      </c>
      <c r="AB1141" s="10">
        <v>63.344999999999999</v>
      </c>
      <c r="AC1141" s="8">
        <v>1</v>
      </c>
      <c r="AD1141" s="8">
        <v>0</v>
      </c>
      <c r="AE1141" s="8">
        <v>0</v>
      </c>
      <c r="AF1141" s="10">
        <v>0.435</v>
      </c>
      <c r="AG1141" s="8">
        <f>COUNTIF(Y1141:AB1141,"&gt;0")</f>
        <v>2</v>
      </c>
      <c r="AH1141" s="10">
        <v>77.492000000000004</v>
      </c>
      <c r="AI1141" s="10">
        <v>0</v>
      </c>
      <c r="AJ1141" s="8" t="str">
        <f>IF(ISNUMBER(X1141),IF(X1141&gt;0,"+",IF(X1141&lt;0,"−","0")),IF(ISNUMBER(W1141),IF(W1141&gt;0,"+",IF(W1141&lt;0,"−","0")),"yok"))</f>
        <v>+</v>
      </c>
      <c r="AK1141" s="10" t="str">
        <f>IF(AND(RIGHT(C1141,2)&lt;&gt;"12",ISNUMBER(U1141),ISNUMBER(V1141)),U1141-V1141,"")</f>
        <v/>
      </c>
      <c r="AL1141" s="11" t="str">
        <f>IF(AND(ISNUMBER(AK1141),ISNUMBER(V1141)),IF(V1141&lt;&gt;0,AK1141/ABS(V1141),""),"")</f>
        <v/>
      </c>
      <c r="AM1141" s="8" t="str">
        <f>IF(ISNUMBER(AK1141),IF(AK1141&gt;1,1,0),"")</f>
        <v/>
      </c>
      <c r="AN1141" s="8" t="str">
        <f>IF(ISNUMBER(AK1141),IF(AK1141&gt;0.05*ABS(V1141),1,0),"")</f>
        <v/>
      </c>
      <c r="AO1141" s="10"/>
      <c r="AP1141" s="10"/>
      <c r="AQ1141" s="10"/>
      <c r="AR1141" s="8">
        <v>0</v>
      </c>
      <c r="AS1141" s="10"/>
      <c r="AT1141" s="10"/>
      <c r="AU1141" s="10"/>
      <c r="AV1141" s="10">
        <v>0.435</v>
      </c>
      <c r="AW1141" s="11" t="str">
        <f>IF(AND(ISNUMBER(AV1141),ISNUMBER(AT1141)),IF(AT1141&lt;&gt;0,AV1141/ABS(AT1141),""),"")</f>
        <v/>
      </c>
      <c r="AX1141" s="8">
        <v>1</v>
      </c>
      <c r="AY1141" s="8">
        <v>0</v>
      </c>
      <c r="AZ1141" s="8" t="s">
        <v>722</v>
      </c>
      <c r="BA1141" s="8">
        <v>0</v>
      </c>
    </row>
    <row r="1142" spans="1:53" x14ac:dyDescent="0.2">
      <c r="A1142" s="8" t="s">
        <v>670</v>
      </c>
      <c r="B1142" s="8" t="s">
        <v>82</v>
      </c>
      <c r="C1142" s="8" t="s">
        <v>203</v>
      </c>
      <c r="D1142" s="8">
        <v>0</v>
      </c>
      <c r="E1142" s="8">
        <v>0</v>
      </c>
      <c r="F1142" s="8">
        <f>SUM(G1142:M1142)</f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1</v>
      </c>
      <c r="O1142" s="8">
        <v>1</v>
      </c>
      <c r="P1142" s="8">
        <v>1</v>
      </c>
      <c r="Q1142" s="8">
        <v>1</v>
      </c>
      <c r="R1142" s="8">
        <v>1</v>
      </c>
      <c r="S1142" s="8">
        <v>0</v>
      </c>
      <c r="T1142" s="10">
        <v>-33.468000000000004</v>
      </c>
      <c r="U1142" s="10">
        <v>107.53700000000001</v>
      </c>
      <c r="V1142" s="10">
        <v>-0.92100000000000004</v>
      </c>
      <c r="W1142" s="10">
        <f>IF(RIGHT(C1142,2)="12",IF(ISNUMBER(T1142),T1142,""),IF(COUNT(T1142,U1142,V1142)=3,T1142+U1142-V1142,""))</f>
        <v>74.990000000000009</v>
      </c>
      <c r="X1142" s="10">
        <v>74.989999999999995</v>
      </c>
      <c r="Y1142" s="10">
        <v>-7.8010000000000002</v>
      </c>
      <c r="Z1142" s="10">
        <v>-0.54600000000000004</v>
      </c>
      <c r="AA1142" s="10">
        <v>116.807</v>
      </c>
      <c r="AB1142" s="10">
        <v>-33.468000000000004</v>
      </c>
      <c r="AC1142" s="8">
        <v>0</v>
      </c>
      <c r="AD1142" s="8">
        <v>1</v>
      </c>
      <c r="AE1142" s="8">
        <v>0</v>
      </c>
      <c r="AF1142" s="10">
        <v>107.53700000000001</v>
      </c>
      <c r="AG1142" s="8">
        <f>COUNTIF(Y1142:AB1142,"&gt;0")</f>
        <v>1</v>
      </c>
      <c r="AH1142" s="10">
        <v>0</v>
      </c>
      <c r="AI1142" s="10">
        <v>116.807</v>
      </c>
      <c r="AJ1142" s="8" t="str">
        <f>IF(ISNUMBER(X1142),IF(X1142&gt;0,"+",IF(X1142&lt;0,"−","0")),IF(ISNUMBER(W1142),IF(W1142&gt;0,"+",IF(W1142&lt;0,"−","0")),"yok"))</f>
        <v>+</v>
      </c>
      <c r="AK1142" s="10">
        <f>IF(AND(RIGHT(C1142,2)&lt;&gt;"12",ISNUMBER(U1142),ISNUMBER(V1142)),U1142-V1142,"")</f>
        <v>108.45800000000001</v>
      </c>
      <c r="AL1142" s="11">
        <f>IF(AND(ISNUMBER(AK1142),ISNUMBER(V1142)),IF(V1142&lt;&gt;0,AK1142/ABS(V1142),""),"")</f>
        <v>117.76112920738329</v>
      </c>
      <c r="AM1142" s="8">
        <f>IF(ISNUMBER(AK1142),IF(AK1142&gt;1,1,0),"")</f>
        <v>1</v>
      </c>
      <c r="AN1142" s="8">
        <f>IF(ISNUMBER(AK1142),IF(AK1142&gt;0.05*ABS(V1142),1,0),"")</f>
        <v>1</v>
      </c>
      <c r="AO1142" s="10"/>
      <c r="AP1142" s="10"/>
      <c r="AQ1142" s="10"/>
      <c r="AR1142" s="8">
        <v>0</v>
      </c>
      <c r="AS1142" s="10"/>
      <c r="AT1142" s="10"/>
      <c r="AU1142" s="10"/>
      <c r="AV1142" s="10">
        <v>107.53700000000001</v>
      </c>
      <c r="AW1142" s="11" t="str">
        <f>IF(AND(ISNUMBER(AV1142),ISNUMBER(AT1142)),IF(AT1142&lt;&gt;0,AV1142/ABS(AT1142),""),"")</f>
        <v/>
      </c>
      <c r="AX1142" s="8">
        <v>1</v>
      </c>
      <c r="AY1142" s="8">
        <v>0</v>
      </c>
      <c r="AZ1142" s="8" t="s">
        <v>671</v>
      </c>
      <c r="BA1142" s="8">
        <v>0</v>
      </c>
    </row>
    <row r="1143" spans="1:53" x14ac:dyDescent="0.2">
      <c r="A1143" s="8" t="s">
        <v>670</v>
      </c>
      <c r="B1143" s="8" t="s">
        <v>82</v>
      </c>
      <c r="C1143" s="8" t="s">
        <v>205</v>
      </c>
      <c r="D1143" s="8">
        <v>0</v>
      </c>
      <c r="E1143" s="8">
        <v>0</v>
      </c>
      <c r="F1143" s="8">
        <f>SUM(G1143:M1143)</f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8">
        <v>1</v>
      </c>
      <c r="O1143" s="8">
        <v>1</v>
      </c>
      <c r="P1143" s="8">
        <v>1</v>
      </c>
      <c r="Q1143" s="8">
        <v>1</v>
      </c>
      <c r="R1143" s="8">
        <v>1</v>
      </c>
      <c r="S1143" s="8">
        <v>0</v>
      </c>
      <c r="T1143" s="10">
        <v>-52.295000000000002</v>
      </c>
      <c r="U1143" s="10">
        <v>107.53700000000001</v>
      </c>
      <c r="V1143" s="10">
        <v>-8.7219999999999995</v>
      </c>
      <c r="W1143" s="10">
        <f>IF(RIGHT(C1143,2)="12",IF(ISNUMBER(T1143),T1143,""),IF(COUNT(T1143,U1143,V1143)=3,T1143+U1143-V1143,""))</f>
        <v>63.964000000000006</v>
      </c>
      <c r="X1143" s="10">
        <v>63.963999999999999</v>
      </c>
      <c r="Y1143" s="10">
        <v>-0.54600000000000004</v>
      </c>
      <c r="Z1143" s="10">
        <v>116.807</v>
      </c>
      <c r="AA1143" s="10">
        <v>-33.468000000000004</v>
      </c>
      <c r="AB1143" s="10">
        <v>-18.827000000000002</v>
      </c>
      <c r="AC1143" s="8">
        <v>0</v>
      </c>
      <c r="AD1143" s="8">
        <v>1</v>
      </c>
      <c r="AE1143" s="8">
        <v>0</v>
      </c>
      <c r="AF1143" s="10">
        <v>107.53700000000001</v>
      </c>
      <c r="AG1143" s="8">
        <f>COUNTIF(Y1143:AB1143,"&gt;0")</f>
        <v>1</v>
      </c>
      <c r="AH1143" s="10">
        <v>0</v>
      </c>
      <c r="AI1143" s="10">
        <v>116.807</v>
      </c>
      <c r="AJ1143" s="8" t="str">
        <f>IF(ISNUMBER(X1143),IF(X1143&gt;0,"+",IF(X1143&lt;0,"−","0")),IF(ISNUMBER(W1143),IF(W1143&gt;0,"+",IF(W1143&lt;0,"−","0")),"yok"))</f>
        <v>+</v>
      </c>
      <c r="AK1143" s="10">
        <f>IF(AND(RIGHT(C1143,2)&lt;&gt;"12",ISNUMBER(U1143),ISNUMBER(V1143)),U1143-V1143,"")</f>
        <v>116.259</v>
      </c>
      <c r="AL1143" s="11">
        <f>IF(AND(ISNUMBER(AK1143),ISNUMBER(V1143)),IF(V1143&lt;&gt;0,AK1143/ABS(V1143),""),"")</f>
        <v>13.329396927310251</v>
      </c>
      <c r="AM1143" s="8">
        <f>IF(ISNUMBER(AK1143),IF(AK1143&gt;1,1,0),"")</f>
        <v>1</v>
      </c>
      <c r="AN1143" s="8">
        <f>IF(ISNUMBER(AK1143),IF(AK1143&gt;0.05*ABS(V1143),1,0),"")</f>
        <v>1</v>
      </c>
      <c r="AO1143" s="10"/>
      <c r="AP1143" s="10"/>
      <c r="AQ1143" s="10"/>
      <c r="AR1143" s="8">
        <v>0</v>
      </c>
      <c r="AS1143" s="10"/>
      <c r="AT1143" s="10"/>
      <c r="AU1143" s="10"/>
      <c r="AV1143" s="10">
        <v>107.53700000000001</v>
      </c>
      <c r="AW1143" s="11" t="str">
        <f>IF(AND(ISNUMBER(AV1143),ISNUMBER(AT1143)),IF(AT1143&lt;&gt;0,AV1143/ABS(AT1143),""),"")</f>
        <v/>
      </c>
      <c r="AX1143" s="8">
        <v>1</v>
      </c>
      <c r="AY1143" s="8">
        <v>0</v>
      </c>
      <c r="AZ1143" s="8" t="s">
        <v>671</v>
      </c>
      <c r="BA1143" s="8">
        <v>0</v>
      </c>
    </row>
    <row r="1144" spans="1:53" x14ac:dyDescent="0.2">
      <c r="A1144" s="8" t="s">
        <v>670</v>
      </c>
      <c r="B1144" s="8" t="s">
        <v>82</v>
      </c>
      <c r="C1144" s="8" t="s">
        <v>290</v>
      </c>
      <c r="D1144" s="8">
        <v>0</v>
      </c>
      <c r="E1144" s="8">
        <v>0</v>
      </c>
      <c r="F1144" s="8">
        <f>SUM(G1144:M1144)</f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1</v>
      </c>
      <c r="Q1144" s="8">
        <v>0</v>
      </c>
      <c r="R1144" s="8">
        <v>0</v>
      </c>
      <c r="S1144" s="8">
        <v>1</v>
      </c>
      <c r="T1144" s="10">
        <v>-110.821</v>
      </c>
      <c r="U1144" s="10"/>
      <c r="V1144" s="10"/>
      <c r="W1144" s="10">
        <f>IF(RIGHT(C1144,2)="12",IF(ISNUMBER(T1144),T1144,""),IF(COUNT(T1144,U1144,V1144)=3,T1144+U1144-V1144,""))</f>
        <v>-110.821</v>
      </c>
      <c r="X1144" s="10">
        <v>-110.821</v>
      </c>
      <c r="Y1144" s="10">
        <v>-33.468000000000004</v>
      </c>
      <c r="Z1144" s="10">
        <v>-18.827000000000002</v>
      </c>
      <c r="AA1144" s="10">
        <v>-254.19399999999999</v>
      </c>
      <c r="AB1144" s="10">
        <v>195.66800000000001</v>
      </c>
      <c r="AC1144" s="8">
        <v>0</v>
      </c>
      <c r="AD1144" s="8">
        <v>0</v>
      </c>
      <c r="AE1144" s="8">
        <v>0</v>
      </c>
      <c r="AF1144" s="10">
        <v>0</v>
      </c>
      <c r="AG1144" s="8">
        <f>COUNTIF(Y1144:AB1144,"&gt;0")</f>
        <v>1</v>
      </c>
      <c r="AH1144" s="10">
        <v>195.66800000000001</v>
      </c>
      <c r="AI1144" s="10">
        <v>0</v>
      </c>
      <c r="AJ1144" s="8" t="str">
        <f>IF(ISNUMBER(X1144),IF(X1144&gt;0,"+",IF(X1144&lt;0,"−","0")),IF(ISNUMBER(W1144),IF(W1144&gt;0,"+",IF(W1144&lt;0,"−","0")),"yok"))</f>
        <v>−</v>
      </c>
      <c r="AK1144" s="10" t="str">
        <f>IF(AND(RIGHT(C1144,2)&lt;&gt;"12",ISNUMBER(U1144),ISNUMBER(V1144)),U1144-V1144,"")</f>
        <v/>
      </c>
      <c r="AL1144" s="11" t="str">
        <f>IF(AND(ISNUMBER(AK1144),ISNUMBER(V1144)),IF(V1144&lt;&gt;0,AK1144/ABS(V1144),""),"")</f>
        <v/>
      </c>
      <c r="AM1144" s="8" t="str">
        <f>IF(ISNUMBER(AK1144),IF(AK1144&gt;1,1,0),"")</f>
        <v/>
      </c>
      <c r="AN1144" s="8" t="str">
        <f>IF(ISNUMBER(AK1144),IF(AK1144&gt;0.05*ABS(V1144),1,0),"")</f>
        <v/>
      </c>
      <c r="AO1144" s="10"/>
      <c r="AP1144" s="10"/>
      <c r="AQ1144" s="10"/>
      <c r="AR1144" s="8">
        <v>0</v>
      </c>
      <c r="AS1144" s="10"/>
      <c r="AT1144" s="10"/>
      <c r="AU1144" s="10"/>
      <c r="AV1144" s="10">
        <v>195.66800000000001</v>
      </c>
      <c r="AW1144" s="11" t="str">
        <f>IF(AND(ISNUMBER(AV1144),ISNUMBER(AT1144)),IF(AT1144&lt;&gt;0,AV1144/ABS(AT1144),""),"")</f>
        <v/>
      </c>
      <c r="AX1144" s="8">
        <v>0</v>
      </c>
      <c r="AY1144" s="8">
        <v>0</v>
      </c>
      <c r="AZ1144" s="10"/>
      <c r="BA1144" s="8">
        <v>0</v>
      </c>
    </row>
    <row r="1145" spans="1:53" x14ac:dyDescent="0.2">
      <c r="A1145" s="8" t="s">
        <v>670</v>
      </c>
      <c r="B1145" s="8" t="s">
        <v>82</v>
      </c>
      <c r="C1145" s="8" t="s">
        <v>208</v>
      </c>
      <c r="D1145" s="8">
        <v>0</v>
      </c>
      <c r="E1145" s="8">
        <v>0</v>
      </c>
      <c r="F1145" s="8">
        <f>SUM(G1145:M1145)</f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1</v>
      </c>
      <c r="Q1145" s="8">
        <v>0</v>
      </c>
      <c r="R1145" s="8">
        <v>1</v>
      </c>
      <c r="S1145" s="8">
        <v>0</v>
      </c>
      <c r="T1145" s="10">
        <v>-167.43299999999999</v>
      </c>
      <c r="U1145" s="10">
        <v>-110.821</v>
      </c>
      <c r="V1145" s="10">
        <v>-33.468000000000004</v>
      </c>
      <c r="W1145" s="10">
        <f>IF(RIGHT(C1145,2)="12",IF(ISNUMBER(T1145),T1145,""),IF(COUNT(T1145,U1145,V1145)=3,T1145+U1145-V1145,""))</f>
        <v>-244.786</v>
      </c>
      <c r="X1145" s="10">
        <v>-244.78700000000001</v>
      </c>
      <c r="Y1145" s="10">
        <v>-18.827000000000002</v>
      </c>
      <c r="Z1145" s="10">
        <v>-254.19399999999999</v>
      </c>
      <c r="AA1145" s="10">
        <v>195.66800000000001</v>
      </c>
      <c r="AB1145" s="10">
        <v>-167.43299999999999</v>
      </c>
      <c r="AC1145" s="8">
        <v>0</v>
      </c>
      <c r="AD1145" s="8">
        <v>0</v>
      </c>
      <c r="AE1145" s="8">
        <v>0</v>
      </c>
      <c r="AF1145" s="10">
        <v>0</v>
      </c>
      <c r="AG1145" s="8">
        <f>COUNTIF(Y1145:AB1145,"&gt;0")</f>
        <v>1</v>
      </c>
      <c r="AH1145" s="10">
        <v>0</v>
      </c>
      <c r="AI1145" s="10">
        <v>195.66800000000001</v>
      </c>
      <c r="AJ1145" s="8" t="str">
        <f>IF(ISNUMBER(X1145),IF(X1145&gt;0,"+",IF(X1145&lt;0,"−","0")),IF(ISNUMBER(W1145),IF(W1145&gt;0,"+",IF(W1145&lt;0,"−","0")),"yok"))</f>
        <v>−</v>
      </c>
      <c r="AK1145" s="10">
        <f>IF(AND(RIGHT(C1145,2)&lt;&gt;"12",ISNUMBER(U1145),ISNUMBER(V1145)),U1145-V1145,"")</f>
        <v>-77.352999999999994</v>
      </c>
      <c r="AL1145" s="11">
        <f>IF(AND(ISNUMBER(AK1145),ISNUMBER(V1145)),IF(V1145&lt;&gt;0,AK1145/ABS(V1145),""),"")</f>
        <v>-2.3112525397394523</v>
      </c>
      <c r="AM1145" s="8">
        <f>IF(ISNUMBER(AK1145),IF(AK1145&gt;1,1,0),"")</f>
        <v>0</v>
      </c>
      <c r="AN1145" s="8">
        <f>IF(ISNUMBER(AK1145),IF(AK1145&gt;0.05*ABS(V1145),1,0),"")</f>
        <v>0</v>
      </c>
      <c r="AO1145" s="10"/>
      <c r="AP1145" s="10"/>
      <c r="AQ1145" s="10"/>
      <c r="AR1145" s="8">
        <v>0</v>
      </c>
      <c r="AS1145" s="10"/>
      <c r="AT1145" s="10"/>
      <c r="AU1145" s="10"/>
      <c r="AV1145" s="10">
        <v>195.66800000000001</v>
      </c>
      <c r="AW1145" s="11" t="str">
        <f>IF(AND(ISNUMBER(AV1145),ISNUMBER(AT1145)),IF(AT1145&lt;&gt;0,AV1145/ABS(AT1145),""),"")</f>
        <v/>
      </c>
      <c r="AX1145" s="8">
        <v>0</v>
      </c>
      <c r="AY1145" s="8">
        <v>0</v>
      </c>
      <c r="AZ1145" s="10"/>
      <c r="BA1145" s="8">
        <v>0</v>
      </c>
    </row>
    <row r="1146" spans="1:53" x14ac:dyDescent="0.2">
      <c r="A1146" s="8" t="s">
        <v>670</v>
      </c>
      <c r="B1146" s="8" t="s">
        <v>82</v>
      </c>
      <c r="C1146" s="8" t="s">
        <v>210</v>
      </c>
      <c r="D1146" s="8">
        <v>0</v>
      </c>
      <c r="E1146" s="8">
        <v>0</v>
      </c>
      <c r="F1146" s="8">
        <f>SUM(G1146:M1146)</f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1</v>
      </c>
      <c r="Q1146" s="8">
        <v>0</v>
      </c>
      <c r="R1146" s="8">
        <v>1</v>
      </c>
      <c r="S1146" s="8">
        <v>1</v>
      </c>
      <c r="T1146" s="10">
        <v>-41.911000000000001</v>
      </c>
      <c r="U1146" s="10">
        <v>-110.821</v>
      </c>
      <c r="V1146" s="10">
        <v>-52.295000000000002</v>
      </c>
      <c r="W1146" s="10">
        <f>IF(RIGHT(C1146,2)="12",IF(ISNUMBER(T1146),T1146,""),IF(COUNT(T1146,U1146,V1146)=3,T1146+U1146-V1146,""))</f>
        <v>-100.437</v>
      </c>
      <c r="X1146" s="10">
        <v>-100.437</v>
      </c>
      <c r="Y1146" s="10">
        <v>-254.19399999999999</v>
      </c>
      <c r="Z1146" s="10">
        <v>195.66800000000001</v>
      </c>
      <c r="AA1146" s="10">
        <v>-167.43299999999999</v>
      </c>
      <c r="AB1146" s="10">
        <v>125.52200000000001</v>
      </c>
      <c r="AC1146" s="8">
        <v>0</v>
      </c>
      <c r="AD1146" s="8">
        <v>0</v>
      </c>
      <c r="AE1146" s="8">
        <v>0</v>
      </c>
      <c r="AF1146" s="10">
        <v>0</v>
      </c>
      <c r="AG1146" s="8">
        <f>COUNTIF(Y1146:AB1146,"&gt;0")</f>
        <v>2</v>
      </c>
      <c r="AH1146" s="10">
        <v>125.52200000000001</v>
      </c>
      <c r="AI1146" s="10">
        <v>195.66800000000001</v>
      </c>
      <c r="AJ1146" s="8" t="str">
        <f>IF(ISNUMBER(X1146),IF(X1146&gt;0,"+",IF(X1146&lt;0,"−","0")),IF(ISNUMBER(W1146),IF(W1146&gt;0,"+",IF(W1146&lt;0,"−","0")),"yok"))</f>
        <v>−</v>
      </c>
      <c r="AK1146" s="10">
        <f>IF(AND(RIGHT(C1146,2)&lt;&gt;"12",ISNUMBER(U1146),ISNUMBER(V1146)),U1146-V1146,"")</f>
        <v>-58.525999999999996</v>
      </c>
      <c r="AL1146" s="11">
        <f>IF(AND(ISNUMBER(AK1146),ISNUMBER(V1146)),IF(V1146&lt;&gt;0,AK1146/ABS(V1146),""),"")</f>
        <v>-1.1191509704560665</v>
      </c>
      <c r="AM1146" s="8">
        <f>IF(ISNUMBER(AK1146),IF(AK1146&gt;1,1,0),"")</f>
        <v>0</v>
      </c>
      <c r="AN1146" s="8">
        <f>IF(ISNUMBER(AK1146),IF(AK1146&gt;0.05*ABS(V1146),1,0),"")</f>
        <v>0</v>
      </c>
      <c r="AO1146" s="10"/>
      <c r="AP1146" s="10"/>
      <c r="AQ1146" s="10"/>
      <c r="AR1146" s="8">
        <v>0</v>
      </c>
      <c r="AS1146" s="10"/>
      <c r="AT1146" s="10"/>
      <c r="AU1146" s="10"/>
      <c r="AV1146" s="10">
        <v>195.66800000000001</v>
      </c>
      <c r="AW1146" s="11" t="str">
        <f>IF(AND(ISNUMBER(AV1146),ISNUMBER(AT1146)),IF(AT1146&lt;&gt;0,AV1146/ABS(AT1146),""),"")</f>
        <v/>
      </c>
      <c r="AX1146" s="8">
        <v>0</v>
      </c>
      <c r="AY1146" s="8">
        <v>0</v>
      </c>
      <c r="AZ1146" s="10"/>
      <c r="BA1146" s="8">
        <v>0</v>
      </c>
    </row>
    <row r="1147" spans="1:53" x14ac:dyDescent="0.2">
      <c r="A1147" s="8" t="s">
        <v>672</v>
      </c>
      <c r="B1147" s="8" t="s">
        <v>83</v>
      </c>
      <c r="C1147" s="8" t="s">
        <v>215</v>
      </c>
      <c r="D1147" s="8">
        <v>0</v>
      </c>
      <c r="E1147" s="8">
        <v>0</v>
      </c>
      <c r="F1147" s="8">
        <f>SUM(G1147:M1147)</f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  <c r="P1147" s="8">
        <v>1</v>
      </c>
      <c r="Q1147" s="8">
        <v>0</v>
      </c>
      <c r="R1147" s="8">
        <v>0</v>
      </c>
      <c r="S1147" s="8">
        <v>1</v>
      </c>
      <c r="T1147" s="10">
        <v>-2406.2829999999999</v>
      </c>
      <c r="U1147" s="10">
        <v>-168.06800000000001</v>
      </c>
      <c r="V1147" s="10">
        <v>-129.154</v>
      </c>
      <c r="W1147" s="10">
        <f>IF(RIGHT(C1147,2)="12",IF(ISNUMBER(T1147),T1147,""),IF(COUNT(T1147,U1147,V1147)=3,T1147+U1147-V1147,""))</f>
        <v>-2445.1970000000001</v>
      </c>
      <c r="X1147" s="10">
        <v>-2445.1959999999999</v>
      </c>
      <c r="Y1147" s="10">
        <v>-38.912999999999997</v>
      </c>
      <c r="Z1147" s="10">
        <v>-502.56</v>
      </c>
      <c r="AA1147" s="10">
        <v>305.34500000000003</v>
      </c>
      <c r="AB1147" s="10">
        <v>-2209.0680000000002</v>
      </c>
      <c r="AC1147" s="8">
        <v>0</v>
      </c>
      <c r="AD1147" s="8">
        <v>0</v>
      </c>
      <c r="AE1147" s="8">
        <v>0</v>
      </c>
      <c r="AF1147" s="10">
        <v>0</v>
      </c>
      <c r="AG1147" s="8">
        <f>COUNTIF(Y1147:AB1147,"&gt;0")</f>
        <v>1</v>
      </c>
      <c r="AH1147" s="10">
        <v>305.34500000000003</v>
      </c>
      <c r="AI1147" s="10">
        <v>0</v>
      </c>
      <c r="AJ1147" s="8" t="str">
        <f>IF(ISNUMBER(X1147),IF(X1147&gt;0,"+",IF(X1147&lt;0,"−","0")),IF(ISNUMBER(W1147),IF(W1147&gt;0,"+",IF(W1147&lt;0,"−","0")),"yok"))</f>
        <v>−</v>
      </c>
      <c r="AK1147" s="10">
        <f>IF(AND(RIGHT(C1147,2)&lt;&gt;"12",ISNUMBER(U1147),ISNUMBER(V1147)),U1147-V1147,"")</f>
        <v>-38.914000000000016</v>
      </c>
      <c r="AL1147" s="11">
        <f>IF(AND(ISNUMBER(AK1147),ISNUMBER(V1147)),IF(V1147&lt;&gt;0,AK1147/ABS(V1147),""),"")</f>
        <v>-0.3012992241819844</v>
      </c>
      <c r="AM1147" s="8">
        <f>IF(ISNUMBER(AK1147),IF(AK1147&gt;1,1,0),"")</f>
        <v>0</v>
      </c>
      <c r="AN1147" s="8">
        <f>IF(ISNUMBER(AK1147),IF(AK1147&gt;0.05*ABS(V1147),1,0),"")</f>
        <v>0</v>
      </c>
      <c r="AO1147" s="10"/>
      <c r="AP1147" s="10"/>
      <c r="AQ1147" s="10"/>
      <c r="AR1147" s="8">
        <v>0</v>
      </c>
      <c r="AS1147" s="10"/>
      <c r="AT1147" s="10"/>
      <c r="AU1147" s="10"/>
      <c r="AV1147" s="10">
        <v>305.34500000000003</v>
      </c>
      <c r="AW1147" s="11" t="str">
        <f>IF(AND(ISNUMBER(AV1147),ISNUMBER(AT1147)),IF(AT1147&lt;&gt;0,AV1147/ABS(AT1147),""),"")</f>
        <v/>
      </c>
      <c r="AX1147" s="8">
        <v>0</v>
      </c>
      <c r="AY1147" s="8">
        <v>0</v>
      </c>
      <c r="AZ1147" s="10"/>
      <c r="BA1147" s="8">
        <v>0</v>
      </c>
    </row>
    <row r="1148" spans="1:53" x14ac:dyDescent="0.2">
      <c r="A1148" s="8" t="s">
        <v>672</v>
      </c>
      <c r="B1148" s="8" t="s">
        <v>83</v>
      </c>
      <c r="C1148" s="8" t="s">
        <v>290</v>
      </c>
      <c r="D1148" s="8">
        <v>0</v>
      </c>
      <c r="E1148" s="8">
        <v>0</v>
      </c>
      <c r="F1148" s="8">
        <f>SUM(G1148:M1148)</f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  <c r="M1148" s="8">
        <v>0</v>
      </c>
      <c r="N1148" s="8">
        <v>0</v>
      </c>
      <c r="O1148" s="8">
        <v>0</v>
      </c>
      <c r="P1148" s="8">
        <v>1</v>
      </c>
      <c r="Q1148" s="8">
        <v>0</v>
      </c>
      <c r="R1148" s="8">
        <v>0</v>
      </c>
      <c r="S1148" s="8">
        <v>1</v>
      </c>
      <c r="T1148" s="10">
        <v>-4648.808</v>
      </c>
      <c r="U1148" s="10"/>
      <c r="V1148" s="10"/>
      <c r="W1148" s="10">
        <f>IF(RIGHT(C1148,2)="12",IF(ISNUMBER(T1148),T1148,""),IF(COUNT(T1148,U1148,V1148)=3,T1148+U1148-V1148,""))</f>
        <v>-4648.808</v>
      </c>
      <c r="X1148" s="10">
        <v>-4648.808</v>
      </c>
      <c r="Y1148" s="10">
        <v>-502.56</v>
      </c>
      <c r="Z1148" s="10">
        <v>305.34500000000003</v>
      </c>
      <c r="AA1148" s="10">
        <v>-2209.0680000000002</v>
      </c>
      <c r="AB1148" s="10">
        <v>-2242.5250000000001</v>
      </c>
      <c r="AC1148" s="8">
        <v>0</v>
      </c>
      <c r="AD1148" s="8">
        <v>0</v>
      </c>
      <c r="AE1148" s="8">
        <v>0</v>
      </c>
      <c r="AF1148" s="10">
        <v>0</v>
      </c>
      <c r="AG1148" s="8">
        <f>COUNTIF(Y1148:AB1148,"&gt;0")</f>
        <v>1</v>
      </c>
      <c r="AH1148" s="10">
        <v>305.34500000000003</v>
      </c>
      <c r="AI1148" s="10">
        <v>0</v>
      </c>
      <c r="AJ1148" s="8" t="str">
        <f>IF(ISNUMBER(X1148),IF(X1148&gt;0,"+",IF(X1148&lt;0,"−","0")),IF(ISNUMBER(W1148),IF(W1148&gt;0,"+",IF(W1148&lt;0,"−","0")),"yok"))</f>
        <v>−</v>
      </c>
      <c r="AK1148" s="10" t="str">
        <f>IF(AND(RIGHT(C1148,2)&lt;&gt;"12",ISNUMBER(U1148),ISNUMBER(V1148)),U1148-V1148,"")</f>
        <v/>
      </c>
      <c r="AL1148" s="11" t="str">
        <f>IF(AND(ISNUMBER(AK1148),ISNUMBER(V1148)),IF(V1148&lt;&gt;0,AK1148/ABS(V1148),""),"")</f>
        <v/>
      </c>
      <c r="AM1148" s="8" t="str">
        <f>IF(ISNUMBER(AK1148),IF(AK1148&gt;1,1,0),"")</f>
        <v/>
      </c>
      <c r="AN1148" s="8" t="str">
        <f>IF(ISNUMBER(AK1148),IF(AK1148&gt;0.05*ABS(V1148),1,0),"")</f>
        <v/>
      </c>
      <c r="AO1148" s="10"/>
      <c r="AP1148" s="10"/>
      <c r="AQ1148" s="10"/>
      <c r="AR1148" s="8">
        <v>0</v>
      </c>
      <c r="AS1148" s="10"/>
      <c r="AT1148" s="10"/>
      <c r="AU1148" s="10"/>
      <c r="AV1148" s="10">
        <v>305.34500000000003</v>
      </c>
      <c r="AW1148" s="11" t="str">
        <f>IF(AND(ISNUMBER(AV1148),ISNUMBER(AT1148)),IF(AT1148&lt;&gt;0,AV1148/ABS(AT1148),""),"")</f>
        <v/>
      </c>
      <c r="AX1148" s="8">
        <v>0</v>
      </c>
      <c r="AY1148" s="8">
        <v>0</v>
      </c>
      <c r="AZ1148" s="10"/>
      <c r="BA1148" s="8">
        <v>0</v>
      </c>
    </row>
    <row r="1149" spans="1:53" x14ac:dyDescent="0.2">
      <c r="A1149" s="8" t="s">
        <v>673</v>
      </c>
      <c r="B1149" s="8" t="s">
        <v>84</v>
      </c>
      <c r="C1149" s="8" t="s">
        <v>205</v>
      </c>
      <c r="D1149" s="8">
        <v>0</v>
      </c>
      <c r="E1149" s="8">
        <v>0</v>
      </c>
      <c r="F1149" s="8">
        <f>SUM(G1149:M1149)</f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  <c r="P1149" s="8">
        <v>1</v>
      </c>
      <c r="Q1149" s="8">
        <v>0</v>
      </c>
      <c r="R1149" s="8">
        <v>0</v>
      </c>
      <c r="S1149" s="8">
        <v>1</v>
      </c>
      <c r="T1149" s="10">
        <v>0</v>
      </c>
      <c r="U1149" s="10">
        <v>-451.18700000000001</v>
      </c>
      <c r="V1149" s="10"/>
      <c r="W1149" s="10" t="str">
        <f>IF(RIGHT(C1149,2)="12",IF(ISNUMBER(T1149),T1149,""),IF(COUNT(T1149,U1149,V1149)=3,T1149+U1149-V1149,""))</f>
        <v/>
      </c>
      <c r="X1149" s="10"/>
      <c r="Y1149" s="10"/>
      <c r="Z1149" s="10">
        <v>0</v>
      </c>
      <c r="AA1149" s="10">
        <v>-10.56</v>
      </c>
      <c r="AB1149" s="10">
        <v>10.56</v>
      </c>
      <c r="AC1149" s="8">
        <v>0</v>
      </c>
      <c r="AD1149" s="8">
        <v>0</v>
      </c>
      <c r="AE1149" s="8">
        <v>0</v>
      </c>
      <c r="AF1149" s="10">
        <v>0</v>
      </c>
      <c r="AG1149" s="8">
        <f>COUNTIF(Y1149:AB1149,"&gt;0")</f>
        <v>1</v>
      </c>
      <c r="AH1149" s="10">
        <v>10.56</v>
      </c>
      <c r="AI1149" s="10">
        <v>0</v>
      </c>
      <c r="AJ1149" s="8" t="str">
        <f>IF(ISNUMBER(X1149),IF(X1149&gt;0,"+",IF(X1149&lt;0,"−","0")),IF(ISNUMBER(W1149),IF(W1149&gt;0,"+",IF(W1149&lt;0,"−","0")),"yok"))</f>
        <v>yok</v>
      </c>
      <c r="AK1149" s="10" t="str">
        <f>IF(AND(RIGHT(C1149,2)&lt;&gt;"12",ISNUMBER(U1149),ISNUMBER(V1149)),U1149-V1149,"")</f>
        <v/>
      </c>
      <c r="AL1149" s="11" t="str">
        <f>IF(AND(ISNUMBER(AK1149),ISNUMBER(V1149)),IF(V1149&lt;&gt;0,AK1149/ABS(V1149),""),"")</f>
        <v/>
      </c>
      <c r="AM1149" s="8" t="str">
        <f>IF(ISNUMBER(AK1149),IF(AK1149&gt;1,1,0),"")</f>
        <v/>
      </c>
      <c r="AN1149" s="8" t="str">
        <f>IF(ISNUMBER(AK1149),IF(AK1149&gt;0.05*ABS(V1149),1,0),"")</f>
        <v/>
      </c>
      <c r="AO1149" s="10"/>
      <c r="AP1149" s="10"/>
      <c r="AQ1149" s="10"/>
      <c r="AR1149" s="8">
        <v>0</v>
      </c>
      <c r="AS1149" s="10"/>
      <c r="AT1149" s="10"/>
      <c r="AU1149" s="10"/>
      <c r="AV1149" s="10">
        <v>10.56</v>
      </c>
      <c r="AW1149" s="11" t="str">
        <f>IF(AND(ISNUMBER(AV1149),ISNUMBER(AT1149)),IF(AT1149&lt;&gt;0,AV1149/ABS(AT1149),""),"")</f>
        <v/>
      </c>
      <c r="AX1149" s="8">
        <v>0</v>
      </c>
      <c r="AY1149" s="8">
        <v>0</v>
      </c>
      <c r="AZ1149" s="10"/>
      <c r="BA1149" s="8">
        <v>0</v>
      </c>
    </row>
    <row r="1150" spans="1:53" x14ac:dyDescent="0.2">
      <c r="A1150" s="8" t="s">
        <v>673</v>
      </c>
      <c r="B1150" s="8" t="s">
        <v>84</v>
      </c>
      <c r="C1150" s="8" t="s">
        <v>215</v>
      </c>
      <c r="D1150" s="8">
        <v>0</v>
      </c>
      <c r="E1150" s="8">
        <v>0</v>
      </c>
      <c r="F1150" s="8">
        <f>SUM(G1150:M1150)</f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  <c r="M1150" s="8">
        <v>0</v>
      </c>
      <c r="N1150" s="8">
        <v>0</v>
      </c>
      <c r="O1150" s="8">
        <v>0</v>
      </c>
      <c r="P1150" s="8">
        <v>1</v>
      </c>
      <c r="Q1150" s="8">
        <v>0</v>
      </c>
      <c r="R1150" s="8">
        <v>0</v>
      </c>
      <c r="S1150" s="8">
        <v>1</v>
      </c>
      <c r="T1150" s="10">
        <v>0</v>
      </c>
      <c r="U1150" s="10">
        <v>-451.18700000000001</v>
      </c>
      <c r="V1150" s="10">
        <v>-451.18700000000001</v>
      </c>
      <c r="W1150" s="10">
        <f>IF(RIGHT(C1150,2)="12",IF(ISNUMBER(T1150),T1150,""),IF(COUNT(T1150,U1150,V1150)=3,T1150+U1150-V1150,""))</f>
        <v>0</v>
      </c>
      <c r="X1150" s="10">
        <v>0</v>
      </c>
      <c r="Y1150" s="10">
        <v>0</v>
      </c>
      <c r="Z1150" s="10">
        <v>-10.56</v>
      </c>
      <c r="AA1150" s="10">
        <v>10.56</v>
      </c>
      <c r="AB1150" s="10">
        <v>0</v>
      </c>
      <c r="AC1150" s="8">
        <v>0</v>
      </c>
      <c r="AD1150" s="8">
        <v>0</v>
      </c>
      <c r="AE1150" s="8">
        <v>0</v>
      </c>
      <c r="AF1150" s="10">
        <v>0</v>
      </c>
      <c r="AG1150" s="8">
        <f>COUNTIF(Y1150:AB1150,"&gt;0")</f>
        <v>1</v>
      </c>
      <c r="AH1150" s="10">
        <v>10.56</v>
      </c>
      <c r="AI1150" s="10">
        <v>0</v>
      </c>
      <c r="AJ1150" s="8" t="str">
        <f>IF(ISNUMBER(X1150),IF(X1150&gt;0,"+",IF(X1150&lt;0,"−","0")),IF(ISNUMBER(W1150),IF(W1150&gt;0,"+",IF(W1150&lt;0,"−","0")),"yok"))</f>
        <v>0</v>
      </c>
      <c r="AK1150" s="10">
        <f>IF(AND(RIGHT(C1150,2)&lt;&gt;"12",ISNUMBER(U1150),ISNUMBER(V1150)),U1150-V1150,"")</f>
        <v>0</v>
      </c>
      <c r="AL1150" s="11">
        <f>IF(AND(ISNUMBER(AK1150),ISNUMBER(V1150)),IF(V1150&lt;&gt;0,AK1150/ABS(V1150),""),"")</f>
        <v>0</v>
      </c>
      <c r="AM1150" s="8">
        <f>IF(ISNUMBER(AK1150),IF(AK1150&gt;1,1,0),"")</f>
        <v>0</v>
      </c>
      <c r="AN1150" s="8">
        <f>IF(ISNUMBER(AK1150),IF(AK1150&gt;0.05*ABS(V1150),1,0),"")</f>
        <v>0</v>
      </c>
      <c r="AO1150" s="10"/>
      <c r="AP1150" s="10"/>
      <c r="AQ1150" s="10"/>
      <c r="AR1150" s="8">
        <v>0</v>
      </c>
      <c r="AS1150" s="10"/>
      <c r="AT1150" s="10"/>
      <c r="AU1150" s="10"/>
      <c r="AV1150" s="10">
        <v>10.56</v>
      </c>
      <c r="AW1150" s="11" t="str">
        <f>IF(AND(ISNUMBER(AV1150),ISNUMBER(AT1150)),IF(AT1150&lt;&gt;0,AV1150/ABS(AT1150),""),"")</f>
        <v/>
      </c>
      <c r="AX1150" s="8">
        <v>0</v>
      </c>
      <c r="AY1150" s="8">
        <v>0</v>
      </c>
      <c r="AZ1150" s="10"/>
      <c r="BA1150" s="8">
        <v>0</v>
      </c>
    </row>
    <row r="1151" spans="1:53" x14ac:dyDescent="0.2">
      <c r="A1151" s="8" t="s">
        <v>673</v>
      </c>
      <c r="B1151" s="8" t="s">
        <v>84</v>
      </c>
      <c r="C1151" s="8" t="s">
        <v>290</v>
      </c>
      <c r="D1151" s="8">
        <v>0</v>
      </c>
      <c r="E1151" s="8">
        <v>0</v>
      </c>
      <c r="F1151" s="8">
        <f>SUM(G1151:M1151)</f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  <c r="M1151" s="8">
        <v>0</v>
      </c>
      <c r="N1151" s="8">
        <v>0</v>
      </c>
      <c r="O1151" s="8">
        <v>0</v>
      </c>
      <c r="P1151" s="8">
        <v>1</v>
      </c>
      <c r="Q1151" s="8">
        <v>0</v>
      </c>
      <c r="R1151" s="8">
        <v>0</v>
      </c>
      <c r="S1151" s="8">
        <v>1</v>
      </c>
      <c r="T1151" s="10">
        <v>0</v>
      </c>
      <c r="U1151" s="10"/>
      <c r="V1151" s="10"/>
      <c r="W1151" s="10">
        <f>IF(RIGHT(C1151,2)="12",IF(ISNUMBER(T1151),T1151,""),IF(COUNT(T1151,U1151,V1151)=3,T1151+U1151-V1151,""))</f>
        <v>0</v>
      </c>
      <c r="X1151" s="10">
        <v>0</v>
      </c>
      <c r="Y1151" s="10">
        <v>-10.56</v>
      </c>
      <c r="Z1151" s="10">
        <v>10.56</v>
      </c>
      <c r="AA1151" s="10">
        <v>0</v>
      </c>
      <c r="AB1151" s="10">
        <v>0</v>
      </c>
      <c r="AC1151" s="8">
        <v>0</v>
      </c>
      <c r="AD1151" s="8">
        <v>0</v>
      </c>
      <c r="AE1151" s="8">
        <v>0</v>
      </c>
      <c r="AF1151" s="10">
        <v>0</v>
      </c>
      <c r="AG1151" s="8">
        <f>COUNTIF(Y1151:AB1151,"&gt;0")</f>
        <v>1</v>
      </c>
      <c r="AH1151" s="10">
        <v>10.56</v>
      </c>
      <c r="AI1151" s="10">
        <v>0</v>
      </c>
      <c r="AJ1151" s="8" t="str">
        <f>IF(ISNUMBER(X1151),IF(X1151&gt;0,"+",IF(X1151&lt;0,"−","0")),IF(ISNUMBER(W1151),IF(W1151&gt;0,"+",IF(W1151&lt;0,"−","0")),"yok"))</f>
        <v>0</v>
      </c>
      <c r="AK1151" s="10" t="str">
        <f>IF(AND(RIGHT(C1151,2)&lt;&gt;"12",ISNUMBER(U1151),ISNUMBER(V1151)),U1151-V1151,"")</f>
        <v/>
      </c>
      <c r="AL1151" s="11" t="str">
        <f>IF(AND(ISNUMBER(AK1151),ISNUMBER(V1151)),IF(V1151&lt;&gt;0,AK1151/ABS(V1151),""),"")</f>
        <v/>
      </c>
      <c r="AM1151" s="8" t="str">
        <f>IF(ISNUMBER(AK1151),IF(AK1151&gt;1,1,0),"")</f>
        <v/>
      </c>
      <c r="AN1151" s="8" t="str">
        <f>IF(ISNUMBER(AK1151),IF(AK1151&gt;0.05*ABS(V1151),1,0),"")</f>
        <v/>
      </c>
      <c r="AO1151" s="10"/>
      <c r="AP1151" s="10"/>
      <c r="AQ1151" s="10"/>
      <c r="AR1151" s="8">
        <v>0</v>
      </c>
      <c r="AS1151" s="10"/>
      <c r="AT1151" s="10"/>
      <c r="AU1151" s="10"/>
      <c r="AV1151" s="10">
        <v>10.56</v>
      </c>
      <c r="AW1151" s="11" t="str">
        <f>IF(AND(ISNUMBER(AV1151),ISNUMBER(AT1151)),IF(AT1151&lt;&gt;0,AV1151/ABS(AT1151),""),"")</f>
        <v/>
      </c>
      <c r="AX1151" s="8">
        <v>0</v>
      </c>
      <c r="AY1151" s="8">
        <v>0</v>
      </c>
      <c r="AZ1151" s="10"/>
      <c r="BA1151" s="8">
        <v>0</v>
      </c>
    </row>
    <row r="1152" spans="1:53" x14ac:dyDescent="0.2">
      <c r="A1152" s="8" t="s">
        <v>674</v>
      </c>
      <c r="B1152" s="8" t="s">
        <v>82</v>
      </c>
      <c r="C1152" s="8" t="s">
        <v>203</v>
      </c>
      <c r="D1152" s="8">
        <v>0</v>
      </c>
      <c r="E1152" s="8">
        <v>0</v>
      </c>
      <c r="F1152" s="8">
        <f>SUM(G1152:M1152)</f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  <c r="M1152" s="8">
        <v>0</v>
      </c>
      <c r="N1152" s="8">
        <v>0</v>
      </c>
      <c r="O1152" s="8">
        <v>1</v>
      </c>
      <c r="P1152" s="8">
        <v>1</v>
      </c>
      <c r="Q1152" s="8">
        <v>0</v>
      </c>
      <c r="R1152" s="8">
        <v>0</v>
      </c>
      <c r="S1152" s="8">
        <v>0</v>
      </c>
      <c r="T1152" s="10"/>
      <c r="U1152" s="10">
        <v>-2.7E-2</v>
      </c>
      <c r="V1152" s="10">
        <v>2.3410000000000002</v>
      </c>
      <c r="W1152" s="10" t="str">
        <f>IF(RIGHT(C1152,2)="12",IF(ISNUMBER(T1152),T1152,""),IF(COUNT(T1152,U1152,V1152)=3,T1152+U1152-V1152,""))</f>
        <v/>
      </c>
      <c r="X1152" s="10"/>
      <c r="Y1152" s="10">
        <v>-2.3410000000000002</v>
      </c>
      <c r="Z1152" s="10">
        <v>1E-3</v>
      </c>
      <c r="AA1152" s="10">
        <v>-2.8000000000000001E-2</v>
      </c>
      <c r="AB1152" s="10"/>
      <c r="AC1152" s="8">
        <v>0</v>
      </c>
      <c r="AD1152" s="8">
        <v>0</v>
      </c>
      <c r="AE1152" s="8">
        <v>1</v>
      </c>
      <c r="AF1152" s="10">
        <v>2.3410000000000002</v>
      </c>
      <c r="AG1152" s="8">
        <f>COUNTIF(Y1152:AB1152,"&gt;0")</f>
        <v>1</v>
      </c>
      <c r="AH1152" s="10">
        <v>0</v>
      </c>
      <c r="AI1152" s="10">
        <v>1E-3</v>
      </c>
      <c r="AJ1152" s="8" t="str">
        <f>IF(ISNUMBER(X1152),IF(X1152&gt;0,"+",IF(X1152&lt;0,"−","0")),IF(ISNUMBER(W1152),IF(W1152&gt;0,"+",IF(W1152&lt;0,"−","0")),"yok"))</f>
        <v>yok</v>
      </c>
      <c r="AK1152" s="10">
        <f>IF(AND(RIGHT(C1152,2)&lt;&gt;"12",ISNUMBER(U1152),ISNUMBER(V1152)),U1152-V1152,"")</f>
        <v>-2.3680000000000003</v>
      </c>
      <c r="AL1152" s="11">
        <f>IF(AND(ISNUMBER(AK1152),ISNUMBER(V1152)),IF(V1152&lt;&gt;0,AK1152/ABS(V1152),""),"")</f>
        <v>-1.0115335326783426</v>
      </c>
      <c r="AM1152" s="8">
        <f>IF(ISNUMBER(AK1152),IF(AK1152&gt;1,1,0),"")</f>
        <v>0</v>
      </c>
      <c r="AN1152" s="8">
        <f>IF(ISNUMBER(AK1152),IF(AK1152&gt;0.05*ABS(V1152),1,0),"")</f>
        <v>0</v>
      </c>
      <c r="AO1152" s="10"/>
      <c r="AP1152" s="10"/>
      <c r="AQ1152" s="10"/>
      <c r="AR1152" s="8">
        <v>0</v>
      </c>
      <c r="AS1152" s="10"/>
      <c r="AT1152" s="10"/>
      <c r="AU1152" s="10"/>
      <c r="AV1152" s="10">
        <v>2.3410000000000002</v>
      </c>
      <c r="AW1152" s="11" t="str">
        <f>IF(AND(ISNUMBER(AV1152),ISNUMBER(AT1152)),IF(AT1152&lt;&gt;0,AV1152/ABS(AT1152),""),"")</f>
        <v/>
      </c>
      <c r="AX1152" s="8">
        <v>1</v>
      </c>
      <c r="AY1152" s="8">
        <v>0</v>
      </c>
      <c r="AZ1152" s="8" t="s">
        <v>723</v>
      </c>
      <c r="BA1152" s="8">
        <v>0</v>
      </c>
    </row>
    <row r="1153" spans="1:53" x14ac:dyDescent="0.2">
      <c r="A1153" s="8" t="s">
        <v>676</v>
      </c>
      <c r="B1153" s="8" t="s">
        <v>83</v>
      </c>
      <c r="C1153" s="8" t="s">
        <v>205</v>
      </c>
      <c r="D1153" s="8">
        <v>0</v>
      </c>
      <c r="E1153" s="8">
        <v>0</v>
      </c>
      <c r="F1153" s="8">
        <f>SUM(G1153:M1153)</f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1</v>
      </c>
      <c r="Q1153" s="8">
        <v>0</v>
      </c>
      <c r="R1153" s="8">
        <v>0</v>
      </c>
      <c r="S1153" s="8">
        <v>1</v>
      </c>
      <c r="T1153" s="10">
        <v>-16.997</v>
      </c>
      <c r="U1153" s="10">
        <v>-10.696</v>
      </c>
      <c r="V1153" s="10">
        <v>-4.5190000000000001</v>
      </c>
      <c r="W1153" s="10">
        <f>IF(RIGHT(C1153,2)="12",IF(ISNUMBER(T1153),T1153,""),IF(COUNT(T1153,U1153,V1153)=3,T1153+U1153-V1153,""))</f>
        <v>-23.173999999999999</v>
      </c>
      <c r="X1153" s="10">
        <v>-23.173999999999999</v>
      </c>
      <c r="Y1153" s="10">
        <v>0.23100000000000001</v>
      </c>
      <c r="Z1153" s="10">
        <v>-6.4080000000000004</v>
      </c>
      <c r="AA1153" s="10">
        <v>-23.795000000000002</v>
      </c>
      <c r="AB1153" s="10">
        <v>6.7969999999999997</v>
      </c>
      <c r="AC1153" s="8">
        <v>0</v>
      </c>
      <c r="AD1153" s="8">
        <v>0</v>
      </c>
      <c r="AE1153" s="8">
        <v>0</v>
      </c>
      <c r="AF1153" s="10">
        <v>0</v>
      </c>
      <c r="AG1153" s="8">
        <f>COUNTIF(Y1153:AB1153,"&gt;0")</f>
        <v>2</v>
      </c>
      <c r="AH1153" s="10">
        <v>6.7969999999999997</v>
      </c>
      <c r="AI1153" s="10">
        <v>0.23100000000000001</v>
      </c>
      <c r="AJ1153" s="8" t="str">
        <f>IF(ISNUMBER(X1153),IF(X1153&gt;0,"+",IF(X1153&lt;0,"−","0")),IF(ISNUMBER(W1153),IF(W1153&gt;0,"+",IF(W1153&lt;0,"−","0")),"yok"))</f>
        <v>−</v>
      </c>
      <c r="AK1153" s="10">
        <f>IF(AND(RIGHT(C1153,2)&lt;&gt;"12",ISNUMBER(U1153),ISNUMBER(V1153)),U1153-V1153,"")</f>
        <v>-6.1769999999999996</v>
      </c>
      <c r="AL1153" s="11">
        <f>IF(AND(ISNUMBER(AK1153),ISNUMBER(V1153)),IF(V1153&lt;&gt;0,AK1153/ABS(V1153),""),"")</f>
        <v>-1.3668953308254037</v>
      </c>
      <c r="AM1153" s="8">
        <f>IF(ISNUMBER(AK1153),IF(AK1153&gt;1,1,0),"")</f>
        <v>0</v>
      </c>
      <c r="AN1153" s="8">
        <f>IF(ISNUMBER(AK1153),IF(AK1153&gt;0.05*ABS(V1153),1,0),"")</f>
        <v>0</v>
      </c>
      <c r="AO1153" s="10"/>
      <c r="AP1153" s="10"/>
      <c r="AQ1153" s="10"/>
      <c r="AR1153" s="8">
        <v>0</v>
      </c>
      <c r="AS1153" s="10"/>
      <c r="AT1153" s="10"/>
      <c r="AU1153" s="10"/>
      <c r="AV1153" s="10">
        <v>6.7969999999999997</v>
      </c>
      <c r="AW1153" s="11" t="str">
        <f>IF(AND(ISNUMBER(AV1153),ISNUMBER(AT1153)),IF(AT1153&lt;&gt;0,AV1153/ABS(AT1153),""),"")</f>
        <v/>
      </c>
      <c r="AX1153" s="8">
        <v>0</v>
      </c>
      <c r="AY1153" s="8">
        <v>0</v>
      </c>
      <c r="AZ1153" s="10"/>
      <c r="BA1153" s="8">
        <v>0</v>
      </c>
    </row>
    <row r="1154" spans="1:53" x14ac:dyDescent="0.2">
      <c r="A1154" s="8" t="s">
        <v>676</v>
      </c>
      <c r="B1154" s="8" t="s">
        <v>83</v>
      </c>
      <c r="C1154" s="8" t="s">
        <v>215</v>
      </c>
      <c r="D1154" s="8">
        <v>0</v>
      </c>
      <c r="E1154" s="8">
        <v>0</v>
      </c>
      <c r="F1154" s="8">
        <f>SUM(G1154:M1154)</f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1</v>
      </c>
      <c r="Q1154" s="8">
        <v>0</v>
      </c>
      <c r="R1154" s="8">
        <v>0</v>
      </c>
      <c r="S1154" s="8">
        <v>1</v>
      </c>
      <c r="T1154" s="10">
        <v>-35.402000000000001</v>
      </c>
      <c r="U1154" s="10">
        <v>-10.696</v>
      </c>
      <c r="V1154" s="10">
        <v>-4.2880000000000003</v>
      </c>
      <c r="W1154" s="10">
        <f>IF(RIGHT(C1154,2)="12",IF(ISNUMBER(T1154),T1154,""),IF(COUNT(T1154,U1154,V1154)=3,T1154+U1154-V1154,""))</f>
        <v>-41.81</v>
      </c>
      <c r="X1154" s="10">
        <v>-41.81</v>
      </c>
      <c r="Y1154" s="10">
        <v>-6.4080000000000004</v>
      </c>
      <c r="Z1154" s="10">
        <v>-23.795000000000002</v>
      </c>
      <c r="AA1154" s="10">
        <v>6.7969999999999997</v>
      </c>
      <c r="AB1154" s="10">
        <v>-18.404</v>
      </c>
      <c r="AC1154" s="8">
        <v>0</v>
      </c>
      <c r="AD1154" s="8">
        <v>0</v>
      </c>
      <c r="AE1154" s="8">
        <v>0</v>
      </c>
      <c r="AF1154" s="10">
        <v>0</v>
      </c>
      <c r="AG1154" s="8">
        <f>COUNTIF(Y1154:AB1154,"&gt;0")</f>
        <v>1</v>
      </c>
      <c r="AH1154" s="10">
        <v>6.7969999999999997</v>
      </c>
      <c r="AI1154" s="10">
        <v>0</v>
      </c>
      <c r="AJ1154" s="8" t="str">
        <f>IF(ISNUMBER(X1154),IF(X1154&gt;0,"+",IF(X1154&lt;0,"−","0")),IF(ISNUMBER(W1154),IF(W1154&gt;0,"+",IF(W1154&lt;0,"−","0")),"yok"))</f>
        <v>−</v>
      </c>
      <c r="AK1154" s="10">
        <f>IF(AND(RIGHT(C1154,2)&lt;&gt;"12",ISNUMBER(U1154),ISNUMBER(V1154)),U1154-V1154,"")</f>
        <v>-6.4079999999999995</v>
      </c>
      <c r="AL1154" s="11">
        <f>IF(AND(ISNUMBER(AK1154),ISNUMBER(V1154)),IF(V1154&lt;&gt;0,AK1154/ABS(V1154),""),"")</f>
        <v>-1.4944029850746265</v>
      </c>
      <c r="AM1154" s="8">
        <f>IF(ISNUMBER(AK1154),IF(AK1154&gt;1,1,0),"")</f>
        <v>0</v>
      </c>
      <c r="AN1154" s="8">
        <f>IF(ISNUMBER(AK1154),IF(AK1154&gt;0.05*ABS(V1154),1,0),"")</f>
        <v>0</v>
      </c>
      <c r="AO1154" s="10"/>
      <c r="AP1154" s="10"/>
      <c r="AQ1154" s="10"/>
      <c r="AR1154" s="8">
        <v>0</v>
      </c>
      <c r="AS1154" s="10"/>
      <c r="AT1154" s="10"/>
      <c r="AU1154" s="10"/>
      <c r="AV1154" s="10">
        <v>6.7969999999999997</v>
      </c>
      <c r="AW1154" s="11" t="str">
        <f>IF(AND(ISNUMBER(AV1154),ISNUMBER(AT1154)),IF(AT1154&lt;&gt;0,AV1154/ABS(AT1154),""),"")</f>
        <v/>
      </c>
      <c r="AX1154" s="8">
        <v>0</v>
      </c>
      <c r="AY1154" s="8">
        <v>0</v>
      </c>
      <c r="AZ1154" s="10"/>
      <c r="BA1154" s="8">
        <v>0</v>
      </c>
    </row>
    <row r="1155" spans="1:53" x14ac:dyDescent="0.2">
      <c r="A1155" s="8" t="s">
        <v>676</v>
      </c>
      <c r="B1155" s="8" t="s">
        <v>83</v>
      </c>
      <c r="C1155" s="8" t="s">
        <v>290</v>
      </c>
      <c r="D1155" s="8">
        <v>0</v>
      </c>
      <c r="E1155" s="8">
        <v>0</v>
      </c>
      <c r="F1155" s="8">
        <f>SUM(G1155:M1155)</f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1</v>
      </c>
      <c r="Q1155" s="8">
        <v>0</v>
      </c>
      <c r="R1155" s="8">
        <v>0</v>
      </c>
      <c r="S1155" s="8">
        <v>1</v>
      </c>
      <c r="T1155" s="10">
        <v>-36.192</v>
      </c>
      <c r="U1155" s="10"/>
      <c r="V1155" s="10"/>
      <c r="W1155" s="10">
        <f>IF(RIGHT(C1155,2)="12",IF(ISNUMBER(T1155),T1155,""),IF(COUNT(T1155,U1155,V1155)=3,T1155+U1155-V1155,""))</f>
        <v>-36.192</v>
      </c>
      <c r="X1155" s="10">
        <v>-36.192</v>
      </c>
      <c r="Y1155" s="10">
        <v>-23.795000000000002</v>
      </c>
      <c r="Z1155" s="10">
        <v>6.7969999999999997</v>
      </c>
      <c r="AA1155" s="10">
        <v>-18.404</v>
      </c>
      <c r="AB1155" s="10">
        <v>-0.79</v>
      </c>
      <c r="AC1155" s="8">
        <v>0</v>
      </c>
      <c r="AD1155" s="8">
        <v>0</v>
      </c>
      <c r="AE1155" s="8">
        <v>0</v>
      </c>
      <c r="AF1155" s="10">
        <v>0</v>
      </c>
      <c r="AG1155" s="8">
        <f>COUNTIF(Y1155:AB1155,"&gt;0")</f>
        <v>1</v>
      </c>
      <c r="AH1155" s="10">
        <v>6.7969999999999997</v>
      </c>
      <c r="AI1155" s="10">
        <v>0</v>
      </c>
      <c r="AJ1155" s="8" t="str">
        <f>IF(ISNUMBER(X1155),IF(X1155&gt;0,"+",IF(X1155&lt;0,"−","0")),IF(ISNUMBER(W1155),IF(W1155&gt;0,"+",IF(W1155&lt;0,"−","0")),"yok"))</f>
        <v>−</v>
      </c>
      <c r="AK1155" s="10" t="str">
        <f>IF(AND(RIGHT(C1155,2)&lt;&gt;"12",ISNUMBER(U1155),ISNUMBER(V1155)),U1155-V1155,"")</f>
        <v/>
      </c>
      <c r="AL1155" s="11" t="str">
        <f>IF(AND(ISNUMBER(AK1155),ISNUMBER(V1155)),IF(V1155&lt;&gt;0,AK1155/ABS(V1155),""),"")</f>
        <v/>
      </c>
      <c r="AM1155" s="8" t="str">
        <f>IF(ISNUMBER(AK1155),IF(AK1155&gt;1,1,0),"")</f>
        <v/>
      </c>
      <c r="AN1155" s="8" t="str">
        <f>IF(ISNUMBER(AK1155),IF(AK1155&gt;0.05*ABS(V1155),1,0),"")</f>
        <v/>
      </c>
      <c r="AO1155" s="10"/>
      <c r="AP1155" s="10"/>
      <c r="AQ1155" s="10"/>
      <c r="AR1155" s="8">
        <v>0</v>
      </c>
      <c r="AS1155" s="10"/>
      <c r="AT1155" s="10"/>
      <c r="AU1155" s="10"/>
      <c r="AV1155" s="10">
        <v>6.7969999999999997</v>
      </c>
      <c r="AW1155" s="11" t="str">
        <f>IF(AND(ISNUMBER(AV1155),ISNUMBER(AT1155)),IF(AT1155&lt;&gt;0,AV1155/ABS(AT1155),""),"")</f>
        <v/>
      </c>
      <c r="AX1155" s="8">
        <v>0</v>
      </c>
      <c r="AY1155" s="8">
        <v>0</v>
      </c>
      <c r="AZ1155" s="10"/>
      <c r="BA1155" s="8">
        <v>0</v>
      </c>
    </row>
    <row r="1156" spans="1:53" x14ac:dyDescent="0.2">
      <c r="A1156" s="8" t="s">
        <v>677</v>
      </c>
      <c r="B1156" s="8" t="s">
        <v>83</v>
      </c>
      <c r="C1156" s="8" t="s">
        <v>205</v>
      </c>
      <c r="D1156" s="8">
        <v>0</v>
      </c>
      <c r="E1156" s="8">
        <v>0</v>
      </c>
      <c r="F1156" s="8">
        <f>SUM(G1156:M1156)</f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1</v>
      </c>
      <c r="P1156" s="8">
        <v>1</v>
      </c>
      <c r="Q1156" s="8">
        <v>0</v>
      </c>
      <c r="R1156" s="8">
        <v>0</v>
      </c>
      <c r="S1156" s="8">
        <v>0</v>
      </c>
      <c r="T1156" s="10">
        <v>45.265000000000001</v>
      </c>
      <c r="U1156" s="10">
        <v>0</v>
      </c>
      <c r="V1156" s="10"/>
      <c r="W1156" s="10" t="str">
        <f>IF(RIGHT(C1156,2)="12",IF(ISNUMBER(T1156),T1156,""),IF(COUNT(T1156,U1156,V1156)=3,T1156+U1156-V1156,""))</f>
        <v/>
      </c>
      <c r="X1156" s="10"/>
      <c r="Y1156" s="10"/>
      <c r="Z1156" s="10">
        <v>7.8129999999999997</v>
      </c>
      <c r="AA1156" s="10"/>
      <c r="AB1156" s="10"/>
      <c r="AC1156" s="8">
        <v>1</v>
      </c>
      <c r="AD1156" s="8">
        <v>0</v>
      </c>
      <c r="AE1156" s="8">
        <v>0</v>
      </c>
      <c r="AF1156" s="10">
        <v>45.265000000000001</v>
      </c>
      <c r="AG1156" s="8">
        <f>COUNTIF(Y1156:AB1156,"&gt;0")</f>
        <v>1</v>
      </c>
      <c r="AH1156" s="10">
        <v>0</v>
      </c>
      <c r="AI1156" s="10">
        <v>7.8129999999999997</v>
      </c>
      <c r="AJ1156" s="8" t="str">
        <f>IF(ISNUMBER(X1156),IF(X1156&gt;0,"+",IF(X1156&lt;0,"−","0")),IF(ISNUMBER(W1156),IF(W1156&gt;0,"+",IF(W1156&lt;0,"−","0")),"yok"))</f>
        <v>yok</v>
      </c>
      <c r="AK1156" s="10" t="str">
        <f>IF(AND(RIGHT(C1156,2)&lt;&gt;"12",ISNUMBER(U1156),ISNUMBER(V1156)),U1156-V1156,"")</f>
        <v/>
      </c>
      <c r="AL1156" s="11" t="str">
        <f>IF(AND(ISNUMBER(AK1156),ISNUMBER(V1156)),IF(V1156&lt;&gt;0,AK1156/ABS(V1156),""),"")</f>
        <v/>
      </c>
      <c r="AM1156" s="8" t="str">
        <f>IF(ISNUMBER(AK1156),IF(AK1156&gt;1,1,0),"")</f>
        <v/>
      </c>
      <c r="AN1156" s="8" t="str">
        <f>IF(ISNUMBER(AK1156),IF(AK1156&gt;0.05*ABS(V1156),1,0),"")</f>
        <v/>
      </c>
      <c r="AO1156" s="10"/>
      <c r="AP1156" s="10"/>
      <c r="AQ1156" s="10"/>
      <c r="AR1156" s="8">
        <v>0</v>
      </c>
      <c r="AS1156" s="10"/>
      <c r="AT1156" s="10"/>
      <c r="AU1156" s="10"/>
      <c r="AV1156" s="10">
        <v>45.265000000000001</v>
      </c>
      <c r="AW1156" s="11" t="str">
        <f>IF(AND(ISNUMBER(AV1156),ISNUMBER(AT1156)),IF(AT1156&lt;&gt;0,AV1156/ABS(AT1156),""),"")</f>
        <v/>
      </c>
      <c r="AX1156" s="8">
        <v>1</v>
      </c>
      <c r="AY1156" s="8">
        <v>0</v>
      </c>
      <c r="AZ1156" s="8" t="s">
        <v>724</v>
      </c>
      <c r="BA1156" s="8">
        <v>0</v>
      </c>
    </row>
    <row r="1157" spans="1:53" x14ac:dyDescent="0.2">
      <c r="A1157" s="8" t="s">
        <v>680</v>
      </c>
      <c r="B1157" s="8" t="s">
        <v>82</v>
      </c>
      <c r="C1157" s="8" t="s">
        <v>290</v>
      </c>
      <c r="D1157" s="8">
        <v>0</v>
      </c>
      <c r="E1157" s="8">
        <v>0</v>
      </c>
      <c r="F1157" s="8">
        <f>SUM(G1157:M1157)</f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1</v>
      </c>
      <c r="Q1157" s="8">
        <v>0</v>
      </c>
      <c r="R1157" s="8">
        <v>0</v>
      </c>
      <c r="S1157" s="8">
        <v>1</v>
      </c>
      <c r="T1157" s="10">
        <v>-0.42299999999999999</v>
      </c>
      <c r="U1157" s="10"/>
      <c r="V1157" s="10"/>
      <c r="W1157" s="10">
        <f>IF(RIGHT(C1157,2)="12",IF(ISNUMBER(T1157),T1157,""),IF(COUNT(T1157,U1157,V1157)=3,T1157+U1157-V1157,""))</f>
        <v>-0.42299999999999999</v>
      </c>
      <c r="X1157" s="10">
        <v>-0.42299999999999999</v>
      </c>
      <c r="Y1157" s="10">
        <v>-0.42299999999999999</v>
      </c>
      <c r="Z1157" s="10">
        <v>0</v>
      </c>
      <c r="AA1157" s="10">
        <v>-1.7030000000000001</v>
      </c>
      <c r="AB1157" s="10">
        <v>1.7030000000000001</v>
      </c>
      <c r="AC1157" s="8">
        <v>0</v>
      </c>
      <c r="AD1157" s="8">
        <v>0</v>
      </c>
      <c r="AE1157" s="8">
        <v>0</v>
      </c>
      <c r="AF1157" s="10">
        <v>0</v>
      </c>
      <c r="AG1157" s="8">
        <f>COUNTIF(Y1157:AB1157,"&gt;0")</f>
        <v>1</v>
      </c>
      <c r="AH1157" s="10">
        <v>1.7030000000000001</v>
      </c>
      <c r="AI1157" s="10">
        <v>0</v>
      </c>
      <c r="AJ1157" s="8" t="str">
        <f>IF(ISNUMBER(X1157),IF(X1157&gt;0,"+",IF(X1157&lt;0,"−","0")),IF(ISNUMBER(W1157),IF(W1157&gt;0,"+",IF(W1157&lt;0,"−","0")),"yok"))</f>
        <v>−</v>
      </c>
      <c r="AK1157" s="10" t="str">
        <f>IF(AND(RIGHT(C1157,2)&lt;&gt;"12",ISNUMBER(U1157),ISNUMBER(V1157)),U1157-V1157,"")</f>
        <v/>
      </c>
      <c r="AL1157" s="11" t="str">
        <f>IF(AND(ISNUMBER(AK1157),ISNUMBER(V1157)),IF(V1157&lt;&gt;0,AK1157/ABS(V1157),""),"")</f>
        <v/>
      </c>
      <c r="AM1157" s="8" t="str">
        <f>IF(ISNUMBER(AK1157),IF(AK1157&gt;1,1,0),"")</f>
        <v/>
      </c>
      <c r="AN1157" s="8" t="str">
        <f>IF(ISNUMBER(AK1157),IF(AK1157&gt;0.05*ABS(V1157),1,0),"")</f>
        <v/>
      </c>
      <c r="AO1157" s="10"/>
      <c r="AP1157" s="10"/>
      <c r="AQ1157" s="10"/>
      <c r="AR1157" s="8">
        <v>0</v>
      </c>
      <c r="AS1157" s="10"/>
      <c r="AT1157" s="10"/>
      <c r="AU1157" s="10"/>
      <c r="AV1157" s="10">
        <v>1.7030000000000001</v>
      </c>
      <c r="AW1157" s="11" t="str">
        <f>IF(AND(ISNUMBER(AV1157),ISNUMBER(AT1157)),IF(AT1157&lt;&gt;0,AV1157/ABS(AT1157),""),"")</f>
        <v/>
      </c>
      <c r="AX1157" s="8">
        <v>0</v>
      </c>
      <c r="AY1157" s="8">
        <v>0</v>
      </c>
      <c r="AZ1157" s="10"/>
      <c r="BA1157" s="8">
        <v>0</v>
      </c>
    </row>
    <row r="1158" spans="1:53" x14ac:dyDescent="0.2">
      <c r="A1158" s="8" t="s">
        <v>680</v>
      </c>
      <c r="B1158" s="8" t="s">
        <v>82</v>
      </c>
      <c r="C1158" s="8" t="s">
        <v>208</v>
      </c>
      <c r="D1158" s="8">
        <v>0</v>
      </c>
      <c r="E1158" s="8">
        <v>0</v>
      </c>
      <c r="F1158" s="8">
        <f>SUM(G1158:M1158)</f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1</v>
      </c>
      <c r="Q1158" s="8">
        <v>0</v>
      </c>
      <c r="R1158" s="8">
        <v>1</v>
      </c>
      <c r="S1158" s="8">
        <v>0</v>
      </c>
      <c r="T1158" s="10">
        <v>-0.53</v>
      </c>
      <c r="U1158" s="10">
        <v>-0.42299999999999999</v>
      </c>
      <c r="V1158" s="10">
        <v>-0.42299999999999999</v>
      </c>
      <c r="W1158" s="10">
        <f>IF(RIGHT(C1158,2)="12",IF(ISNUMBER(T1158),T1158,""),IF(COUNT(T1158,U1158,V1158)=3,T1158+U1158-V1158,""))</f>
        <v>-0.53</v>
      </c>
      <c r="X1158" s="10">
        <v>-0.53</v>
      </c>
      <c r="Y1158" s="10">
        <v>0</v>
      </c>
      <c r="Z1158" s="10">
        <v>-1.7030000000000001</v>
      </c>
      <c r="AA1158" s="10">
        <v>1.7030000000000001</v>
      </c>
      <c r="AB1158" s="10">
        <v>-0.53</v>
      </c>
      <c r="AC1158" s="8">
        <v>0</v>
      </c>
      <c r="AD1158" s="8">
        <v>0</v>
      </c>
      <c r="AE1158" s="8">
        <v>0</v>
      </c>
      <c r="AF1158" s="10">
        <v>0</v>
      </c>
      <c r="AG1158" s="8">
        <f>COUNTIF(Y1158:AB1158,"&gt;0")</f>
        <v>1</v>
      </c>
      <c r="AH1158" s="10">
        <v>0</v>
      </c>
      <c r="AI1158" s="10">
        <v>1.7030000000000001</v>
      </c>
      <c r="AJ1158" s="8" t="str">
        <f>IF(ISNUMBER(X1158),IF(X1158&gt;0,"+",IF(X1158&lt;0,"−","0")),IF(ISNUMBER(W1158),IF(W1158&gt;0,"+",IF(W1158&lt;0,"−","0")),"yok"))</f>
        <v>−</v>
      </c>
      <c r="AK1158" s="10">
        <f>IF(AND(RIGHT(C1158,2)&lt;&gt;"12",ISNUMBER(U1158),ISNUMBER(V1158)),U1158-V1158,"")</f>
        <v>0</v>
      </c>
      <c r="AL1158" s="11">
        <f>IF(AND(ISNUMBER(AK1158),ISNUMBER(V1158)),IF(V1158&lt;&gt;0,AK1158/ABS(V1158),""),"")</f>
        <v>0</v>
      </c>
      <c r="AM1158" s="8">
        <f>IF(ISNUMBER(AK1158),IF(AK1158&gt;1,1,0),"")</f>
        <v>0</v>
      </c>
      <c r="AN1158" s="8">
        <f>IF(ISNUMBER(AK1158),IF(AK1158&gt;0.05*ABS(V1158),1,0),"")</f>
        <v>0</v>
      </c>
      <c r="AO1158" s="10"/>
      <c r="AP1158" s="10"/>
      <c r="AQ1158" s="10"/>
      <c r="AR1158" s="8">
        <v>0</v>
      </c>
      <c r="AS1158" s="10"/>
      <c r="AT1158" s="10"/>
      <c r="AU1158" s="10"/>
      <c r="AV1158" s="10">
        <v>1.7030000000000001</v>
      </c>
      <c r="AW1158" s="11" t="str">
        <f>IF(AND(ISNUMBER(AV1158),ISNUMBER(AT1158)),IF(AT1158&lt;&gt;0,AV1158/ABS(AT1158),""),"")</f>
        <v/>
      </c>
      <c r="AX1158" s="8">
        <v>0</v>
      </c>
      <c r="AY1158" s="8">
        <v>0</v>
      </c>
      <c r="AZ1158" s="10"/>
      <c r="BA1158" s="8">
        <v>0</v>
      </c>
    </row>
    <row r="1159" spans="1:53" x14ac:dyDescent="0.2">
      <c r="A1159" s="8" t="s">
        <v>680</v>
      </c>
      <c r="B1159" s="8" t="s">
        <v>82</v>
      </c>
      <c r="C1159" s="8" t="s">
        <v>210</v>
      </c>
      <c r="D1159" s="8">
        <v>0</v>
      </c>
      <c r="E1159" s="8">
        <v>0</v>
      </c>
      <c r="F1159" s="8">
        <f>SUM(G1159:M1159)</f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1</v>
      </c>
      <c r="Q1159" s="8">
        <v>0</v>
      </c>
      <c r="R1159" s="8">
        <v>1</v>
      </c>
      <c r="S1159" s="8">
        <v>0</v>
      </c>
      <c r="T1159" s="10"/>
      <c r="U1159" s="10">
        <v>-0.42299999999999999</v>
      </c>
      <c r="V1159" s="10">
        <v>-0.42299999999999999</v>
      </c>
      <c r="W1159" s="10" t="str">
        <f>IF(RIGHT(C1159,2)="12",IF(ISNUMBER(T1159),T1159,""),IF(COUNT(T1159,U1159,V1159)=3,T1159+U1159-V1159,""))</f>
        <v/>
      </c>
      <c r="X1159" s="10"/>
      <c r="Y1159" s="10">
        <v>-1.7030000000000001</v>
      </c>
      <c r="Z1159" s="10">
        <v>1.7030000000000001</v>
      </c>
      <c r="AA1159" s="10">
        <v>-0.53</v>
      </c>
      <c r="AB1159" s="10"/>
      <c r="AC1159" s="8">
        <v>0</v>
      </c>
      <c r="AD1159" s="8">
        <v>0</v>
      </c>
      <c r="AE1159" s="8">
        <v>0</v>
      </c>
      <c r="AF1159" s="10">
        <v>0</v>
      </c>
      <c r="AG1159" s="8">
        <f>COUNTIF(Y1159:AB1159,"&gt;0")</f>
        <v>1</v>
      </c>
      <c r="AH1159" s="10">
        <v>0</v>
      </c>
      <c r="AI1159" s="10">
        <v>1.7030000000000001</v>
      </c>
      <c r="AJ1159" s="8" t="str">
        <f>IF(ISNUMBER(X1159),IF(X1159&gt;0,"+",IF(X1159&lt;0,"−","0")),IF(ISNUMBER(W1159),IF(W1159&gt;0,"+",IF(W1159&lt;0,"−","0")),"yok"))</f>
        <v>yok</v>
      </c>
      <c r="AK1159" s="10">
        <f>IF(AND(RIGHT(C1159,2)&lt;&gt;"12",ISNUMBER(U1159),ISNUMBER(V1159)),U1159-V1159,"")</f>
        <v>0</v>
      </c>
      <c r="AL1159" s="11">
        <f>IF(AND(ISNUMBER(AK1159),ISNUMBER(V1159)),IF(V1159&lt;&gt;0,AK1159/ABS(V1159),""),"")</f>
        <v>0</v>
      </c>
      <c r="AM1159" s="8">
        <f>IF(ISNUMBER(AK1159),IF(AK1159&gt;1,1,0),"")</f>
        <v>0</v>
      </c>
      <c r="AN1159" s="8">
        <f>IF(ISNUMBER(AK1159),IF(AK1159&gt;0.05*ABS(V1159),1,0),"")</f>
        <v>0</v>
      </c>
      <c r="AO1159" s="10"/>
      <c r="AP1159" s="10"/>
      <c r="AQ1159" s="10"/>
      <c r="AR1159" s="8">
        <v>0</v>
      </c>
      <c r="AS1159" s="10"/>
      <c r="AT1159" s="10"/>
      <c r="AU1159" s="10"/>
      <c r="AV1159" s="10">
        <v>1.7030000000000001</v>
      </c>
      <c r="AW1159" s="11" t="str">
        <f>IF(AND(ISNUMBER(AV1159),ISNUMBER(AT1159)),IF(AT1159&lt;&gt;0,AV1159/ABS(AT1159),""),"")</f>
        <v/>
      </c>
      <c r="AX1159" s="8">
        <v>0</v>
      </c>
      <c r="AY1159" s="8">
        <v>0</v>
      </c>
      <c r="AZ1159" s="10"/>
      <c r="BA1159" s="8">
        <v>0</v>
      </c>
    </row>
    <row r="1160" spans="1:53" x14ac:dyDescent="0.2">
      <c r="A1160" s="8" t="s">
        <v>680</v>
      </c>
      <c r="B1160" s="8" t="s">
        <v>84</v>
      </c>
      <c r="C1160" s="8" t="s">
        <v>290</v>
      </c>
      <c r="D1160" s="8">
        <v>0</v>
      </c>
      <c r="E1160" s="8">
        <v>0</v>
      </c>
      <c r="F1160" s="8">
        <f>SUM(G1160:M1160)</f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1</v>
      </c>
      <c r="Q1160" s="8">
        <v>0</v>
      </c>
      <c r="R1160" s="8">
        <v>0</v>
      </c>
      <c r="S1160" s="8">
        <v>1</v>
      </c>
      <c r="T1160" s="10">
        <v>-7.6189999999999998</v>
      </c>
      <c r="U1160" s="10"/>
      <c r="V1160" s="10"/>
      <c r="W1160" s="10">
        <f>IF(RIGHT(C1160,2)="12",IF(ISNUMBER(T1160),T1160,""),IF(COUNT(T1160,U1160,V1160)=3,T1160+U1160-V1160,""))</f>
        <v>-7.6189999999999998</v>
      </c>
      <c r="X1160" s="10">
        <v>-7.6189999999999998</v>
      </c>
      <c r="Y1160" s="10">
        <v>-3.0609999999999999</v>
      </c>
      <c r="Z1160" s="10">
        <v>-6.9909999999999997</v>
      </c>
      <c r="AA1160" s="10">
        <v>-0.249</v>
      </c>
      <c r="AB1160" s="10">
        <v>2.6829999999999998</v>
      </c>
      <c r="AC1160" s="8">
        <v>0</v>
      </c>
      <c r="AD1160" s="8">
        <v>0</v>
      </c>
      <c r="AE1160" s="8">
        <v>0</v>
      </c>
      <c r="AF1160" s="10">
        <v>0</v>
      </c>
      <c r="AG1160" s="8">
        <f>COUNTIF(Y1160:AB1160,"&gt;0")</f>
        <v>1</v>
      </c>
      <c r="AH1160" s="10">
        <v>2.6829999999999998</v>
      </c>
      <c r="AI1160" s="10">
        <v>0</v>
      </c>
      <c r="AJ1160" s="8" t="str">
        <f>IF(ISNUMBER(X1160),IF(X1160&gt;0,"+",IF(X1160&lt;0,"−","0")),IF(ISNUMBER(W1160),IF(W1160&gt;0,"+",IF(W1160&lt;0,"−","0")),"yok"))</f>
        <v>−</v>
      </c>
      <c r="AK1160" s="10" t="str">
        <f>IF(AND(RIGHT(C1160,2)&lt;&gt;"12",ISNUMBER(U1160),ISNUMBER(V1160)),U1160-V1160,"")</f>
        <v/>
      </c>
      <c r="AL1160" s="11" t="str">
        <f>IF(AND(ISNUMBER(AK1160),ISNUMBER(V1160)),IF(V1160&lt;&gt;0,AK1160/ABS(V1160),""),"")</f>
        <v/>
      </c>
      <c r="AM1160" s="8" t="str">
        <f>IF(ISNUMBER(AK1160),IF(AK1160&gt;1,1,0),"")</f>
        <v/>
      </c>
      <c r="AN1160" s="8" t="str">
        <f>IF(ISNUMBER(AK1160),IF(AK1160&gt;0.05*ABS(V1160),1,0),"")</f>
        <v/>
      </c>
      <c r="AO1160" s="10"/>
      <c r="AP1160" s="10"/>
      <c r="AQ1160" s="10"/>
      <c r="AR1160" s="8">
        <v>0</v>
      </c>
      <c r="AS1160" s="10"/>
      <c r="AT1160" s="10"/>
      <c r="AU1160" s="10"/>
      <c r="AV1160" s="10">
        <v>2.6829999999999998</v>
      </c>
      <c r="AW1160" s="11" t="str">
        <f>IF(AND(ISNUMBER(AV1160),ISNUMBER(AT1160)),IF(AT1160&lt;&gt;0,AV1160/ABS(AT1160),""),"")</f>
        <v/>
      </c>
      <c r="AX1160" s="8">
        <v>0</v>
      </c>
      <c r="AY1160" s="8">
        <v>0</v>
      </c>
      <c r="AZ1160" s="10"/>
      <c r="BA1160" s="8">
        <v>0</v>
      </c>
    </row>
    <row r="1161" spans="1:53" x14ac:dyDescent="0.2">
      <c r="A1161" s="8" t="s">
        <v>725</v>
      </c>
      <c r="B1161" s="8" t="s">
        <v>83</v>
      </c>
      <c r="C1161" s="8" t="s">
        <v>203</v>
      </c>
      <c r="D1161" s="8">
        <v>0</v>
      </c>
      <c r="E1161" s="8">
        <v>0</v>
      </c>
      <c r="F1161" s="8">
        <f>SUM(G1161:M1161)</f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1</v>
      </c>
      <c r="O1161" s="8">
        <v>0</v>
      </c>
      <c r="P1161" s="8">
        <v>1</v>
      </c>
      <c r="Q1161" s="8">
        <v>0</v>
      </c>
      <c r="R1161" s="8">
        <v>0</v>
      </c>
      <c r="S1161" s="8">
        <v>0</v>
      </c>
      <c r="T1161" s="10">
        <v>-0.12</v>
      </c>
      <c r="U1161" s="10">
        <v>0</v>
      </c>
      <c r="V1161" s="10">
        <v>-0.27900000000000003</v>
      </c>
      <c r="W1161" s="10">
        <f>IF(RIGHT(C1161,2)="12",IF(ISNUMBER(T1161),T1161,""),IF(COUNT(T1161,U1161,V1161)=3,T1161+U1161-V1161,""))</f>
        <v>0.15900000000000003</v>
      </c>
      <c r="X1161" s="10">
        <v>0.158</v>
      </c>
      <c r="Y1161" s="10">
        <v>0.22600000000000001</v>
      </c>
      <c r="Z1161" s="10">
        <v>5.2999999999999999E-2</v>
      </c>
      <c r="AA1161" s="10">
        <v>0</v>
      </c>
      <c r="AB1161" s="10">
        <v>-0.12</v>
      </c>
      <c r="AC1161" s="8">
        <v>0</v>
      </c>
      <c r="AD1161" s="8">
        <v>0</v>
      </c>
      <c r="AE1161" s="8">
        <v>0</v>
      </c>
      <c r="AF1161" s="10">
        <v>0</v>
      </c>
      <c r="AG1161" s="8">
        <f>COUNTIF(Y1161:AB1161,"&gt;0")</f>
        <v>2</v>
      </c>
      <c r="AH1161" s="10">
        <v>0</v>
      </c>
      <c r="AI1161" s="10">
        <v>0.27900000000000003</v>
      </c>
      <c r="AJ1161" s="8" t="str">
        <f>IF(ISNUMBER(X1161),IF(X1161&gt;0,"+",IF(X1161&lt;0,"−","0")),IF(ISNUMBER(W1161),IF(W1161&gt;0,"+",IF(W1161&lt;0,"−","0")),"yok"))</f>
        <v>+</v>
      </c>
      <c r="AK1161" s="10">
        <f>IF(AND(RIGHT(C1161,2)&lt;&gt;"12",ISNUMBER(U1161),ISNUMBER(V1161)),U1161-V1161,"")</f>
        <v>0.27900000000000003</v>
      </c>
      <c r="AL1161" s="11">
        <f>IF(AND(ISNUMBER(AK1161),ISNUMBER(V1161)),IF(V1161&lt;&gt;0,AK1161/ABS(V1161),""),"")</f>
        <v>1</v>
      </c>
      <c r="AM1161" s="8">
        <f>IF(ISNUMBER(AK1161),IF(AK1161&gt;1,1,0),"")</f>
        <v>0</v>
      </c>
      <c r="AN1161" s="8">
        <f>IF(ISNUMBER(AK1161),IF(AK1161&gt;0.05*ABS(V1161),1,0),"")</f>
        <v>1</v>
      </c>
      <c r="AO1161" s="10"/>
      <c r="AP1161" s="10"/>
      <c r="AQ1161" s="10"/>
      <c r="AR1161" s="8">
        <v>0</v>
      </c>
      <c r="AS1161" s="10"/>
      <c r="AT1161" s="10"/>
      <c r="AU1161" s="10"/>
      <c r="AV1161" s="10">
        <v>0.27900000000000003</v>
      </c>
      <c r="AW1161" s="11" t="str">
        <f>IF(AND(ISNUMBER(AV1161),ISNUMBER(AT1161)),IF(AT1161&lt;&gt;0,AV1161/ABS(AT1161),""),"")</f>
        <v/>
      </c>
      <c r="AX1161" s="8">
        <v>0</v>
      </c>
      <c r="AY1161" s="8">
        <v>0</v>
      </c>
      <c r="AZ1161" s="10"/>
      <c r="BA1161" s="8">
        <v>0</v>
      </c>
    </row>
    <row r="1162" spans="1:53" x14ac:dyDescent="0.2">
      <c r="A1162" s="8" t="s">
        <v>682</v>
      </c>
      <c r="B1162" s="8" t="s">
        <v>82</v>
      </c>
      <c r="C1162" s="8" t="s">
        <v>290</v>
      </c>
      <c r="D1162" s="8">
        <v>0</v>
      </c>
      <c r="E1162" s="8">
        <v>0</v>
      </c>
      <c r="F1162" s="8">
        <f>SUM(G1162:M1162)</f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1</v>
      </c>
      <c r="Q1162" s="8">
        <v>0</v>
      </c>
      <c r="R1162" s="8">
        <v>0</v>
      </c>
      <c r="S1162" s="8">
        <v>1</v>
      </c>
      <c r="T1162" s="10">
        <v>-8.4809999999999999</v>
      </c>
      <c r="U1162" s="10"/>
      <c r="V1162" s="10"/>
      <c r="W1162" s="10">
        <f>IF(RIGHT(C1162,2)="12",IF(ISNUMBER(T1162),T1162,""),IF(COUNT(T1162,U1162,V1162)=3,T1162+U1162-V1162,""))</f>
        <v>-8.4809999999999999</v>
      </c>
      <c r="X1162" s="10">
        <v>-8.4809999999999999</v>
      </c>
      <c r="Y1162" s="10">
        <v>-9.4580000000000002</v>
      </c>
      <c r="Z1162" s="10"/>
      <c r="AA1162" s="10"/>
      <c r="AB1162" s="10">
        <v>2.3610000000000002</v>
      </c>
      <c r="AC1162" s="8">
        <v>0</v>
      </c>
      <c r="AD1162" s="8">
        <v>0</v>
      </c>
      <c r="AE1162" s="8">
        <v>0</v>
      </c>
      <c r="AF1162" s="10">
        <v>0</v>
      </c>
      <c r="AG1162" s="8">
        <f>COUNTIF(Y1162:AB1162,"&gt;0")</f>
        <v>1</v>
      </c>
      <c r="AH1162" s="10">
        <v>2.3610000000000002</v>
      </c>
      <c r="AI1162" s="10">
        <v>0</v>
      </c>
      <c r="AJ1162" s="8" t="str">
        <f>IF(ISNUMBER(X1162),IF(X1162&gt;0,"+",IF(X1162&lt;0,"−","0")),IF(ISNUMBER(W1162),IF(W1162&gt;0,"+",IF(W1162&lt;0,"−","0")),"yok"))</f>
        <v>−</v>
      </c>
      <c r="AK1162" s="10" t="str">
        <f>IF(AND(RIGHT(C1162,2)&lt;&gt;"12",ISNUMBER(U1162),ISNUMBER(V1162)),U1162-V1162,"")</f>
        <v/>
      </c>
      <c r="AL1162" s="11" t="str">
        <f>IF(AND(ISNUMBER(AK1162),ISNUMBER(V1162)),IF(V1162&lt;&gt;0,AK1162/ABS(V1162),""),"")</f>
        <v/>
      </c>
      <c r="AM1162" s="8" t="str">
        <f>IF(ISNUMBER(AK1162),IF(AK1162&gt;1,1,0),"")</f>
        <v/>
      </c>
      <c r="AN1162" s="8" t="str">
        <f>IF(ISNUMBER(AK1162),IF(AK1162&gt;0.05*ABS(V1162),1,0),"")</f>
        <v/>
      </c>
      <c r="AO1162" s="10"/>
      <c r="AP1162" s="10"/>
      <c r="AQ1162" s="10"/>
      <c r="AR1162" s="8">
        <v>0</v>
      </c>
      <c r="AS1162" s="10"/>
      <c r="AT1162" s="10"/>
      <c r="AU1162" s="10"/>
      <c r="AV1162" s="10">
        <v>2.3610000000000002</v>
      </c>
      <c r="AW1162" s="11" t="str">
        <f>IF(AND(ISNUMBER(AV1162),ISNUMBER(AT1162)),IF(AT1162&lt;&gt;0,AV1162/ABS(AT1162),""),"")</f>
        <v/>
      </c>
      <c r="AX1162" s="8">
        <v>0</v>
      </c>
      <c r="AY1162" s="8">
        <v>0</v>
      </c>
      <c r="AZ1162" s="10"/>
      <c r="BA1162" s="8">
        <v>0</v>
      </c>
    </row>
    <row r="1163" spans="1:53" x14ac:dyDescent="0.2">
      <c r="A1163" s="8" t="s">
        <v>682</v>
      </c>
      <c r="B1163" s="8" t="s">
        <v>82</v>
      </c>
      <c r="C1163" s="8" t="s">
        <v>208</v>
      </c>
      <c r="D1163" s="8">
        <v>0</v>
      </c>
      <c r="E1163" s="8">
        <v>0</v>
      </c>
      <c r="F1163" s="8">
        <f>SUM(G1163:M1163)</f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1</v>
      </c>
      <c r="Q1163" s="8">
        <v>0</v>
      </c>
      <c r="R1163" s="8">
        <v>1</v>
      </c>
      <c r="S1163" s="8">
        <v>0</v>
      </c>
      <c r="T1163" s="10">
        <v>-7.3689999999999998</v>
      </c>
      <c r="U1163" s="10">
        <v>-8.4809999999999999</v>
      </c>
      <c r="V1163" s="10">
        <v>-9.4580000000000002</v>
      </c>
      <c r="W1163" s="10">
        <f>IF(RIGHT(C1163,2)="12",IF(ISNUMBER(T1163),T1163,""),IF(COUNT(T1163,U1163,V1163)=3,T1163+U1163-V1163,""))</f>
        <v>-6.3919999999999995</v>
      </c>
      <c r="X1163" s="10">
        <v>-6.391</v>
      </c>
      <c r="Y1163" s="10"/>
      <c r="Z1163" s="10"/>
      <c r="AA1163" s="10">
        <v>2.3610000000000002</v>
      </c>
      <c r="AB1163" s="10">
        <v>-7.3689999999999998</v>
      </c>
      <c r="AC1163" s="8">
        <v>0</v>
      </c>
      <c r="AD1163" s="8">
        <v>0</v>
      </c>
      <c r="AE1163" s="8">
        <v>0</v>
      </c>
      <c r="AF1163" s="10">
        <v>0</v>
      </c>
      <c r="AG1163" s="8">
        <f>COUNTIF(Y1163:AB1163,"&gt;0")</f>
        <v>1</v>
      </c>
      <c r="AH1163" s="10">
        <v>0</v>
      </c>
      <c r="AI1163" s="10">
        <v>2.3610000000000002</v>
      </c>
      <c r="AJ1163" s="8" t="str">
        <f>IF(ISNUMBER(X1163),IF(X1163&gt;0,"+",IF(X1163&lt;0,"−","0")),IF(ISNUMBER(W1163),IF(W1163&gt;0,"+",IF(W1163&lt;0,"−","0")),"yok"))</f>
        <v>−</v>
      </c>
      <c r="AK1163" s="10">
        <f>IF(AND(RIGHT(C1163,2)&lt;&gt;"12",ISNUMBER(U1163),ISNUMBER(V1163)),U1163-V1163,"")</f>
        <v>0.97700000000000031</v>
      </c>
      <c r="AL1163" s="11">
        <f>IF(AND(ISNUMBER(AK1163),ISNUMBER(V1163)),IF(V1163&lt;&gt;0,AK1163/ABS(V1163),""),"")</f>
        <v>0.10329879467117788</v>
      </c>
      <c r="AM1163" s="8">
        <f>IF(ISNUMBER(AK1163),IF(AK1163&gt;1,1,0),"")</f>
        <v>0</v>
      </c>
      <c r="AN1163" s="8">
        <f>IF(ISNUMBER(AK1163),IF(AK1163&gt;0.05*ABS(V1163),1,0),"")</f>
        <v>1</v>
      </c>
      <c r="AO1163" s="10"/>
      <c r="AP1163" s="10"/>
      <c r="AQ1163" s="10"/>
      <c r="AR1163" s="8">
        <v>0</v>
      </c>
      <c r="AS1163" s="10"/>
      <c r="AT1163" s="10"/>
      <c r="AU1163" s="10"/>
      <c r="AV1163" s="10">
        <v>0.97699999999999998</v>
      </c>
      <c r="AW1163" s="11" t="str">
        <f>IF(AND(ISNUMBER(AV1163),ISNUMBER(AT1163)),IF(AT1163&lt;&gt;0,AV1163/ABS(AT1163),""),"")</f>
        <v/>
      </c>
      <c r="AX1163" s="8">
        <v>0</v>
      </c>
      <c r="AY1163" s="8">
        <v>0</v>
      </c>
      <c r="AZ1163" s="10"/>
      <c r="BA1163" s="8">
        <v>0</v>
      </c>
    </row>
    <row r="1164" spans="1:53" x14ac:dyDescent="0.2">
      <c r="A1164" s="8" t="s">
        <v>682</v>
      </c>
      <c r="B1164" s="8" t="s">
        <v>82</v>
      </c>
      <c r="C1164" s="8" t="s">
        <v>210</v>
      </c>
      <c r="D1164" s="8">
        <v>0</v>
      </c>
      <c r="E1164" s="8">
        <v>0</v>
      </c>
      <c r="F1164" s="8">
        <f>SUM(G1164:M1164)</f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1</v>
      </c>
      <c r="Q1164" s="8">
        <v>0</v>
      </c>
      <c r="R1164" s="8">
        <v>1</v>
      </c>
      <c r="S1164" s="8">
        <v>0</v>
      </c>
      <c r="T1164" s="10"/>
      <c r="U1164" s="10">
        <v>-8.4809999999999999</v>
      </c>
      <c r="V1164" s="10"/>
      <c r="W1164" s="10" t="str">
        <f>IF(RIGHT(C1164,2)="12",IF(ISNUMBER(T1164),T1164,""),IF(COUNT(T1164,U1164,V1164)=3,T1164+U1164-V1164,""))</f>
        <v/>
      </c>
      <c r="X1164" s="10"/>
      <c r="Y1164" s="10"/>
      <c r="Z1164" s="10">
        <v>2.3610000000000002</v>
      </c>
      <c r="AA1164" s="10">
        <v>-7.3689999999999998</v>
      </c>
      <c r="AB1164" s="10"/>
      <c r="AC1164" s="8">
        <v>0</v>
      </c>
      <c r="AD1164" s="8">
        <v>0</v>
      </c>
      <c r="AE1164" s="8">
        <v>0</v>
      </c>
      <c r="AF1164" s="10">
        <v>0</v>
      </c>
      <c r="AG1164" s="8">
        <f>COUNTIF(Y1164:AB1164,"&gt;0")</f>
        <v>1</v>
      </c>
      <c r="AH1164" s="10">
        <v>0</v>
      </c>
      <c r="AI1164" s="10">
        <v>2.3610000000000002</v>
      </c>
      <c r="AJ1164" s="8" t="str">
        <f>IF(ISNUMBER(X1164),IF(X1164&gt;0,"+",IF(X1164&lt;0,"−","0")),IF(ISNUMBER(W1164),IF(W1164&gt;0,"+",IF(W1164&lt;0,"−","0")),"yok"))</f>
        <v>yok</v>
      </c>
      <c r="AK1164" s="10" t="str">
        <f>IF(AND(RIGHT(C1164,2)&lt;&gt;"12",ISNUMBER(U1164),ISNUMBER(V1164)),U1164-V1164,"")</f>
        <v/>
      </c>
      <c r="AL1164" s="11" t="str">
        <f>IF(AND(ISNUMBER(AK1164),ISNUMBER(V1164)),IF(V1164&lt;&gt;0,AK1164/ABS(V1164),""),"")</f>
        <v/>
      </c>
      <c r="AM1164" s="8" t="str">
        <f>IF(ISNUMBER(AK1164),IF(AK1164&gt;1,1,0),"")</f>
        <v/>
      </c>
      <c r="AN1164" s="8" t="str">
        <f>IF(ISNUMBER(AK1164),IF(AK1164&gt;0.05*ABS(V1164),1,0),"")</f>
        <v/>
      </c>
      <c r="AO1164" s="10"/>
      <c r="AP1164" s="10"/>
      <c r="AQ1164" s="10"/>
      <c r="AR1164" s="8">
        <v>0</v>
      </c>
      <c r="AS1164" s="10"/>
      <c r="AT1164" s="10"/>
      <c r="AU1164" s="10"/>
      <c r="AV1164" s="10">
        <v>2.3610000000000002</v>
      </c>
      <c r="AW1164" s="11" t="str">
        <f>IF(AND(ISNUMBER(AV1164),ISNUMBER(AT1164)),IF(AT1164&lt;&gt;0,AV1164/ABS(AT1164),""),"")</f>
        <v/>
      </c>
      <c r="AX1164" s="8">
        <v>0</v>
      </c>
      <c r="AY1164" s="8">
        <v>0</v>
      </c>
      <c r="AZ1164" s="10"/>
      <c r="BA1164" s="8">
        <v>0</v>
      </c>
    </row>
    <row r="1165" spans="1:53" x14ac:dyDescent="0.2">
      <c r="A1165" s="8" t="s">
        <v>682</v>
      </c>
      <c r="B1165" s="8" t="s">
        <v>83</v>
      </c>
      <c r="C1165" s="8" t="s">
        <v>215</v>
      </c>
      <c r="D1165" s="8">
        <v>0</v>
      </c>
      <c r="E1165" s="8">
        <v>0</v>
      </c>
      <c r="F1165" s="8">
        <f>SUM(G1165:M1165)</f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1</v>
      </c>
      <c r="Q1165" s="8">
        <v>0</v>
      </c>
      <c r="R1165" s="8">
        <v>0</v>
      </c>
      <c r="S1165" s="8">
        <v>1</v>
      </c>
      <c r="T1165" s="10">
        <v>-39.911999999999999</v>
      </c>
      <c r="U1165" s="10">
        <v>-304.44499999999999</v>
      </c>
      <c r="V1165" s="10">
        <v>-45.767000000000003</v>
      </c>
      <c r="W1165" s="10">
        <f>IF(RIGHT(C1165,2)="12",IF(ISNUMBER(T1165),T1165,""),IF(COUNT(T1165,U1165,V1165)=3,T1165+U1165-V1165,""))</f>
        <v>-298.58999999999997</v>
      </c>
      <c r="X1165" s="10">
        <v>-298.58999999999997</v>
      </c>
      <c r="Y1165" s="10">
        <v>-258.67700000000002</v>
      </c>
      <c r="Z1165" s="10">
        <v>-10.394</v>
      </c>
      <c r="AA1165" s="10">
        <v>4.3010000000000002</v>
      </c>
      <c r="AB1165" s="10">
        <v>-33.82</v>
      </c>
      <c r="AC1165" s="8">
        <v>0</v>
      </c>
      <c r="AD1165" s="8">
        <v>0</v>
      </c>
      <c r="AE1165" s="8">
        <v>0</v>
      </c>
      <c r="AF1165" s="10">
        <v>0</v>
      </c>
      <c r="AG1165" s="8">
        <f>COUNTIF(Y1165:AB1165,"&gt;0")</f>
        <v>1</v>
      </c>
      <c r="AH1165" s="10">
        <v>4.3010000000000002</v>
      </c>
      <c r="AI1165" s="10">
        <v>0</v>
      </c>
      <c r="AJ1165" s="8" t="str">
        <f>IF(ISNUMBER(X1165),IF(X1165&gt;0,"+",IF(X1165&lt;0,"−","0")),IF(ISNUMBER(W1165),IF(W1165&gt;0,"+",IF(W1165&lt;0,"−","0")),"yok"))</f>
        <v>−</v>
      </c>
      <c r="AK1165" s="10">
        <f>IF(AND(RIGHT(C1165,2)&lt;&gt;"12",ISNUMBER(U1165),ISNUMBER(V1165)),U1165-V1165,"")</f>
        <v>-258.678</v>
      </c>
      <c r="AL1165" s="11">
        <f>IF(AND(ISNUMBER(AK1165),ISNUMBER(V1165)),IF(V1165&lt;&gt;0,AK1165/ABS(V1165),""),"")</f>
        <v>-5.6520637140297589</v>
      </c>
      <c r="AM1165" s="8">
        <f>IF(ISNUMBER(AK1165),IF(AK1165&gt;1,1,0),"")</f>
        <v>0</v>
      </c>
      <c r="AN1165" s="8">
        <f>IF(ISNUMBER(AK1165),IF(AK1165&gt;0.05*ABS(V1165),1,0),"")</f>
        <v>0</v>
      </c>
      <c r="AO1165" s="10"/>
      <c r="AP1165" s="10"/>
      <c r="AQ1165" s="10"/>
      <c r="AR1165" s="8">
        <v>0</v>
      </c>
      <c r="AS1165" s="10"/>
      <c r="AT1165" s="10"/>
      <c r="AU1165" s="10"/>
      <c r="AV1165" s="10">
        <v>4.3010000000000002</v>
      </c>
      <c r="AW1165" s="11" t="str">
        <f>IF(AND(ISNUMBER(AV1165),ISNUMBER(AT1165)),IF(AT1165&lt;&gt;0,AV1165/ABS(AT1165),""),"")</f>
        <v/>
      </c>
      <c r="AX1165" s="8">
        <v>0</v>
      </c>
      <c r="AY1165" s="8">
        <v>0</v>
      </c>
      <c r="AZ1165" s="10"/>
      <c r="BA1165" s="8">
        <v>0</v>
      </c>
    </row>
    <row r="1166" spans="1:53" x14ac:dyDescent="0.2">
      <c r="A1166" s="8" t="s">
        <v>682</v>
      </c>
      <c r="B1166" s="8" t="s">
        <v>83</v>
      </c>
      <c r="C1166" s="8" t="s">
        <v>290</v>
      </c>
      <c r="D1166" s="8">
        <v>0</v>
      </c>
      <c r="E1166" s="8">
        <v>0</v>
      </c>
      <c r="F1166" s="8">
        <f>SUM(G1166:M1166)</f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1</v>
      </c>
      <c r="Q1166" s="8">
        <v>0</v>
      </c>
      <c r="R1166" s="8">
        <v>0</v>
      </c>
      <c r="S1166" s="8">
        <v>1</v>
      </c>
      <c r="T1166" s="10">
        <v>-52.902999999999999</v>
      </c>
      <c r="U1166" s="10"/>
      <c r="V1166" s="10"/>
      <c r="W1166" s="10">
        <f>IF(RIGHT(C1166,2)="12",IF(ISNUMBER(T1166),T1166,""),IF(COUNT(T1166,U1166,V1166)=3,T1166+U1166-V1166,""))</f>
        <v>-52.902999999999999</v>
      </c>
      <c r="X1166" s="10">
        <v>-52.902999999999999</v>
      </c>
      <c r="Y1166" s="10">
        <v>-10.394</v>
      </c>
      <c r="Z1166" s="10">
        <v>4.3010000000000002</v>
      </c>
      <c r="AA1166" s="10">
        <v>-33.82</v>
      </c>
      <c r="AB1166" s="10">
        <v>-12.99</v>
      </c>
      <c r="AC1166" s="8">
        <v>0</v>
      </c>
      <c r="AD1166" s="8">
        <v>0</v>
      </c>
      <c r="AE1166" s="8">
        <v>0</v>
      </c>
      <c r="AF1166" s="10">
        <v>0</v>
      </c>
      <c r="AG1166" s="8">
        <f>COUNTIF(Y1166:AB1166,"&gt;0")</f>
        <v>1</v>
      </c>
      <c r="AH1166" s="10">
        <v>4.3010000000000002</v>
      </c>
      <c r="AI1166" s="10">
        <v>0</v>
      </c>
      <c r="AJ1166" s="8" t="str">
        <f>IF(ISNUMBER(X1166),IF(X1166&gt;0,"+",IF(X1166&lt;0,"−","0")),IF(ISNUMBER(W1166),IF(W1166&gt;0,"+",IF(W1166&lt;0,"−","0")),"yok"))</f>
        <v>−</v>
      </c>
      <c r="AK1166" s="10" t="str">
        <f>IF(AND(RIGHT(C1166,2)&lt;&gt;"12",ISNUMBER(U1166),ISNUMBER(V1166)),U1166-V1166,"")</f>
        <v/>
      </c>
      <c r="AL1166" s="11" t="str">
        <f>IF(AND(ISNUMBER(AK1166),ISNUMBER(V1166)),IF(V1166&lt;&gt;0,AK1166/ABS(V1166),""),"")</f>
        <v/>
      </c>
      <c r="AM1166" s="8" t="str">
        <f>IF(ISNUMBER(AK1166),IF(AK1166&gt;1,1,0),"")</f>
        <v/>
      </c>
      <c r="AN1166" s="8" t="str">
        <f>IF(ISNUMBER(AK1166),IF(AK1166&gt;0.05*ABS(V1166),1,0),"")</f>
        <v/>
      </c>
      <c r="AO1166" s="10"/>
      <c r="AP1166" s="10"/>
      <c r="AQ1166" s="10"/>
      <c r="AR1166" s="8">
        <v>0</v>
      </c>
      <c r="AS1166" s="10"/>
      <c r="AT1166" s="10"/>
      <c r="AU1166" s="10"/>
      <c r="AV1166" s="10">
        <v>4.3010000000000002</v>
      </c>
      <c r="AW1166" s="11" t="str">
        <f>IF(AND(ISNUMBER(AV1166),ISNUMBER(AT1166)),IF(AT1166&lt;&gt;0,AV1166/ABS(AT1166),""),"")</f>
        <v/>
      </c>
      <c r="AX1166" s="8">
        <v>0</v>
      </c>
      <c r="AY1166" s="8">
        <v>0</v>
      </c>
      <c r="AZ1166" s="10"/>
      <c r="BA1166" s="8">
        <v>0</v>
      </c>
    </row>
    <row r="1167" spans="1:53" x14ac:dyDescent="0.2">
      <c r="A1167" s="8" t="s">
        <v>685</v>
      </c>
      <c r="B1167" s="8" t="s">
        <v>84</v>
      </c>
      <c r="C1167" s="8" t="s">
        <v>205</v>
      </c>
      <c r="D1167" s="8">
        <v>0</v>
      </c>
      <c r="E1167" s="8">
        <v>0</v>
      </c>
      <c r="F1167" s="8">
        <f>SUM(G1167:M1167)</f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1</v>
      </c>
      <c r="Q1167" s="8">
        <v>0</v>
      </c>
      <c r="R1167" s="8">
        <v>0</v>
      </c>
      <c r="S1167" s="8">
        <v>1</v>
      </c>
      <c r="T1167" s="10">
        <v>-60.484999999999999</v>
      </c>
      <c r="U1167" s="10">
        <v>-521.52499999999998</v>
      </c>
      <c r="V1167" s="10">
        <v>0</v>
      </c>
      <c r="W1167" s="10">
        <f>IF(RIGHT(C1167,2)="12",IF(ISNUMBER(T1167),T1167,""),IF(COUNT(T1167,U1167,V1167)=3,T1167+U1167-V1167,""))</f>
        <v>-582.01</v>
      </c>
      <c r="X1167" s="10">
        <v>-582.01099999999997</v>
      </c>
      <c r="Y1167" s="10">
        <v>0</v>
      </c>
      <c r="Z1167" s="10">
        <v>-521.52499999999998</v>
      </c>
      <c r="AA1167" s="10">
        <v>-103.99299999999999</v>
      </c>
      <c r="AB1167" s="10">
        <v>43.508000000000003</v>
      </c>
      <c r="AC1167" s="8">
        <v>0</v>
      </c>
      <c r="AD1167" s="8">
        <v>0</v>
      </c>
      <c r="AE1167" s="8">
        <v>0</v>
      </c>
      <c r="AF1167" s="10">
        <v>0</v>
      </c>
      <c r="AG1167" s="8">
        <f>COUNTIF(Y1167:AB1167,"&gt;0")</f>
        <v>1</v>
      </c>
      <c r="AH1167" s="10">
        <v>43.508000000000003</v>
      </c>
      <c r="AI1167" s="10">
        <v>0</v>
      </c>
      <c r="AJ1167" s="8" t="str">
        <f>IF(ISNUMBER(X1167),IF(X1167&gt;0,"+",IF(X1167&lt;0,"−","0")),IF(ISNUMBER(W1167),IF(W1167&gt;0,"+",IF(W1167&lt;0,"−","0")),"yok"))</f>
        <v>−</v>
      </c>
      <c r="AK1167" s="10">
        <f>IF(AND(RIGHT(C1167,2)&lt;&gt;"12",ISNUMBER(U1167),ISNUMBER(V1167)),U1167-V1167,"")</f>
        <v>-521.52499999999998</v>
      </c>
      <c r="AL1167" s="11" t="str">
        <f>IF(AND(ISNUMBER(AK1167),ISNUMBER(V1167)),IF(V1167&lt;&gt;0,AK1167/ABS(V1167),""),"")</f>
        <v/>
      </c>
      <c r="AM1167" s="8">
        <f>IF(ISNUMBER(AK1167),IF(AK1167&gt;1,1,0),"")</f>
        <v>0</v>
      </c>
      <c r="AN1167" s="8">
        <f>IF(ISNUMBER(AK1167),IF(AK1167&gt;0.05*ABS(V1167),1,0),"")</f>
        <v>0</v>
      </c>
      <c r="AO1167" s="10"/>
      <c r="AP1167" s="10"/>
      <c r="AQ1167" s="10"/>
      <c r="AR1167" s="8">
        <v>0</v>
      </c>
      <c r="AS1167" s="10"/>
      <c r="AT1167" s="10"/>
      <c r="AU1167" s="10"/>
      <c r="AV1167" s="10">
        <v>43.508000000000003</v>
      </c>
      <c r="AW1167" s="11" t="str">
        <f>IF(AND(ISNUMBER(AV1167),ISNUMBER(AT1167)),IF(AT1167&lt;&gt;0,AV1167/ABS(AT1167),""),"")</f>
        <v/>
      </c>
      <c r="AX1167" s="8">
        <v>0</v>
      </c>
      <c r="AY1167" s="8">
        <v>0</v>
      </c>
      <c r="AZ1167" s="10"/>
      <c r="BA1167" s="8">
        <v>0</v>
      </c>
    </row>
    <row r="1168" spans="1:53" x14ac:dyDescent="0.2">
      <c r="A1168" s="8" t="s">
        <v>685</v>
      </c>
      <c r="B1168" s="8" t="s">
        <v>84</v>
      </c>
      <c r="C1168" s="8" t="s">
        <v>215</v>
      </c>
      <c r="D1168" s="8">
        <v>0</v>
      </c>
      <c r="E1168" s="8">
        <v>0</v>
      </c>
      <c r="F1168" s="8">
        <f>SUM(G1168:M1168)</f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1</v>
      </c>
      <c r="Q1168" s="8">
        <v>0</v>
      </c>
      <c r="R1168" s="8">
        <v>0</v>
      </c>
      <c r="S1168" s="8">
        <v>1</v>
      </c>
      <c r="T1168" s="10">
        <v>-59.863999999999997</v>
      </c>
      <c r="U1168" s="10">
        <v>-521.52499999999998</v>
      </c>
      <c r="V1168" s="10">
        <v>0</v>
      </c>
      <c r="W1168" s="10">
        <f>IF(RIGHT(C1168,2)="12",IF(ISNUMBER(T1168),T1168,""),IF(COUNT(T1168,U1168,V1168)=3,T1168+U1168-V1168,""))</f>
        <v>-581.38900000000001</v>
      </c>
      <c r="X1168" s="10">
        <v>-581.39</v>
      </c>
      <c r="Y1168" s="10">
        <v>-521.52499999999998</v>
      </c>
      <c r="Z1168" s="10">
        <v>-103.99299999999999</v>
      </c>
      <c r="AA1168" s="10">
        <v>43.508000000000003</v>
      </c>
      <c r="AB1168" s="10">
        <v>0.62</v>
      </c>
      <c r="AC1168" s="8">
        <v>0</v>
      </c>
      <c r="AD1168" s="8">
        <v>0</v>
      </c>
      <c r="AE1168" s="8">
        <v>0</v>
      </c>
      <c r="AF1168" s="10">
        <v>0</v>
      </c>
      <c r="AG1168" s="8">
        <f>COUNTIF(Y1168:AB1168,"&gt;0")</f>
        <v>2</v>
      </c>
      <c r="AH1168" s="10">
        <v>44.128</v>
      </c>
      <c r="AI1168" s="10">
        <v>0</v>
      </c>
      <c r="AJ1168" s="8" t="str">
        <f>IF(ISNUMBER(X1168),IF(X1168&gt;0,"+",IF(X1168&lt;0,"−","0")),IF(ISNUMBER(W1168),IF(W1168&gt;0,"+",IF(W1168&lt;0,"−","0")),"yok"))</f>
        <v>−</v>
      </c>
      <c r="AK1168" s="10">
        <f>IF(AND(RIGHT(C1168,2)&lt;&gt;"12",ISNUMBER(U1168),ISNUMBER(V1168)),U1168-V1168,"")</f>
        <v>-521.52499999999998</v>
      </c>
      <c r="AL1168" s="11" t="str">
        <f>IF(AND(ISNUMBER(AK1168),ISNUMBER(V1168)),IF(V1168&lt;&gt;0,AK1168/ABS(V1168),""),"")</f>
        <v/>
      </c>
      <c r="AM1168" s="8">
        <f>IF(ISNUMBER(AK1168),IF(AK1168&gt;1,1,0),"")</f>
        <v>0</v>
      </c>
      <c r="AN1168" s="8">
        <f>IF(ISNUMBER(AK1168),IF(AK1168&gt;0.05*ABS(V1168),1,0),"")</f>
        <v>0</v>
      </c>
      <c r="AO1168" s="10"/>
      <c r="AP1168" s="10"/>
      <c r="AQ1168" s="10"/>
      <c r="AR1168" s="8">
        <v>0</v>
      </c>
      <c r="AS1168" s="10"/>
      <c r="AT1168" s="10"/>
      <c r="AU1168" s="10"/>
      <c r="AV1168" s="10">
        <v>43.508000000000003</v>
      </c>
      <c r="AW1168" s="11" t="str">
        <f>IF(AND(ISNUMBER(AV1168),ISNUMBER(AT1168)),IF(AT1168&lt;&gt;0,AV1168/ABS(AT1168),""),"")</f>
        <v/>
      </c>
      <c r="AX1168" s="8">
        <v>0</v>
      </c>
      <c r="AY1168" s="8">
        <v>0</v>
      </c>
      <c r="AZ1168" s="10"/>
      <c r="BA1168" s="8">
        <v>0</v>
      </c>
    </row>
    <row r="1169" spans="1:53" x14ac:dyDescent="0.2">
      <c r="A1169" s="8" t="s">
        <v>685</v>
      </c>
      <c r="B1169" s="8" t="s">
        <v>84</v>
      </c>
      <c r="C1169" s="8" t="s">
        <v>290</v>
      </c>
      <c r="D1169" s="8">
        <v>0</v>
      </c>
      <c r="E1169" s="8">
        <v>0</v>
      </c>
      <c r="F1169" s="8">
        <f>SUM(G1169:M1169)</f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1</v>
      </c>
      <c r="Q1169" s="8">
        <v>0</v>
      </c>
      <c r="R1169" s="8">
        <v>0</v>
      </c>
      <c r="S1169" s="8">
        <v>1</v>
      </c>
      <c r="T1169" s="10">
        <v>-384.113</v>
      </c>
      <c r="U1169" s="10"/>
      <c r="V1169" s="10"/>
      <c r="W1169" s="10">
        <f>IF(RIGHT(C1169,2)="12",IF(ISNUMBER(T1169),T1169,""),IF(COUNT(T1169,U1169,V1169)=3,T1169+U1169-V1169,""))</f>
        <v>-384.113</v>
      </c>
      <c r="X1169" s="10">
        <v>-384.113</v>
      </c>
      <c r="Y1169" s="10">
        <v>-103.99299999999999</v>
      </c>
      <c r="Z1169" s="10">
        <v>43.508000000000003</v>
      </c>
      <c r="AA1169" s="10">
        <v>0.62</v>
      </c>
      <c r="AB1169" s="10">
        <v>-324.24900000000002</v>
      </c>
      <c r="AC1169" s="8">
        <v>0</v>
      </c>
      <c r="AD1169" s="8">
        <v>0</v>
      </c>
      <c r="AE1169" s="8">
        <v>0</v>
      </c>
      <c r="AF1169" s="10">
        <v>0</v>
      </c>
      <c r="AG1169" s="8">
        <f>COUNTIF(Y1169:AB1169,"&gt;0")</f>
        <v>2</v>
      </c>
      <c r="AH1169" s="10">
        <v>44.128</v>
      </c>
      <c r="AI1169" s="10">
        <v>0</v>
      </c>
      <c r="AJ1169" s="8" t="str">
        <f>IF(ISNUMBER(X1169),IF(X1169&gt;0,"+",IF(X1169&lt;0,"−","0")),IF(ISNUMBER(W1169),IF(W1169&gt;0,"+",IF(W1169&lt;0,"−","0")),"yok"))</f>
        <v>−</v>
      </c>
      <c r="AK1169" s="10" t="str">
        <f>IF(AND(RIGHT(C1169,2)&lt;&gt;"12",ISNUMBER(U1169),ISNUMBER(V1169)),U1169-V1169,"")</f>
        <v/>
      </c>
      <c r="AL1169" s="11" t="str">
        <f>IF(AND(ISNUMBER(AK1169),ISNUMBER(V1169)),IF(V1169&lt;&gt;0,AK1169/ABS(V1169),""),"")</f>
        <v/>
      </c>
      <c r="AM1169" s="8" t="str">
        <f>IF(ISNUMBER(AK1169),IF(AK1169&gt;1,1,0),"")</f>
        <v/>
      </c>
      <c r="AN1169" s="8" t="str">
        <f>IF(ISNUMBER(AK1169),IF(AK1169&gt;0.05*ABS(V1169),1,0),"")</f>
        <v/>
      </c>
      <c r="AO1169" s="10"/>
      <c r="AP1169" s="10"/>
      <c r="AQ1169" s="10"/>
      <c r="AR1169" s="8">
        <v>0</v>
      </c>
      <c r="AS1169" s="10"/>
      <c r="AT1169" s="10"/>
      <c r="AU1169" s="10"/>
      <c r="AV1169" s="10">
        <v>43.508000000000003</v>
      </c>
      <c r="AW1169" s="11" t="str">
        <f>IF(AND(ISNUMBER(AV1169),ISNUMBER(AT1169)),IF(AT1169&lt;&gt;0,AV1169/ABS(AT1169),""),"")</f>
        <v/>
      </c>
      <c r="AX1169" s="8">
        <v>0</v>
      </c>
      <c r="AY1169" s="8">
        <v>0</v>
      </c>
      <c r="AZ1169" s="10"/>
      <c r="BA1169" s="8">
        <v>0</v>
      </c>
    </row>
    <row r="1170" spans="1:53" x14ac:dyDescent="0.2">
      <c r="A1170" s="8" t="s">
        <v>686</v>
      </c>
      <c r="B1170" s="8" t="s">
        <v>84</v>
      </c>
      <c r="C1170" s="8" t="s">
        <v>215</v>
      </c>
      <c r="D1170" s="8">
        <v>0</v>
      </c>
      <c r="E1170" s="8">
        <v>0</v>
      </c>
      <c r="F1170" s="8">
        <f>SUM(G1170:M1170)</f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1</v>
      </c>
      <c r="Q1170" s="8">
        <v>0</v>
      </c>
      <c r="R1170" s="8">
        <v>0</v>
      </c>
      <c r="S1170" s="8">
        <v>1</v>
      </c>
      <c r="T1170" s="10">
        <v>-320.42599999999999</v>
      </c>
      <c r="U1170" s="10">
        <v>-446.423</v>
      </c>
      <c r="V1170" s="10">
        <v>-450.697</v>
      </c>
      <c r="W1170" s="10">
        <f>IF(RIGHT(C1170,2)="12",IF(ISNUMBER(T1170),T1170,""),IF(COUNT(T1170,U1170,V1170)=3,T1170+U1170-V1170,""))</f>
        <v>-316.15199999999993</v>
      </c>
      <c r="X1170" s="10">
        <v>-316.15199999999999</v>
      </c>
      <c r="Y1170" s="10">
        <v>4.2729999999999997</v>
      </c>
      <c r="Z1170" s="10">
        <v>-121.31399999999999</v>
      </c>
      <c r="AA1170" s="10">
        <v>136.96600000000001</v>
      </c>
      <c r="AB1170" s="10">
        <v>-336.07799999999997</v>
      </c>
      <c r="AC1170" s="8">
        <v>0</v>
      </c>
      <c r="AD1170" s="8">
        <v>0</v>
      </c>
      <c r="AE1170" s="8">
        <v>0</v>
      </c>
      <c r="AF1170" s="10">
        <v>0</v>
      </c>
      <c r="AG1170" s="8">
        <f>COUNTIF(Y1170:AB1170,"&gt;0")</f>
        <v>2</v>
      </c>
      <c r="AH1170" s="10">
        <v>136.96600000000001</v>
      </c>
      <c r="AI1170" s="10">
        <v>4.2729999999999997</v>
      </c>
      <c r="AJ1170" s="8" t="str">
        <f>IF(ISNUMBER(X1170),IF(X1170&gt;0,"+",IF(X1170&lt;0,"−","0")),IF(ISNUMBER(W1170),IF(W1170&gt;0,"+",IF(W1170&lt;0,"−","0")),"yok"))</f>
        <v>−</v>
      </c>
      <c r="AK1170" s="10">
        <f>IF(AND(RIGHT(C1170,2)&lt;&gt;"12",ISNUMBER(U1170),ISNUMBER(V1170)),U1170-V1170,"")</f>
        <v>4.2740000000000009</v>
      </c>
      <c r="AL1170" s="11">
        <f>IF(AND(ISNUMBER(AK1170),ISNUMBER(V1170)),IF(V1170&lt;&gt;0,AK1170/ABS(V1170),""),"")</f>
        <v>9.4830895257789621E-3</v>
      </c>
      <c r="AM1170" s="8">
        <f>IF(ISNUMBER(AK1170),IF(AK1170&gt;1,1,0),"")</f>
        <v>1</v>
      </c>
      <c r="AN1170" s="8">
        <f>IF(ISNUMBER(AK1170),IF(AK1170&gt;0.05*ABS(V1170),1,0),"")</f>
        <v>0</v>
      </c>
      <c r="AO1170" s="10"/>
      <c r="AP1170" s="10"/>
      <c r="AQ1170" s="10"/>
      <c r="AR1170" s="8">
        <v>0</v>
      </c>
      <c r="AS1170" s="10"/>
      <c r="AT1170" s="10"/>
      <c r="AU1170" s="10"/>
      <c r="AV1170" s="10">
        <v>4.274</v>
      </c>
      <c r="AW1170" s="11" t="str">
        <f>IF(AND(ISNUMBER(AV1170),ISNUMBER(AT1170)),IF(AT1170&lt;&gt;0,AV1170/ABS(AT1170),""),"")</f>
        <v/>
      </c>
      <c r="AX1170" s="8">
        <v>0</v>
      </c>
      <c r="AY1170" s="8">
        <v>0</v>
      </c>
      <c r="AZ1170" s="10"/>
      <c r="BA1170" s="8">
        <v>0</v>
      </c>
    </row>
    <row r="1171" spans="1:53" x14ac:dyDescent="0.2">
      <c r="A1171" s="8" t="s">
        <v>686</v>
      </c>
      <c r="B1171" s="8" t="s">
        <v>84</v>
      </c>
      <c r="C1171" s="8" t="s">
        <v>210</v>
      </c>
      <c r="D1171" s="8">
        <v>0</v>
      </c>
      <c r="E1171" s="8">
        <v>0</v>
      </c>
      <c r="F1171" s="8">
        <f>SUM(G1171:M1171)</f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1</v>
      </c>
      <c r="P1171" s="8">
        <v>0</v>
      </c>
      <c r="Q1171" s="8">
        <v>0</v>
      </c>
      <c r="R1171" s="8">
        <v>0</v>
      </c>
      <c r="S1171" s="8">
        <v>0</v>
      </c>
      <c r="T1171" s="10"/>
      <c r="U1171" s="10"/>
      <c r="V1171" s="10">
        <v>15.651</v>
      </c>
      <c r="W1171" s="10" t="str">
        <f>IF(RIGHT(C1171,2)="12",IF(ISNUMBER(T1171),T1171,""),IF(COUNT(T1171,U1171,V1171)=3,T1171+U1171-V1171,""))</f>
        <v/>
      </c>
      <c r="X1171" s="10"/>
      <c r="Y1171" s="10">
        <v>-336.07799999999997</v>
      </c>
      <c r="Z1171" s="10"/>
      <c r="AA1171" s="10">
        <v>-36.671999999999997</v>
      </c>
      <c r="AB1171" s="10"/>
      <c r="AC1171" s="8">
        <v>0</v>
      </c>
      <c r="AD1171" s="8">
        <v>0</v>
      </c>
      <c r="AE1171" s="8">
        <v>1</v>
      </c>
      <c r="AF1171" s="10">
        <v>15.651</v>
      </c>
      <c r="AG1171" s="8">
        <f>COUNTIF(Y1171:AB1171,"&gt;0")</f>
        <v>0</v>
      </c>
      <c r="AH1171" s="10">
        <v>0</v>
      </c>
      <c r="AI1171" s="10">
        <v>0</v>
      </c>
      <c r="AJ1171" s="8" t="str">
        <f>IF(ISNUMBER(X1171),IF(X1171&gt;0,"+",IF(X1171&lt;0,"−","0")),IF(ISNUMBER(W1171),IF(W1171&gt;0,"+",IF(W1171&lt;0,"−","0")),"yok"))</f>
        <v>yok</v>
      </c>
      <c r="AK1171" s="10" t="str">
        <f>IF(AND(RIGHT(C1171,2)&lt;&gt;"12",ISNUMBER(U1171),ISNUMBER(V1171)),U1171-V1171,"")</f>
        <v/>
      </c>
      <c r="AL1171" s="11" t="str">
        <f>IF(AND(ISNUMBER(AK1171),ISNUMBER(V1171)),IF(V1171&lt;&gt;0,AK1171/ABS(V1171),""),"")</f>
        <v/>
      </c>
      <c r="AM1171" s="8" t="str">
        <f>IF(ISNUMBER(AK1171),IF(AK1171&gt;1,1,0),"")</f>
        <v/>
      </c>
      <c r="AN1171" s="8" t="str">
        <f>IF(ISNUMBER(AK1171),IF(AK1171&gt;0.05*ABS(V1171),1,0),"")</f>
        <v/>
      </c>
      <c r="AO1171" s="10"/>
      <c r="AP1171" s="10"/>
      <c r="AQ1171" s="10"/>
      <c r="AR1171" s="8">
        <v>0</v>
      </c>
      <c r="AS1171" s="10"/>
      <c r="AT1171" s="10"/>
      <c r="AU1171" s="10"/>
      <c r="AV1171" s="10">
        <v>15.651</v>
      </c>
      <c r="AW1171" s="11" t="str">
        <f>IF(AND(ISNUMBER(AV1171),ISNUMBER(AT1171)),IF(AT1171&lt;&gt;0,AV1171/ABS(AT1171),""),"")</f>
        <v/>
      </c>
      <c r="AX1171" s="8">
        <v>1</v>
      </c>
      <c r="AY1171" s="8">
        <v>0</v>
      </c>
      <c r="AZ1171" s="8" t="s">
        <v>726</v>
      </c>
      <c r="BA1171" s="8">
        <v>0</v>
      </c>
    </row>
    <row r="1172" spans="1:53" x14ac:dyDescent="0.2">
      <c r="A1172" s="8" t="s">
        <v>688</v>
      </c>
      <c r="B1172" s="8" t="s">
        <v>83</v>
      </c>
      <c r="C1172" s="8" t="s">
        <v>215</v>
      </c>
      <c r="D1172" s="8">
        <v>0</v>
      </c>
      <c r="E1172" s="8">
        <v>0</v>
      </c>
      <c r="F1172" s="8">
        <f>SUM(G1172:M1172)</f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1</v>
      </c>
      <c r="Q1172" s="8">
        <v>0</v>
      </c>
      <c r="R1172" s="8">
        <v>0</v>
      </c>
      <c r="S1172" s="8">
        <v>1</v>
      </c>
      <c r="T1172" s="10">
        <v>-4946.2960000000003</v>
      </c>
      <c r="U1172" s="10">
        <v>-5570.5879999999997</v>
      </c>
      <c r="V1172" s="10">
        <v>-3275.2190000000001</v>
      </c>
      <c r="W1172" s="10">
        <f>IF(RIGHT(C1172,2)="12",IF(ISNUMBER(T1172),T1172,""),IF(COUNT(T1172,U1172,V1172)=3,T1172+U1172-V1172,""))</f>
        <v>-7241.665</v>
      </c>
      <c r="X1172" s="10">
        <v>-7241.665</v>
      </c>
      <c r="Y1172" s="10">
        <v>-2295.3679999999999</v>
      </c>
      <c r="Z1172" s="10">
        <v>-2253.1379999999999</v>
      </c>
      <c r="AA1172" s="10">
        <v>-4561.7070000000003</v>
      </c>
      <c r="AB1172" s="10">
        <v>1868.549</v>
      </c>
      <c r="AC1172" s="8">
        <v>0</v>
      </c>
      <c r="AD1172" s="8">
        <v>0</v>
      </c>
      <c r="AE1172" s="8">
        <v>0</v>
      </c>
      <c r="AF1172" s="10">
        <v>0</v>
      </c>
      <c r="AG1172" s="8">
        <f>COUNTIF(Y1172:AB1172,"&gt;0")</f>
        <v>1</v>
      </c>
      <c r="AH1172" s="10">
        <v>1868.549</v>
      </c>
      <c r="AI1172" s="10">
        <v>0</v>
      </c>
      <c r="AJ1172" s="8" t="str">
        <f>IF(ISNUMBER(X1172),IF(X1172&gt;0,"+",IF(X1172&lt;0,"−","0")),IF(ISNUMBER(W1172),IF(W1172&gt;0,"+",IF(W1172&lt;0,"−","0")),"yok"))</f>
        <v>−</v>
      </c>
      <c r="AK1172" s="10">
        <f>IF(AND(RIGHT(C1172,2)&lt;&gt;"12",ISNUMBER(U1172),ISNUMBER(V1172)),U1172-V1172,"")</f>
        <v>-2295.3689999999997</v>
      </c>
      <c r="AL1172" s="11">
        <f>IF(AND(ISNUMBER(AK1172),ISNUMBER(V1172)),IF(V1172&lt;&gt;0,AK1172/ABS(V1172),""),"")</f>
        <v>-0.7008291659275302</v>
      </c>
      <c r="AM1172" s="8">
        <f>IF(ISNUMBER(AK1172),IF(AK1172&gt;1,1,0),"")</f>
        <v>0</v>
      </c>
      <c r="AN1172" s="8">
        <f>IF(ISNUMBER(AK1172),IF(AK1172&gt;0.05*ABS(V1172),1,0),"")</f>
        <v>0</v>
      </c>
      <c r="AO1172" s="10"/>
      <c r="AP1172" s="10"/>
      <c r="AQ1172" s="10"/>
      <c r="AR1172" s="8">
        <v>0</v>
      </c>
      <c r="AS1172" s="10"/>
      <c r="AT1172" s="10"/>
      <c r="AU1172" s="10"/>
      <c r="AV1172" s="10">
        <v>1868.549</v>
      </c>
      <c r="AW1172" s="11" t="str">
        <f>IF(AND(ISNUMBER(AV1172),ISNUMBER(AT1172)),IF(AT1172&lt;&gt;0,AV1172/ABS(AT1172),""),"")</f>
        <v/>
      </c>
      <c r="AX1172" s="8">
        <v>0</v>
      </c>
      <c r="AY1172" s="8">
        <v>0</v>
      </c>
      <c r="AZ1172" s="10"/>
      <c r="BA1172" s="8">
        <v>0</v>
      </c>
    </row>
    <row r="1173" spans="1:53" x14ac:dyDescent="0.2">
      <c r="A1173" s="8" t="s">
        <v>688</v>
      </c>
      <c r="B1173" s="8" t="s">
        <v>83</v>
      </c>
      <c r="C1173" s="8" t="s">
        <v>290</v>
      </c>
      <c r="D1173" s="8">
        <v>0</v>
      </c>
      <c r="E1173" s="8">
        <v>0</v>
      </c>
      <c r="F1173" s="8">
        <f>SUM(G1173:M1173)</f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1</v>
      </c>
      <c r="Q1173" s="8">
        <v>0</v>
      </c>
      <c r="R1173" s="8">
        <v>0</v>
      </c>
      <c r="S1173" s="8">
        <v>1</v>
      </c>
      <c r="T1173" s="10">
        <v>-5347.2749999999996</v>
      </c>
      <c r="U1173" s="10"/>
      <c r="V1173" s="10"/>
      <c r="W1173" s="10">
        <f>IF(RIGHT(C1173,2)="12",IF(ISNUMBER(T1173),T1173,""),IF(COUNT(T1173,U1173,V1173)=3,T1173+U1173-V1173,""))</f>
        <v>-5347.2749999999996</v>
      </c>
      <c r="X1173" s="10">
        <v>-5347.2749999999996</v>
      </c>
      <c r="Y1173" s="10">
        <v>-2253.1379999999999</v>
      </c>
      <c r="Z1173" s="10">
        <v>-4561.7070000000003</v>
      </c>
      <c r="AA1173" s="10">
        <v>1868.549</v>
      </c>
      <c r="AB1173" s="10">
        <v>-400.97800000000001</v>
      </c>
      <c r="AC1173" s="8">
        <v>0</v>
      </c>
      <c r="AD1173" s="8">
        <v>0</v>
      </c>
      <c r="AE1173" s="8">
        <v>0</v>
      </c>
      <c r="AF1173" s="10">
        <v>0</v>
      </c>
      <c r="AG1173" s="8">
        <f>COUNTIF(Y1173:AB1173,"&gt;0")</f>
        <v>1</v>
      </c>
      <c r="AH1173" s="10">
        <v>1868.549</v>
      </c>
      <c r="AI1173" s="10">
        <v>0</v>
      </c>
      <c r="AJ1173" s="8" t="str">
        <f>IF(ISNUMBER(X1173),IF(X1173&gt;0,"+",IF(X1173&lt;0,"−","0")),IF(ISNUMBER(W1173),IF(W1173&gt;0,"+",IF(W1173&lt;0,"−","0")),"yok"))</f>
        <v>−</v>
      </c>
      <c r="AK1173" s="10" t="str">
        <f>IF(AND(RIGHT(C1173,2)&lt;&gt;"12",ISNUMBER(U1173),ISNUMBER(V1173)),U1173-V1173,"")</f>
        <v/>
      </c>
      <c r="AL1173" s="11" t="str">
        <f>IF(AND(ISNUMBER(AK1173),ISNUMBER(V1173)),IF(V1173&lt;&gt;0,AK1173/ABS(V1173),""),"")</f>
        <v/>
      </c>
      <c r="AM1173" s="8" t="str">
        <f>IF(ISNUMBER(AK1173),IF(AK1173&gt;1,1,0),"")</f>
        <v/>
      </c>
      <c r="AN1173" s="8" t="str">
        <f>IF(ISNUMBER(AK1173),IF(AK1173&gt;0.05*ABS(V1173),1,0),"")</f>
        <v/>
      </c>
      <c r="AO1173" s="10"/>
      <c r="AP1173" s="10"/>
      <c r="AQ1173" s="10"/>
      <c r="AR1173" s="8">
        <v>0</v>
      </c>
      <c r="AS1173" s="10"/>
      <c r="AT1173" s="10"/>
      <c r="AU1173" s="10"/>
      <c r="AV1173" s="10">
        <v>1868.549</v>
      </c>
      <c r="AW1173" s="11" t="str">
        <f>IF(AND(ISNUMBER(AV1173),ISNUMBER(AT1173)),IF(AT1173&lt;&gt;0,AV1173/ABS(AT1173),""),"")</f>
        <v/>
      </c>
      <c r="AX1173" s="8">
        <v>0</v>
      </c>
      <c r="AY1173" s="8">
        <v>0</v>
      </c>
      <c r="AZ1173" s="10"/>
      <c r="BA1173" s="8">
        <v>0</v>
      </c>
    </row>
    <row r="1174" spans="1:53" x14ac:dyDescent="0.2">
      <c r="A1174" s="8" t="s">
        <v>690</v>
      </c>
      <c r="B1174" s="8" t="s">
        <v>83</v>
      </c>
      <c r="C1174" s="8" t="s">
        <v>210</v>
      </c>
      <c r="D1174" s="8">
        <v>0</v>
      </c>
      <c r="E1174" s="8">
        <v>0</v>
      </c>
      <c r="F1174" s="8">
        <f>SUM(G1174:M1174)</f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1</v>
      </c>
      <c r="Q1174" s="8">
        <v>0</v>
      </c>
      <c r="R1174" s="8">
        <v>0</v>
      </c>
      <c r="S1174" s="8">
        <v>1</v>
      </c>
      <c r="T1174" s="10">
        <v>-30.013999999999999</v>
      </c>
      <c r="U1174" s="10">
        <v>-55.003999999999998</v>
      </c>
      <c r="V1174" s="10">
        <v>-32.615000000000002</v>
      </c>
      <c r="W1174" s="10">
        <f>IF(RIGHT(C1174,2)="12",IF(ISNUMBER(T1174),T1174,""),IF(COUNT(T1174,U1174,V1174)=3,T1174+U1174-V1174,""))</f>
        <v>-52.402999999999999</v>
      </c>
      <c r="X1174" s="10">
        <v>-52.402999999999999</v>
      </c>
      <c r="Y1174" s="10">
        <v>-1.802</v>
      </c>
      <c r="Z1174" s="10">
        <v>-20.587</v>
      </c>
      <c r="AA1174" s="10">
        <v>-37.743000000000002</v>
      </c>
      <c r="AB1174" s="10">
        <v>7.7290000000000001</v>
      </c>
      <c r="AC1174" s="8">
        <v>0</v>
      </c>
      <c r="AD1174" s="8">
        <v>0</v>
      </c>
      <c r="AE1174" s="8">
        <v>0</v>
      </c>
      <c r="AF1174" s="10">
        <v>0</v>
      </c>
      <c r="AG1174" s="8">
        <f>COUNTIF(Y1174:AB1174,"&gt;0")</f>
        <v>1</v>
      </c>
      <c r="AH1174" s="10">
        <v>7.7290000000000001</v>
      </c>
      <c r="AI1174" s="10">
        <v>0</v>
      </c>
      <c r="AJ1174" s="8" t="str">
        <f>IF(ISNUMBER(X1174),IF(X1174&gt;0,"+",IF(X1174&lt;0,"−","0")),IF(ISNUMBER(W1174),IF(W1174&gt;0,"+",IF(W1174&lt;0,"−","0")),"yok"))</f>
        <v>−</v>
      </c>
      <c r="AK1174" s="10">
        <f>IF(AND(RIGHT(C1174,2)&lt;&gt;"12",ISNUMBER(U1174),ISNUMBER(V1174)),U1174-V1174,"")</f>
        <v>-22.388999999999996</v>
      </c>
      <c r="AL1174" s="11">
        <f>IF(AND(ISNUMBER(AK1174),ISNUMBER(V1174)),IF(V1174&lt;&gt;0,AK1174/ABS(V1174),""),"")</f>
        <v>-0.68646328376513854</v>
      </c>
      <c r="AM1174" s="8">
        <f>IF(ISNUMBER(AK1174),IF(AK1174&gt;1,1,0),"")</f>
        <v>0</v>
      </c>
      <c r="AN1174" s="8">
        <f>IF(ISNUMBER(AK1174),IF(AK1174&gt;0.05*ABS(V1174),1,0),"")</f>
        <v>0</v>
      </c>
      <c r="AO1174" s="10"/>
      <c r="AP1174" s="10"/>
      <c r="AQ1174" s="10"/>
      <c r="AR1174" s="8">
        <v>0</v>
      </c>
      <c r="AS1174" s="10"/>
      <c r="AT1174" s="10"/>
      <c r="AU1174" s="10"/>
      <c r="AV1174" s="10">
        <v>7.7290000000000001</v>
      </c>
      <c r="AW1174" s="11" t="str">
        <f>IF(AND(ISNUMBER(AV1174),ISNUMBER(AT1174)),IF(AT1174&lt;&gt;0,AV1174/ABS(AT1174),""),"")</f>
        <v/>
      </c>
      <c r="AX1174" s="8">
        <v>0</v>
      </c>
      <c r="AY1174" s="8">
        <v>0</v>
      </c>
      <c r="AZ1174" s="10"/>
      <c r="BA1174" s="8">
        <v>0</v>
      </c>
    </row>
    <row r="1175" spans="1:53" x14ac:dyDescent="0.2">
      <c r="A1175" s="8" t="s">
        <v>690</v>
      </c>
      <c r="B1175" s="8" t="s">
        <v>84</v>
      </c>
      <c r="C1175" s="8" t="s">
        <v>290</v>
      </c>
      <c r="D1175" s="8">
        <v>0</v>
      </c>
      <c r="E1175" s="8">
        <v>0</v>
      </c>
      <c r="F1175" s="8">
        <f>SUM(G1175:M1175)</f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1</v>
      </c>
      <c r="Q1175" s="8">
        <v>0</v>
      </c>
      <c r="R1175" s="8">
        <v>0</v>
      </c>
      <c r="S1175" s="8">
        <v>1</v>
      </c>
      <c r="T1175" s="10">
        <v>-527.28200000000004</v>
      </c>
      <c r="U1175" s="10"/>
      <c r="V1175" s="10"/>
      <c r="W1175" s="10">
        <f>IF(RIGHT(C1175,2)="12",IF(ISNUMBER(T1175),T1175,""),IF(COUNT(T1175,U1175,V1175)=3,T1175+U1175-V1175,""))</f>
        <v>-527.28200000000004</v>
      </c>
      <c r="X1175" s="10">
        <v>-527.28200000000004</v>
      </c>
      <c r="Y1175" s="10">
        <v>0</v>
      </c>
      <c r="Z1175" s="10">
        <v>-117.33</v>
      </c>
      <c r="AA1175" s="10">
        <v>532.35599999999999</v>
      </c>
      <c r="AB1175" s="10">
        <v>-942.30899999999997</v>
      </c>
      <c r="AC1175" s="8">
        <v>0</v>
      </c>
      <c r="AD1175" s="8">
        <v>0</v>
      </c>
      <c r="AE1175" s="8">
        <v>0</v>
      </c>
      <c r="AF1175" s="10">
        <v>0</v>
      </c>
      <c r="AG1175" s="8">
        <f>COUNTIF(Y1175:AB1175,"&gt;0")</f>
        <v>1</v>
      </c>
      <c r="AH1175" s="10">
        <v>532.35599999999999</v>
      </c>
      <c r="AI1175" s="10">
        <v>0</v>
      </c>
      <c r="AJ1175" s="8" t="str">
        <f>IF(ISNUMBER(X1175),IF(X1175&gt;0,"+",IF(X1175&lt;0,"−","0")),IF(ISNUMBER(W1175),IF(W1175&gt;0,"+",IF(W1175&lt;0,"−","0")),"yok"))</f>
        <v>−</v>
      </c>
      <c r="AK1175" s="10" t="str">
        <f>IF(AND(RIGHT(C1175,2)&lt;&gt;"12",ISNUMBER(U1175),ISNUMBER(V1175)),U1175-V1175,"")</f>
        <v/>
      </c>
      <c r="AL1175" s="11" t="str">
        <f>IF(AND(ISNUMBER(AK1175),ISNUMBER(V1175)),IF(V1175&lt;&gt;0,AK1175/ABS(V1175),""),"")</f>
        <v/>
      </c>
      <c r="AM1175" s="8" t="str">
        <f>IF(ISNUMBER(AK1175),IF(AK1175&gt;1,1,0),"")</f>
        <v/>
      </c>
      <c r="AN1175" s="8" t="str">
        <f>IF(ISNUMBER(AK1175),IF(AK1175&gt;0.05*ABS(V1175),1,0),"")</f>
        <v/>
      </c>
      <c r="AO1175" s="10"/>
      <c r="AP1175" s="10"/>
      <c r="AQ1175" s="10"/>
      <c r="AR1175" s="8">
        <v>0</v>
      </c>
      <c r="AS1175" s="10"/>
      <c r="AT1175" s="10"/>
      <c r="AU1175" s="10"/>
      <c r="AV1175" s="10">
        <v>532.35599999999999</v>
      </c>
      <c r="AW1175" s="11" t="str">
        <f>IF(AND(ISNUMBER(AV1175),ISNUMBER(AT1175)),IF(AT1175&lt;&gt;0,AV1175/ABS(AT1175),""),"")</f>
        <v/>
      </c>
      <c r="AX1175" s="8">
        <v>0</v>
      </c>
      <c r="AY1175" s="8">
        <v>0</v>
      </c>
      <c r="AZ1175" s="10"/>
      <c r="BA1175" s="8">
        <v>0</v>
      </c>
    </row>
    <row r="1176" spans="1:53" x14ac:dyDescent="0.2">
      <c r="A1176" s="8" t="s">
        <v>727</v>
      </c>
      <c r="B1176" s="8" t="s">
        <v>82</v>
      </c>
      <c r="C1176" s="8" t="s">
        <v>290</v>
      </c>
      <c r="D1176" s="8">
        <v>0</v>
      </c>
      <c r="E1176" s="8">
        <v>0</v>
      </c>
      <c r="F1176" s="8">
        <f>SUM(G1176:M1176)</f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0</v>
      </c>
      <c r="P1176" s="8">
        <v>1</v>
      </c>
      <c r="Q1176" s="8">
        <v>0</v>
      </c>
      <c r="R1176" s="8">
        <v>0</v>
      </c>
      <c r="S1176" s="8">
        <v>1</v>
      </c>
      <c r="T1176" s="10">
        <v>-4.8179999999999996</v>
      </c>
      <c r="U1176" s="10"/>
      <c r="V1176" s="10"/>
      <c r="W1176" s="10">
        <f>IF(RIGHT(C1176,2)="12",IF(ISNUMBER(T1176),T1176,""),IF(COUNT(T1176,U1176,V1176)=3,T1176+U1176-V1176,""))</f>
        <v>-4.8179999999999996</v>
      </c>
      <c r="X1176" s="10">
        <v>-4.8179999999999996</v>
      </c>
      <c r="Y1176" s="10">
        <v>-1.4670000000000001</v>
      </c>
      <c r="Z1176" s="10">
        <v>-2.2509999999999999</v>
      </c>
      <c r="AA1176" s="10">
        <v>-50.448</v>
      </c>
      <c r="AB1176" s="10">
        <v>49.347999999999999</v>
      </c>
      <c r="AC1176" s="8">
        <v>0</v>
      </c>
      <c r="AD1176" s="8">
        <v>0</v>
      </c>
      <c r="AE1176" s="8">
        <v>0</v>
      </c>
      <c r="AF1176" s="10">
        <v>0</v>
      </c>
      <c r="AG1176" s="8">
        <f>COUNTIF(Y1176:AB1176,"&gt;0")</f>
        <v>1</v>
      </c>
      <c r="AH1176" s="10">
        <v>49.347999999999999</v>
      </c>
      <c r="AI1176" s="10">
        <v>0</v>
      </c>
      <c r="AJ1176" s="8" t="str">
        <f>IF(ISNUMBER(X1176),IF(X1176&gt;0,"+",IF(X1176&lt;0,"−","0")),IF(ISNUMBER(W1176),IF(W1176&gt;0,"+",IF(W1176&lt;0,"−","0")),"yok"))</f>
        <v>−</v>
      </c>
      <c r="AK1176" s="10" t="str">
        <f>IF(AND(RIGHT(C1176,2)&lt;&gt;"12",ISNUMBER(U1176),ISNUMBER(V1176)),U1176-V1176,"")</f>
        <v/>
      </c>
      <c r="AL1176" s="11" t="str">
        <f>IF(AND(ISNUMBER(AK1176),ISNUMBER(V1176)),IF(V1176&lt;&gt;0,AK1176/ABS(V1176),""),"")</f>
        <v/>
      </c>
      <c r="AM1176" s="8" t="str">
        <f>IF(ISNUMBER(AK1176),IF(AK1176&gt;1,1,0),"")</f>
        <v/>
      </c>
      <c r="AN1176" s="8" t="str">
        <f>IF(ISNUMBER(AK1176),IF(AK1176&gt;0.05*ABS(V1176),1,0),"")</f>
        <v/>
      </c>
      <c r="AO1176" s="10"/>
      <c r="AP1176" s="10"/>
      <c r="AQ1176" s="10"/>
      <c r="AR1176" s="8">
        <v>0</v>
      </c>
      <c r="AS1176" s="10"/>
      <c r="AT1176" s="10"/>
      <c r="AU1176" s="10"/>
      <c r="AV1176" s="10">
        <v>49.347999999999999</v>
      </c>
      <c r="AW1176" s="11" t="str">
        <f>IF(AND(ISNUMBER(AV1176),ISNUMBER(AT1176)),IF(AT1176&lt;&gt;0,AV1176/ABS(AT1176),""),"")</f>
        <v/>
      </c>
      <c r="AX1176" s="8">
        <v>0</v>
      </c>
      <c r="AY1176" s="8">
        <v>0</v>
      </c>
      <c r="AZ1176" s="10"/>
      <c r="BA1176" s="8">
        <v>0</v>
      </c>
    </row>
    <row r="1177" spans="1:53" x14ac:dyDescent="0.2">
      <c r="A1177" s="8" t="s">
        <v>727</v>
      </c>
      <c r="B1177" s="8" t="s">
        <v>82</v>
      </c>
      <c r="C1177" s="8" t="s">
        <v>208</v>
      </c>
      <c r="D1177" s="8">
        <v>0</v>
      </c>
      <c r="E1177" s="8">
        <v>0</v>
      </c>
      <c r="F1177" s="8">
        <f>SUM(G1177:M1177)</f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1</v>
      </c>
      <c r="Q1177" s="8">
        <v>0</v>
      </c>
      <c r="R1177" s="8">
        <v>1</v>
      </c>
      <c r="S1177" s="8">
        <v>0</v>
      </c>
      <c r="T1177" s="10">
        <v>-1.0940000000000001</v>
      </c>
      <c r="U1177" s="10">
        <v>-4.8179999999999996</v>
      </c>
      <c r="V1177" s="10">
        <v>-1.4670000000000001</v>
      </c>
      <c r="W1177" s="10">
        <f>IF(RIGHT(C1177,2)="12",IF(ISNUMBER(T1177),T1177,""),IF(COUNT(T1177,U1177,V1177)=3,T1177+U1177-V1177,""))</f>
        <v>-4.4450000000000003</v>
      </c>
      <c r="X1177" s="10">
        <v>-4.4459999999999997</v>
      </c>
      <c r="Y1177" s="10">
        <v>-2.2509999999999999</v>
      </c>
      <c r="Z1177" s="10">
        <v>-50.448</v>
      </c>
      <c r="AA1177" s="10">
        <v>49.347999999999999</v>
      </c>
      <c r="AB1177" s="10">
        <v>-1.0940000000000001</v>
      </c>
      <c r="AC1177" s="8">
        <v>0</v>
      </c>
      <c r="AD1177" s="8">
        <v>0</v>
      </c>
      <c r="AE1177" s="8">
        <v>0</v>
      </c>
      <c r="AF1177" s="10">
        <v>0</v>
      </c>
      <c r="AG1177" s="8">
        <f>COUNTIF(Y1177:AB1177,"&gt;0")</f>
        <v>1</v>
      </c>
      <c r="AH1177" s="10">
        <v>0</v>
      </c>
      <c r="AI1177" s="10">
        <v>49.347999999999999</v>
      </c>
      <c r="AJ1177" s="8" t="str">
        <f>IF(ISNUMBER(X1177),IF(X1177&gt;0,"+",IF(X1177&lt;0,"−","0")),IF(ISNUMBER(W1177),IF(W1177&gt;0,"+",IF(W1177&lt;0,"−","0")),"yok"))</f>
        <v>−</v>
      </c>
      <c r="AK1177" s="10">
        <f>IF(AND(RIGHT(C1177,2)&lt;&gt;"12",ISNUMBER(U1177),ISNUMBER(V1177)),U1177-V1177,"")</f>
        <v>-3.3509999999999995</v>
      </c>
      <c r="AL1177" s="11">
        <f>IF(AND(ISNUMBER(AK1177),ISNUMBER(V1177)),IF(V1177&lt;&gt;0,AK1177/ABS(V1177),""),"")</f>
        <v>-2.2842535787321059</v>
      </c>
      <c r="AM1177" s="8">
        <f>IF(ISNUMBER(AK1177),IF(AK1177&gt;1,1,0),"")</f>
        <v>0</v>
      </c>
      <c r="AN1177" s="8">
        <f>IF(ISNUMBER(AK1177),IF(AK1177&gt;0.05*ABS(V1177),1,0),"")</f>
        <v>0</v>
      </c>
      <c r="AO1177" s="10"/>
      <c r="AP1177" s="10"/>
      <c r="AQ1177" s="10"/>
      <c r="AR1177" s="8">
        <v>0</v>
      </c>
      <c r="AS1177" s="10"/>
      <c r="AT1177" s="10"/>
      <c r="AU1177" s="10"/>
      <c r="AV1177" s="10">
        <v>49.347999999999999</v>
      </c>
      <c r="AW1177" s="11" t="str">
        <f>IF(AND(ISNUMBER(AV1177),ISNUMBER(AT1177)),IF(AT1177&lt;&gt;0,AV1177/ABS(AT1177),""),"")</f>
        <v/>
      </c>
      <c r="AX1177" s="8">
        <v>0</v>
      </c>
      <c r="AY1177" s="8">
        <v>0</v>
      </c>
      <c r="AZ1177" s="10"/>
      <c r="BA1177" s="8">
        <v>0</v>
      </c>
    </row>
    <row r="1178" spans="1:53" x14ac:dyDescent="0.2">
      <c r="A1178" s="8" t="s">
        <v>727</v>
      </c>
      <c r="B1178" s="8" t="s">
        <v>82</v>
      </c>
      <c r="C1178" s="8" t="s">
        <v>210</v>
      </c>
      <c r="D1178" s="8">
        <v>0</v>
      </c>
      <c r="E1178" s="8">
        <v>0</v>
      </c>
      <c r="F1178" s="8">
        <f>SUM(G1178:M1178)</f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1</v>
      </c>
      <c r="Q1178" s="8">
        <v>0</v>
      </c>
      <c r="R1178" s="8">
        <v>1</v>
      </c>
      <c r="S1178" s="8">
        <v>0</v>
      </c>
      <c r="T1178" s="10">
        <v>-2.0459999999999998</v>
      </c>
      <c r="U1178" s="10">
        <v>-4.8179999999999996</v>
      </c>
      <c r="V1178" s="10">
        <v>-3.7189999999999999</v>
      </c>
      <c r="W1178" s="10">
        <f>IF(RIGHT(C1178,2)="12",IF(ISNUMBER(T1178),T1178,""),IF(COUNT(T1178,U1178,V1178)=3,T1178+U1178-V1178,""))</f>
        <v>-3.1449999999999991</v>
      </c>
      <c r="X1178" s="10">
        <v>-3.145</v>
      </c>
      <c r="Y1178" s="10">
        <v>-50.448</v>
      </c>
      <c r="Z1178" s="10">
        <v>49.347999999999999</v>
      </c>
      <c r="AA1178" s="10">
        <v>-1.0940000000000001</v>
      </c>
      <c r="AB1178" s="10">
        <v>-0.95099999999999996</v>
      </c>
      <c r="AC1178" s="8">
        <v>0</v>
      </c>
      <c r="AD1178" s="8">
        <v>0</v>
      </c>
      <c r="AE1178" s="8">
        <v>0</v>
      </c>
      <c r="AF1178" s="10">
        <v>0</v>
      </c>
      <c r="AG1178" s="8">
        <f>COUNTIF(Y1178:AB1178,"&gt;0")</f>
        <v>1</v>
      </c>
      <c r="AH1178" s="10">
        <v>0</v>
      </c>
      <c r="AI1178" s="10">
        <v>49.347999999999999</v>
      </c>
      <c r="AJ1178" s="8" t="str">
        <f>IF(ISNUMBER(X1178),IF(X1178&gt;0,"+",IF(X1178&lt;0,"−","0")),IF(ISNUMBER(W1178),IF(W1178&gt;0,"+",IF(W1178&lt;0,"−","0")),"yok"))</f>
        <v>−</v>
      </c>
      <c r="AK1178" s="10">
        <f>IF(AND(RIGHT(C1178,2)&lt;&gt;"12",ISNUMBER(U1178),ISNUMBER(V1178)),U1178-V1178,"")</f>
        <v>-1.0989999999999998</v>
      </c>
      <c r="AL1178" s="11">
        <f>IF(AND(ISNUMBER(AK1178),ISNUMBER(V1178)),IF(V1178&lt;&gt;0,AK1178/ABS(V1178),""),"")</f>
        <v>-0.2955095455767679</v>
      </c>
      <c r="AM1178" s="8">
        <f>IF(ISNUMBER(AK1178),IF(AK1178&gt;1,1,0),"")</f>
        <v>0</v>
      </c>
      <c r="AN1178" s="8">
        <f>IF(ISNUMBER(AK1178),IF(AK1178&gt;0.05*ABS(V1178),1,0),"")</f>
        <v>0</v>
      </c>
      <c r="AO1178" s="10"/>
      <c r="AP1178" s="10"/>
      <c r="AQ1178" s="10"/>
      <c r="AR1178" s="8">
        <v>0</v>
      </c>
      <c r="AS1178" s="10"/>
      <c r="AT1178" s="10"/>
      <c r="AU1178" s="10"/>
      <c r="AV1178" s="10">
        <v>49.347999999999999</v>
      </c>
      <c r="AW1178" s="11" t="str">
        <f>IF(AND(ISNUMBER(AV1178),ISNUMBER(AT1178)),IF(AT1178&lt;&gt;0,AV1178/ABS(AT1178),""),"")</f>
        <v/>
      </c>
      <c r="AX1178" s="8">
        <v>0</v>
      </c>
      <c r="AY1178" s="8">
        <v>0</v>
      </c>
      <c r="AZ1178" s="10"/>
      <c r="BA1178" s="8">
        <v>0</v>
      </c>
    </row>
    <row r="1179" spans="1:53" x14ac:dyDescent="0.2">
      <c r="A1179" s="8" t="s">
        <v>694</v>
      </c>
      <c r="B1179" s="8" t="s">
        <v>83</v>
      </c>
      <c r="C1179" s="8" t="s">
        <v>290</v>
      </c>
      <c r="D1179" s="8">
        <v>0</v>
      </c>
      <c r="E1179" s="8">
        <v>0</v>
      </c>
      <c r="F1179" s="8">
        <f>SUM(G1179:M1179)</f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1</v>
      </c>
      <c r="Q1179" s="8">
        <v>0</v>
      </c>
      <c r="R1179" s="8">
        <v>0</v>
      </c>
      <c r="S1179" s="8">
        <v>1</v>
      </c>
      <c r="T1179" s="10">
        <v>-47.298999999999999</v>
      </c>
      <c r="U1179" s="10"/>
      <c r="V1179" s="10"/>
      <c r="W1179" s="10">
        <f>IF(RIGHT(C1179,2)="12",IF(ISNUMBER(T1179),T1179,""),IF(COUNT(T1179,U1179,V1179)=3,T1179+U1179-V1179,""))</f>
        <v>-47.298999999999999</v>
      </c>
      <c r="X1179" s="10">
        <v>-47.298999999999999</v>
      </c>
      <c r="Y1179" s="10">
        <v>-24.157</v>
      </c>
      <c r="Z1179" s="10">
        <v>4.7939999999999996</v>
      </c>
      <c r="AA1179" s="10">
        <v>-21.916</v>
      </c>
      <c r="AB1179" s="10">
        <v>-6.0190000000000001</v>
      </c>
      <c r="AC1179" s="8">
        <v>0</v>
      </c>
      <c r="AD1179" s="8">
        <v>0</v>
      </c>
      <c r="AE1179" s="8">
        <v>0</v>
      </c>
      <c r="AF1179" s="10">
        <v>0</v>
      </c>
      <c r="AG1179" s="8">
        <f>COUNTIF(Y1179:AB1179,"&gt;0")</f>
        <v>1</v>
      </c>
      <c r="AH1179" s="10">
        <v>4.7939999999999996</v>
      </c>
      <c r="AI1179" s="10">
        <v>0</v>
      </c>
      <c r="AJ1179" s="8" t="str">
        <f>IF(ISNUMBER(X1179),IF(X1179&gt;0,"+",IF(X1179&lt;0,"−","0")),IF(ISNUMBER(W1179),IF(W1179&gt;0,"+",IF(W1179&lt;0,"−","0")),"yok"))</f>
        <v>−</v>
      </c>
      <c r="AK1179" s="10" t="str">
        <f>IF(AND(RIGHT(C1179,2)&lt;&gt;"12",ISNUMBER(U1179),ISNUMBER(V1179)),U1179-V1179,"")</f>
        <v/>
      </c>
      <c r="AL1179" s="11" t="str">
        <f>IF(AND(ISNUMBER(AK1179),ISNUMBER(V1179)),IF(V1179&lt;&gt;0,AK1179/ABS(V1179),""),"")</f>
        <v/>
      </c>
      <c r="AM1179" s="8" t="str">
        <f>IF(ISNUMBER(AK1179),IF(AK1179&gt;1,1,0),"")</f>
        <v/>
      </c>
      <c r="AN1179" s="8" t="str">
        <f>IF(ISNUMBER(AK1179),IF(AK1179&gt;0.05*ABS(V1179),1,0),"")</f>
        <v/>
      </c>
      <c r="AO1179" s="10"/>
      <c r="AP1179" s="10"/>
      <c r="AQ1179" s="10"/>
      <c r="AR1179" s="8">
        <v>0</v>
      </c>
      <c r="AS1179" s="10"/>
      <c r="AT1179" s="10"/>
      <c r="AU1179" s="10"/>
      <c r="AV1179" s="10">
        <v>4.7939999999999996</v>
      </c>
      <c r="AW1179" s="11" t="str">
        <f>IF(AND(ISNUMBER(AV1179),ISNUMBER(AT1179)),IF(AT1179&lt;&gt;0,AV1179/ABS(AT1179),""),"")</f>
        <v/>
      </c>
      <c r="AX1179" s="8">
        <v>0</v>
      </c>
      <c r="AY1179" s="8">
        <v>0</v>
      </c>
      <c r="AZ1179" s="10"/>
      <c r="BA1179" s="8">
        <v>0</v>
      </c>
    </row>
    <row r="1180" spans="1:53" x14ac:dyDescent="0.2">
      <c r="A1180" s="8" t="s">
        <v>695</v>
      </c>
      <c r="B1180" s="8" t="s">
        <v>84</v>
      </c>
      <c r="C1180" s="8" t="s">
        <v>203</v>
      </c>
      <c r="D1180" s="8">
        <v>0</v>
      </c>
      <c r="E1180" s="8">
        <v>0</v>
      </c>
      <c r="F1180" s="8">
        <f>SUM(G1180:M1180)</f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1</v>
      </c>
      <c r="P1180" s="8">
        <v>0</v>
      </c>
      <c r="Q1180" s="8">
        <v>0</v>
      </c>
      <c r="R1180" s="8">
        <v>0</v>
      </c>
      <c r="S1180" s="8">
        <v>0</v>
      </c>
      <c r="T1180" s="10"/>
      <c r="U1180" s="10"/>
      <c r="V1180" s="10">
        <v>3.8540000000000001</v>
      </c>
      <c r="W1180" s="10" t="str">
        <f>IF(RIGHT(C1180,2)="12",IF(ISNUMBER(T1180),T1180,""),IF(COUNT(T1180,U1180,V1180)=3,T1180+U1180-V1180,""))</f>
        <v/>
      </c>
      <c r="X1180" s="10"/>
      <c r="Y1180" s="10">
        <v>-10.500999999999999</v>
      </c>
      <c r="Z1180" s="10">
        <v>-6.375</v>
      </c>
      <c r="AA1180" s="10"/>
      <c r="AB1180" s="10"/>
      <c r="AC1180" s="8">
        <v>0</v>
      </c>
      <c r="AD1180" s="8">
        <v>0</v>
      </c>
      <c r="AE1180" s="8">
        <v>1</v>
      </c>
      <c r="AF1180" s="10">
        <v>3.8540000000000001</v>
      </c>
      <c r="AG1180" s="8">
        <f>COUNTIF(Y1180:AB1180,"&gt;0")</f>
        <v>0</v>
      </c>
      <c r="AH1180" s="10">
        <v>0</v>
      </c>
      <c r="AI1180" s="10">
        <v>0</v>
      </c>
      <c r="AJ1180" s="8" t="str">
        <f>IF(ISNUMBER(X1180),IF(X1180&gt;0,"+",IF(X1180&lt;0,"−","0")),IF(ISNUMBER(W1180),IF(W1180&gt;0,"+",IF(W1180&lt;0,"−","0")),"yok"))</f>
        <v>yok</v>
      </c>
      <c r="AK1180" s="10" t="str">
        <f>IF(AND(RIGHT(C1180,2)&lt;&gt;"12",ISNUMBER(U1180),ISNUMBER(V1180)),U1180-V1180,"")</f>
        <v/>
      </c>
      <c r="AL1180" s="11" t="str">
        <f>IF(AND(ISNUMBER(AK1180),ISNUMBER(V1180)),IF(V1180&lt;&gt;0,AK1180/ABS(V1180),""),"")</f>
        <v/>
      </c>
      <c r="AM1180" s="8" t="str">
        <f>IF(ISNUMBER(AK1180),IF(AK1180&gt;1,1,0),"")</f>
        <v/>
      </c>
      <c r="AN1180" s="8" t="str">
        <f>IF(ISNUMBER(AK1180),IF(AK1180&gt;0.05*ABS(V1180),1,0),"")</f>
        <v/>
      </c>
      <c r="AO1180" s="10"/>
      <c r="AP1180" s="10"/>
      <c r="AQ1180" s="10"/>
      <c r="AR1180" s="8">
        <v>0</v>
      </c>
      <c r="AS1180" s="10"/>
      <c r="AT1180" s="10"/>
      <c r="AU1180" s="10"/>
      <c r="AV1180" s="10">
        <v>3.8540000000000001</v>
      </c>
      <c r="AW1180" s="11" t="str">
        <f>IF(AND(ISNUMBER(AV1180),ISNUMBER(AT1180)),IF(AT1180&lt;&gt;0,AV1180/ABS(AT1180),""),"")</f>
        <v/>
      </c>
      <c r="AX1180" s="8">
        <v>1</v>
      </c>
      <c r="AY1180" s="8">
        <v>0</v>
      </c>
      <c r="AZ1180" s="8" t="s">
        <v>728</v>
      </c>
      <c r="BA1180" s="8">
        <v>0</v>
      </c>
    </row>
    <row r="1181" spans="1:53" x14ac:dyDescent="0.2">
      <c r="A1181" s="8" t="s">
        <v>695</v>
      </c>
      <c r="B1181" s="8" t="s">
        <v>84</v>
      </c>
      <c r="C1181" s="8" t="s">
        <v>210</v>
      </c>
      <c r="D1181" s="8">
        <v>0</v>
      </c>
      <c r="E1181" s="8">
        <v>0</v>
      </c>
      <c r="F1181" s="8">
        <f>SUM(G1181:M1181)</f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1</v>
      </c>
      <c r="P1181" s="8">
        <v>1</v>
      </c>
      <c r="Q1181" s="8">
        <v>0</v>
      </c>
      <c r="R1181" s="8">
        <v>0</v>
      </c>
      <c r="S1181" s="8">
        <v>0</v>
      </c>
      <c r="T1181" s="10">
        <v>0.36899999999999999</v>
      </c>
      <c r="U1181" s="10"/>
      <c r="V1181" s="10">
        <v>-1032.8240000000001</v>
      </c>
      <c r="W1181" s="10" t="str">
        <f>IF(RIGHT(C1181,2)="12",IF(ISNUMBER(T1181),T1181,""),IF(COUNT(T1181,U1181,V1181)=3,T1181+U1181-V1181,""))</f>
        <v/>
      </c>
      <c r="X1181" s="10"/>
      <c r="Y1181" s="10">
        <v>0.71699999999999997</v>
      </c>
      <c r="Z1181" s="10"/>
      <c r="AA1181" s="10"/>
      <c r="AB1181" s="10"/>
      <c r="AC1181" s="8">
        <v>1</v>
      </c>
      <c r="AD1181" s="8">
        <v>0</v>
      </c>
      <c r="AE1181" s="8">
        <v>0</v>
      </c>
      <c r="AF1181" s="10">
        <v>0.36899999999999999</v>
      </c>
      <c r="AG1181" s="8">
        <f>COUNTIF(Y1181:AB1181,"&gt;0")</f>
        <v>1</v>
      </c>
      <c r="AH1181" s="10">
        <v>0</v>
      </c>
      <c r="AI1181" s="10">
        <v>0.71699999999999997</v>
      </c>
      <c r="AJ1181" s="8" t="str">
        <f>IF(ISNUMBER(X1181),IF(X1181&gt;0,"+",IF(X1181&lt;0,"−","0")),IF(ISNUMBER(W1181),IF(W1181&gt;0,"+",IF(W1181&lt;0,"−","0")),"yok"))</f>
        <v>yok</v>
      </c>
      <c r="AK1181" s="10" t="str">
        <f>IF(AND(RIGHT(C1181,2)&lt;&gt;"12",ISNUMBER(U1181),ISNUMBER(V1181)),U1181-V1181,"")</f>
        <v/>
      </c>
      <c r="AL1181" s="11" t="str">
        <f>IF(AND(ISNUMBER(AK1181),ISNUMBER(V1181)),IF(V1181&lt;&gt;0,AK1181/ABS(V1181),""),"")</f>
        <v/>
      </c>
      <c r="AM1181" s="8" t="str">
        <f>IF(ISNUMBER(AK1181),IF(AK1181&gt;1,1,0),"")</f>
        <v/>
      </c>
      <c r="AN1181" s="8" t="str">
        <f>IF(ISNUMBER(AK1181),IF(AK1181&gt;0.05*ABS(V1181),1,0),"")</f>
        <v/>
      </c>
      <c r="AO1181" s="10"/>
      <c r="AP1181" s="10"/>
      <c r="AQ1181" s="10"/>
      <c r="AR1181" s="8">
        <v>0</v>
      </c>
      <c r="AS1181" s="10"/>
      <c r="AT1181" s="10"/>
      <c r="AU1181" s="10"/>
      <c r="AV1181" s="10">
        <v>0.36899999999999999</v>
      </c>
      <c r="AW1181" s="11" t="str">
        <f>IF(AND(ISNUMBER(AV1181),ISNUMBER(AT1181)),IF(AT1181&lt;&gt;0,AV1181/ABS(AT1181),""),"")</f>
        <v/>
      </c>
      <c r="AX1181" s="8">
        <v>1</v>
      </c>
      <c r="AY1181" s="8">
        <v>0</v>
      </c>
      <c r="AZ1181" s="8" t="s">
        <v>729</v>
      </c>
      <c r="BA1181" s="8">
        <v>0</v>
      </c>
    </row>
    <row r="1182" spans="1:53" x14ac:dyDescent="0.2">
      <c r="A1182" s="8" t="s">
        <v>730</v>
      </c>
      <c r="B1182" s="8" t="s">
        <v>83</v>
      </c>
      <c r="C1182" s="8" t="s">
        <v>215</v>
      </c>
      <c r="D1182" s="8">
        <v>0</v>
      </c>
      <c r="E1182" s="8">
        <v>0</v>
      </c>
      <c r="F1182" s="8">
        <f>SUM(G1182:M1182)</f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1</v>
      </c>
      <c r="P1182" s="8">
        <v>1</v>
      </c>
      <c r="Q1182" s="8">
        <v>0</v>
      </c>
      <c r="R1182" s="8">
        <v>0</v>
      </c>
      <c r="S1182" s="8">
        <v>0</v>
      </c>
      <c r="T1182" s="10">
        <v>0.51800000000000002</v>
      </c>
      <c r="U1182" s="10"/>
      <c r="V1182" s="10"/>
      <c r="W1182" s="10" t="str">
        <f>IF(RIGHT(C1182,2)="12",IF(ISNUMBER(T1182),T1182,""),IF(COUNT(T1182,U1182,V1182)=3,T1182+U1182-V1182,""))</f>
        <v/>
      </c>
      <c r="X1182" s="10"/>
      <c r="Y1182" s="10"/>
      <c r="Z1182" s="10"/>
      <c r="AA1182" s="10"/>
      <c r="AB1182" s="10">
        <v>0.51800000000000002</v>
      </c>
      <c r="AC1182" s="8">
        <v>1</v>
      </c>
      <c r="AD1182" s="8">
        <v>0</v>
      </c>
      <c r="AE1182" s="8">
        <v>0</v>
      </c>
      <c r="AF1182" s="10">
        <v>0.51800000000000002</v>
      </c>
      <c r="AG1182" s="8">
        <f>COUNTIF(Y1182:AB1182,"&gt;0")</f>
        <v>1</v>
      </c>
      <c r="AH1182" s="10">
        <v>0.51800000000000002</v>
      </c>
      <c r="AI1182" s="10">
        <v>0</v>
      </c>
      <c r="AJ1182" s="8" t="str">
        <f>IF(ISNUMBER(X1182),IF(X1182&gt;0,"+",IF(X1182&lt;0,"−","0")),IF(ISNUMBER(W1182),IF(W1182&gt;0,"+",IF(W1182&lt;0,"−","0")),"yok"))</f>
        <v>yok</v>
      </c>
      <c r="AK1182" s="10" t="str">
        <f>IF(AND(RIGHT(C1182,2)&lt;&gt;"12",ISNUMBER(U1182),ISNUMBER(V1182)),U1182-V1182,"")</f>
        <v/>
      </c>
      <c r="AL1182" s="11" t="str">
        <f>IF(AND(ISNUMBER(AK1182),ISNUMBER(V1182)),IF(V1182&lt;&gt;0,AK1182/ABS(V1182),""),"")</f>
        <v/>
      </c>
      <c r="AM1182" s="8" t="str">
        <f>IF(ISNUMBER(AK1182),IF(AK1182&gt;1,1,0),"")</f>
        <v/>
      </c>
      <c r="AN1182" s="8" t="str">
        <f>IF(ISNUMBER(AK1182),IF(AK1182&gt;0.05*ABS(V1182),1,0),"")</f>
        <v/>
      </c>
      <c r="AO1182" s="10"/>
      <c r="AP1182" s="10"/>
      <c r="AQ1182" s="10"/>
      <c r="AR1182" s="8">
        <v>0</v>
      </c>
      <c r="AS1182" s="10"/>
      <c r="AT1182" s="10"/>
      <c r="AU1182" s="10"/>
      <c r="AV1182" s="10">
        <v>0.51800000000000002</v>
      </c>
      <c r="AW1182" s="11" t="str">
        <f>IF(AND(ISNUMBER(AV1182),ISNUMBER(AT1182)),IF(AT1182&lt;&gt;0,AV1182/ABS(AT1182),""),"")</f>
        <v/>
      </c>
      <c r="AX1182" s="8">
        <v>1</v>
      </c>
      <c r="AY1182" s="8">
        <v>0</v>
      </c>
      <c r="AZ1182" s="8" t="s">
        <v>731</v>
      </c>
      <c r="BA1182" s="8">
        <v>0</v>
      </c>
    </row>
    <row r="1183" spans="1:53" x14ac:dyDescent="0.2">
      <c r="A1183" s="8" t="s">
        <v>696</v>
      </c>
      <c r="B1183" s="8" t="s">
        <v>82</v>
      </c>
      <c r="C1183" s="8" t="s">
        <v>203</v>
      </c>
      <c r="D1183" s="8">
        <v>0</v>
      </c>
      <c r="E1183" s="8">
        <v>0</v>
      </c>
      <c r="F1183" s="8">
        <f>SUM(G1183:M1183)</f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1</v>
      </c>
      <c r="O1183" s="8">
        <v>1</v>
      </c>
      <c r="P1183" s="8">
        <v>1</v>
      </c>
      <c r="Q1183" s="8">
        <v>0</v>
      </c>
      <c r="R1183" s="8">
        <v>0</v>
      </c>
      <c r="S1183" s="8">
        <v>0</v>
      </c>
      <c r="T1183" s="10">
        <v>0.96499999999999997</v>
      </c>
      <c r="U1183" s="10">
        <v>-6.306</v>
      </c>
      <c r="V1183" s="10">
        <v>-5.73</v>
      </c>
      <c r="W1183" s="10">
        <f>IF(RIGHT(C1183,2)="12",IF(ISNUMBER(T1183),T1183,""),IF(COUNT(T1183,U1183,V1183)=3,T1183+U1183-V1183,""))</f>
        <v>0.38900000000000023</v>
      </c>
      <c r="X1183" s="10">
        <v>0.38800000000000001</v>
      </c>
      <c r="Y1183" s="10"/>
      <c r="Z1183" s="10"/>
      <c r="AA1183" s="10"/>
      <c r="AB1183" s="10">
        <v>0.96499999999999997</v>
      </c>
      <c r="AC1183" s="8">
        <v>1</v>
      </c>
      <c r="AD1183" s="8">
        <v>0</v>
      </c>
      <c r="AE1183" s="8">
        <v>0</v>
      </c>
      <c r="AF1183" s="10">
        <v>0.96499999999999997</v>
      </c>
      <c r="AG1183" s="8">
        <f>COUNTIF(Y1183:AB1183,"&gt;0")</f>
        <v>1</v>
      </c>
      <c r="AH1183" s="10">
        <v>0</v>
      </c>
      <c r="AI1183" s="10">
        <v>0</v>
      </c>
      <c r="AJ1183" s="8" t="str">
        <f>IF(ISNUMBER(X1183),IF(X1183&gt;0,"+",IF(X1183&lt;0,"−","0")),IF(ISNUMBER(W1183),IF(W1183&gt;0,"+",IF(W1183&lt;0,"−","0")),"yok"))</f>
        <v>+</v>
      </c>
      <c r="AK1183" s="10">
        <f>IF(AND(RIGHT(C1183,2)&lt;&gt;"12",ISNUMBER(U1183),ISNUMBER(V1183)),U1183-V1183,"")</f>
        <v>-0.57599999999999962</v>
      </c>
      <c r="AL1183" s="11">
        <f>IF(AND(ISNUMBER(AK1183),ISNUMBER(V1183)),IF(V1183&lt;&gt;0,AK1183/ABS(V1183),""),"")</f>
        <v>-0.100523560209424</v>
      </c>
      <c r="AM1183" s="8">
        <f>IF(ISNUMBER(AK1183),IF(AK1183&gt;1,1,0),"")</f>
        <v>0</v>
      </c>
      <c r="AN1183" s="8">
        <f>IF(ISNUMBER(AK1183),IF(AK1183&gt;0.05*ABS(V1183),1,0),"")</f>
        <v>0</v>
      </c>
      <c r="AO1183" s="10"/>
      <c r="AP1183" s="10"/>
      <c r="AQ1183" s="10"/>
      <c r="AR1183" s="8">
        <v>0</v>
      </c>
      <c r="AS1183" s="10"/>
      <c r="AT1183" s="10"/>
      <c r="AU1183" s="10"/>
      <c r="AV1183" s="10">
        <v>0.96499999999999997</v>
      </c>
      <c r="AW1183" s="11" t="str">
        <f>IF(AND(ISNUMBER(AV1183),ISNUMBER(AT1183)),IF(AT1183&lt;&gt;0,AV1183/ABS(AT1183),""),"")</f>
        <v/>
      </c>
      <c r="AX1183" s="8">
        <v>1</v>
      </c>
      <c r="AY1183" s="8">
        <v>0</v>
      </c>
      <c r="AZ1183" s="8" t="s">
        <v>732</v>
      </c>
      <c r="BA1183" s="8">
        <v>0</v>
      </c>
    </row>
    <row r="1184" spans="1:53" x14ac:dyDescent="0.2">
      <c r="A1184" s="8" t="s">
        <v>696</v>
      </c>
      <c r="B1184" s="8" t="s">
        <v>83</v>
      </c>
      <c r="C1184" s="8" t="s">
        <v>205</v>
      </c>
      <c r="D1184" s="8">
        <v>0</v>
      </c>
      <c r="E1184" s="8">
        <v>0</v>
      </c>
      <c r="F1184" s="8">
        <f>SUM(G1184:M1184)</f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1</v>
      </c>
      <c r="O1184" s="8">
        <v>1</v>
      </c>
      <c r="P1184" s="8">
        <v>1</v>
      </c>
      <c r="Q1184" s="8">
        <v>0</v>
      </c>
      <c r="R1184" s="8">
        <v>0</v>
      </c>
      <c r="S1184" s="8">
        <v>1</v>
      </c>
      <c r="T1184" s="10">
        <v>83.509</v>
      </c>
      <c r="U1184" s="10">
        <v>-116.645</v>
      </c>
      <c r="V1184" s="10">
        <v>-45.277000000000001</v>
      </c>
      <c r="W1184" s="10">
        <f>IF(RIGHT(C1184,2)="12",IF(ISNUMBER(T1184),T1184,""),IF(COUNT(T1184,U1184,V1184)=3,T1184+U1184-V1184,""))</f>
        <v>12.141000000000005</v>
      </c>
      <c r="X1184" s="10">
        <v>12.141</v>
      </c>
      <c r="Y1184" s="10">
        <v>-42.482999999999997</v>
      </c>
      <c r="Z1184" s="10">
        <v>-28.884</v>
      </c>
      <c r="AA1184" s="10">
        <v>0</v>
      </c>
      <c r="AB1184" s="10">
        <v>83.509</v>
      </c>
      <c r="AC1184" s="8">
        <v>1</v>
      </c>
      <c r="AD1184" s="8">
        <v>0</v>
      </c>
      <c r="AE1184" s="8">
        <v>0</v>
      </c>
      <c r="AF1184" s="10">
        <v>83.509</v>
      </c>
      <c r="AG1184" s="8">
        <f>COUNTIF(Y1184:AB1184,"&gt;0")</f>
        <v>1</v>
      </c>
      <c r="AH1184" s="10">
        <v>83.509</v>
      </c>
      <c r="AI1184" s="10">
        <v>0</v>
      </c>
      <c r="AJ1184" s="8" t="str">
        <f>IF(ISNUMBER(X1184),IF(X1184&gt;0,"+",IF(X1184&lt;0,"−","0")),IF(ISNUMBER(W1184),IF(W1184&gt;0,"+",IF(W1184&lt;0,"−","0")),"yok"))</f>
        <v>+</v>
      </c>
      <c r="AK1184" s="10">
        <f>IF(AND(RIGHT(C1184,2)&lt;&gt;"12",ISNUMBER(U1184),ISNUMBER(V1184)),U1184-V1184,"")</f>
        <v>-71.367999999999995</v>
      </c>
      <c r="AL1184" s="11">
        <f>IF(AND(ISNUMBER(AK1184),ISNUMBER(V1184)),IF(V1184&lt;&gt;0,AK1184/ABS(V1184),""),"")</f>
        <v>-1.5762528436071293</v>
      </c>
      <c r="AM1184" s="8">
        <f>IF(ISNUMBER(AK1184),IF(AK1184&gt;1,1,0),"")</f>
        <v>0</v>
      </c>
      <c r="AN1184" s="8">
        <f>IF(ISNUMBER(AK1184),IF(AK1184&gt;0.05*ABS(V1184),1,0),"")</f>
        <v>0</v>
      </c>
      <c r="AO1184" s="10"/>
      <c r="AP1184" s="10"/>
      <c r="AQ1184" s="10"/>
      <c r="AR1184" s="8">
        <v>0</v>
      </c>
      <c r="AS1184" s="10"/>
      <c r="AT1184" s="10"/>
      <c r="AU1184" s="10"/>
      <c r="AV1184" s="10">
        <v>83.509</v>
      </c>
      <c r="AW1184" s="11" t="str">
        <f>IF(AND(ISNUMBER(AV1184),ISNUMBER(AT1184)),IF(AT1184&lt;&gt;0,AV1184/ABS(AT1184),""),"")</f>
        <v/>
      </c>
      <c r="AX1184" s="8">
        <v>1</v>
      </c>
      <c r="AY1184" s="8">
        <v>0</v>
      </c>
      <c r="AZ1184" s="8" t="s">
        <v>733</v>
      </c>
      <c r="BA1184" s="8">
        <v>0</v>
      </c>
    </row>
    <row r="1185" spans="1:53" x14ac:dyDescent="0.2">
      <c r="A1185" s="8" t="s">
        <v>696</v>
      </c>
      <c r="B1185" s="8" t="s">
        <v>83</v>
      </c>
      <c r="C1185" s="8" t="s">
        <v>215</v>
      </c>
      <c r="D1185" s="8">
        <v>0</v>
      </c>
      <c r="E1185" s="8">
        <v>0</v>
      </c>
      <c r="F1185" s="8">
        <f>SUM(G1185:M1185)</f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1</v>
      </c>
      <c r="Q1185" s="8">
        <v>0</v>
      </c>
      <c r="R1185" s="8">
        <v>0</v>
      </c>
      <c r="S1185" s="8">
        <v>1</v>
      </c>
      <c r="T1185" s="10">
        <v>-191.66800000000001</v>
      </c>
      <c r="U1185" s="10">
        <v>-116.645</v>
      </c>
      <c r="V1185" s="10">
        <v>-87.76</v>
      </c>
      <c r="W1185" s="10">
        <f>IF(RIGHT(C1185,2)="12",IF(ISNUMBER(T1185),T1185,""),IF(COUNT(T1185,U1185,V1185)=3,T1185+U1185-V1185,""))</f>
        <v>-220.553</v>
      </c>
      <c r="X1185" s="10">
        <v>-220.55199999999999</v>
      </c>
      <c r="Y1185" s="10">
        <v>-28.884</v>
      </c>
      <c r="Z1185" s="10">
        <v>0</v>
      </c>
      <c r="AA1185" s="10">
        <v>83.509</v>
      </c>
      <c r="AB1185" s="10">
        <v>-275.17700000000002</v>
      </c>
      <c r="AC1185" s="8">
        <v>0</v>
      </c>
      <c r="AD1185" s="8">
        <v>0</v>
      </c>
      <c r="AE1185" s="8">
        <v>0</v>
      </c>
      <c r="AF1185" s="10">
        <v>0</v>
      </c>
      <c r="AG1185" s="8">
        <f>COUNTIF(Y1185:AB1185,"&gt;0")</f>
        <v>1</v>
      </c>
      <c r="AH1185" s="10">
        <v>83.509</v>
      </c>
      <c r="AI1185" s="10">
        <v>0</v>
      </c>
      <c r="AJ1185" s="8" t="str">
        <f>IF(ISNUMBER(X1185),IF(X1185&gt;0,"+",IF(X1185&lt;0,"−","0")),IF(ISNUMBER(W1185),IF(W1185&gt;0,"+",IF(W1185&lt;0,"−","0")),"yok"))</f>
        <v>−</v>
      </c>
      <c r="AK1185" s="10">
        <f>IF(AND(RIGHT(C1185,2)&lt;&gt;"12",ISNUMBER(U1185),ISNUMBER(V1185)),U1185-V1185,"")</f>
        <v>-28.884999999999991</v>
      </c>
      <c r="AL1185" s="11">
        <f>IF(AND(ISNUMBER(AK1185),ISNUMBER(V1185)),IF(V1185&lt;&gt;0,AK1185/ABS(V1185),""),"")</f>
        <v>-0.3291362807657246</v>
      </c>
      <c r="AM1185" s="8">
        <f>IF(ISNUMBER(AK1185),IF(AK1185&gt;1,1,0),"")</f>
        <v>0</v>
      </c>
      <c r="AN1185" s="8">
        <f>IF(ISNUMBER(AK1185),IF(AK1185&gt;0.05*ABS(V1185),1,0),"")</f>
        <v>0</v>
      </c>
      <c r="AO1185" s="10"/>
      <c r="AP1185" s="10"/>
      <c r="AQ1185" s="10"/>
      <c r="AR1185" s="8">
        <v>0</v>
      </c>
      <c r="AS1185" s="10"/>
      <c r="AT1185" s="10"/>
      <c r="AU1185" s="10"/>
      <c r="AV1185" s="10">
        <v>83.509</v>
      </c>
      <c r="AW1185" s="11" t="str">
        <f>IF(AND(ISNUMBER(AV1185),ISNUMBER(AT1185)),IF(AT1185&lt;&gt;0,AV1185/ABS(AT1185),""),"")</f>
        <v/>
      </c>
      <c r="AX1185" s="8">
        <v>0</v>
      </c>
      <c r="AY1185" s="8">
        <v>0</v>
      </c>
      <c r="AZ1185" s="10"/>
      <c r="BA1185" s="8">
        <v>0</v>
      </c>
    </row>
    <row r="1186" spans="1:53" x14ac:dyDescent="0.2">
      <c r="A1186" s="8" t="s">
        <v>696</v>
      </c>
      <c r="B1186" s="8" t="s">
        <v>83</v>
      </c>
      <c r="C1186" s="8" t="s">
        <v>290</v>
      </c>
      <c r="D1186" s="8">
        <v>0</v>
      </c>
      <c r="E1186" s="8">
        <v>0</v>
      </c>
      <c r="F1186" s="8">
        <f>SUM(G1186:M1186)</f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1</v>
      </c>
      <c r="Q1186" s="8">
        <v>0</v>
      </c>
      <c r="R1186" s="8">
        <v>0</v>
      </c>
      <c r="S1186" s="8">
        <v>1</v>
      </c>
      <c r="T1186" s="10">
        <v>-236.63</v>
      </c>
      <c r="U1186" s="10"/>
      <c r="V1186" s="10"/>
      <c r="W1186" s="10">
        <f>IF(RIGHT(C1186,2)="12",IF(ISNUMBER(T1186),T1186,""),IF(COUNT(T1186,U1186,V1186)=3,T1186+U1186-V1186,""))</f>
        <v>-236.63</v>
      </c>
      <c r="X1186" s="10">
        <v>-236.63</v>
      </c>
      <c r="Y1186" s="10">
        <v>0</v>
      </c>
      <c r="Z1186" s="10">
        <v>83.509</v>
      </c>
      <c r="AA1186" s="10">
        <v>-275.17700000000002</v>
      </c>
      <c r="AB1186" s="10">
        <v>-44.962000000000003</v>
      </c>
      <c r="AC1186" s="8">
        <v>0</v>
      </c>
      <c r="AD1186" s="8">
        <v>0</v>
      </c>
      <c r="AE1186" s="8">
        <v>0</v>
      </c>
      <c r="AF1186" s="10">
        <v>0</v>
      </c>
      <c r="AG1186" s="8">
        <f>COUNTIF(Y1186:AB1186,"&gt;0")</f>
        <v>1</v>
      </c>
      <c r="AH1186" s="10">
        <v>83.509</v>
      </c>
      <c r="AI1186" s="10">
        <v>0</v>
      </c>
      <c r="AJ1186" s="8" t="str">
        <f>IF(ISNUMBER(X1186),IF(X1186&gt;0,"+",IF(X1186&lt;0,"−","0")),IF(ISNUMBER(W1186),IF(W1186&gt;0,"+",IF(W1186&lt;0,"−","0")),"yok"))</f>
        <v>−</v>
      </c>
      <c r="AK1186" s="10" t="str">
        <f>IF(AND(RIGHT(C1186,2)&lt;&gt;"12",ISNUMBER(U1186),ISNUMBER(V1186)),U1186-V1186,"")</f>
        <v/>
      </c>
      <c r="AL1186" s="11" t="str">
        <f>IF(AND(ISNUMBER(AK1186),ISNUMBER(V1186)),IF(V1186&lt;&gt;0,AK1186/ABS(V1186),""),"")</f>
        <v/>
      </c>
      <c r="AM1186" s="8" t="str">
        <f>IF(ISNUMBER(AK1186),IF(AK1186&gt;1,1,0),"")</f>
        <v/>
      </c>
      <c r="AN1186" s="8" t="str">
        <f>IF(ISNUMBER(AK1186),IF(AK1186&gt;0.05*ABS(V1186),1,0),"")</f>
        <v/>
      </c>
      <c r="AO1186" s="10"/>
      <c r="AP1186" s="10"/>
      <c r="AQ1186" s="10"/>
      <c r="AR1186" s="8">
        <v>0</v>
      </c>
      <c r="AS1186" s="10"/>
      <c r="AT1186" s="10"/>
      <c r="AU1186" s="10"/>
      <c r="AV1186" s="10">
        <v>83.509</v>
      </c>
      <c r="AW1186" s="11" t="str">
        <f>IF(AND(ISNUMBER(AV1186),ISNUMBER(AT1186)),IF(AT1186&lt;&gt;0,AV1186/ABS(AT1186),""),"")</f>
        <v/>
      </c>
      <c r="AX1186" s="8">
        <v>0</v>
      </c>
      <c r="AY1186" s="8">
        <v>0</v>
      </c>
      <c r="AZ1186" s="10"/>
      <c r="BA1186" s="8">
        <v>0</v>
      </c>
    </row>
    <row r="1187" spans="1:53" x14ac:dyDescent="0.2">
      <c r="A1187" s="8" t="s">
        <v>734</v>
      </c>
      <c r="B1187" s="8" t="s">
        <v>83</v>
      </c>
      <c r="C1187" s="8" t="s">
        <v>210</v>
      </c>
      <c r="D1187" s="8">
        <v>0</v>
      </c>
      <c r="E1187" s="8">
        <v>0</v>
      </c>
      <c r="F1187" s="8">
        <f>SUM(G1187:M1187)</f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1</v>
      </c>
      <c r="Q1187" s="8">
        <v>0</v>
      </c>
      <c r="R1187" s="8">
        <v>0</v>
      </c>
      <c r="S1187" s="8">
        <v>1</v>
      </c>
      <c r="T1187" s="10">
        <v>-2.996</v>
      </c>
      <c r="U1187" s="10">
        <v>-10.451000000000001</v>
      </c>
      <c r="V1187" s="10">
        <v>-2.4809999999999999</v>
      </c>
      <c r="W1187" s="10">
        <f>IF(RIGHT(C1187,2)="12",IF(ISNUMBER(T1187),T1187,""),IF(COUNT(T1187,U1187,V1187)=3,T1187+U1187-V1187,""))</f>
        <v>-10.966000000000001</v>
      </c>
      <c r="X1187" s="10">
        <v>-10.965999999999999</v>
      </c>
      <c r="Y1187" s="10">
        <v>-8.3010000000000002</v>
      </c>
      <c r="Z1187" s="10">
        <v>0.33100000000000002</v>
      </c>
      <c r="AA1187" s="10">
        <v>-4.407</v>
      </c>
      <c r="AB1187" s="10">
        <v>1.411</v>
      </c>
      <c r="AC1187" s="8">
        <v>0</v>
      </c>
      <c r="AD1187" s="8">
        <v>0</v>
      </c>
      <c r="AE1187" s="8">
        <v>0</v>
      </c>
      <c r="AF1187" s="10">
        <v>0</v>
      </c>
      <c r="AG1187" s="8">
        <f>COUNTIF(Y1187:AB1187,"&gt;0")</f>
        <v>2</v>
      </c>
      <c r="AH1187" s="10">
        <v>1.411</v>
      </c>
      <c r="AI1187" s="10">
        <v>0.33100000000000002</v>
      </c>
      <c r="AJ1187" s="8" t="str">
        <f>IF(ISNUMBER(X1187),IF(X1187&gt;0,"+",IF(X1187&lt;0,"−","0")),IF(ISNUMBER(W1187),IF(W1187&gt;0,"+",IF(W1187&lt;0,"−","0")),"yok"))</f>
        <v>−</v>
      </c>
      <c r="AK1187" s="10">
        <f>IF(AND(RIGHT(C1187,2)&lt;&gt;"12",ISNUMBER(U1187),ISNUMBER(V1187)),U1187-V1187,"")</f>
        <v>-7.9700000000000006</v>
      </c>
      <c r="AL1187" s="11">
        <f>IF(AND(ISNUMBER(AK1187),ISNUMBER(V1187)),IF(V1187&lt;&gt;0,AK1187/ABS(V1187),""),"")</f>
        <v>-3.2124143490528017</v>
      </c>
      <c r="AM1187" s="8">
        <f>IF(ISNUMBER(AK1187),IF(AK1187&gt;1,1,0),"")</f>
        <v>0</v>
      </c>
      <c r="AN1187" s="8">
        <f>IF(ISNUMBER(AK1187),IF(AK1187&gt;0.05*ABS(V1187),1,0),"")</f>
        <v>0</v>
      </c>
      <c r="AO1187" s="10"/>
      <c r="AP1187" s="10"/>
      <c r="AQ1187" s="10"/>
      <c r="AR1187" s="8">
        <v>0</v>
      </c>
      <c r="AS1187" s="10"/>
      <c r="AT1187" s="10"/>
      <c r="AU1187" s="10"/>
      <c r="AV1187" s="10">
        <v>1.411</v>
      </c>
      <c r="AW1187" s="11" t="str">
        <f>IF(AND(ISNUMBER(AV1187),ISNUMBER(AT1187)),IF(AT1187&lt;&gt;0,AV1187/ABS(AT1187),""),"")</f>
        <v/>
      </c>
      <c r="AX1187" s="8">
        <v>0</v>
      </c>
      <c r="AY1187" s="8">
        <v>0</v>
      </c>
      <c r="AZ1187" s="10"/>
      <c r="BA1187" s="8">
        <v>0</v>
      </c>
    </row>
    <row r="1188" spans="1:53" x14ac:dyDescent="0.2">
      <c r="A1188" s="8" t="s">
        <v>700</v>
      </c>
      <c r="B1188" s="8" t="s">
        <v>83</v>
      </c>
      <c r="C1188" s="8" t="s">
        <v>210</v>
      </c>
      <c r="D1188" s="8">
        <v>0</v>
      </c>
      <c r="E1188" s="8">
        <v>0</v>
      </c>
      <c r="F1188" s="8">
        <f>SUM(G1188:M1188)</f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1</v>
      </c>
      <c r="Q1188" s="8">
        <v>0</v>
      </c>
      <c r="R1188" s="8">
        <v>0</v>
      </c>
      <c r="S1188" s="8">
        <v>1</v>
      </c>
      <c r="T1188" s="10">
        <v>0</v>
      </c>
      <c r="U1188" s="10">
        <v>-127.746</v>
      </c>
      <c r="V1188" s="10">
        <v>-2.4670000000000001</v>
      </c>
      <c r="W1188" s="10">
        <f>IF(RIGHT(C1188,2)="12",IF(ISNUMBER(T1188),T1188,""),IF(COUNT(T1188,U1188,V1188)=3,T1188+U1188-V1188,""))</f>
        <v>-125.279</v>
      </c>
      <c r="X1188" s="10">
        <v>-125.279</v>
      </c>
      <c r="Y1188" s="10">
        <v>-2.9580000000000002</v>
      </c>
      <c r="Z1188" s="10">
        <v>-122.32</v>
      </c>
      <c r="AA1188" s="10">
        <v>-4453.1639999999998</v>
      </c>
      <c r="AB1188" s="10">
        <v>4453.1639999999998</v>
      </c>
      <c r="AC1188" s="8">
        <v>0</v>
      </c>
      <c r="AD1188" s="8">
        <v>0</v>
      </c>
      <c r="AE1188" s="8">
        <v>0</v>
      </c>
      <c r="AF1188" s="10">
        <v>0</v>
      </c>
      <c r="AG1188" s="8">
        <f>COUNTIF(Y1188:AB1188,"&gt;0")</f>
        <v>1</v>
      </c>
      <c r="AH1188" s="10">
        <v>4453.1639999999998</v>
      </c>
      <c r="AI1188" s="10">
        <v>0</v>
      </c>
      <c r="AJ1188" s="8" t="str">
        <f>IF(ISNUMBER(X1188),IF(X1188&gt;0,"+",IF(X1188&lt;0,"−","0")),IF(ISNUMBER(W1188),IF(W1188&gt;0,"+",IF(W1188&lt;0,"−","0")),"yok"))</f>
        <v>−</v>
      </c>
      <c r="AK1188" s="10">
        <f>IF(AND(RIGHT(C1188,2)&lt;&gt;"12",ISNUMBER(U1188),ISNUMBER(V1188)),U1188-V1188,"")</f>
        <v>-125.279</v>
      </c>
      <c r="AL1188" s="11">
        <f>IF(AND(ISNUMBER(AK1188),ISNUMBER(V1188)),IF(V1188&lt;&gt;0,AK1188/ABS(V1188),""),"")</f>
        <v>-50.781921361978107</v>
      </c>
      <c r="AM1188" s="8">
        <f>IF(ISNUMBER(AK1188),IF(AK1188&gt;1,1,0),"")</f>
        <v>0</v>
      </c>
      <c r="AN1188" s="8">
        <f>IF(ISNUMBER(AK1188),IF(AK1188&gt;0.05*ABS(V1188),1,0),"")</f>
        <v>0</v>
      </c>
      <c r="AO1188" s="10"/>
      <c r="AP1188" s="10"/>
      <c r="AQ1188" s="10"/>
      <c r="AR1188" s="8">
        <v>0</v>
      </c>
      <c r="AS1188" s="10"/>
      <c r="AT1188" s="10"/>
      <c r="AU1188" s="10"/>
      <c r="AV1188" s="10">
        <v>4453.1639999999998</v>
      </c>
      <c r="AW1188" s="11" t="str">
        <f>IF(AND(ISNUMBER(AV1188),ISNUMBER(AT1188)),IF(AT1188&lt;&gt;0,AV1188/ABS(AT1188),""),"")</f>
        <v/>
      </c>
      <c r="AX1188" s="8">
        <v>0</v>
      </c>
      <c r="AY1188" s="8">
        <v>0</v>
      </c>
      <c r="AZ1188" s="10"/>
      <c r="BA1188" s="8">
        <v>0</v>
      </c>
    </row>
    <row r="1189" spans="1:53" x14ac:dyDescent="0.2">
      <c r="A1189" s="8" t="s">
        <v>702</v>
      </c>
      <c r="B1189" s="8" t="s">
        <v>83</v>
      </c>
      <c r="C1189" s="8" t="s">
        <v>215</v>
      </c>
      <c r="D1189" s="8">
        <v>0</v>
      </c>
      <c r="E1189" s="8">
        <v>0</v>
      </c>
      <c r="F1189" s="8">
        <f>SUM(G1189:M1189)</f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1</v>
      </c>
      <c r="Q1189" s="8">
        <v>0</v>
      </c>
      <c r="R1189" s="8">
        <v>0</v>
      </c>
      <c r="S1189" s="8">
        <v>1</v>
      </c>
      <c r="T1189" s="10">
        <v>-311.60199999999998</v>
      </c>
      <c r="U1189" s="10">
        <v>-701.80399999999997</v>
      </c>
      <c r="V1189" s="10">
        <v>-70.007000000000005</v>
      </c>
      <c r="W1189" s="10">
        <f>IF(RIGHT(C1189,2)="12",IF(ISNUMBER(T1189),T1189,""),IF(COUNT(T1189,U1189,V1189)=3,T1189+U1189-V1189,""))</f>
        <v>-943.39899999999989</v>
      </c>
      <c r="X1189" s="10">
        <v>-943.4</v>
      </c>
      <c r="Y1189" s="10">
        <v>-631.79700000000003</v>
      </c>
      <c r="Z1189" s="10">
        <v>-554.04100000000005</v>
      </c>
      <c r="AA1189" s="10">
        <v>275.40199999999999</v>
      </c>
      <c r="AB1189" s="10">
        <v>-32.963000000000001</v>
      </c>
      <c r="AC1189" s="8">
        <v>0</v>
      </c>
      <c r="AD1189" s="8">
        <v>0</v>
      </c>
      <c r="AE1189" s="8">
        <v>0</v>
      </c>
      <c r="AF1189" s="10">
        <v>0</v>
      </c>
      <c r="AG1189" s="8">
        <f>COUNTIF(Y1189:AB1189,"&gt;0")</f>
        <v>1</v>
      </c>
      <c r="AH1189" s="10">
        <v>275.40199999999999</v>
      </c>
      <c r="AI1189" s="10">
        <v>0</v>
      </c>
      <c r="AJ1189" s="8" t="str">
        <f>IF(ISNUMBER(X1189),IF(X1189&gt;0,"+",IF(X1189&lt;0,"−","0")),IF(ISNUMBER(W1189),IF(W1189&gt;0,"+",IF(W1189&lt;0,"−","0")),"yok"))</f>
        <v>−</v>
      </c>
      <c r="AK1189" s="10">
        <f>IF(AND(RIGHT(C1189,2)&lt;&gt;"12",ISNUMBER(U1189),ISNUMBER(V1189)),U1189-V1189,"")</f>
        <v>-631.79700000000003</v>
      </c>
      <c r="AL1189" s="11">
        <f>IF(AND(ISNUMBER(AK1189),ISNUMBER(V1189)),IF(V1189&lt;&gt;0,AK1189/ABS(V1189),""),"")</f>
        <v>-9.0247689516762613</v>
      </c>
      <c r="AM1189" s="8">
        <f>IF(ISNUMBER(AK1189),IF(AK1189&gt;1,1,0),"")</f>
        <v>0</v>
      </c>
      <c r="AN1189" s="8">
        <f>IF(ISNUMBER(AK1189),IF(AK1189&gt;0.05*ABS(V1189),1,0),"")</f>
        <v>0</v>
      </c>
      <c r="AO1189" s="10"/>
      <c r="AP1189" s="10"/>
      <c r="AQ1189" s="10"/>
      <c r="AR1189" s="8">
        <v>0</v>
      </c>
      <c r="AS1189" s="10"/>
      <c r="AT1189" s="10"/>
      <c r="AU1189" s="10"/>
      <c r="AV1189" s="10">
        <v>275.40199999999999</v>
      </c>
      <c r="AW1189" s="11" t="str">
        <f>IF(AND(ISNUMBER(AV1189),ISNUMBER(AT1189)),IF(AT1189&lt;&gt;0,AV1189/ABS(AT1189),""),"")</f>
        <v/>
      </c>
      <c r="AX1189" s="8">
        <v>0</v>
      </c>
      <c r="AY1189" s="8">
        <v>0</v>
      </c>
      <c r="AZ1189" s="10"/>
      <c r="BA1189" s="8">
        <v>0</v>
      </c>
    </row>
    <row r="1190" spans="1:53" x14ac:dyDescent="0.2">
      <c r="A1190" s="8" t="s">
        <v>702</v>
      </c>
      <c r="B1190" s="8" t="s">
        <v>83</v>
      </c>
      <c r="C1190" s="8" t="s">
        <v>290</v>
      </c>
      <c r="D1190" s="8">
        <v>0</v>
      </c>
      <c r="E1190" s="8">
        <v>0</v>
      </c>
      <c r="F1190" s="8">
        <f>SUM(G1190:M1190)</f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1</v>
      </c>
      <c r="Q1190" s="8">
        <v>0</v>
      </c>
      <c r="R1190" s="8">
        <v>0</v>
      </c>
      <c r="S1190" s="8">
        <v>1</v>
      </c>
      <c r="T1190" s="10">
        <v>-465.88200000000001</v>
      </c>
      <c r="U1190" s="10"/>
      <c r="V1190" s="10"/>
      <c r="W1190" s="10">
        <f>IF(RIGHT(C1190,2)="12",IF(ISNUMBER(T1190),T1190,""),IF(COUNT(T1190,U1190,V1190)=3,T1190+U1190-V1190,""))</f>
        <v>-465.88200000000001</v>
      </c>
      <c r="X1190" s="10">
        <v>-465.88200000000001</v>
      </c>
      <c r="Y1190" s="10">
        <v>-554.04100000000005</v>
      </c>
      <c r="Z1190" s="10">
        <v>275.40199999999999</v>
      </c>
      <c r="AA1190" s="10">
        <v>-32.963000000000001</v>
      </c>
      <c r="AB1190" s="10">
        <v>-154.279</v>
      </c>
      <c r="AC1190" s="8">
        <v>0</v>
      </c>
      <c r="AD1190" s="8">
        <v>0</v>
      </c>
      <c r="AE1190" s="8">
        <v>0</v>
      </c>
      <c r="AF1190" s="10">
        <v>0</v>
      </c>
      <c r="AG1190" s="8">
        <f>COUNTIF(Y1190:AB1190,"&gt;0")</f>
        <v>1</v>
      </c>
      <c r="AH1190" s="10">
        <v>275.40199999999999</v>
      </c>
      <c r="AI1190" s="10">
        <v>0</v>
      </c>
      <c r="AJ1190" s="8" t="str">
        <f>IF(ISNUMBER(X1190),IF(X1190&gt;0,"+",IF(X1190&lt;0,"−","0")),IF(ISNUMBER(W1190),IF(W1190&gt;0,"+",IF(W1190&lt;0,"−","0")),"yok"))</f>
        <v>−</v>
      </c>
      <c r="AK1190" s="10" t="str">
        <f>IF(AND(RIGHT(C1190,2)&lt;&gt;"12",ISNUMBER(U1190),ISNUMBER(V1190)),U1190-V1190,"")</f>
        <v/>
      </c>
      <c r="AL1190" s="11" t="str">
        <f>IF(AND(ISNUMBER(AK1190),ISNUMBER(V1190)),IF(V1190&lt;&gt;0,AK1190/ABS(V1190),""),"")</f>
        <v/>
      </c>
      <c r="AM1190" s="8" t="str">
        <f>IF(ISNUMBER(AK1190),IF(AK1190&gt;1,1,0),"")</f>
        <v/>
      </c>
      <c r="AN1190" s="8" t="str">
        <f>IF(ISNUMBER(AK1190),IF(AK1190&gt;0.05*ABS(V1190),1,0),"")</f>
        <v/>
      </c>
      <c r="AO1190" s="10"/>
      <c r="AP1190" s="10"/>
      <c r="AQ1190" s="10"/>
      <c r="AR1190" s="8">
        <v>0</v>
      </c>
      <c r="AS1190" s="10"/>
      <c r="AT1190" s="10"/>
      <c r="AU1190" s="10"/>
      <c r="AV1190" s="10">
        <v>275.40199999999999</v>
      </c>
      <c r="AW1190" s="11" t="str">
        <f>IF(AND(ISNUMBER(AV1190),ISNUMBER(AT1190)),IF(AT1190&lt;&gt;0,AV1190/ABS(AT1190),""),"")</f>
        <v/>
      </c>
      <c r="AX1190" s="8">
        <v>0</v>
      </c>
      <c r="AY1190" s="8">
        <v>0</v>
      </c>
      <c r="AZ1190" s="10"/>
      <c r="BA1190" s="8">
        <v>0</v>
      </c>
    </row>
    <row r="1191" spans="1:53" x14ac:dyDescent="0.2">
      <c r="A1191" s="8" t="s">
        <v>703</v>
      </c>
      <c r="B1191" s="8" t="s">
        <v>84</v>
      </c>
      <c r="C1191" s="8" t="s">
        <v>208</v>
      </c>
      <c r="D1191" s="8">
        <v>0</v>
      </c>
      <c r="E1191" s="8">
        <v>0</v>
      </c>
      <c r="F1191" s="8">
        <f>SUM(G1191:M1191)</f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1</v>
      </c>
      <c r="P1191" s="8">
        <v>0</v>
      </c>
      <c r="Q1191" s="8">
        <v>0</v>
      </c>
      <c r="R1191" s="8">
        <v>0</v>
      </c>
      <c r="S1191" s="8">
        <v>0</v>
      </c>
      <c r="T1191" s="10"/>
      <c r="U1191" s="10"/>
      <c r="V1191" s="10">
        <v>144.125</v>
      </c>
      <c r="W1191" s="10" t="str">
        <f>IF(RIGHT(C1191,2)="12",IF(ISNUMBER(T1191),T1191,""),IF(COUNT(T1191,U1191,V1191)=3,T1191+U1191-V1191,""))</f>
        <v/>
      </c>
      <c r="X1191" s="10"/>
      <c r="Y1191" s="10"/>
      <c r="Z1191" s="10"/>
      <c r="AA1191" s="10"/>
      <c r="AB1191" s="10"/>
      <c r="AC1191" s="8">
        <v>0</v>
      </c>
      <c r="AD1191" s="8">
        <v>0</v>
      </c>
      <c r="AE1191" s="8">
        <v>1</v>
      </c>
      <c r="AF1191" s="10">
        <v>144.125</v>
      </c>
      <c r="AG1191" s="8">
        <f>COUNTIF(Y1191:AB1191,"&gt;0")</f>
        <v>0</v>
      </c>
      <c r="AH1191" s="10">
        <v>0</v>
      </c>
      <c r="AI1191" s="10">
        <v>0</v>
      </c>
      <c r="AJ1191" s="8" t="str">
        <f>IF(ISNUMBER(X1191),IF(X1191&gt;0,"+",IF(X1191&lt;0,"−","0")),IF(ISNUMBER(W1191),IF(W1191&gt;0,"+",IF(W1191&lt;0,"−","0")),"yok"))</f>
        <v>yok</v>
      </c>
      <c r="AK1191" s="10" t="str">
        <f>IF(AND(RIGHT(C1191,2)&lt;&gt;"12",ISNUMBER(U1191),ISNUMBER(V1191)),U1191-V1191,"")</f>
        <v/>
      </c>
      <c r="AL1191" s="11" t="str">
        <f>IF(AND(ISNUMBER(AK1191),ISNUMBER(V1191)),IF(V1191&lt;&gt;0,AK1191/ABS(V1191),""),"")</f>
        <v/>
      </c>
      <c r="AM1191" s="8" t="str">
        <f>IF(ISNUMBER(AK1191),IF(AK1191&gt;1,1,0),"")</f>
        <v/>
      </c>
      <c r="AN1191" s="8" t="str">
        <f>IF(ISNUMBER(AK1191),IF(AK1191&gt;0.05*ABS(V1191),1,0),"")</f>
        <v/>
      </c>
      <c r="AO1191" s="10"/>
      <c r="AP1191" s="10"/>
      <c r="AQ1191" s="10"/>
      <c r="AR1191" s="8">
        <v>0</v>
      </c>
      <c r="AS1191" s="10"/>
      <c r="AT1191" s="10"/>
      <c r="AU1191" s="10"/>
      <c r="AV1191" s="10">
        <v>144.125</v>
      </c>
      <c r="AW1191" s="11" t="str">
        <f>IF(AND(ISNUMBER(AV1191),ISNUMBER(AT1191)),IF(AT1191&lt;&gt;0,AV1191/ABS(AT1191),""),"")</f>
        <v/>
      </c>
      <c r="AX1191" s="8">
        <v>1</v>
      </c>
      <c r="AY1191" s="8">
        <v>0</v>
      </c>
      <c r="AZ1191" s="8" t="s">
        <v>735</v>
      </c>
      <c r="BA1191" s="8">
        <v>0</v>
      </c>
    </row>
    <row r="1192" spans="1:53" x14ac:dyDescent="0.2">
      <c r="A1192" s="8" t="s">
        <v>705</v>
      </c>
      <c r="B1192" s="8" t="s">
        <v>83</v>
      </c>
      <c r="C1192" s="8" t="s">
        <v>290</v>
      </c>
      <c r="D1192" s="8">
        <v>0</v>
      </c>
      <c r="E1192" s="8">
        <v>0</v>
      </c>
      <c r="F1192" s="8">
        <f>SUM(G1192:M1192)</f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1</v>
      </c>
      <c r="O1192" s="8">
        <v>1</v>
      </c>
      <c r="P1192" s="8">
        <v>1</v>
      </c>
      <c r="Q1192" s="8">
        <v>0</v>
      </c>
      <c r="R1192" s="8">
        <v>0</v>
      </c>
      <c r="S1192" s="8">
        <v>1</v>
      </c>
      <c r="T1192" s="10">
        <v>0.92300000000000004</v>
      </c>
      <c r="U1192" s="10"/>
      <c r="V1192" s="10"/>
      <c r="W1192" s="10">
        <f>IF(RIGHT(C1192,2)="12",IF(ISNUMBER(T1192),T1192,""),IF(COUNT(T1192,U1192,V1192)=3,T1192+U1192-V1192,""))</f>
        <v>0.92300000000000004</v>
      </c>
      <c r="X1192" s="10">
        <v>0.92300000000000004</v>
      </c>
      <c r="Y1192" s="10">
        <v>2.3319999999999999</v>
      </c>
      <c r="Z1192" s="10">
        <v>-2.3319999999999999</v>
      </c>
      <c r="AA1192" s="10">
        <v>1.93</v>
      </c>
      <c r="AB1192" s="10">
        <v>-1.0069999999999999</v>
      </c>
      <c r="AC1192" s="8">
        <v>1</v>
      </c>
      <c r="AD1192" s="8">
        <v>0</v>
      </c>
      <c r="AE1192" s="8">
        <v>0</v>
      </c>
      <c r="AF1192" s="10">
        <v>0.92300000000000004</v>
      </c>
      <c r="AG1192" s="8">
        <f>COUNTIF(Y1192:AB1192,"&gt;0")</f>
        <v>2</v>
      </c>
      <c r="AH1192" s="10">
        <v>1.93</v>
      </c>
      <c r="AI1192" s="10">
        <v>0</v>
      </c>
      <c r="AJ1192" s="8" t="str">
        <f>IF(ISNUMBER(X1192),IF(X1192&gt;0,"+",IF(X1192&lt;0,"−","0")),IF(ISNUMBER(W1192),IF(W1192&gt;0,"+",IF(W1192&lt;0,"−","0")),"yok"))</f>
        <v>+</v>
      </c>
      <c r="AK1192" s="10" t="str">
        <f>IF(AND(RIGHT(C1192,2)&lt;&gt;"12",ISNUMBER(U1192),ISNUMBER(V1192)),U1192-V1192,"")</f>
        <v/>
      </c>
      <c r="AL1192" s="11" t="str">
        <f>IF(AND(ISNUMBER(AK1192),ISNUMBER(V1192)),IF(V1192&lt;&gt;0,AK1192/ABS(V1192),""),"")</f>
        <v/>
      </c>
      <c r="AM1192" s="8" t="str">
        <f>IF(ISNUMBER(AK1192),IF(AK1192&gt;1,1,0),"")</f>
        <v/>
      </c>
      <c r="AN1192" s="8" t="str">
        <f>IF(ISNUMBER(AK1192),IF(AK1192&gt;0.05*ABS(V1192),1,0),"")</f>
        <v/>
      </c>
      <c r="AO1192" s="10"/>
      <c r="AP1192" s="10"/>
      <c r="AQ1192" s="10"/>
      <c r="AR1192" s="8">
        <v>0</v>
      </c>
      <c r="AS1192" s="10"/>
      <c r="AT1192" s="10"/>
      <c r="AU1192" s="10"/>
      <c r="AV1192" s="10">
        <v>0.92300000000000004</v>
      </c>
      <c r="AW1192" s="11" t="str">
        <f>IF(AND(ISNUMBER(AV1192),ISNUMBER(AT1192)),IF(AT1192&lt;&gt;0,AV1192/ABS(AT1192),""),"")</f>
        <v/>
      </c>
      <c r="AX1192" s="8">
        <v>1</v>
      </c>
      <c r="AY1192" s="8">
        <v>0</v>
      </c>
      <c r="AZ1192" s="8" t="s">
        <v>736</v>
      </c>
      <c r="BA1192" s="8">
        <v>0</v>
      </c>
    </row>
  </sheetData>
  <autoFilter ref="A1:BA119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0"/>
  <sheetViews>
    <sheetView zoomScaleNormal="100" workbookViewId="0">
      <pane xSplit="2" ySplit="1" topLeftCell="C2" activePane="bottomRight" state="frozen"/>
      <selection pane="bottomLeft" activeCell="A2" sqref="A2"/>
      <selection pane="topRight" activeCell="C1" sqref="C1"/>
      <selection pane="bottomRight"/>
    </sheetView>
  </sheetViews>
  <sheetFormatPr defaultColWidth="8.7421875" defaultRowHeight="15" x14ac:dyDescent="0.2"/>
  <cols>
    <col min="1" max="6" width="13.046875" customWidth="1"/>
    <col min="7" max="7" width="29.99609375" customWidth="1"/>
    <col min="8" max="8" width="13.046875" customWidth="1"/>
    <col min="9" max="9" width="29.99609375" customWidth="1"/>
    <col min="10" max="12" width="13.046875" customWidth="1"/>
    <col min="13" max="13" width="11.02734375" customWidth="1"/>
    <col min="14" max="17" width="13.046875" customWidth="1"/>
  </cols>
  <sheetData>
    <row r="1" spans="1:17" ht="66" customHeight="1" x14ac:dyDescent="0.2">
      <c r="A1" s="6" t="s">
        <v>156</v>
      </c>
      <c r="B1" s="6" t="s">
        <v>158</v>
      </c>
      <c r="C1" s="6" t="s">
        <v>195</v>
      </c>
      <c r="D1" s="6" t="s">
        <v>194</v>
      </c>
      <c r="E1" s="6" t="s">
        <v>193</v>
      </c>
      <c r="F1" s="6" t="s">
        <v>737</v>
      </c>
      <c r="G1" s="6" t="s">
        <v>738</v>
      </c>
      <c r="H1" s="6" t="s">
        <v>739</v>
      </c>
      <c r="I1" s="6" t="s">
        <v>740</v>
      </c>
      <c r="J1" s="6" t="s">
        <v>741</v>
      </c>
      <c r="K1" s="6" t="s">
        <v>196</v>
      </c>
      <c r="L1" s="6" t="s">
        <v>742</v>
      </c>
      <c r="M1" s="6" t="s">
        <v>743</v>
      </c>
      <c r="N1" s="6" t="s">
        <v>744</v>
      </c>
      <c r="O1" s="6" t="s">
        <v>745</v>
      </c>
      <c r="P1" s="6" t="s">
        <v>746</v>
      </c>
      <c r="Q1" s="6" t="s">
        <v>747</v>
      </c>
    </row>
    <row r="2" spans="1:17" x14ac:dyDescent="0.2">
      <c r="A2" s="8" t="s">
        <v>211</v>
      </c>
      <c r="B2" s="8" t="s">
        <v>208</v>
      </c>
      <c r="C2" s="8" t="s">
        <v>207</v>
      </c>
      <c r="D2" s="10"/>
      <c r="E2" s="10">
        <v>-1232.45</v>
      </c>
      <c r="F2" s="8">
        <v>0</v>
      </c>
      <c r="G2" s="10"/>
      <c r="H2" s="8">
        <v>1</v>
      </c>
      <c r="I2" s="8" t="s">
        <v>83</v>
      </c>
      <c r="J2" s="8">
        <v>0</v>
      </c>
      <c r="K2" s="10">
        <v>7.3259999999999996</v>
      </c>
      <c r="L2" s="11" t="str">
        <f>IF(AND(ISNUMBER(K2),ISNUMBER(D2)),IF(D2&lt;&gt;0,K2/ABS(D2),""),"")</f>
        <v/>
      </c>
      <c r="M2" s="8" t="str">
        <f>IF(L2="","FCF yok",IF(L2&lt;0.01,"%1 altı",IF(L2&lt;0.05,"%1–5",IF(L2&lt;0.1,"%5–10",IF(L2&lt;0.25,"%10–25","%25 üstü")))))</f>
        <v>FCF yok</v>
      </c>
      <c r="N2" s="8" t="str">
        <f>IF(OR(C2="NULL",C2="KOŞULLU"),C2,IF(OR(F2=1,H2=1),"KOŞULLU",C2))</f>
        <v>NULL</v>
      </c>
      <c r="O2" s="8" t="str">
        <f>IF(OR(C2="NULL",C2="KOŞULLU"),C2,IF(H2=1,"KOŞULLU",C2))</f>
        <v>NULL</v>
      </c>
      <c r="P2" s="8">
        <f>IF(N2&lt;&gt;C2,1,0)</f>
        <v>0</v>
      </c>
      <c r="Q2" s="8">
        <f>IF(O2&lt;&gt;C2,1,0)</f>
        <v>0</v>
      </c>
    </row>
    <row r="3" spans="1:17" x14ac:dyDescent="0.2">
      <c r="A3" s="8" t="s">
        <v>213</v>
      </c>
      <c r="B3" s="8" t="s">
        <v>203</v>
      </c>
      <c r="C3" s="8" t="s">
        <v>204</v>
      </c>
      <c r="D3" s="10">
        <v>3357.5189999999998</v>
      </c>
      <c r="E3" s="10">
        <v>19096.508999999998</v>
      </c>
      <c r="F3" s="8">
        <v>1</v>
      </c>
      <c r="G3" s="8" t="s">
        <v>82</v>
      </c>
      <c r="H3" s="8">
        <v>0</v>
      </c>
      <c r="I3" s="10"/>
      <c r="J3" s="8">
        <v>1</v>
      </c>
      <c r="K3" s="10">
        <v>4.9390000000000001</v>
      </c>
      <c r="L3" s="11">
        <f>IF(AND(ISNUMBER(K3),ISNUMBER(D3)),IF(D3&lt;&gt;0,K3/ABS(D3),""),"")</f>
        <v>1.4710266717775835E-3</v>
      </c>
      <c r="M3" s="8" t="str">
        <f>IF(L3="","FCF yok",IF(L3&lt;0.01,"%1 altı",IF(L3&lt;0.05,"%1–5",IF(L3&lt;0.1,"%5–10",IF(L3&lt;0.25,"%10–25","%25 üstü")))))</f>
        <v>%1 altı</v>
      </c>
      <c r="N3" s="8" t="str">
        <f>IF(OR(C3="NULL",C3="KOŞULLU"),C3,IF(OR(F3=1,H3=1),"KOŞULLU",C3))</f>
        <v>KOŞULLU</v>
      </c>
      <c r="O3" s="8" t="str">
        <f>IF(OR(C3="NULL",C3="KOŞULLU"),C3,IF(H3=1,"KOŞULLU",C3))</f>
        <v>KESİN</v>
      </c>
      <c r="P3" s="8">
        <f>IF(N3&lt;&gt;C3,1,0)</f>
        <v>1</v>
      </c>
      <c r="Q3" s="8">
        <f>IF(O3&lt;&gt;C3,1,0)</f>
        <v>0</v>
      </c>
    </row>
    <row r="4" spans="1:17" x14ac:dyDescent="0.2">
      <c r="A4" s="8" t="s">
        <v>213</v>
      </c>
      <c r="B4" s="8" t="s">
        <v>205</v>
      </c>
      <c r="C4" s="8" t="s">
        <v>204</v>
      </c>
      <c r="D4" s="10">
        <v>12083.102000000001</v>
      </c>
      <c r="E4" s="10">
        <v>20721.501</v>
      </c>
      <c r="F4" s="8">
        <v>0</v>
      </c>
      <c r="G4" s="10"/>
      <c r="H4" s="8">
        <v>1</v>
      </c>
      <c r="I4" s="8" t="s">
        <v>82</v>
      </c>
      <c r="J4" s="8">
        <v>0</v>
      </c>
      <c r="K4" s="10">
        <v>91.231999999999999</v>
      </c>
      <c r="L4" s="11">
        <f>IF(AND(ISNUMBER(K4),ISNUMBER(D4)),IF(D4&lt;&gt;0,K4/ABS(D4),""),"")</f>
        <v>7.5503790334634259E-3</v>
      </c>
      <c r="M4" s="8" t="str">
        <f>IF(L4="","FCF yok",IF(L4&lt;0.01,"%1 altı",IF(L4&lt;0.05,"%1–5",IF(L4&lt;0.1,"%5–10",IF(L4&lt;0.25,"%10–25","%25 üstü")))))</f>
        <v>%1 altı</v>
      </c>
      <c r="N4" s="8" t="str">
        <f>IF(OR(C4="NULL",C4="KOŞULLU"),C4,IF(OR(F4=1,H4=1),"KOŞULLU",C4))</f>
        <v>KOŞULLU</v>
      </c>
      <c r="O4" s="8" t="str">
        <f>IF(OR(C4="NULL",C4="KOŞULLU"),C4,IF(H4=1,"KOŞULLU",C4))</f>
        <v>KOŞULLU</v>
      </c>
      <c r="P4" s="8">
        <f>IF(N4&lt;&gt;C4,1,0)</f>
        <v>1</v>
      </c>
      <c r="Q4" s="8">
        <f>IF(O4&lt;&gt;C4,1,0)</f>
        <v>1</v>
      </c>
    </row>
    <row r="5" spans="1:17" x14ac:dyDescent="0.2">
      <c r="A5" s="8" t="s">
        <v>213</v>
      </c>
      <c r="B5" s="8" t="s">
        <v>215</v>
      </c>
      <c r="C5" s="8" t="s">
        <v>204</v>
      </c>
      <c r="D5" s="10">
        <v>13649.191999999999</v>
      </c>
      <c r="E5" s="10">
        <v>22657.665000000001</v>
      </c>
      <c r="F5" s="8">
        <v>0</v>
      </c>
      <c r="G5" s="10"/>
      <c r="H5" s="8">
        <v>1</v>
      </c>
      <c r="I5" s="8" t="s">
        <v>82</v>
      </c>
      <c r="J5" s="8">
        <v>0</v>
      </c>
      <c r="K5" s="10">
        <v>51.338999999999999</v>
      </c>
      <c r="L5" s="11">
        <f>IF(AND(ISNUMBER(K5),ISNUMBER(D5)),IF(D5&lt;&gt;0,K5/ABS(D5),""),"")</f>
        <v>3.7613215492902437E-3</v>
      </c>
      <c r="M5" s="8" t="str">
        <f>IF(L5="","FCF yok",IF(L5&lt;0.01,"%1 altı",IF(L5&lt;0.05,"%1–5",IF(L5&lt;0.1,"%5–10",IF(L5&lt;0.25,"%10–25","%25 üstü")))))</f>
        <v>%1 altı</v>
      </c>
      <c r="N5" s="8" t="str">
        <f>IF(OR(C5="NULL",C5="KOŞULLU"),C5,IF(OR(F5=1,H5=1),"KOŞULLU",C5))</f>
        <v>KOŞULLU</v>
      </c>
      <c r="O5" s="8" t="str">
        <f>IF(OR(C5="NULL",C5="KOŞULLU"),C5,IF(H5=1,"KOŞULLU",C5))</f>
        <v>KOŞULLU</v>
      </c>
      <c r="P5" s="8">
        <f>IF(N5&lt;&gt;C5,1,0)</f>
        <v>1</v>
      </c>
      <c r="Q5" s="8">
        <f>IF(O5&lt;&gt;C5,1,0)</f>
        <v>1</v>
      </c>
    </row>
    <row r="6" spans="1:17" x14ac:dyDescent="0.2">
      <c r="A6" s="8" t="s">
        <v>213</v>
      </c>
      <c r="B6" s="8" t="s">
        <v>208</v>
      </c>
      <c r="C6" s="8" t="s">
        <v>204</v>
      </c>
      <c r="D6" s="10">
        <v>22606.221000000001</v>
      </c>
      <c r="E6" s="10">
        <v>29205.005000000001</v>
      </c>
      <c r="F6" s="8">
        <v>1</v>
      </c>
      <c r="G6" s="8" t="s">
        <v>82</v>
      </c>
      <c r="H6" s="8">
        <v>0</v>
      </c>
      <c r="I6" s="10"/>
      <c r="J6" s="8">
        <v>1</v>
      </c>
      <c r="K6" s="10">
        <v>4.9390000000000001</v>
      </c>
      <c r="L6" s="11">
        <f>IF(AND(ISNUMBER(K6),ISNUMBER(D6)),IF(D6&lt;&gt;0,K6/ABS(D6),""),"")</f>
        <v>2.1847968309254341E-4</v>
      </c>
      <c r="M6" s="8" t="str">
        <f>IF(L6="","FCF yok",IF(L6&lt;0.01,"%1 altı",IF(L6&lt;0.05,"%1–5",IF(L6&lt;0.1,"%5–10",IF(L6&lt;0.25,"%10–25","%25 üstü")))))</f>
        <v>%1 altı</v>
      </c>
      <c r="N6" s="8" t="str">
        <f>IF(OR(C6="NULL",C6="KOŞULLU"),C6,IF(OR(F6=1,H6=1),"KOŞULLU",C6))</f>
        <v>KOŞULLU</v>
      </c>
      <c r="O6" s="8" t="str">
        <f>IF(OR(C6="NULL",C6="KOŞULLU"),C6,IF(H6=1,"KOŞULLU",C6))</f>
        <v>KESİN</v>
      </c>
      <c r="P6" s="8">
        <f>IF(N6&lt;&gt;C6,1,0)</f>
        <v>1</v>
      </c>
      <c r="Q6" s="8">
        <f>IF(O6&lt;&gt;C6,1,0)</f>
        <v>0</v>
      </c>
    </row>
    <row r="7" spans="1:17" x14ac:dyDescent="0.2">
      <c r="A7" s="8" t="s">
        <v>217</v>
      </c>
      <c r="B7" s="8" t="s">
        <v>290</v>
      </c>
      <c r="C7" s="8" t="s">
        <v>207</v>
      </c>
      <c r="D7" s="10"/>
      <c r="E7" s="10">
        <v>-575.04</v>
      </c>
      <c r="F7" s="8">
        <v>1</v>
      </c>
      <c r="G7" s="8" t="s">
        <v>83</v>
      </c>
      <c r="H7" s="8">
        <v>0</v>
      </c>
      <c r="I7" s="10"/>
      <c r="J7" s="8">
        <v>0</v>
      </c>
      <c r="K7" s="10">
        <v>2152.23</v>
      </c>
      <c r="L7" s="11" t="str">
        <f>IF(AND(ISNUMBER(K7),ISNUMBER(D7)),IF(D7&lt;&gt;0,K7/ABS(D7),""),"")</f>
        <v/>
      </c>
      <c r="M7" s="8" t="str">
        <f>IF(L7="","FCF yok",IF(L7&lt;0.01,"%1 altı",IF(L7&lt;0.05,"%1–5",IF(L7&lt;0.1,"%5–10",IF(L7&lt;0.25,"%10–25","%25 üstü")))))</f>
        <v>FCF yok</v>
      </c>
      <c r="N7" s="8" t="str">
        <f>IF(OR(C7="NULL",C7="KOŞULLU"),C7,IF(OR(F7=1,H7=1),"KOŞULLU",C7))</f>
        <v>NULL</v>
      </c>
      <c r="O7" s="8" t="str">
        <f>IF(OR(C7="NULL",C7="KOŞULLU"),C7,IF(H7=1,"KOŞULLU",C7))</f>
        <v>NULL</v>
      </c>
      <c r="P7" s="8">
        <f>IF(N7&lt;&gt;C7,1,0)</f>
        <v>0</v>
      </c>
      <c r="Q7" s="8">
        <f>IF(O7&lt;&gt;C7,1,0)</f>
        <v>0</v>
      </c>
    </row>
    <row r="8" spans="1:17" x14ac:dyDescent="0.2">
      <c r="A8" s="8" t="s">
        <v>217</v>
      </c>
      <c r="B8" s="8" t="s">
        <v>208</v>
      </c>
      <c r="C8" s="8" t="s">
        <v>207</v>
      </c>
      <c r="D8" s="10"/>
      <c r="E8" s="10">
        <v>-2622.3679999999999</v>
      </c>
      <c r="F8" s="8">
        <v>1</v>
      </c>
      <c r="G8" s="8" t="s">
        <v>83</v>
      </c>
      <c r="H8" s="8">
        <v>0</v>
      </c>
      <c r="I8" s="10"/>
      <c r="J8" s="8">
        <v>0</v>
      </c>
      <c r="K8" s="10">
        <v>2284.5050000000001</v>
      </c>
      <c r="L8" s="11" t="str">
        <f>IF(AND(ISNUMBER(K8),ISNUMBER(D8)),IF(D8&lt;&gt;0,K8/ABS(D8),""),"")</f>
        <v/>
      </c>
      <c r="M8" s="8" t="str">
        <f>IF(L8="","FCF yok",IF(L8&lt;0.01,"%1 altı",IF(L8&lt;0.05,"%1–5",IF(L8&lt;0.1,"%5–10",IF(L8&lt;0.25,"%10–25","%25 üstü")))))</f>
        <v>FCF yok</v>
      </c>
      <c r="N8" s="8" t="str">
        <f>IF(OR(C8="NULL",C8="KOŞULLU"),C8,IF(OR(F8=1,H8=1),"KOŞULLU",C8))</f>
        <v>NULL</v>
      </c>
      <c r="O8" s="8" t="str">
        <f>IF(OR(C8="NULL",C8="KOŞULLU"),C8,IF(H8=1,"KOŞULLU",C8))</f>
        <v>NULL</v>
      </c>
      <c r="P8" s="8">
        <f>IF(N8&lt;&gt;C8,1,0)</f>
        <v>0</v>
      </c>
      <c r="Q8" s="8">
        <f>IF(O8&lt;&gt;C8,1,0)</f>
        <v>0</v>
      </c>
    </row>
    <row r="9" spans="1:17" x14ac:dyDescent="0.2">
      <c r="A9" s="8" t="s">
        <v>217</v>
      </c>
      <c r="B9" s="8" t="s">
        <v>210</v>
      </c>
      <c r="C9" s="8" t="s">
        <v>207</v>
      </c>
      <c r="D9" s="10"/>
      <c r="E9" s="10">
        <v>-667.66300000000001</v>
      </c>
      <c r="F9" s="8">
        <v>1</v>
      </c>
      <c r="G9" s="8" t="s">
        <v>748</v>
      </c>
      <c r="H9" s="8">
        <v>0</v>
      </c>
      <c r="I9" s="10"/>
      <c r="J9" s="8">
        <v>0</v>
      </c>
      <c r="K9" s="10">
        <v>2152.23</v>
      </c>
      <c r="L9" s="11" t="str">
        <f>IF(AND(ISNUMBER(K9),ISNUMBER(D9)),IF(D9&lt;&gt;0,K9/ABS(D9),""),"")</f>
        <v/>
      </c>
      <c r="M9" s="8" t="str">
        <f>IF(L9="","FCF yok",IF(L9&lt;0.01,"%1 altı",IF(L9&lt;0.05,"%1–5",IF(L9&lt;0.1,"%5–10",IF(L9&lt;0.25,"%10–25","%25 üstü")))))</f>
        <v>FCF yok</v>
      </c>
      <c r="N9" s="8" t="str">
        <f>IF(OR(C9="NULL",C9="KOŞULLU"),C9,IF(OR(F9=1,H9=1),"KOŞULLU",C9))</f>
        <v>NULL</v>
      </c>
      <c r="O9" s="8" t="str">
        <f>IF(OR(C9="NULL",C9="KOŞULLU"),C9,IF(H9=1,"KOŞULLU",C9))</f>
        <v>NULL</v>
      </c>
      <c r="P9" s="8">
        <f>IF(N9&lt;&gt;C9,1,0)</f>
        <v>0</v>
      </c>
      <c r="Q9" s="8">
        <f>IF(O9&lt;&gt;C9,1,0)</f>
        <v>0</v>
      </c>
    </row>
    <row r="10" spans="1:17" x14ac:dyDescent="0.2">
      <c r="A10" s="8" t="s">
        <v>220</v>
      </c>
      <c r="B10" s="8" t="s">
        <v>210</v>
      </c>
      <c r="C10" s="8" t="s">
        <v>204</v>
      </c>
      <c r="D10" s="10">
        <v>2764.66</v>
      </c>
      <c r="E10" s="10">
        <v>5532.1120000000001</v>
      </c>
      <c r="F10" s="8">
        <v>0</v>
      </c>
      <c r="G10" s="10"/>
      <c r="H10" s="8">
        <v>1</v>
      </c>
      <c r="I10" s="8" t="s">
        <v>82</v>
      </c>
      <c r="J10" s="8">
        <v>0</v>
      </c>
      <c r="K10" s="10">
        <v>1.8</v>
      </c>
      <c r="L10" s="11">
        <f>IF(AND(ISNUMBER(K10),ISNUMBER(D10)),IF(D10&lt;&gt;0,K10/ABS(D10),""),"")</f>
        <v>6.5107463485564231E-4</v>
      </c>
      <c r="M10" s="8" t="str">
        <f>IF(L10="","FCF yok",IF(L10&lt;0.01,"%1 altı",IF(L10&lt;0.05,"%1–5",IF(L10&lt;0.1,"%5–10",IF(L10&lt;0.25,"%10–25","%25 üstü")))))</f>
        <v>%1 altı</v>
      </c>
      <c r="N10" s="8" t="str">
        <f>IF(OR(C10="NULL",C10="KOŞULLU"),C10,IF(OR(F10=1,H10=1),"KOŞULLU",C10))</f>
        <v>KOŞULLU</v>
      </c>
      <c r="O10" s="8" t="str">
        <f>IF(OR(C10="NULL",C10="KOŞULLU"),C10,IF(H10=1,"KOŞULLU",C10))</f>
        <v>KOŞULLU</v>
      </c>
      <c r="P10" s="8">
        <f>IF(N10&lt;&gt;C10,1,0)</f>
        <v>1</v>
      </c>
      <c r="Q10" s="8">
        <f>IF(O10&lt;&gt;C10,1,0)</f>
        <v>1</v>
      </c>
    </row>
    <row r="11" spans="1:17" x14ac:dyDescent="0.2">
      <c r="A11" s="8" t="s">
        <v>221</v>
      </c>
      <c r="B11" s="8" t="s">
        <v>215</v>
      </c>
      <c r="C11" s="8" t="s">
        <v>204</v>
      </c>
      <c r="D11" s="10">
        <v>-17176.05</v>
      </c>
      <c r="E11" s="10">
        <v>5974.3729999999996</v>
      </c>
      <c r="F11" s="8">
        <v>0</v>
      </c>
      <c r="G11" s="10"/>
      <c r="H11" s="8">
        <v>1</v>
      </c>
      <c r="I11" s="8" t="s">
        <v>82</v>
      </c>
      <c r="J11" s="8">
        <v>0</v>
      </c>
      <c r="K11" s="10">
        <v>45.896999999999998</v>
      </c>
      <c r="L11" s="11">
        <f>IF(AND(ISNUMBER(K11),ISNUMBER(D11)),IF(D11&lt;&gt;0,K11/ABS(D11),""),"")</f>
        <v>2.672151047534212E-3</v>
      </c>
      <c r="M11" s="8" t="str">
        <f>IF(L11="","FCF yok",IF(L11&lt;0.01,"%1 altı",IF(L11&lt;0.05,"%1–5",IF(L11&lt;0.1,"%5–10",IF(L11&lt;0.25,"%10–25","%25 üstü")))))</f>
        <v>%1 altı</v>
      </c>
      <c r="N11" s="8" t="str">
        <f>IF(OR(C11="NULL",C11="KOŞULLU"),C11,IF(OR(F11=1,H11=1),"KOŞULLU",C11))</f>
        <v>KOŞULLU</v>
      </c>
      <c r="O11" s="8" t="str">
        <f>IF(OR(C11="NULL",C11="KOŞULLU"),C11,IF(H11=1,"KOŞULLU",C11))</f>
        <v>KOŞULLU</v>
      </c>
      <c r="P11" s="8">
        <f>IF(N11&lt;&gt;C11,1,0)</f>
        <v>1</v>
      </c>
      <c r="Q11" s="8">
        <f>IF(O11&lt;&gt;C11,1,0)</f>
        <v>1</v>
      </c>
    </row>
    <row r="12" spans="1:17" x14ac:dyDescent="0.2">
      <c r="A12" s="8" t="s">
        <v>223</v>
      </c>
      <c r="B12" s="8" t="s">
        <v>205</v>
      </c>
      <c r="C12" s="8" t="s">
        <v>212</v>
      </c>
      <c r="D12" s="10">
        <v>347.97699999999998</v>
      </c>
      <c r="E12" s="10">
        <v>378.798</v>
      </c>
      <c r="F12" s="8">
        <v>1</v>
      </c>
      <c r="G12" s="8" t="s">
        <v>83</v>
      </c>
      <c r="H12" s="8">
        <v>1</v>
      </c>
      <c r="I12" s="8" t="s">
        <v>82</v>
      </c>
      <c r="J12" s="8">
        <v>0</v>
      </c>
      <c r="K12" s="10">
        <v>1357.15</v>
      </c>
      <c r="L12" s="11">
        <f>IF(AND(ISNUMBER(K12),ISNUMBER(D12)),IF(D12&lt;&gt;0,K12/ABS(D12),""),"")</f>
        <v>3.9001140880000693</v>
      </c>
      <c r="M12" s="8" t="str">
        <f>IF(L12="","FCF yok",IF(L12&lt;0.01,"%1 altı",IF(L12&lt;0.05,"%1–5",IF(L12&lt;0.1,"%5–10",IF(L12&lt;0.25,"%10–25","%25 üstü")))))</f>
        <v>%25 üstü</v>
      </c>
      <c r="N12" s="8" t="str">
        <f>IF(OR(C12="NULL",C12="KOŞULLU"),C12,IF(OR(F12=1,H12=1),"KOŞULLU",C12))</f>
        <v>KOŞULLU</v>
      </c>
      <c r="O12" s="8" t="str">
        <f>IF(OR(C12="NULL",C12="KOŞULLU"),C12,IF(H12=1,"KOŞULLU",C12))</f>
        <v>KOŞULLU</v>
      </c>
      <c r="P12" s="8">
        <f>IF(N12&lt;&gt;C12,1,0)</f>
        <v>0</v>
      </c>
      <c r="Q12" s="8">
        <f>IF(O12&lt;&gt;C12,1,0)</f>
        <v>0</v>
      </c>
    </row>
    <row r="13" spans="1:17" x14ac:dyDescent="0.2">
      <c r="A13" s="8" t="s">
        <v>223</v>
      </c>
      <c r="B13" s="8" t="s">
        <v>210</v>
      </c>
      <c r="C13" s="8" t="s">
        <v>204</v>
      </c>
      <c r="D13" s="10">
        <v>-683.01199999999994</v>
      </c>
      <c r="E13" s="10">
        <v>860.54100000000005</v>
      </c>
      <c r="F13" s="8">
        <v>1</v>
      </c>
      <c r="G13" s="8" t="s">
        <v>83</v>
      </c>
      <c r="H13" s="8">
        <v>0</v>
      </c>
      <c r="I13" s="10"/>
      <c r="J13" s="8">
        <v>1</v>
      </c>
      <c r="K13" s="10">
        <v>1357.15</v>
      </c>
      <c r="L13" s="11">
        <f>IF(AND(ISNUMBER(K13),ISNUMBER(D13)),IF(D13&lt;&gt;0,K13/ABS(D13),""),"")</f>
        <v>1.9870075489156855</v>
      </c>
      <c r="M13" s="8" t="str">
        <f>IF(L13="","FCF yok",IF(L13&lt;0.01,"%1 altı",IF(L13&lt;0.05,"%1–5",IF(L13&lt;0.1,"%5–10",IF(L13&lt;0.25,"%10–25","%25 üstü")))))</f>
        <v>%25 üstü</v>
      </c>
      <c r="N13" s="8" t="str">
        <f>IF(OR(C13="NULL",C13="KOŞULLU"),C13,IF(OR(F13=1,H13=1),"KOŞULLU",C13))</f>
        <v>KOŞULLU</v>
      </c>
      <c r="O13" s="8" t="str">
        <f>IF(OR(C13="NULL",C13="KOŞULLU"),C13,IF(H13=1,"KOŞULLU",C13))</f>
        <v>KESİN</v>
      </c>
      <c r="P13" s="8">
        <f>IF(N13&lt;&gt;C13,1,0)</f>
        <v>1</v>
      </c>
      <c r="Q13" s="8">
        <f>IF(O13&lt;&gt;C13,1,0)</f>
        <v>0</v>
      </c>
    </row>
    <row r="14" spans="1:17" x14ac:dyDescent="0.2">
      <c r="A14" s="8" t="s">
        <v>226</v>
      </c>
      <c r="B14" s="8" t="s">
        <v>203</v>
      </c>
      <c r="C14" s="8" t="s">
        <v>204</v>
      </c>
      <c r="D14" s="10">
        <v>1133.1189999999999</v>
      </c>
      <c r="E14" s="10">
        <v>2390.2260000000001</v>
      </c>
      <c r="F14" s="8">
        <v>1</v>
      </c>
      <c r="G14" s="8" t="s">
        <v>82</v>
      </c>
      <c r="H14" s="8">
        <v>0</v>
      </c>
      <c r="I14" s="10"/>
      <c r="J14" s="8">
        <v>1</v>
      </c>
      <c r="K14" s="10">
        <v>1.216</v>
      </c>
      <c r="L14" s="11">
        <f>IF(AND(ISNUMBER(K14),ISNUMBER(D14)),IF(D14&lt;&gt;0,K14/ABS(D14),""),"")</f>
        <v>1.0731441269628344E-3</v>
      </c>
      <c r="M14" s="8" t="str">
        <f>IF(L14="","FCF yok",IF(L14&lt;0.01,"%1 altı",IF(L14&lt;0.05,"%1–5",IF(L14&lt;0.1,"%5–10",IF(L14&lt;0.25,"%10–25","%25 üstü")))))</f>
        <v>%1 altı</v>
      </c>
      <c r="N14" s="8" t="str">
        <f>IF(OR(C14="NULL",C14="KOŞULLU"),C14,IF(OR(F14=1,H14=1),"KOŞULLU",C14))</f>
        <v>KOŞULLU</v>
      </c>
      <c r="O14" s="8" t="str">
        <f>IF(OR(C14="NULL",C14="KOŞULLU"),C14,IF(H14=1,"KOŞULLU",C14))</f>
        <v>KESİN</v>
      </c>
      <c r="P14" s="8">
        <f>IF(N14&lt;&gt;C14,1,0)</f>
        <v>1</v>
      </c>
      <c r="Q14" s="8">
        <f>IF(O14&lt;&gt;C14,1,0)</f>
        <v>0</v>
      </c>
    </row>
    <row r="15" spans="1:17" x14ac:dyDescent="0.2">
      <c r="A15" s="8" t="s">
        <v>226</v>
      </c>
      <c r="B15" s="8" t="s">
        <v>208</v>
      </c>
      <c r="C15" s="8" t="s">
        <v>207</v>
      </c>
      <c r="D15" s="10"/>
      <c r="E15" s="10">
        <v>1104.9570000000001</v>
      </c>
      <c r="F15" s="8">
        <v>1</v>
      </c>
      <c r="G15" s="8" t="s">
        <v>82</v>
      </c>
      <c r="H15" s="8">
        <v>0</v>
      </c>
      <c r="I15" s="10"/>
      <c r="J15" s="8">
        <v>1</v>
      </c>
      <c r="K15" s="10">
        <v>1.216</v>
      </c>
      <c r="L15" s="11" t="str">
        <f>IF(AND(ISNUMBER(K15),ISNUMBER(D15)),IF(D15&lt;&gt;0,K15/ABS(D15),""),"")</f>
        <v/>
      </c>
      <c r="M15" s="8" t="str">
        <f>IF(L15="","FCF yok",IF(L15&lt;0.01,"%1 altı",IF(L15&lt;0.05,"%1–5",IF(L15&lt;0.1,"%5–10",IF(L15&lt;0.25,"%10–25","%25 üstü")))))</f>
        <v>FCF yok</v>
      </c>
      <c r="N15" s="8" t="str">
        <f>IF(OR(C15="NULL",C15="KOŞULLU"),C15,IF(OR(F15=1,H15=1),"KOŞULLU",C15))</f>
        <v>NULL</v>
      </c>
      <c r="O15" s="8" t="str">
        <f>IF(OR(C15="NULL",C15="KOŞULLU"),C15,IF(H15=1,"KOŞULLU",C15))</f>
        <v>NULL</v>
      </c>
      <c r="P15" s="8">
        <f>IF(N15&lt;&gt;C15,1,0)</f>
        <v>0</v>
      </c>
      <c r="Q15" s="8">
        <f>IF(O15&lt;&gt;C15,1,0)</f>
        <v>0</v>
      </c>
    </row>
    <row r="16" spans="1:17" x14ac:dyDescent="0.2">
      <c r="A16" s="8" t="s">
        <v>229</v>
      </c>
      <c r="B16" s="8" t="s">
        <v>215</v>
      </c>
      <c r="C16" s="8" t="s">
        <v>212</v>
      </c>
      <c r="D16" s="10">
        <v>6903.9719999999998</v>
      </c>
      <c r="E16" s="10">
        <v>6926.6530000000002</v>
      </c>
      <c r="F16" s="8">
        <v>0</v>
      </c>
      <c r="G16" s="10"/>
      <c r="H16" s="8">
        <v>1</v>
      </c>
      <c r="I16" s="8" t="s">
        <v>82</v>
      </c>
      <c r="J16" s="8">
        <v>0</v>
      </c>
      <c r="K16" s="10">
        <v>185.56800000000001</v>
      </c>
      <c r="L16" s="11">
        <f>IF(AND(ISNUMBER(K16),ISNUMBER(D16)),IF(D16&lt;&gt;0,K16/ABS(D16),""),"")</f>
        <v>2.6878440410824381E-2</v>
      </c>
      <c r="M16" s="8" t="str">
        <f>IF(L16="","FCF yok",IF(L16&lt;0.01,"%1 altı",IF(L16&lt;0.05,"%1–5",IF(L16&lt;0.1,"%5–10",IF(L16&lt;0.25,"%10–25","%25 üstü")))))</f>
        <v>%1–5</v>
      </c>
      <c r="N16" s="8" t="str">
        <f>IF(OR(C16="NULL",C16="KOŞULLU"),C16,IF(OR(F16=1,H16=1),"KOŞULLU",C16))</f>
        <v>KOŞULLU</v>
      </c>
      <c r="O16" s="8" t="str">
        <f>IF(OR(C16="NULL",C16="KOŞULLU"),C16,IF(H16=1,"KOŞULLU",C16))</f>
        <v>KOŞULLU</v>
      </c>
      <c r="P16" s="8">
        <f>IF(N16&lt;&gt;C16,1,0)</f>
        <v>0</v>
      </c>
      <c r="Q16" s="8">
        <f>IF(O16&lt;&gt;C16,1,0)</f>
        <v>0</v>
      </c>
    </row>
    <row r="17" spans="1:17" x14ac:dyDescent="0.2">
      <c r="A17" s="8" t="s">
        <v>230</v>
      </c>
      <c r="B17" s="8" t="s">
        <v>203</v>
      </c>
      <c r="C17" s="8" t="s">
        <v>209</v>
      </c>
      <c r="D17" s="10">
        <v>-2416.3139999999999</v>
      </c>
      <c r="E17" s="10">
        <v>-2247.2779999999998</v>
      </c>
      <c r="F17" s="8">
        <v>1</v>
      </c>
      <c r="G17" s="8" t="s">
        <v>83</v>
      </c>
      <c r="H17" s="8">
        <v>0</v>
      </c>
      <c r="I17" s="10"/>
      <c r="J17" s="8">
        <v>1</v>
      </c>
      <c r="K17" s="10">
        <v>13.459</v>
      </c>
      <c r="L17" s="11">
        <f>IF(AND(ISNUMBER(K17),ISNUMBER(D17)),IF(D17&lt;&gt;0,K17/ABS(D17),""),"")</f>
        <v>5.5700542230852452E-3</v>
      </c>
      <c r="M17" s="8" t="str">
        <f>IF(L17="","FCF yok",IF(L17&lt;0.01,"%1 altı",IF(L17&lt;0.05,"%1–5",IF(L17&lt;0.1,"%5–10",IF(L17&lt;0.25,"%10–25","%25 üstü")))))</f>
        <v>%1 altı</v>
      </c>
      <c r="N17" s="8" t="str">
        <f>IF(OR(C17="NULL",C17="KOŞULLU"),C17,IF(OR(F17=1,H17=1),"KOŞULLU",C17))</f>
        <v>KOŞULLU</v>
      </c>
      <c r="O17" s="8" t="str">
        <f>IF(OR(C17="NULL",C17="KOŞULLU"),C17,IF(H17=1,"KOŞULLU",C17))</f>
        <v>TÜRETİLMİŞ</v>
      </c>
      <c r="P17" s="8">
        <f>IF(N17&lt;&gt;C17,1,0)</f>
        <v>1</v>
      </c>
      <c r="Q17" s="8">
        <f>IF(O17&lt;&gt;C17,1,0)</f>
        <v>0</v>
      </c>
    </row>
    <row r="18" spans="1:17" x14ac:dyDescent="0.2">
      <c r="A18" s="8" t="s">
        <v>230</v>
      </c>
      <c r="B18" s="8" t="s">
        <v>215</v>
      </c>
      <c r="C18" s="8" t="s">
        <v>209</v>
      </c>
      <c r="D18" s="10">
        <v>-2044.6859999999999</v>
      </c>
      <c r="E18" s="10">
        <v>-1846.846</v>
      </c>
      <c r="F18" s="8">
        <v>1</v>
      </c>
      <c r="G18" s="8" t="s">
        <v>83</v>
      </c>
      <c r="H18" s="8">
        <v>0</v>
      </c>
      <c r="I18" s="10"/>
      <c r="J18" s="8">
        <v>1</v>
      </c>
      <c r="K18" s="10">
        <v>7.07</v>
      </c>
      <c r="L18" s="11">
        <f>IF(AND(ISNUMBER(K18),ISNUMBER(D18)),IF(D18&lt;&gt;0,K18/ABS(D18),""),"")</f>
        <v>3.4577436339858544E-3</v>
      </c>
      <c r="M18" s="8" t="str">
        <f>IF(L18="","FCF yok",IF(L18&lt;0.01,"%1 altı",IF(L18&lt;0.05,"%1–5",IF(L18&lt;0.1,"%5–10",IF(L18&lt;0.25,"%10–25","%25 üstü")))))</f>
        <v>%1 altı</v>
      </c>
      <c r="N18" s="8" t="str">
        <f>IF(OR(C18="NULL",C18="KOŞULLU"),C18,IF(OR(F18=1,H18=1),"KOŞULLU",C18))</f>
        <v>KOŞULLU</v>
      </c>
      <c r="O18" s="8" t="str">
        <f>IF(OR(C18="NULL",C18="KOŞULLU"),C18,IF(H18=1,"KOŞULLU",C18))</f>
        <v>TÜRETİLMİŞ</v>
      </c>
      <c r="P18" s="8">
        <f>IF(N18&lt;&gt;C18,1,0)</f>
        <v>1</v>
      </c>
      <c r="Q18" s="8">
        <f>IF(O18&lt;&gt;C18,1,0)</f>
        <v>0</v>
      </c>
    </row>
    <row r="19" spans="1:17" x14ac:dyDescent="0.2">
      <c r="A19" s="8" t="s">
        <v>230</v>
      </c>
      <c r="B19" s="8" t="s">
        <v>208</v>
      </c>
      <c r="C19" s="8" t="s">
        <v>209</v>
      </c>
      <c r="D19" s="10">
        <v>1354.124</v>
      </c>
      <c r="E19" s="10">
        <v>1640.346</v>
      </c>
      <c r="F19" s="8">
        <v>1</v>
      </c>
      <c r="G19" s="8" t="s">
        <v>82</v>
      </c>
      <c r="H19" s="8">
        <v>0</v>
      </c>
      <c r="I19" s="10"/>
      <c r="J19" s="8">
        <v>1</v>
      </c>
      <c r="K19" s="10">
        <v>23.396000000000001</v>
      </c>
      <c r="L19" s="11">
        <f>IF(AND(ISNUMBER(K19),ISNUMBER(D19)),IF(D19&lt;&gt;0,K19/ABS(D19),""),"")</f>
        <v>1.727759053085242E-2</v>
      </c>
      <c r="M19" s="8" t="str">
        <f>IF(L19="","FCF yok",IF(L19&lt;0.01,"%1 altı",IF(L19&lt;0.05,"%1–5",IF(L19&lt;0.1,"%5–10",IF(L19&lt;0.25,"%10–25","%25 üstü")))))</f>
        <v>%1–5</v>
      </c>
      <c r="N19" s="8" t="str">
        <f>IF(OR(C19="NULL",C19="KOŞULLU"),C19,IF(OR(F19=1,H19=1),"KOŞULLU",C19))</f>
        <v>KOŞULLU</v>
      </c>
      <c r="O19" s="8" t="str">
        <f>IF(OR(C19="NULL",C19="KOŞULLU"),C19,IF(H19=1,"KOŞULLU",C19))</f>
        <v>TÜRETİLMİŞ</v>
      </c>
      <c r="P19" s="8">
        <f>IF(N19&lt;&gt;C19,1,0)</f>
        <v>1</v>
      </c>
      <c r="Q19" s="8">
        <f>IF(O19&lt;&gt;C19,1,0)</f>
        <v>0</v>
      </c>
    </row>
    <row r="20" spans="1:17" x14ac:dyDescent="0.2">
      <c r="A20" s="8" t="s">
        <v>234</v>
      </c>
      <c r="B20" s="8" t="s">
        <v>215</v>
      </c>
      <c r="C20" s="8" t="s">
        <v>207</v>
      </c>
      <c r="D20" s="10"/>
      <c r="E20" s="10"/>
      <c r="F20" s="8">
        <v>1</v>
      </c>
      <c r="G20" s="8" t="s">
        <v>83</v>
      </c>
      <c r="H20" s="8">
        <v>0</v>
      </c>
      <c r="I20" s="10"/>
      <c r="J20" s="8">
        <v>0</v>
      </c>
      <c r="K20" s="10">
        <v>5.3659999999999997</v>
      </c>
      <c r="L20" s="11" t="str">
        <f>IF(AND(ISNUMBER(K20),ISNUMBER(D20)),IF(D20&lt;&gt;0,K20/ABS(D20),""),"")</f>
        <v/>
      </c>
      <c r="M20" s="8" t="str">
        <f>IF(L20="","FCF yok",IF(L20&lt;0.01,"%1 altı",IF(L20&lt;0.05,"%1–5",IF(L20&lt;0.1,"%5–10",IF(L20&lt;0.25,"%10–25","%25 üstü")))))</f>
        <v>FCF yok</v>
      </c>
      <c r="N20" s="8" t="str">
        <f>IF(OR(C20="NULL",C20="KOŞULLU"),C20,IF(OR(F20=1,H20=1),"KOŞULLU",C20))</f>
        <v>NULL</v>
      </c>
      <c r="O20" s="8" t="str">
        <f>IF(OR(C20="NULL",C20="KOŞULLU"),C20,IF(H20=1,"KOŞULLU",C20))</f>
        <v>NULL</v>
      </c>
      <c r="P20" s="8">
        <f>IF(N20&lt;&gt;C20,1,0)</f>
        <v>0</v>
      </c>
      <c r="Q20" s="8">
        <f>IF(O20&lt;&gt;C20,1,0)</f>
        <v>0</v>
      </c>
    </row>
    <row r="21" spans="1:17" x14ac:dyDescent="0.2">
      <c r="A21" s="8" t="s">
        <v>236</v>
      </c>
      <c r="B21" s="8" t="s">
        <v>203</v>
      </c>
      <c r="C21" s="8" t="s">
        <v>207</v>
      </c>
      <c r="D21" s="10"/>
      <c r="E21" s="10">
        <v>891.03099999999995</v>
      </c>
      <c r="F21" s="8">
        <v>0</v>
      </c>
      <c r="G21" s="10"/>
      <c r="H21" s="8">
        <v>1</v>
      </c>
      <c r="I21" s="8" t="s">
        <v>83</v>
      </c>
      <c r="J21" s="8">
        <v>0</v>
      </c>
      <c r="K21" s="10">
        <v>108.64700000000001</v>
      </c>
      <c r="L21" s="11" t="str">
        <f>IF(AND(ISNUMBER(K21),ISNUMBER(D21)),IF(D21&lt;&gt;0,K21/ABS(D21),""),"")</f>
        <v/>
      </c>
      <c r="M21" s="8" t="str">
        <f>IF(L21="","FCF yok",IF(L21&lt;0.01,"%1 altı",IF(L21&lt;0.05,"%1–5",IF(L21&lt;0.1,"%5–10",IF(L21&lt;0.25,"%10–25","%25 üstü")))))</f>
        <v>FCF yok</v>
      </c>
      <c r="N21" s="8" t="str">
        <f>IF(OR(C21="NULL",C21="KOŞULLU"),C21,IF(OR(F21=1,H21=1),"KOŞULLU",C21))</f>
        <v>NULL</v>
      </c>
      <c r="O21" s="8" t="str">
        <f>IF(OR(C21="NULL",C21="KOŞULLU"),C21,IF(H21=1,"KOŞULLU",C21))</f>
        <v>NULL</v>
      </c>
      <c r="P21" s="8">
        <f>IF(N21&lt;&gt;C21,1,0)</f>
        <v>0</v>
      </c>
      <c r="Q21" s="8">
        <f>IF(O21&lt;&gt;C21,1,0)</f>
        <v>0</v>
      </c>
    </row>
    <row r="22" spans="1:17" x14ac:dyDescent="0.2">
      <c r="A22" s="8" t="s">
        <v>236</v>
      </c>
      <c r="B22" s="8" t="s">
        <v>205</v>
      </c>
      <c r="C22" s="8" t="s">
        <v>212</v>
      </c>
      <c r="D22" s="10">
        <v>1086.8730270000001</v>
      </c>
      <c r="E22" s="10">
        <v>1159.211</v>
      </c>
      <c r="F22" s="8">
        <v>0</v>
      </c>
      <c r="G22" s="10"/>
      <c r="H22" s="8">
        <v>1</v>
      </c>
      <c r="I22" s="8" t="s">
        <v>83</v>
      </c>
      <c r="J22" s="8">
        <v>0</v>
      </c>
      <c r="K22" s="10">
        <v>21.385000000000002</v>
      </c>
      <c r="L22" s="11">
        <f>IF(AND(ISNUMBER(K22),ISNUMBER(D22)),IF(D22&lt;&gt;0,K22/ABS(D22),""),"")</f>
        <v>1.9675711392918762E-2</v>
      </c>
      <c r="M22" s="8" t="str">
        <f>IF(L22="","FCF yok",IF(L22&lt;0.01,"%1 altı",IF(L22&lt;0.05,"%1–5",IF(L22&lt;0.1,"%5–10",IF(L22&lt;0.25,"%10–25","%25 üstü")))))</f>
        <v>%1–5</v>
      </c>
      <c r="N22" s="8" t="str">
        <f>IF(OR(C22="NULL",C22="KOŞULLU"),C22,IF(OR(F22=1,H22=1),"KOŞULLU",C22))</f>
        <v>KOŞULLU</v>
      </c>
      <c r="O22" s="8" t="str">
        <f>IF(OR(C22="NULL",C22="KOŞULLU"),C22,IF(H22=1,"KOŞULLU",C22))</f>
        <v>KOŞULLU</v>
      </c>
      <c r="P22" s="8">
        <f>IF(N22&lt;&gt;C22,1,0)</f>
        <v>0</v>
      </c>
      <c r="Q22" s="8">
        <f>IF(O22&lt;&gt;C22,1,0)</f>
        <v>0</v>
      </c>
    </row>
    <row r="23" spans="1:17" x14ac:dyDescent="0.2">
      <c r="A23" s="8" t="s">
        <v>236</v>
      </c>
      <c r="B23" s="8" t="s">
        <v>215</v>
      </c>
      <c r="C23" s="8" t="s">
        <v>207</v>
      </c>
      <c r="D23" s="10"/>
      <c r="E23" s="10">
        <v>1523.5239999999999</v>
      </c>
      <c r="F23" s="8">
        <v>0</v>
      </c>
      <c r="G23" s="10"/>
      <c r="H23" s="8">
        <v>1</v>
      </c>
      <c r="I23" s="8" t="s">
        <v>83</v>
      </c>
      <c r="J23" s="8">
        <v>0</v>
      </c>
      <c r="K23" s="10">
        <v>30.238</v>
      </c>
      <c r="L23" s="11" t="str">
        <f>IF(AND(ISNUMBER(K23),ISNUMBER(D23)),IF(D23&lt;&gt;0,K23/ABS(D23),""),"")</f>
        <v/>
      </c>
      <c r="M23" s="8" t="str">
        <f>IF(L23="","FCF yok",IF(L23&lt;0.01,"%1 altı",IF(L23&lt;0.05,"%1–5",IF(L23&lt;0.1,"%5–10",IF(L23&lt;0.25,"%10–25","%25 üstü")))))</f>
        <v>FCF yok</v>
      </c>
      <c r="N23" s="8" t="str">
        <f>IF(OR(C23="NULL",C23="KOŞULLU"),C23,IF(OR(F23=1,H23=1),"KOŞULLU",C23))</f>
        <v>NULL</v>
      </c>
      <c r="O23" s="8" t="str">
        <f>IF(OR(C23="NULL",C23="KOŞULLU"),C23,IF(H23=1,"KOŞULLU",C23))</f>
        <v>NULL</v>
      </c>
      <c r="P23" s="8">
        <f>IF(N23&lt;&gt;C23,1,0)</f>
        <v>0</v>
      </c>
      <c r="Q23" s="8">
        <f>IF(O23&lt;&gt;C23,1,0)</f>
        <v>0</v>
      </c>
    </row>
    <row r="24" spans="1:17" x14ac:dyDescent="0.2">
      <c r="A24" s="8" t="s">
        <v>238</v>
      </c>
      <c r="B24" s="8" t="s">
        <v>215</v>
      </c>
      <c r="C24" s="8" t="s">
        <v>212</v>
      </c>
      <c r="D24" s="10">
        <v>-1566.203</v>
      </c>
      <c r="E24" s="10">
        <v>521.73199999999997</v>
      </c>
      <c r="F24" s="8">
        <v>1</v>
      </c>
      <c r="G24" s="8" t="s">
        <v>82</v>
      </c>
      <c r="H24" s="8">
        <v>0</v>
      </c>
      <c r="I24" s="10"/>
      <c r="J24" s="8">
        <v>1</v>
      </c>
      <c r="K24" s="10">
        <v>16.623999999999999</v>
      </c>
      <c r="L24" s="11">
        <f>IF(AND(ISNUMBER(K24),ISNUMBER(D24)),IF(D24&lt;&gt;0,K24/ABS(D24),""),"")</f>
        <v>1.0614205182853052E-2</v>
      </c>
      <c r="M24" s="8" t="str">
        <f>IF(L24="","FCF yok",IF(L24&lt;0.01,"%1 altı",IF(L24&lt;0.05,"%1–5",IF(L24&lt;0.1,"%5–10",IF(L24&lt;0.25,"%10–25","%25 üstü")))))</f>
        <v>%1–5</v>
      </c>
      <c r="N24" s="8" t="str">
        <f>IF(OR(C24="NULL",C24="KOŞULLU"),C24,IF(OR(F24=1,H24=1),"KOŞULLU",C24))</f>
        <v>KOŞULLU</v>
      </c>
      <c r="O24" s="8" t="str">
        <f>IF(OR(C24="NULL",C24="KOŞULLU"),C24,IF(H24=1,"KOŞULLU",C24))</f>
        <v>KOŞULLU</v>
      </c>
      <c r="P24" s="8">
        <f>IF(N24&lt;&gt;C24,1,0)</f>
        <v>0</v>
      </c>
      <c r="Q24" s="8">
        <f>IF(O24&lt;&gt;C24,1,0)</f>
        <v>0</v>
      </c>
    </row>
    <row r="25" spans="1:17" x14ac:dyDescent="0.2">
      <c r="A25" s="8" t="s">
        <v>238</v>
      </c>
      <c r="B25" s="8" t="s">
        <v>208</v>
      </c>
      <c r="C25" s="8" t="s">
        <v>204</v>
      </c>
      <c r="D25" s="10">
        <v>-210.71899999999999</v>
      </c>
      <c r="E25" s="10">
        <v>1480.5260000000001</v>
      </c>
      <c r="F25" s="8">
        <v>0</v>
      </c>
      <c r="G25" s="10"/>
      <c r="H25" s="8">
        <v>1</v>
      </c>
      <c r="I25" s="8" t="s">
        <v>82</v>
      </c>
      <c r="J25" s="8">
        <v>0</v>
      </c>
      <c r="K25" s="10">
        <v>17.887</v>
      </c>
      <c r="L25" s="11">
        <f>IF(AND(ISNUMBER(K25),ISNUMBER(D25)),IF(D25&lt;&gt;0,K25/ABS(D25),""),"")</f>
        <v>8.4885558492589663E-2</v>
      </c>
      <c r="M25" s="8" t="str">
        <f>IF(L25="","FCF yok",IF(L25&lt;0.01,"%1 altı",IF(L25&lt;0.05,"%1–5",IF(L25&lt;0.1,"%5–10",IF(L25&lt;0.25,"%10–25","%25 üstü")))))</f>
        <v>%5–10</v>
      </c>
      <c r="N25" s="8" t="str">
        <f>IF(OR(C25="NULL",C25="KOŞULLU"),C25,IF(OR(F25=1,H25=1),"KOŞULLU",C25))</f>
        <v>KOŞULLU</v>
      </c>
      <c r="O25" s="8" t="str">
        <f>IF(OR(C25="NULL",C25="KOŞULLU"),C25,IF(H25=1,"KOŞULLU",C25))</f>
        <v>KOŞULLU</v>
      </c>
      <c r="P25" s="8">
        <f>IF(N25&lt;&gt;C25,1,0)</f>
        <v>1</v>
      </c>
      <c r="Q25" s="8">
        <f>IF(O25&lt;&gt;C25,1,0)</f>
        <v>1</v>
      </c>
    </row>
    <row r="26" spans="1:17" x14ac:dyDescent="0.2">
      <c r="A26" s="8" t="s">
        <v>240</v>
      </c>
      <c r="B26" s="8" t="s">
        <v>203</v>
      </c>
      <c r="C26" s="8" t="s">
        <v>204</v>
      </c>
      <c r="D26" s="10">
        <v>246.59700000000001</v>
      </c>
      <c r="E26" s="10">
        <v>1276.8869999999999</v>
      </c>
      <c r="F26" s="8">
        <v>1</v>
      </c>
      <c r="G26" s="8" t="s">
        <v>82</v>
      </c>
      <c r="H26" s="8">
        <v>0</v>
      </c>
      <c r="I26" s="10"/>
      <c r="J26" s="8">
        <v>1</v>
      </c>
      <c r="K26" s="10">
        <v>15.499000000000001</v>
      </c>
      <c r="L26" s="11">
        <f>IF(AND(ISNUMBER(K26),ISNUMBER(D26)),IF(D26&lt;&gt;0,K26/ABS(D26),""),"")</f>
        <v>6.2851535095722985E-2</v>
      </c>
      <c r="M26" s="8" t="str">
        <f>IF(L26="","FCF yok",IF(L26&lt;0.01,"%1 altı",IF(L26&lt;0.05,"%1–5",IF(L26&lt;0.1,"%5–10",IF(L26&lt;0.25,"%10–25","%25 üstü")))))</f>
        <v>%5–10</v>
      </c>
      <c r="N26" s="8" t="str">
        <f>IF(OR(C26="NULL",C26="KOŞULLU"),C26,IF(OR(F26=1,H26=1),"KOŞULLU",C26))</f>
        <v>KOŞULLU</v>
      </c>
      <c r="O26" s="8" t="str">
        <f>IF(OR(C26="NULL",C26="KOŞULLU"),C26,IF(H26=1,"KOŞULLU",C26))</f>
        <v>KESİN</v>
      </c>
      <c r="P26" s="8">
        <f>IF(N26&lt;&gt;C26,1,0)</f>
        <v>1</v>
      </c>
      <c r="Q26" s="8">
        <f>IF(O26&lt;&gt;C26,1,0)</f>
        <v>0</v>
      </c>
    </row>
    <row r="27" spans="1:17" x14ac:dyDescent="0.2">
      <c r="A27" s="8" t="s">
        <v>240</v>
      </c>
      <c r="B27" s="8" t="s">
        <v>205</v>
      </c>
      <c r="C27" s="8" t="s">
        <v>212</v>
      </c>
      <c r="D27" s="10">
        <v>2684.5360000000001</v>
      </c>
      <c r="E27" s="10">
        <v>3630.6860000000001</v>
      </c>
      <c r="F27" s="8">
        <v>1</v>
      </c>
      <c r="G27" s="8" t="s">
        <v>82</v>
      </c>
      <c r="H27" s="8">
        <v>0</v>
      </c>
      <c r="I27" s="10"/>
      <c r="J27" s="8">
        <v>1</v>
      </c>
      <c r="K27" s="10">
        <v>28.536999999999999</v>
      </c>
      <c r="L27" s="11">
        <f>IF(AND(ISNUMBER(K27),ISNUMBER(D27)),IF(D27&lt;&gt;0,K27/ABS(D27),""),"")</f>
        <v>1.0630142415672577E-2</v>
      </c>
      <c r="M27" s="8" t="str">
        <f>IF(L27="","FCF yok",IF(L27&lt;0.01,"%1 altı",IF(L27&lt;0.05,"%1–5",IF(L27&lt;0.1,"%5–10",IF(L27&lt;0.25,"%10–25","%25 üstü")))))</f>
        <v>%1–5</v>
      </c>
      <c r="N27" s="8" t="str">
        <f>IF(OR(C27="NULL",C27="KOŞULLU"),C27,IF(OR(F27=1,H27=1),"KOŞULLU",C27))</f>
        <v>KOŞULLU</v>
      </c>
      <c r="O27" s="8" t="str">
        <f>IF(OR(C27="NULL",C27="KOŞULLU"),C27,IF(H27=1,"KOŞULLU",C27))</f>
        <v>KOŞULLU</v>
      </c>
      <c r="P27" s="8">
        <f>IF(N27&lt;&gt;C27,1,0)</f>
        <v>0</v>
      </c>
      <c r="Q27" s="8">
        <f>IF(O27&lt;&gt;C27,1,0)</f>
        <v>0</v>
      </c>
    </row>
    <row r="28" spans="1:17" x14ac:dyDescent="0.2">
      <c r="A28" s="8" t="s">
        <v>243</v>
      </c>
      <c r="B28" s="8" t="s">
        <v>203</v>
      </c>
      <c r="C28" s="8" t="s">
        <v>207</v>
      </c>
      <c r="D28" s="10"/>
      <c r="E28" s="10">
        <v>87.965999999999994</v>
      </c>
      <c r="F28" s="8">
        <v>0</v>
      </c>
      <c r="G28" s="10"/>
      <c r="H28" s="8">
        <v>1</v>
      </c>
      <c r="I28" s="8" t="s">
        <v>83</v>
      </c>
      <c r="J28" s="8">
        <v>0</v>
      </c>
      <c r="K28" s="10">
        <v>52.701000000000001</v>
      </c>
      <c r="L28" s="11" t="str">
        <f>IF(AND(ISNUMBER(K28),ISNUMBER(D28)),IF(D28&lt;&gt;0,K28/ABS(D28),""),"")</f>
        <v/>
      </c>
      <c r="M28" s="8" t="str">
        <f>IF(L28="","FCF yok",IF(L28&lt;0.01,"%1 altı",IF(L28&lt;0.05,"%1–5",IF(L28&lt;0.1,"%5–10",IF(L28&lt;0.25,"%10–25","%25 üstü")))))</f>
        <v>FCF yok</v>
      </c>
      <c r="N28" s="8" t="str">
        <f>IF(OR(C28="NULL",C28="KOŞULLU"),C28,IF(OR(F28=1,H28=1),"KOŞULLU",C28))</f>
        <v>NULL</v>
      </c>
      <c r="O28" s="8" t="str">
        <f>IF(OR(C28="NULL",C28="KOŞULLU"),C28,IF(H28=1,"KOŞULLU",C28))</f>
        <v>NULL</v>
      </c>
      <c r="P28" s="8">
        <f>IF(N28&lt;&gt;C28,1,0)</f>
        <v>0</v>
      </c>
      <c r="Q28" s="8">
        <f>IF(O28&lt;&gt;C28,1,0)</f>
        <v>0</v>
      </c>
    </row>
    <row r="29" spans="1:17" x14ac:dyDescent="0.2">
      <c r="A29" s="8" t="s">
        <v>243</v>
      </c>
      <c r="B29" s="8" t="s">
        <v>215</v>
      </c>
      <c r="C29" s="8" t="s">
        <v>207</v>
      </c>
      <c r="D29" s="10"/>
      <c r="E29" s="10">
        <v>53.248000000000097</v>
      </c>
      <c r="F29" s="8">
        <v>1</v>
      </c>
      <c r="G29" s="8" t="s">
        <v>82</v>
      </c>
      <c r="H29" s="8">
        <v>1</v>
      </c>
      <c r="I29" s="8" t="s">
        <v>83</v>
      </c>
      <c r="J29" s="8">
        <v>0</v>
      </c>
      <c r="K29" s="10">
        <v>30.396999999999998</v>
      </c>
      <c r="L29" s="11" t="str">
        <f>IF(AND(ISNUMBER(K29),ISNUMBER(D29)),IF(D29&lt;&gt;0,K29/ABS(D29),""),"")</f>
        <v/>
      </c>
      <c r="M29" s="8" t="str">
        <f>IF(L29="","FCF yok",IF(L29&lt;0.01,"%1 altı",IF(L29&lt;0.05,"%1–5",IF(L29&lt;0.1,"%5–10",IF(L29&lt;0.25,"%10–25","%25 üstü")))))</f>
        <v>FCF yok</v>
      </c>
      <c r="N29" s="8" t="str">
        <f>IF(OR(C29="NULL",C29="KOŞULLU"),C29,IF(OR(F29=1,H29=1),"KOŞULLU",C29))</f>
        <v>NULL</v>
      </c>
      <c r="O29" s="8" t="str">
        <f>IF(OR(C29="NULL",C29="KOŞULLU"),C29,IF(H29=1,"KOŞULLU",C29))</f>
        <v>NULL</v>
      </c>
      <c r="P29" s="8">
        <f>IF(N29&lt;&gt;C29,1,0)</f>
        <v>0</v>
      </c>
      <c r="Q29" s="8">
        <f>IF(O29&lt;&gt;C29,1,0)</f>
        <v>0</v>
      </c>
    </row>
    <row r="30" spans="1:17" x14ac:dyDescent="0.2">
      <c r="A30" s="8" t="s">
        <v>244</v>
      </c>
      <c r="B30" s="8" t="s">
        <v>203</v>
      </c>
      <c r="C30" s="8" t="s">
        <v>207</v>
      </c>
      <c r="D30" s="10"/>
      <c r="E30" s="10">
        <v>82.941000000000003</v>
      </c>
      <c r="F30" s="8">
        <v>1</v>
      </c>
      <c r="G30" s="8" t="s">
        <v>82</v>
      </c>
      <c r="H30" s="8">
        <v>0</v>
      </c>
      <c r="I30" s="10"/>
      <c r="J30" s="8">
        <v>0</v>
      </c>
      <c r="K30" s="10">
        <v>63.664999999999999</v>
      </c>
      <c r="L30" s="11" t="str">
        <f>IF(AND(ISNUMBER(K30),ISNUMBER(D30)),IF(D30&lt;&gt;0,K30/ABS(D30),""),"")</f>
        <v/>
      </c>
      <c r="M30" s="8" t="str">
        <f>IF(L30="","FCF yok",IF(L30&lt;0.01,"%1 altı",IF(L30&lt;0.05,"%1–5",IF(L30&lt;0.1,"%5–10",IF(L30&lt;0.25,"%10–25","%25 üstü")))))</f>
        <v>FCF yok</v>
      </c>
      <c r="N30" s="8" t="str">
        <f>IF(OR(C30="NULL",C30="KOŞULLU"),C30,IF(OR(F30=1,H30=1),"KOŞULLU",C30))</f>
        <v>NULL</v>
      </c>
      <c r="O30" s="8" t="str">
        <f>IF(OR(C30="NULL",C30="KOŞULLU"),C30,IF(H30=1,"KOŞULLU",C30))</f>
        <v>NULL</v>
      </c>
      <c r="P30" s="8">
        <f>IF(N30&lt;&gt;C30,1,0)</f>
        <v>0</v>
      </c>
      <c r="Q30" s="8">
        <f>IF(O30&lt;&gt;C30,1,0)</f>
        <v>0</v>
      </c>
    </row>
    <row r="31" spans="1:17" x14ac:dyDescent="0.2">
      <c r="A31" s="8" t="s">
        <v>246</v>
      </c>
      <c r="B31" s="8" t="s">
        <v>208</v>
      </c>
      <c r="C31" s="8" t="s">
        <v>204</v>
      </c>
      <c r="D31" s="10">
        <v>53.536000000000001</v>
      </c>
      <c r="E31" s="10">
        <v>53.536000000000001</v>
      </c>
      <c r="F31" s="8">
        <v>1</v>
      </c>
      <c r="G31" s="8" t="s">
        <v>83</v>
      </c>
      <c r="H31" s="8">
        <v>0</v>
      </c>
      <c r="I31" s="10"/>
      <c r="J31" s="8">
        <v>0</v>
      </c>
      <c r="K31" s="10">
        <v>1.8939999999999999</v>
      </c>
      <c r="L31" s="11">
        <f>IF(AND(ISNUMBER(K31),ISNUMBER(D31)),IF(D31&lt;&gt;0,K31/ABS(D31),""),"")</f>
        <v>3.5378063359234907E-2</v>
      </c>
      <c r="M31" s="8" t="str">
        <f>IF(L31="","FCF yok",IF(L31&lt;0.01,"%1 altı",IF(L31&lt;0.05,"%1–5",IF(L31&lt;0.1,"%5–10",IF(L31&lt;0.25,"%10–25","%25 üstü")))))</f>
        <v>%1–5</v>
      </c>
      <c r="N31" s="8" t="str">
        <f>IF(OR(C31="NULL",C31="KOŞULLU"),C31,IF(OR(F31=1,H31=1),"KOŞULLU",C31))</f>
        <v>KOŞULLU</v>
      </c>
      <c r="O31" s="8" t="str">
        <f>IF(OR(C31="NULL",C31="KOŞULLU"),C31,IF(H31=1,"KOŞULLU",C31))</f>
        <v>KESİN</v>
      </c>
      <c r="P31" s="8">
        <f>IF(N31&lt;&gt;C31,1,0)</f>
        <v>1</v>
      </c>
      <c r="Q31" s="8">
        <f>IF(O31&lt;&gt;C31,1,0)</f>
        <v>0</v>
      </c>
    </row>
    <row r="32" spans="1:17" x14ac:dyDescent="0.2">
      <c r="A32" s="8" t="s">
        <v>246</v>
      </c>
      <c r="B32" s="8" t="s">
        <v>210</v>
      </c>
      <c r="C32" s="8" t="s">
        <v>204</v>
      </c>
      <c r="D32" s="10">
        <v>-51.779000000000003</v>
      </c>
      <c r="E32" s="10">
        <v>-51.779000000000003</v>
      </c>
      <c r="F32" s="8">
        <v>1</v>
      </c>
      <c r="G32" s="8" t="s">
        <v>83</v>
      </c>
      <c r="H32" s="8">
        <v>0</v>
      </c>
      <c r="I32" s="10"/>
      <c r="J32" s="8">
        <v>0</v>
      </c>
      <c r="K32" s="10">
        <v>8.7420000000000009</v>
      </c>
      <c r="L32" s="11">
        <f>IF(AND(ISNUMBER(K32),ISNUMBER(D32)),IF(D32&lt;&gt;0,K32/ABS(D32),""),"")</f>
        <v>0.16883292454469959</v>
      </c>
      <c r="M32" s="8" t="str">
        <f>IF(L32="","FCF yok",IF(L32&lt;0.01,"%1 altı",IF(L32&lt;0.05,"%1–5",IF(L32&lt;0.1,"%5–10",IF(L32&lt;0.25,"%10–25","%25 üstü")))))</f>
        <v>%10–25</v>
      </c>
      <c r="N32" s="8" t="str">
        <f>IF(OR(C32="NULL",C32="KOŞULLU"),C32,IF(OR(F32=1,H32=1),"KOŞULLU",C32))</f>
        <v>KOŞULLU</v>
      </c>
      <c r="O32" s="8" t="str">
        <f>IF(OR(C32="NULL",C32="KOŞULLU"),C32,IF(H32=1,"KOŞULLU",C32))</f>
        <v>KESİN</v>
      </c>
      <c r="P32" s="8">
        <f>IF(N32&lt;&gt;C32,1,0)</f>
        <v>1</v>
      </c>
      <c r="Q32" s="8">
        <f>IF(O32&lt;&gt;C32,1,0)</f>
        <v>0</v>
      </c>
    </row>
    <row r="33" spans="1:17" x14ac:dyDescent="0.2">
      <c r="A33" s="8" t="s">
        <v>249</v>
      </c>
      <c r="B33" s="8" t="s">
        <v>203</v>
      </c>
      <c r="C33" s="8" t="s">
        <v>204</v>
      </c>
      <c r="D33" s="10">
        <v>-38.131</v>
      </c>
      <c r="E33" s="10">
        <v>13.962</v>
      </c>
      <c r="F33" s="8">
        <v>1</v>
      </c>
      <c r="G33" s="8" t="s">
        <v>82</v>
      </c>
      <c r="H33" s="8">
        <v>0</v>
      </c>
      <c r="I33" s="10"/>
      <c r="J33" s="8">
        <v>1</v>
      </c>
      <c r="K33" s="10">
        <v>5.2229999999999999</v>
      </c>
      <c r="L33" s="11">
        <f>IF(AND(ISNUMBER(K33),ISNUMBER(D33)),IF(D33&lt;&gt;0,K33/ABS(D33),""),"")</f>
        <v>0.13697516456426528</v>
      </c>
      <c r="M33" s="8" t="str">
        <f>IF(L33="","FCF yok",IF(L33&lt;0.01,"%1 altı",IF(L33&lt;0.05,"%1–5",IF(L33&lt;0.1,"%5–10",IF(L33&lt;0.25,"%10–25","%25 üstü")))))</f>
        <v>%10–25</v>
      </c>
      <c r="N33" s="8" t="str">
        <f>IF(OR(C33="NULL",C33="KOŞULLU"),C33,IF(OR(F33=1,H33=1),"KOŞULLU",C33))</f>
        <v>KOŞULLU</v>
      </c>
      <c r="O33" s="8" t="str">
        <f>IF(OR(C33="NULL",C33="KOŞULLU"),C33,IF(H33=1,"KOŞULLU",C33))</f>
        <v>KESİN</v>
      </c>
      <c r="P33" s="8">
        <f>IF(N33&lt;&gt;C33,1,0)</f>
        <v>1</v>
      </c>
      <c r="Q33" s="8">
        <f>IF(O33&lt;&gt;C33,1,0)</f>
        <v>0</v>
      </c>
    </row>
    <row r="34" spans="1:17" x14ac:dyDescent="0.2">
      <c r="A34" s="8" t="s">
        <v>249</v>
      </c>
      <c r="B34" s="8" t="s">
        <v>208</v>
      </c>
      <c r="C34" s="8" t="s">
        <v>204</v>
      </c>
      <c r="D34" s="10">
        <v>-5.1320000000000103</v>
      </c>
      <c r="E34" s="10">
        <v>62.872999999999998</v>
      </c>
      <c r="F34" s="8">
        <v>1</v>
      </c>
      <c r="G34" s="8" t="s">
        <v>82</v>
      </c>
      <c r="H34" s="8">
        <v>0</v>
      </c>
      <c r="I34" s="10"/>
      <c r="J34" s="8">
        <v>1</v>
      </c>
      <c r="K34" s="10">
        <v>5.2229999999999999</v>
      </c>
      <c r="L34" s="11">
        <f>IF(AND(ISNUMBER(K34),ISNUMBER(D34)),IF(D34&lt;&gt;0,K34/ABS(D34),""),"")</f>
        <v>1.0177318784099745</v>
      </c>
      <c r="M34" s="8" t="str">
        <f>IF(L34="","FCF yok",IF(L34&lt;0.01,"%1 altı",IF(L34&lt;0.05,"%1–5",IF(L34&lt;0.1,"%5–10",IF(L34&lt;0.25,"%10–25","%25 üstü")))))</f>
        <v>%25 üstü</v>
      </c>
      <c r="N34" s="8" t="str">
        <f>IF(OR(C34="NULL",C34="KOŞULLU"),C34,IF(OR(F34=1,H34=1),"KOŞULLU",C34))</f>
        <v>KOŞULLU</v>
      </c>
      <c r="O34" s="8" t="str">
        <f>IF(OR(C34="NULL",C34="KOŞULLU"),C34,IF(H34=1,"KOŞULLU",C34))</f>
        <v>KESİN</v>
      </c>
      <c r="P34" s="8">
        <f>IF(N34&lt;&gt;C34,1,0)</f>
        <v>1</v>
      </c>
      <c r="Q34" s="8">
        <f>IF(O34&lt;&gt;C34,1,0)</f>
        <v>0</v>
      </c>
    </row>
    <row r="35" spans="1:17" x14ac:dyDescent="0.2">
      <c r="A35" s="8" t="s">
        <v>252</v>
      </c>
      <c r="B35" s="8" t="s">
        <v>205</v>
      </c>
      <c r="C35" s="8" t="s">
        <v>204</v>
      </c>
      <c r="D35" s="10">
        <v>2240.605</v>
      </c>
      <c r="E35" s="10">
        <v>2288.6990000000001</v>
      </c>
      <c r="F35" s="8">
        <v>0</v>
      </c>
      <c r="G35" s="10"/>
      <c r="H35" s="8">
        <v>1</v>
      </c>
      <c r="I35" s="8" t="s">
        <v>83</v>
      </c>
      <c r="J35" s="8">
        <v>0</v>
      </c>
      <c r="K35" s="10">
        <v>11.266</v>
      </c>
      <c r="L35" s="11">
        <f>IF(AND(ISNUMBER(K35),ISNUMBER(D35)),IF(D35&lt;&gt;0,K35/ABS(D35),""),"")</f>
        <v>5.0281062480892437E-3</v>
      </c>
      <c r="M35" s="8" t="str">
        <f>IF(L35="","FCF yok",IF(L35&lt;0.01,"%1 altı",IF(L35&lt;0.05,"%1–5",IF(L35&lt;0.1,"%5–10",IF(L35&lt;0.25,"%10–25","%25 üstü")))))</f>
        <v>%1 altı</v>
      </c>
      <c r="N35" s="8" t="str">
        <f>IF(OR(C35="NULL",C35="KOŞULLU"),C35,IF(OR(F35=1,H35=1),"KOŞULLU",C35))</f>
        <v>KOŞULLU</v>
      </c>
      <c r="O35" s="8" t="str">
        <f>IF(OR(C35="NULL",C35="KOŞULLU"),C35,IF(H35=1,"KOŞULLU",C35))</f>
        <v>KOŞULLU</v>
      </c>
      <c r="P35" s="8">
        <f>IF(N35&lt;&gt;C35,1,0)</f>
        <v>1</v>
      </c>
      <c r="Q35" s="8">
        <f>IF(O35&lt;&gt;C35,1,0)</f>
        <v>1</v>
      </c>
    </row>
    <row r="36" spans="1:17" x14ac:dyDescent="0.2">
      <c r="A36" s="8" t="s">
        <v>252</v>
      </c>
      <c r="B36" s="8" t="s">
        <v>215</v>
      </c>
      <c r="C36" s="8" t="s">
        <v>204</v>
      </c>
      <c r="D36" s="10">
        <v>2434.6909999999998</v>
      </c>
      <c r="E36" s="10">
        <v>2476.232</v>
      </c>
      <c r="F36" s="8">
        <v>0</v>
      </c>
      <c r="G36" s="10"/>
      <c r="H36" s="8">
        <v>1</v>
      </c>
      <c r="I36" s="8" t="s">
        <v>83</v>
      </c>
      <c r="J36" s="8">
        <v>0</v>
      </c>
      <c r="K36" s="10">
        <v>11.691000000000001</v>
      </c>
      <c r="L36" s="11">
        <f>IF(AND(ISNUMBER(K36),ISNUMBER(D36)),IF(D36&lt;&gt;0,K36/ABS(D36),""),"")</f>
        <v>4.8018413835677716E-3</v>
      </c>
      <c r="M36" s="8" t="str">
        <f>IF(L36="","FCF yok",IF(L36&lt;0.01,"%1 altı",IF(L36&lt;0.05,"%1–5",IF(L36&lt;0.1,"%5–10",IF(L36&lt;0.25,"%10–25","%25 üstü")))))</f>
        <v>%1 altı</v>
      </c>
      <c r="N36" s="8" t="str">
        <f>IF(OR(C36="NULL",C36="KOŞULLU"),C36,IF(OR(F36=1,H36=1),"KOŞULLU",C36))</f>
        <v>KOŞULLU</v>
      </c>
      <c r="O36" s="8" t="str">
        <f>IF(OR(C36="NULL",C36="KOŞULLU"),C36,IF(H36=1,"KOŞULLU",C36))</f>
        <v>KOŞULLU</v>
      </c>
      <c r="P36" s="8">
        <f>IF(N36&lt;&gt;C36,1,0)</f>
        <v>1</v>
      </c>
      <c r="Q36" s="8">
        <f>IF(O36&lt;&gt;C36,1,0)</f>
        <v>1</v>
      </c>
    </row>
    <row r="37" spans="1:17" x14ac:dyDescent="0.2">
      <c r="A37" s="8" t="s">
        <v>254</v>
      </c>
      <c r="B37" s="8" t="s">
        <v>203</v>
      </c>
      <c r="C37" s="8" t="s">
        <v>204</v>
      </c>
      <c r="D37" s="10">
        <v>80.459999999999994</v>
      </c>
      <c r="E37" s="10">
        <v>213.95599999999999</v>
      </c>
      <c r="F37" s="8">
        <v>1</v>
      </c>
      <c r="G37" s="8" t="s">
        <v>82</v>
      </c>
      <c r="H37" s="8">
        <v>0</v>
      </c>
      <c r="I37" s="10"/>
      <c r="J37" s="8">
        <v>1</v>
      </c>
      <c r="K37" s="10">
        <v>15.416</v>
      </c>
      <c r="L37" s="11">
        <f>IF(AND(ISNUMBER(K37),ISNUMBER(D37)),IF(D37&lt;&gt;0,K37/ABS(D37),""),"")</f>
        <v>0.1915983097191151</v>
      </c>
      <c r="M37" s="8" t="str">
        <f>IF(L37="","FCF yok",IF(L37&lt;0.01,"%1 altı",IF(L37&lt;0.05,"%1–5",IF(L37&lt;0.1,"%5–10",IF(L37&lt;0.25,"%10–25","%25 üstü")))))</f>
        <v>%10–25</v>
      </c>
      <c r="N37" s="8" t="str">
        <f>IF(OR(C37="NULL",C37="KOŞULLU"),C37,IF(OR(F37=1,H37=1),"KOŞULLU",C37))</f>
        <v>KOŞULLU</v>
      </c>
      <c r="O37" s="8" t="str">
        <f>IF(OR(C37="NULL",C37="KOŞULLU"),C37,IF(H37=1,"KOŞULLU",C37))</f>
        <v>KESİN</v>
      </c>
      <c r="P37" s="8">
        <f>IF(N37&lt;&gt;C37,1,0)</f>
        <v>1</v>
      </c>
      <c r="Q37" s="8">
        <f>IF(O37&lt;&gt;C37,1,0)</f>
        <v>0</v>
      </c>
    </row>
    <row r="38" spans="1:17" x14ac:dyDescent="0.2">
      <c r="A38" s="8" t="s">
        <v>254</v>
      </c>
      <c r="B38" s="8" t="s">
        <v>215</v>
      </c>
      <c r="C38" s="8" t="s">
        <v>204</v>
      </c>
      <c r="D38" s="10">
        <v>20.904</v>
      </c>
      <c r="E38" s="10">
        <v>191.768</v>
      </c>
      <c r="F38" s="8">
        <v>1</v>
      </c>
      <c r="G38" s="8" t="s">
        <v>82</v>
      </c>
      <c r="H38" s="8">
        <v>0</v>
      </c>
      <c r="I38" s="10"/>
      <c r="J38" s="8">
        <v>1</v>
      </c>
      <c r="K38" s="10">
        <v>12.935</v>
      </c>
      <c r="L38" s="11">
        <f>IF(AND(ISNUMBER(K38),ISNUMBER(D38)),IF(D38&lt;&gt;0,K38/ABS(D38),""),"")</f>
        <v>0.61878109452736318</v>
      </c>
      <c r="M38" s="8" t="str">
        <f>IF(L38="","FCF yok",IF(L38&lt;0.01,"%1 altı",IF(L38&lt;0.05,"%1–5",IF(L38&lt;0.1,"%5–10",IF(L38&lt;0.25,"%10–25","%25 üstü")))))</f>
        <v>%25 üstü</v>
      </c>
      <c r="N38" s="8" t="str">
        <f>IF(OR(C38="NULL",C38="KOŞULLU"),C38,IF(OR(F38=1,H38=1),"KOŞULLU",C38))</f>
        <v>KOŞULLU</v>
      </c>
      <c r="O38" s="8" t="str">
        <f>IF(OR(C38="NULL",C38="KOŞULLU"),C38,IF(H38=1,"KOŞULLU",C38))</f>
        <v>KESİN</v>
      </c>
      <c r="P38" s="8">
        <f>IF(N38&lt;&gt;C38,1,0)</f>
        <v>1</v>
      </c>
      <c r="Q38" s="8">
        <f>IF(O38&lt;&gt;C38,1,0)</f>
        <v>0</v>
      </c>
    </row>
    <row r="39" spans="1:17" x14ac:dyDescent="0.2">
      <c r="A39" s="8" t="s">
        <v>254</v>
      </c>
      <c r="B39" s="8" t="s">
        <v>208</v>
      </c>
      <c r="C39" s="8" t="s">
        <v>204</v>
      </c>
      <c r="D39" s="10">
        <v>155.595</v>
      </c>
      <c r="E39" s="10">
        <v>285.42899999999997</v>
      </c>
      <c r="F39" s="8">
        <v>1</v>
      </c>
      <c r="G39" s="8" t="s">
        <v>82</v>
      </c>
      <c r="H39" s="8">
        <v>0</v>
      </c>
      <c r="I39" s="10"/>
      <c r="J39" s="8">
        <v>1</v>
      </c>
      <c r="K39" s="10">
        <v>5.6740000000000004</v>
      </c>
      <c r="L39" s="11">
        <f>IF(AND(ISNUMBER(K39),ISNUMBER(D39)),IF(D39&lt;&gt;0,K39/ABS(D39),""),"")</f>
        <v>3.6466467431472735E-2</v>
      </c>
      <c r="M39" s="8" t="str">
        <f>IF(L39="","FCF yok",IF(L39&lt;0.01,"%1 altı",IF(L39&lt;0.05,"%1–5",IF(L39&lt;0.1,"%5–10",IF(L39&lt;0.25,"%10–25","%25 üstü")))))</f>
        <v>%1–5</v>
      </c>
      <c r="N39" s="8" t="str">
        <f>IF(OR(C39="NULL",C39="KOŞULLU"),C39,IF(OR(F39=1,H39=1),"KOŞULLU",C39))</f>
        <v>KOŞULLU</v>
      </c>
      <c r="O39" s="8" t="str">
        <f>IF(OR(C39="NULL",C39="KOŞULLU"),C39,IF(H39=1,"KOŞULLU",C39))</f>
        <v>KESİN</v>
      </c>
      <c r="P39" s="8">
        <f>IF(N39&lt;&gt;C39,1,0)</f>
        <v>1</v>
      </c>
      <c r="Q39" s="8">
        <f>IF(O39&lt;&gt;C39,1,0)</f>
        <v>0</v>
      </c>
    </row>
    <row r="40" spans="1:17" x14ac:dyDescent="0.2">
      <c r="A40" s="8" t="s">
        <v>254</v>
      </c>
      <c r="B40" s="8" t="s">
        <v>210</v>
      </c>
      <c r="C40" s="8" t="s">
        <v>204</v>
      </c>
      <c r="D40" s="10">
        <v>204.40299999999999</v>
      </c>
      <c r="E40" s="10">
        <v>338.81</v>
      </c>
      <c r="F40" s="8">
        <v>0</v>
      </c>
      <c r="G40" s="10"/>
      <c r="H40" s="8">
        <v>1</v>
      </c>
      <c r="I40" s="8" t="s">
        <v>82</v>
      </c>
      <c r="J40" s="8">
        <v>0</v>
      </c>
      <c r="K40" s="10">
        <v>4.0750000000000002</v>
      </c>
      <c r="L40" s="11">
        <f>IF(AND(ISNUMBER(K40),ISNUMBER(D40)),IF(D40&lt;&gt;0,K40/ABS(D40),""),"")</f>
        <v>1.9936106612916643E-2</v>
      </c>
      <c r="M40" s="8" t="str">
        <f>IF(L40="","FCF yok",IF(L40&lt;0.01,"%1 altı",IF(L40&lt;0.05,"%1–5",IF(L40&lt;0.1,"%5–10",IF(L40&lt;0.25,"%10–25","%25 üstü")))))</f>
        <v>%1–5</v>
      </c>
      <c r="N40" s="8" t="str">
        <f>IF(OR(C40="NULL",C40="KOŞULLU"),C40,IF(OR(F40=1,H40=1),"KOŞULLU",C40))</f>
        <v>KOŞULLU</v>
      </c>
      <c r="O40" s="8" t="str">
        <f>IF(OR(C40="NULL",C40="KOŞULLU"),C40,IF(H40=1,"KOŞULLU",C40))</f>
        <v>KOŞULLU</v>
      </c>
      <c r="P40" s="8">
        <f>IF(N40&lt;&gt;C40,1,0)</f>
        <v>1</v>
      </c>
      <c r="Q40" s="8">
        <f>IF(O40&lt;&gt;C40,1,0)</f>
        <v>1</v>
      </c>
    </row>
    <row r="41" spans="1:17" x14ac:dyDescent="0.2">
      <c r="A41" s="8" t="s">
        <v>258</v>
      </c>
      <c r="B41" s="8" t="s">
        <v>203</v>
      </c>
      <c r="C41" s="8" t="s">
        <v>207</v>
      </c>
      <c r="D41" s="10"/>
      <c r="E41" s="10"/>
      <c r="F41" s="8">
        <v>1</v>
      </c>
      <c r="G41" s="8" t="s">
        <v>83</v>
      </c>
      <c r="H41" s="8">
        <v>0</v>
      </c>
      <c r="I41" s="10"/>
      <c r="J41" s="8">
        <v>0</v>
      </c>
      <c r="K41" s="10">
        <v>782.48800000000006</v>
      </c>
      <c r="L41" s="11" t="str">
        <f>IF(AND(ISNUMBER(K41),ISNUMBER(D41)),IF(D41&lt;&gt;0,K41/ABS(D41),""),"")</f>
        <v/>
      </c>
      <c r="M41" s="8" t="str">
        <f>IF(L41="","FCF yok",IF(L41&lt;0.01,"%1 altı",IF(L41&lt;0.05,"%1–5",IF(L41&lt;0.1,"%5–10",IF(L41&lt;0.25,"%10–25","%25 üstü")))))</f>
        <v>FCF yok</v>
      </c>
      <c r="N41" s="8" t="str">
        <f>IF(OR(C41="NULL",C41="KOŞULLU"),C41,IF(OR(F41=1,H41=1),"KOŞULLU",C41))</f>
        <v>NULL</v>
      </c>
      <c r="O41" s="8" t="str">
        <f>IF(OR(C41="NULL",C41="KOŞULLU"),C41,IF(H41=1,"KOŞULLU",C41))</f>
        <v>NULL</v>
      </c>
      <c r="P41" s="8">
        <f>IF(N41&lt;&gt;C41,1,0)</f>
        <v>0</v>
      </c>
      <c r="Q41" s="8">
        <f>IF(O41&lt;&gt;C41,1,0)</f>
        <v>0</v>
      </c>
    </row>
    <row r="42" spans="1:17" x14ac:dyDescent="0.2">
      <c r="A42" s="8" t="s">
        <v>258</v>
      </c>
      <c r="B42" s="8" t="s">
        <v>208</v>
      </c>
      <c r="C42" s="8" t="s">
        <v>209</v>
      </c>
      <c r="D42" s="10">
        <v>-6902.6319999999996</v>
      </c>
      <c r="E42" s="10">
        <v>-4855.6540000000005</v>
      </c>
      <c r="F42" s="8">
        <v>1</v>
      </c>
      <c r="G42" s="8" t="s">
        <v>83</v>
      </c>
      <c r="H42" s="8">
        <v>0</v>
      </c>
      <c r="I42" s="10"/>
      <c r="J42" s="8">
        <v>1</v>
      </c>
      <c r="K42" s="10">
        <v>782.48800000000006</v>
      </c>
      <c r="L42" s="11">
        <f>IF(AND(ISNUMBER(K42),ISNUMBER(D42)),IF(D42&lt;&gt;0,K42/ABS(D42),""),"")</f>
        <v>0.11336081656967953</v>
      </c>
      <c r="M42" s="8" t="str">
        <f>IF(L42="","FCF yok",IF(L42&lt;0.01,"%1 altı",IF(L42&lt;0.05,"%1–5",IF(L42&lt;0.1,"%5–10",IF(L42&lt;0.25,"%10–25","%25 üstü")))))</f>
        <v>%10–25</v>
      </c>
      <c r="N42" s="8" t="str">
        <f>IF(OR(C42="NULL",C42="KOŞULLU"),C42,IF(OR(F42=1,H42=1),"KOŞULLU",C42))</f>
        <v>KOŞULLU</v>
      </c>
      <c r="O42" s="8" t="str">
        <f>IF(OR(C42="NULL",C42="KOŞULLU"),C42,IF(H42=1,"KOŞULLU",C42))</f>
        <v>TÜRETİLMİŞ</v>
      </c>
      <c r="P42" s="8">
        <f>IF(N42&lt;&gt;C42,1,0)</f>
        <v>1</v>
      </c>
      <c r="Q42" s="8">
        <f>IF(O42&lt;&gt;C42,1,0)</f>
        <v>0</v>
      </c>
    </row>
    <row r="43" spans="1:17" x14ac:dyDescent="0.2">
      <c r="A43" s="8" t="s">
        <v>260</v>
      </c>
      <c r="B43" s="8" t="s">
        <v>203</v>
      </c>
      <c r="C43" s="8" t="s">
        <v>209</v>
      </c>
      <c r="D43" s="10">
        <v>5420.0209999999997</v>
      </c>
      <c r="E43" s="10">
        <v>5988.29</v>
      </c>
      <c r="F43" s="8">
        <v>1</v>
      </c>
      <c r="G43" s="8" t="s">
        <v>82</v>
      </c>
      <c r="H43" s="8">
        <v>1</v>
      </c>
      <c r="I43" s="8" t="s">
        <v>83</v>
      </c>
      <c r="J43" s="8">
        <v>1</v>
      </c>
      <c r="K43" s="10">
        <v>354.31</v>
      </c>
      <c r="L43" s="11">
        <f>IF(AND(ISNUMBER(K43),ISNUMBER(D43)),IF(D43&lt;&gt;0,K43/ABS(D43),""),"")</f>
        <v>6.5370595427582293E-2</v>
      </c>
      <c r="M43" s="8" t="str">
        <f>IF(L43="","FCF yok",IF(L43&lt;0.01,"%1 altı",IF(L43&lt;0.05,"%1–5",IF(L43&lt;0.1,"%5–10",IF(L43&lt;0.25,"%10–25","%25 üstü")))))</f>
        <v>%5–10</v>
      </c>
      <c r="N43" s="8" t="str">
        <f>IF(OR(C43="NULL",C43="KOŞULLU"),C43,IF(OR(F43=1,H43=1),"KOŞULLU",C43))</f>
        <v>KOŞULLU</v>
      </c>
      <c r="O43" s="8" t="str">
        <f>IF(OR(C43="NULL",C43="KOŞULLU"),C43,IF(H43=1,"KOŞULLU",C43))</f>
        <v>KOŞULLU</v>
      </c>
      <c r="P43" s="8">
        <f>IF(N43&lt;&gt;C43,1,0)</f>
        <v>1</v>
      </c>
      <c r="Q43" s="8">
        <f>IF(O43&lt;&gt;C43,1,0)</f>
        <v>1</v>
      </c>
    </row>
    <row r="44" spans="1:17" x14ac:dyDescent="0.2">
      <c r="A44" s="8" t="s">
        <v>263</v>
      </c>
      <c r="B44" s="8" t="s">
        <v>205</v>
      </c>
      <c r="C44" s="8" t="s">
        <v>204</v>
      </c>
      <c r="D44" s="10">
        <v>1610.519</v>
      </c>
      <c r="E44" s="10">
        <v>2205.4670000000001</v>
      </c>
      <c r="F44" s="8">
        <v>0</v>
      </c>
      <c r="G44" s="10"/>
      <c r="H44" s="8">
        <v>1</v>
      </c>
      <c r="I44" s="8" t="s">
        <v>82</v>
      </c>
      <c r="J44" s="8">
        <v>0</v>
      </c>
      <c r="K44" s="10">
        <v>63.503</v>
      </c>
      <c r="L44" s="11">
        <f>IF(AND(ISNUMBER(K44),ISNUMBER(D44)),IF(D44&lt;&gt;0,K44/ABS(D44),""),"")</f>
        <v>3.9430146431057314E-2</v>
      </c>
      <c r="M44" s="8" t="str">
        <f>IF(L44="","FCF yok",IF(L44&lt;0.01,"%1 altı",IF(L44&lt;0.05,"%1–5",IF(L44&lt;0.1,"%5–10",IF(L44&lt;0.25,"%10–25","%25 üstü")))))</f>
        <v>%1–5</v>
      </c>
      <c r="N44" s="8" t="str">
        <f>IF(OR(C44="NULL",C44="KOŞULLU"),C44,IF(OR(F44=1,H44=1),"KOŞULLU",C44))</f>
        <v>KOŞULLU</v>
      </c>
      <c r="O44" s="8" t="str">
        <f>IF(OR(C44="NULL",C44="KOŞULLU"),C44,IF(H44=1,"KOŞULLU",C44))</f>
        <v>KOŞULLU</v>
      </c>
      <c r="P44" s="8">
        <f>IF(N44&lt;&gt;C44,1,0)</f>
        <v>1</v>
      </c>
      <c r="Q44" s="8">
        <f>IF(O44&lt;&gt;C44,1,0)</f>
        <v>1</v>
      </c>
    </row>
    <row r="45" spans="1:17" x14ac:dyDescent="0.2">
      <c r="A45" s="8" t="s">
        <v>263</v>
      </c>
      <c r="B45" s="8" t="s">
        <v>215</v>
      </c>
      <c r="C45" s="8" t="s">
        <v>212</v>
      </c>
      <c r="D45" s="10">
        <v>-231.59200000000001</v>
      </c>
      <c r="E45" s="10">
        <v>546.447</v>
      </c>
      <c r="F45" s="8">
        <v>0</v>
      </c>
      <c r="G45" s="10"/>
      <c r="H45" s="8">
        <v>1</v>
      </c>
      <c r="I45" s="8" t="s">
        <v>82</v>
      </c>
      <c r="J45" s="8">
        <v>0</v>
      </c>
      <c r="K45" s="10">
        <v>44.313000000000002</v>
      </c>
      <c r="L45" s="11">
        <f>IF(AND(ISNUMBER(K45),ISNUMBER(D45)),IF(D45&lt;&gt;0,K45/ABS(D45),""),"")</f>
        <v>0.19134080624546618</v>
      </c>
      <c r="M45" s="8" t="str">
        <f>IF(L45="","FCF yok",IF(L45&lt;0.01,"%1 altı",IF(L45&lt;0.05,"%1–5",IF(L45&lt;0.1,"%5–10",IF(L45&lt;0.25,"%10–25","%25 üstü")))))</f>
        <v>%10–25</v>
      </c>
      <c r="N45" s="8" t="str">
        <f>IF(OR(C45="NULL",C45="KOŞULLU"),C45,IF(OR(F45=1,H45=1),"KOŞULLU",C45))</f>
        <v>KOŞULLU</v>
      </c>
      <c r="O45" s="8" t="str">
        <f>IF(OR(C45="NULL",C45="KOŞULLU"),C45,IF(H45=1,"KOŞULLU",C45))</f>
        <v>KOŞULLU</v>
      </c>
      <c r="P45" s="8">
        <f>IF(N45&lt;&gt;C45,1,0)</f>
        <v>0</v>
      </c>
      <c r="Q45" s="8">
        <f>IF(O45&lt;&gt;C45,1,0)</f>
        <v>0</v>
      </c>
    </row>
    <row r="46" spans="1:17" x14ac:dyDescent="0.2">
      <c r="A46" s="8" t="s">
        <v>263</v>
      </c>
      <c r="B46" s="8" t="s">
        <v>208</v>
      </c>
      <c r="C46" s="8" t="s">
        <v>212</v>
      </c>
      <c r="D46" s="10">
        <v>-1430.08</v>
      </c>
      <c r="E46" s="10">
        <v>-455.226</v>
      </c>
      <c r="F46" s="8">
        <v>0</v>
      </c>
      <c r="G46" s="10"/>
      <c r="H46" s="8">
        <v>1</v>
      </c>
      <c r="I46" s="8" t="s">
        <v>82</v>
      </c>
      <c r="J46" s="8">
        <v>0</v>
      </c>
      <c r="K46" s="10">
        <v>8.57</v>
      </c>
      <c r="L46" s="11">
        <f>IF(AND(ISNUMBER(K46),ISNUMBER(D46)),IF(D46&lt;&gt;0,K46/ABS(D46),""),"")</f>
        <v>5.9926717386439921E-3</v>
      </c>
      <c r="M46" s="8" t="str">
        <f>IF(L46="","FCF yok",IF(L46&lt;0.01,"%1 altı",IF(L46&lt;0.05,"%1–5",IF(L46&lt;0.1,"%5–10",IF(L46&lt;0.25,"%10–25","%25 üstü")))))</f>
        <v>%1 altı</v>
      </c>
      <c r="N46" s="8" t="str">
        <f>IF(OR(C46="NULL",C46="KOŞULLU"),C46,IF(OR(F46=1,H46=1),"KOŞULLU",C46))</f>
        <v>KOŞULLU</v>
      </c>
      <c r="O46" s="8" t="str">
        <f>IF(OR(C46="NULL",C46="KOŞULLU"),C46,IF(H46=1,"KOŞULLU",C46))</f>
        <v>KOŞULLU</v>
      </c>
      <c r="P46" s="8">
        <f>IF(N46&lt;&gt;C46,1,0)</f>
        <v>0</v>
      </c>
      <c r="Q46" s="8">
        <f>IF(O46&lt;&gt;C46,1,0)</f>
        <v>0</v>
      </c>
    </row>
    <row r="47" spans="1:17" x14ac:dyDescent="0.2">
      <c r="A47" s="8" t="s">
        <v>263</v>
      </c>
      <c r="B47" s="8" t="s">
        <v>210</v>
      </c>
      <c r="C47" s="8" t="s">
        <v>212</v>
      </c>
      <c r="D47" s="10">
        <v>-733.38499999999999</v>
      </c>
      <c r="E47" s="10">
        <v>336.81700000000001</v>
      </c>
      <c r="F47" s="8">
        <v>0</v>
      </c>
      <c r="G47" s="10"/>
      <c r="H47" s="8">
        <v>1</v>
      </c>
      <c r="I47" s="8" t="s">
        <v>82</v>
      </c>
      <c r="J47" s="8">
        <v>0</v>
      </c>
      <c r="K47" s="10">
        <v>29.36</v>
      </c>
      <c r="L47" s="11">
        <f>IF(AND(ISNUMBER(K47),ISNUMBER(D47)),IF(D47&lt;&gt;0,K47/ABS(D47),""),"")</f>
        <v>4.0033543091282202E-2</v>
      </c>
      <c r="M47" s="8" t="str">
        <f>IF(L47="","FCF yok",IF(L47&lt;0.01,"%1 altı",IF(L47&lt;0.05,"%1–5",IF(L47&lt;0.1,"%5–10",IF(L47&lt;0.25,"%10–25","%25 üstü")))))</f>
        <v>%1–5</v>
      </c>
      <c r="N47" s="8" t="str">
        <f>IF(OR(C47="NULL",C47="KOŞULLU"),C47,IF(OR(F47=1,H47=1),"KOŞULLU",C47))</f>
        <v>KOŞULLU</v>
      </c>
      <c r="O47" s="8" t="str">
        <f>IF(OR(C47="NULL",C47="KOŞULLU"),C47,IF(H47=1,"KOŞULLU",C47))</f>
        <v>KOŞULLU</v>
      </c>
      <c r="P47" s="8">
        <f>IF(N47&lt;&gt;C47,1,0)</f>
        <v>0</v>
      </c>
      <c r="Q47" s="8">
        <f>IF(O47&lt;&gt;C47,1,0)</f>
        <v>0</v>
      </c>
    </row>
    <row r="48" spans="1:17" x14ac:dyDescent="0.2">
      <c r="A48" s="8" t="s">
        <v>264</v>
      </c>
      <c r="B48" s="8" t="s">
        <v>203</v>
      </c>
      <c r="C48" s="8" t="s">
        <v>207</v>
      </c>
      <c r="D48" s="10"/>
      <c r="E48" s="10"/>
      <c r="F48" s="8">
        <v>1</v>
      </c>
      <c r="G48" s="8" t="s">
        <v>82</v>
      </c>
      <c r="H48" s="8">
        <v>0</v>
      </c>
      <c r="I48" s="10"/>
      <c r="J48" s="8">
        <v>0</v>
      </c>
      <c r="K48" s="10">
        <v>3.6480000000000001</v>
      </c>
      <c r="L48" s="11" t="str">
        <f>IF(AND(ISNUMBER(K48),ISNUMBER(D48)),IF(D48&lt;&gt;0,K48/ABS(D48),""),"")</f>
        <v/>
      </c>
      <c r="M48" s="8" t="str">
        <f>IF(L48="","FCF yok",IF(L48&lt;0.01,"%1 altı",IF(L48&lt;0.05,"%1–5",IF(L48&lt;0.1,"%5–10",IF(L48&lt;0.25,"%10–25","%25 üstü")))))</f>
        <v>FCF yok</v>
      </c>
      <c r="N48" s="8" t="str">
        <f>IF(OR(C48="NULL",C48="KOŞULLU"),C48,IF(OR(F48=1,H48=1),"KOŞULLU",C48))</f>
        <v>NULL</v>
      </c>
      <c r="O48" s="8" t="str">
        <f>IF(OR(C48="NULL",C48="KOŞULLU"),C48,IF(H48=1,"KOŞULLU",C48))</f>
        <v>NULL</v>
      </c>
      <c r="P48" s="8">
        <f>IF(N48&lt;&gt;C48,1,0)</f>
        <v>0</v>
      </c>
      <c r="Q48" s="8">
        <f>IF(O48&lt;&gt;C48,1,0)</f>
        <v>0</v>
      </c>
    </row>
    <row r="49" spans="1:17" x14ac:dyDescent="0.2">
      <c r="A49" s="8" t="s">
        <v>264</v>
      </c>
      <c r="B49" s="8" t="s">
        <v>205</v>
      </c>
      <c r="C49" s="8" t="s">
        <v>207</v>
      </c>
      <c r="D49" s="10"/>
      <c r="E49" s="10"/>
      <c r="F49" s="8">
        <v>1</v>
      </c>
      <c r="G49" s="8" t="s">
        <v>82</v>
      </c>
      <c r="H49" s="8">
        <v>0</v>
      </c>
      <c r="I49" s="10"/>
      <c r="J49" s="8">
        <v>0</v>
      </c>
      <c r="K49" s="10">
        <v>18.949000000000002</v>
      </c>
      <c r="L49" s="11" t="str">
        <f>IF(AND(ISNUMBER(K49),ISNUMBER(D49)),IF(D49&lt;&gt;0,K49/ABS(D49),""),"")</f>
        <v/>
      </c>
      <c r="M49" s="8" t="str">
        <f>IF(L49="","FCF yok",IF(L49&lt;0.01,"%1 altı",IF(L49&lt;0.05,"%1–5",IF(L49&lt;0.1,"%5–10",IF(L49&lt;0.25,"%10–25","%25 üstü")))))</f>
        <v>FCF yok</v>
      </c>
      <c r="N49" s="8" t="str">
        <f>IF(OR(C49="NULL",C49="KOŞULLU"),C49,IF(OR(F49=1,H49=1),"KOŞULLU",C49))</f>
        <v>NULL</v>
      </c>
      <c r="O49" s="8" t="str">
        <f>IF(OR(C49="NULL",C49="KOŞULLU"),C49,IF(H49=1,"KOŞULLU",C49))</f>
        <v>NULL</v>
      </c>
      <c r="P49" s="8">
        <f>IF(N49&lt;&gt;C49,1,0)</f>
        <v>0</v>
      </c>
      <c r="Q49" s="8">
        <f>IF(O49&lt;&gt;C49,1,0)</f>
        <v>0</v>
      </c>
    </row>
    <row r="50" spans="1:17" x14ac:dyDescent="0.2">
      <c r="A50" s="8" t="s">
        <v>264</v>
      </c>
      <c r="B50" s="8" t="s">
        <v>208</v>
      </c>
      <c r="C50" s="8" t="s">
        <v>207</v>
      </c>
      <c r="D50" s="10"/>
      <c r="E50" s="10">
        <v>249.428</v>
      </c>
      <c r="F50" s="8">
        <v>1</v>
      </c>
      <c r="G50" s="8" t="s">
        <v>82</v>
      </c>
      <c r="H50" s="8">
        <v>0</v>
      </c>
      <c r="I50" s="10"/>
      <c r="J50" s="8">
        <v>0</v>
      </c>
      <c r="K50" s="10">
        <v>3.6480000000000001</v>
      </c>
      <c r="L50" s="11" t="str">
        <f>IF(AND(ISNUMBER(K50),ISNUMBER(D50)),IF(D50&lt;&gt;0,K50/ABS(D50),""),"")</f>
        <v/>
      </c>
      <c r="M50" s="8" t="str">
        <f>IF(L50="","FCF yok",IF(L50&lt;0.01,"%1 altı",IF(L50&lt;0.05,"%1–5",IF(L50&lt;0.1,"%5–10",IF(L50&lt;0.25,"%10–25","%25 üstü")))))</f>
        <v>FCF yok</v>
      </c>
      <c r="N50" s="8" t="str">
        <f>IF(OR(C50="NULL",C50="KOŞULLU"),C50,IF(OR(F50=1,H50=1),"KOŞULLU",C50))</f>
        <v>NULL</v>
      </c>
      <c r="O50" s="8" t="str">
        <f>IF(OR(C50="NULL",C50="KOŞULLU"),C50,IF(H50=1,"KOŞULLU",C50))</f>
        <v>NULL</v>
      </c>
      <c r="P50" s="8">
        <f>IF(N50&lt;&gt;C50,1,0)</f>
        <v>0</v>
      </c>
      <c r="Q50" s="8">
        <f>IF(O50&lt;&gt;C50,1,0)</f>
        <v>0</v>
      </c>
    </row>
    <row r="51" spans="1:17" x14ac:dyDescent="0.2">
      <c r="A51" s="8" t="s">
        <v>264</v>
      </c>
      <c r="B51" s="8" t="s">
        <v>210</v>
      </c>
      <c r="C51" s="8" t="s">
        <v>207</v>
      </c>
      <c r="D51" s="10"/>
      <c r="E51" s="10">
        <v>232.06899999999999</v>
      </c>
      <c r="F51" s="8">
        <v>1</v>
      </c>
      <c r="G51" s="8" t="s">
        <v>82</v>
      </c>
      <c r="H51" s="8">
        <v>0</v>
      </c>
      <c r="I51" s="10"/>
      <c r="J51" s="8">
        <v>0</v>
      </c>
      <c r="K51" s="10">
        <v>18.949000000000002</v>
      </c>
      <c r="L51" s="11" t="str">
        <f>IF(AND(ISNUMBER(K51),ISNUMBER(D51)),IF(D51&lt;&gt;0,K51/ABS(D51),""),"")</f>
        <v/>
      </c>
      <c r="M51" s="8" t="str">
        <f>IF(L51="","FCF yok",IF(L51&lt;0.01,"%1 altı",IF(L51&lt;0.05,"%1–5",IF(L51&lt;0.1,"%5–10",IF(L51&lt;0.25,"%10–25","%25 üstü")))))</f>
        <v>FCF yok</v>
      </c>
      <c r="N51" s="8" t="str">
        <f>IF(OR(C51="NULL",C51="KOŞULLU"),C51,IF(OR(F51=1,H51=1),"KOŞULLU",C51))</f>
        <v>NULL</v>
      </c>
      <c r="O51" s="8" t="str">
        <f>IF(OR(C51="NULL",C51="KOŞULLU"),C51,IF(H51=1,"KOŞULLU",C51))</f>
        <v>NULL</v>
      </c>
      <c r="P51" s="8">
        <f>IF(N51&lt;&gt;C51,1,0)</f>
        <v>0</v>
      </c>
      <c r="Q51" s="8">
        <f>IF(O51&lt;&gt;C51,1,0)</f>
        <v>0</v>
      </c>
    </row>
    <row r="52" spans="1:17" x14ac:dyDescent="0.2">
      <c r="A52" s="8" t="s">
        <v>267</v>
      </c>
      <c r="B52" s="8" t="s">
        <v>208</v>
      </c>
      <c r="C52" s="8" t="s">
        <v>204</v>
      </c>
      <c r="D52" s="10">
        <v>-234.50200000000001</v>
      </c>
      <c r="E52" s="10">
        <v>2629.875</v>
      </c>
      <c r="F52" s="8">
        <v>0</v>
      </c>
      <c r="G52" s="10"/>
      <c r="H52" s="8">
        <v>1</v>
      </c>
      <c r="I52" s="8" t="s">
        <v>82</v>
      </c>
      <c r="J52" s="8">
        <v>0</v>
      </c>
      <c r="K52" s="10">
        <v>61.015000000000001</v>
      </c>
      <c r="L52" s="11">
        <f>IF(AND(ISNUMBER(K52),ISNUMBER(D52)),IF(D52&lt;&gt;0,K52/ABS(D52),""),"")</f>
        <v>0.26018967855284814</v>
      </c>
      <c r="M52" s="8" t="str">
        <f>IF(L52="","FCF yok",IF(L52&lt;0.01,"%1 altı",IF(L52&lt;0.05,"%1–5",IF(L52&lt;0.1,"%5–10",IF(L52&lt;0.25,"%10–25","%25 üstü")))))</f>
        <v>%25 üstü</v>
      </c>
      <c r="N52" s="8" t="str">
        <f>IF(OR(C52="NULL",C52="KOŞULLU"),C52,IF(OR(F52=1,H52=1),"KOŞULLU",C52))</f>
        <v>KOŞULLU</v>
      </c>
      <c r="O52" s="8" t="str">
        <f>IF(OR(C52="NULL",C52="KOŞULLU"),C52,IF(H52=1,"KOŞULLU",C52))</f>
        <v>KOŞULLU</v>
      </c>
      <c r="P52" s="8">
        <f>IF(N52&lt;&gt;C52,1,0)</f>
        <v>1</v>
      </c>
      <c r="Q52" s="8">
        <f>IF(O52&lt;&gt;C52,1,0)</f>
        <v>1</v>
      </c>
    </row>
    <row r="53" spans="1:17" x14ac:dyDescent="0.2">
      <c r="A53" s="8" t="s">
        <v>269</v>
      </c>
      <c r="B53" s="8" t="s">
        <v>215</v>
      </c>
      <c r="C53" s="8" t="s">
        <v>207</v>
      </c>
      <c r="D53" s="10"/>
      <c r="E53" s="10">
        <v>-966.447</v>
      </c>
      <c r="F53" s="8">
        <v>0</v>
      </c>
      <c r="G53" s="10"/>
      <c r="H53" s="8">
        <v>1</v>
      </c>
      <c r="I53" s="8" t="s">
        <v>83</v>
      </c>
      <c r="J53" s="8">
        <v>0</v>
      </c>
      <c r="K53" s="10">
        <v>30.201000000000001</v>
      </c>
      <c r="L53" s="11" t="str">
        <f>IF(AND(ISNUMBER(K53),ISNUMBER(D53)),IF(D53&lt;&gt;0,K53/ABS(D53),""),"")</f>
        <v/>
      </c>
      <c r="M53" s="8" t="str">
        <f>IF(L53="","FCF yok",IF(L53&lt;0.01,"%1 altı",IF(L53&lt;0.05,"%1–5",IF(L53&lt;0.1,"%5–10",IF(L53&lt;0.25,"%10–25","%25 üstü")))))</f>
        <v>FCF yok</v>
      </c>
      <c r="N53" s="8" t="str">
        <f>IF(OR(C53="NULL",C53="KOŞULLU"),C53,IF(OR(F53=1,H53=1),"KOŞULLU",C53))</f>
        <v>NULL</v>
      </c>
      <c r="O53" s="8" t="str">
        <f>IF(OR(C53="NULL",C53="KOŞULLU"),C53,IF(H53=1,"KOŞULLU",C53))</f>
        <v>NULL</v>
      </c>
      <c r="P53" s="8">
        <f>IF(N53&lt;&gt;C53,1,0)</f>
        <v>0</v>
      </c>
      <c r="Q53" s="8">
        <f>IF(O53&lt;&gt;C53,1,0)</f>
        <v>0</v>
      </c>
    </row>
    <row r="54" spans="1:17" x14ac:dyDescent="0.2">
      <c r="A54" s="8" t="s">
        <v>272</v>
      </c>
      <c r="B54" s="8" t="s">
        <v>208</v>
      </c>
      <c r="C54" s="8" t="s">
        <v>207</v>
      </c>
      <c r="D54" s="10"/>
      <c r="E54" s="10">
        <v>732.005</v>
      </c>
      <c r="F54" s="8">
        <v>1</v>
      </c>
      <c r="G54" s="8" t="s">
        <v>83</v>
      </c>
      <c r="H54" s="8">
        <v>0</v>
      </c>
      <c r="I54" s="10"/>
      <c r="J54" s="8">
        <v>0</v>
      </c>
      <c r="K54" s="10">
        <v>14.773</v>
      </c>
      <c r="L54" s="11" t="str">
        <f>IF(AND(ISNUMBER(K54),ISNUMBER(D54)),IF(D54&lt;&gt;0,K54/ABS(D54),""),"")</f>
        <v/>
      </c>
      <c r="M54" s="8" t="str">
        <f>IF(L54="","FCF yok",IF(L54&lt;0.01,"%1 altı",IF(L54&lt;0.05,"%1–5",IF(L54&lt;0.1,"%5–10",IF(L54&lt;0.25,"%10–25","%25 üstü")))))</f>
        <v>FCF yok</v>
      </c>
      <c r="N54" s="8" t="str">
        <f>IF(OR(C54="NULL",C54="KOŞULLU"),C54,IF(OR(F54=1,H54=1),"KOŞULLU",C54))</f>
        <v>NULL</v>
      </c>
      <c r="O54" s="8" t="str">
        <f>IF(OR(C54="NULL",C54="KOŞULLU"),C54,IF(H54=1,"KOŞULLU",C54))</f>
        <v>NULL</v>
      </c>
      <c r="P54" s="8">
        <f>IF(N54&lt;&gt;C54,1,0)</f>
        <v>0</v>
      </c>
      <c r="Q54" s="8">
        <f>IF(O54&lt;&gt;C54,1,0)</f>
        <v>0</v>
      </c>
    </row>
    <row r="55" spans="1:17" x14ac:dyDescent="0.2">
      <c r="A55" s="8" t="s">
        <v>273</v>
      </c>
      <c r="B55" s="8" t="s">
        <v>203</v>
      </c>
      <c r="C55" s="8" t="s">
        <v>209</v>
      </c>
      <c r="D55" s="10">
        <v>51.914000000000001</v>
      </c>
      <c r="E55" s="10">
        <v>74.168000000000006</v>
      </c>
      <c r="F55" s="8">
        <v>1</v>
      </c>
      <c r="G55" s="8" t="s">
        <v>83</v>
      </c>
      <c r="H55" s="8">
        <v>0</v>
      </c>
      <c r="I55" s="10"/>
      <c r="J55" s="8">
        <v>1</v>
      </c>
      <c r="K55" s="10">
        <v>1.256</v>
      </c>
      <c r="L55" s="11">
        <f>IF(AND(ISNUMBER(K55),ISNUMBER(D55)),IF(D55&lt;&gt;0,K55/ABS(D55),""),"")</f>
        <v>2.4193859074623417E-2</v>
      </c>
      <c r="M55" s="8" t="str">
        <f>IF(L55="","FCF yok",IF(L55&lt;0.01,"%1 altı",IF(L55&lt;0.05,"%1–5",IF(L55&lt;0.1,"%5–10",IF(L55&lt;0.25,"%10–25","%25 üstü")))))</f>
        <v>%1–5</v>
      </c>
      <c r="N55" s="8" t="str">
        <f>IF(OR(C55="NULL",C55="KOŞULLU"),C55,IF(OR(F55=1,H55=1),"KOŞULLU",C55))</f>
        <v>KOŞULLU</v>
      </c>
      <c r="O55" s="8" t="str">
        <f>IF(OR(C55="NULL",C55="KOŞULLU"),C55,IF(H55=1,"KOŞULLU",C55))</f>
        <v>TÜRETİLMİŞ</v>
      </c>
      <c r="P55" s="8">
        <f>IF(N55&lt;&gt;C55,1,0)</f>
        <v>1</v>
      </c>
      <c r="Q55" s="8">
        <f>IF(O55&lt;&gt;C55,1,0)</f>
        <v>0</v>
      </c>
    </row>
    <row r="56" spans="1:17" x14ac:dyDescent="0.2">
      <c r="A56" s="8" t="s">
        <v>273</v>
      </c>
      <c r="B56" s="8" t="s">
        <v>205</v>
      </c>
      <c r="C56" s="8" t="s">
        <v>209</v>
      </c>
      <c r="D56" s="10">
        <v>114.687</v>
      </c>
      <c r="E56" s="10">
        <v>136.35900000000001</v>
      </c>
      <c r="F56" s="8">
        <v>1</v>
      </c>
      <c r="G56" s="8" t="s">
        <v>83</v>
      </c>
      <c r="H56" s="8">
        <v>0</v>
      </c>
      <c r="I56" s="10"/>
      <c r="J56" s="8">
        <v>1</v>
      </c>
      <c r="K56" s="10">
        <v>0.75800000000000001</v>
      </c>
      <c r="L56" s="11">
        <f>IF(AND(ISNUMBER(K56),ISNUMBER(D56)),IF(D56&lt;&gt;0,K56/ABS(D56),""),"")</f>
        <v>6.6092931195340359E-3</v>
      </c>
      <c r="M56" s="8" t="str">
        <f>IF(L56="","FCF yok",IF(L56&lt;0.01,"%1 altı",IF(L56&lt;0.05,"%1–5",IF(L56&lt;0.1,"%5–10",IF(L56&lt;0.25,"%10–25","%25 üstü")))))</f>
        <v>%1 altı</v>
      </c>
      <c r="N56" s="8" t="str">
        <f>IF(OR(C56="NULL",C56="KOŞULLU"),C56,IF(OR(F56=1,H56=1),"KOŞULLU",C56))</f>
        <v>KOŞULLU</v>
      </c>
      <c r="O56" s="8" t="str">
        <f>IF(OR(C56="NULL",C56="KOŞULLU"),C56,IF(H56=1,"KOŞULLU",C56))</f>
        <v>TÜRETİLMİŞ</v>
      </c>
      <c r="P56" s="8">
        <f>IF(N56&lt;&gt;C56,1,0)</f>
        <v>1</v>
      </c>
      <c r="Q56" s="8">
        <f>IF(O56&lt;&gt;C56,1,0)</f>
        <v>0</v>
      </c>
    </row>
    <row r="57" spans="1:17" x14ac:dyDescent="0.2">
      <c r="A57" s="8" t="s">
        <v>276</v>
      </c>
      <c r="B57" s="8" t="s">
        <v>203</v>
      </c>
      <c r="C57" s="8" t="s">
        <v>212</v>
      </c>
      <c r="D57" s="10">
        <v>-2156.819</v>
      </c>
      <c r="E57" s="10">
        <v>563.81200000000001</v>
      </c>
      <c r="F57" s="8">
        <v>1</v>
      </c>
      <c r="G57" s="8" t="s">
        <v>82</v>
      </c>
      <c r="H57" s="8">
        <v>0</v>
      </c>
      <c r="I57" s="10"/>
      <c r="J57" s="8">
        <v>1</v>
      </c>
      <c r="K57" s="10">
        <v>44.429000000000002</v>
      </c>
      <c r="L57" s="11">
        <f>IF(AND(ISNUMBER(K57),ISNUMBER(D57)),IF(D57&lt;&gt;0,K57/ABS(D57),""),"")</f>
        <v>2.0599317791618121E-2</v>
      </c>
      <c r="M57" s="8" t="str">
        <f>IF(L57="","FCF yok",IF(L57&lt;0.01,"%1 altı",IF(L57&lt;0.05,"%1–5",IF(L57&lt;0.1,"%5–10",IF(L57&lt;0.25,"%10–25","%25 üstü")))))</f>
        <v>%1–5</v>
      </c>
      <c r="N57" s="8" t="str">
        <f>IF(OR(C57="NULL",C57="KOŞULLU"),C57,IF(OR(F57=1,H57=1),"KOŞULLU",C57))</f>
        <v>KOŞULLU</v>
      </c>
      <c r="O57" s="8" t="str">
        <f>IF(OR(C57="NULL",C57="KOŞULLU"),C57,IF(H57=1,"KOŞULLU",C57))</f>
        <v>KOŞULLU</v>
      </c>
      <c r="P57" s="8">
        <f>IF(N57&lt;&gt;C57,1,0)</f>
        <v>0</v>
      </c>
      <c r="Q57" s="8">
        <f>IF(O57&lt;&gt;C57,1,0)</f>
        <v>0</v>
      </c>
    </row>
    <row r="58" spans="1:17" x14ac:dyDescent="0.2">
      <c r="A58" s="8" t="s">
        <v>276</v>
      </c>
      <c r="B58" s="8" t="s">
        <v>205</v>
      </c>
      <c r="C58" s="8" t="s">
        <v>212</v>
      </c>
      <c r="D58" s="10">
        <v>-1121.749</v>
      </c>
      <c r="E58" s="10">
        <v>1742.8589999999999</v>
      </c>
      <c r="F58" s="8">
        <v>1</v>
      </c>
      <c r="G58" s="8" t="s">
        <v>82</v>
      </c>
      <c r="H58" s="8">
        <v>0</v>
      </c>
      <c r="I58" s="10"/>
      <c r="J58" s="8">
        <v>1</v>
      </c>
      <c r="K58" s="10">
        <v>44.429000000000002</v>
      </c>
      <c r="L58" s="11">
        <f>IF(AND(ISNUMBER(K58),ISNUMBER(D58)),IF(D58&lt;&gt;0,K58/ABS(D58),""),"")</f>
        <v>3.9606899582705225E-2</v>
      </c>
      <c r="M58" s="8" t="str">
        <f>IF(L58="","FCF yok",IF(L58&lt;0.01,"%1 altı",IF(L58&lt;0.05,"%1–5",IF(L58&lt;0.1,"%5–10",IF(L58&lt;0.25,"%10–25","%25 üstü")))))</f>
        <v>%1–5</v>
      </c>
      <c r="N58" s="8" t="str">
        <f>IF(OR(C58="NULL",C58="KOŞULLU"),C58,IF(OR(F58=1,H58=1),"KOŞULLU",C58))</f>
        <v>KOŞULLU</v>
      </c>
      <c r="O58" s="8" t="str">
        <f>IF(OR(C58="NULL",C58="KOŞULLU"),C58,IF(H58=1,"KOŞULLU",C58))</f>
        <v>KOŞULLU</v>
      </c>
      <c r="P58" s="8">
        <f>IF(N58&lt;&gt;C58,1,0)</f>
        <v>0</v>
      </c>
      <c r="Q58" s="8">
        <f>IF(O58&lt;&gt;C58,1,0)</f>
        <v>0</v>
      </c>
    </row>
    <row r="59" spans="1:17" x14ac:dyDescent="0.2">
      <c r="A59" s="8" t="s">
        <v>276</v>
      </c>
      <c r="B59" s="8" t="s">
        <v>215</v>
      </c>
      <c r="C59" s="8" t="s">
        <v>212</v>
      </c>
      <c r="D59" s="10">
        <v>-2150.5079999999998</v>
      </c>
      <c r="E59" s="10">
        <v>901.91700000000003</v>
      </c>
      <c r="F59" s="8">
        <v>1</v>
      </c>
      <c r="G59" s="8" t="s">
        <v>82</v>
      </c>
      <c r="H59" s="8">
        <v>0</v>
      </c>
      <c r="I59" s="10"/>
      <c r="J59" s="8">
        <v>1</v>
      </c>
      <c r="K59" s="10">
        <v>44.429000000000002</v>
      </c>
      <c r="L59" s="11">
        <f>IF(AND(ISNUMBER(K59),ISNUMBER(D59)),IF(D59&lt;&gt;0,K59/ABS(D59),""),"")</f>
        <v>2.0659769691626355E-2</v>
      </c>
      <c r="M59" s="8" t="str">
        <f>IF(L59="","FCF yok",IF(L59&lt;0.01,"%1 altı",IF(L59&lt;0.05,"%1–5",IF(L59&lt;0.1,"%5–10",IF(L59&lt;0.25,"%10–25","%25 üstü")))))</f>
        <v>%1–5</v>
      </c>
      <c r="N59" s="8" t="str">
        <f>IF(OR(C59="NULL",C59="KOŞULLU"),C59,IF(OR(F59=1,H59=1),"KOŞULLU",C59))</f>
        <v>KOŞULLU</v>
      </c>
      <c r="O59" s="8" t="str">
        <f>IF(OR(C59="NULL",C59="KOŞULLU"),C59,IF(H59=1,"KOŞULLU",C59))</f>
        <v>KOŞULLU</v>
      </c>
      <c r="P59" s="8">
        <f>IF(N59&lt;&gt;C59,1,0)</f>
        <v>0</v>
      </c>
      <c r="Q59" s="8">
        <f>IF(O59&lt;&gt;C59,1,0)</f>
        <v>0</v>
      </c>
    </row>
    <row r="60" spans="1:17" x14ac:dyDescent="0.2">
      <c r="A60" s="8" t="s">
        <v>280</v>
      </c>
      <c r="B60" s="8" t="s">
        <v>210</v>
      </c>
      <c r="C60" s="8" t="s">
        <v>209</v>
      </c>
      <c r="D60" s="10">
        <v>-898.447</v>
      </c>
      <c r="E60" s="10">
        <v>-869.17700000000002</v>
      </c>
      <c r="F60" s="8">
        <v>0</v>
      </c>
      <c r="G60" s="10"/>
      <c r="H60" s="8">
        <v>1</v>
      </c>
      <c r="I60" s="8" t="s">
        <v>83</v>
      </c>
      <c r="J60" s="8">
        <v>0</v>
      </c>
      <c r="K60" s="10">
        <v>1.893</v>
      </c>
      <c r="L60" s="11">
        <f>IF(AND(ISNUMBER(K60),ISNUMBER(D60)),IF(D60&lt;&gt;0,K60/ABS(D60),""),"")</f>
        <v>2.1069690254405657E-3</v>
      </c>
      <c r="M60" s="8" t="str">
        <f>IF(L60="","FCF yok",IF(L60&lt;0.01,"%1 altı",IF(L60&lt;0.05,"%1–5",IF(L60&lt;0.1,"%5–10",IF(L60&lt;0.25,"%10–25","%25 üstü")))))</f>
        <v>%1 altı</v>
      </c>
      <c r="N60" s="8" t="str">
        <f>IF(OR(C60="NULL",C60="KOŞULLU"),C60,IF(OR(F60=1,H60=1),"KOŞULLU",C60))</f>
        <v>KOŞULLU</v>
      </c>
      <c r="O60" s="8" t="str">
        <f>IF(OR(C60="NULL",C60="KOŞULLU"),C60,IF(H60=1,"KOŞULLU",C60))</f>
        <v>KOŞULLU</v>
      </c>
      <c r="P60" s="8">
        <f>IF(N60&lt;&gt;C60,1,0)</f>
        <v>1</v>
      </c>
      <c r="Q60" s="8">
        <f>IF(O60&lt;&gt;C60,1,0)</f>
        <v>1</v>
      </c>
    </row>
    <row r="61" spans="1:17" x14ac:dyDescent="0.2">
      <c r="A61" s="8" t="s">
        <v>281</v>
      </c>
      <c r="B61" s="8" t="s">
        <v>205</v>
      </c>
      <c r="C61" s="8" t="s">
        <v>204</v>
      </c>
      <c r="D61" s="10">
        <v>-94.17</v>
      </c>
      <c r="E61" s="10">
        <v>-81.984999999999999</v>
      </c>
      <c r="F61" s="8">
        <v>0</v>
      </c>
      <c r="G61" s="10"/>
      <c r="H61" s="8">
        <v>1</v>
      </c>
      <c r="I61" s="8" t="s">
        <v>83</v>
      </c>
      <c r="J61" s="8">
        <v>0</v>
      </c>
      <c r="K61" s="10">
        <v>7.78</v>
      </c>
      <c r="L61" s="11">
        <f>IF(AND(ISNUMBER(K61),ISNUMBER(D61)),IF(D61&lt;&gt;0,K61/ABS(D61),""),"")</f>
        <v>8.2616544547095674E-2</v>
      </c>
      <c r="M61" s="8" t="str">
        <f>IF(L61="","FCF yok",IF(L61&lt;0.01,"%1 altı",IF(L61&lt;0.05,"%1–5",IF(L61&lt;0.1,"%5–10",IF(L61&lt;0.25,"%10–25","%25 üstü")))))</f>
        <v>%5–10</v>
      </c>
      <c r="N61" s="8" t="str">
        <f>IF(OR(C61="NULL",C61="KOŞULLU"),C61,IF(OR(F61=1,H61=1),"KOŞULLU",C61))</f>
        <v>KOŞULLU</v>
      </c>
      <c r="O61" s="8" t="str">
        <f>IF(OR(C61="NULL",C61="KOŞULLU"),C61,IF(H61=1,"KOŞULLU",C61))</f>
        <v>KOŞULLU</v>
      </c>
      <c r="P61" s="8">
        <f>IF(N61&lt;&gt;C61,1,0)</f>
        <v>1</v>
      </c>
      <c r="Q61" s="8">
        <f>IF(O61&lt;&gt;C61,1,0)</f>
        <v>1</v>
      </c>
    </row>
    <row r="62" spans="1:17" x14ac:dyDescent="0.2">
      <c r="A62" s="8" t="s">
        <v>281</v>
      </c>
      <c r="B62" s="8" t="s">
        <v>215</v>
      </c>
      <c r="C62" s="8" t="s">
        <v>204</v>
      </c>
      <c r="D62" s="10">
        <v>-7.2229999999999999</v>
      </c>
      <c r="E62" s="10">
        <v>13.952</v>
      </c>
      <c r="F62" s="8">
        <v>0</v>
      </c>
      <c r="G62" s="10"/>
      <c r="H62" s="8">
        <v>1</v>
      </c>
      <c r="I62" s="8" t="s">
        <v>83</v>
      </c>
      <c r="J62" s="8">
        <v>0</v>
      </c>
      <c r="K62" s="10">
        <v>1.5189999999999999</v>
      </c>
      <c r="L62" s="11">
        <f>IF(AND(ISNUMBER(K62),ISNUMBER(D62)),IF(D62&lt;&gt;0,K62/ABS(D62),""),"")</f>
        <v>0.21030042918454936</v>
      </c>
      <c r="M62" s="8" t="str">
        <f>IF(L62="","FCF yok",IF(L62&lt;0.01,"%1 altı",IF(L62&lt;0.05,"%1–5",IF(L62&lt;0.1,"%5–10",IF(L62&lt;0.25,"%10–25","%25 üstü")))))</f>
        <v>%10–25</v>
      </c>
      <c r="N62" s="8" t="str">
        <f>IF(OR(C62="NULL",C62="KOŞULLU"),C62,IF(OR(F62=1,H62=1),"KOŞULLU",C62))</f>
        <v>KOŞULLU</v>
      </c>
      <c r="O62" s="8" t="str">
        <f>IF(OR(C62="NULL",C62="KOŞULLU"),C62,IF(H62=1,"KOŞULLU",C62))</f>
        <v>KOŞULLU</v>
      </c>
      <c r="P62" s="8">
        <f>IF(N62&lt;&gt;C62,1,0)</f>
        <v>1</v>
      </c>
      <c r="Q62" s="8">
        <f>IF(O62&lt;&gt;C62,1,0)</f>
        <v>1</v>
      </c>
    </row>
    <row r="63" spans="1:17" x14ac:dyDescent="0.2">
      <c r="A63" s="8" t="s">
        <v>282</v>
      </c>
      <c r="B63" s="8" t="s">
        <v>203</v>
      </c>
      <c r="C63" s="8" t="s">
        <v>204</v>
      </c>
      <c r="D63" s="10">
        <v>-503.04</v>
      </c>
      <c r="E63" s="10">
        <v>-503.04</v>
      </c>
      <c r="F63" s="8">
        <v>0</v>
      </c>
      <c r="G63" s="10"/>
      <c r="H63" s="8">
        <v>1</v>
      </c>
      <c r="I63" s="8" t="s">
        <v>83</v>
      </c>
      <c r="J63" s="8">
        <v>0</v>
      </c>
      <c r="K63" s="10">
        <v>27.341000000000001</v>
      </c>
      <c r="L63" s="11">
        <f>IF(AND(ISNUMBER(K63),ISNUMBER(D63)),IF(D63&lt;&gt;0,K63/ABS(D63),""),"")</f>
        <v>5.435154262086514E-2</v>
      </c>
      <c r="M63" s="8" t="str">
        <f>IF(L63="","FCF yok",IF(L63&lt;0.01,"%1 altı",IF(L63&lt;0.05,"%1–5",IF(L63&lt;0.1,"%5–10",IF(L63&lt;0.25,"%10–25","%25 üstü")))))</f>
        <v>%5–10</v>
      </c>
      <c r="N63" s="8" t="str">
        <f>IF(OR(C63="NULL",C63="KOŞULLU"),C63,IF(OR(F63=1,H63=1),"KOŞULLU",C63))</f>
        <v>KOŞULLU</v>
      </c>
      <c r="O63" s="8" t="str">
        <f>IF(OR(C63="NULL",C63="KOŞULLU"),C63,IF(H63=1,"KOŞULLU",C63))</f>
        <v>KOŞULLU</v>
      </c>
      <c r="P63" s="8">
        <f>IF(N63&lt;&gt;C63,1,0)</f>
        <v>1</v>
      </c>
      <c r="Q63" s="8">
        <f>IF(O63&lt;&gt;C63,1,0)</f>
        <v>1</v>
      </c>
    </row>
    <row r="64" spans="1:17" x14ac:dyDescent="0.2">
      <c r="A64" s="8" t="s">
        <v>282</v>
      </c>
      <c r="B64" s="8" t="s">
        <v>205</v>
      </c>
      <c r="C64" s="8" t="s">
        <v>204</v>
      </c>
      <c r="D64" s="10">
        <v>-468.67500000000001</v>
      </c>
      <c r="E64" s="10">
        <v>-468.67500000000001</v>
      </c>
      <c r="F64" s="8">
        <v>0</v>
      </c>
      <c r="G64" s="10"/>
      <c r="H64" s="8">
        <v>1</v>
      </c>
      <c r="I64" s="8" t="s">
        <v>83</v>
      </c>
      <c r="J64" s="8">
        <v>0</v>
      </c>
      <c r="K64" s="10">
        <v>55.13</v>
      </c>
      <c r="L64" s="11">
        <f>IF(AND(ISNUMBER(K64),ISNUMBER(D64)),IF(D64&lt;&gt;0,K64/ABS(D64),""),"")</f>
        <v>0.11762948738464821</v>
      </c>
      <c r="M64" s="8" t="str">
        <f>IF(L64="","FCF yok",IF(L64&lt;0.01,"%1 altı",IF(L64&lt;0.05,"%1–5",IF(L64&lt;0.1,"%5–10",IF(L64&lt;0.25,"%10–25","%25 üstü")))))</f>
        <v>%10–25</v>
      </c>
      <c r="N64" s="8" t="str">
        <f>IF(OR(C64="NULL",C64="KOŞULLU"),C64,IF(OR(F64=1,H64=1),"KOŞULLU",C64))</f>
        <v>KOŞULLU</v>
      </c>
      <c r="O64" s="8" t="str">
        <f>IF(OR(C64="NULL",C64="KOŞULLU"),C64,IF(H64=1,"KOŞULLU",C64))</f>
        <v>KOŞULLU</v>
      </c>
      <c r="P64" s="8">
        <f>IF(N64&lt;&gt;C64,1,0)</f>
        <v>1</v>
      </c>
      <c r="Q64" s="8">
        <f>IF(O64&lt;&gt;C64,1,0)</f>
        <v>1</v>
      </c>
    </row>
    <row r="65" spans="1:17" x14ac:dyDescent="0.2">
      <c r="A65" s="8" t="s">
        <v>282</v>
      </c>
      <c r="B65" s="8" t="s">
        <v>215</v>
      </c>
      <c r="C65" s="8" t="s">
        <v>204</v>
      </c>
      <c r="D65" s="10">
        <v>-835.15</v>
      </c>
      <c r="E65" s="10">
        <v>-835.15</v>
      </c>
      <c r="F65" s="8">
        <v>0</v>
      </c>
      <c r="G65" s="10"/>
      <c r="H65" s="8">
        <v>1</v>
      </c>
      <c r="I65" s="8" t="s">
        <v>83</v>
      </c>
      <c r="J65" s="8">
        <v>0</v>
      </c>
      <c r="K65" s="10">
        <v>58.63</v>
      </c>
      <c r="L65" s="11">
        <f>IF(AND(ISNUMBER(K65),ISNUMBER(D65)),IF(D65&lt;&gt;0,K65/ABS(D65),""),"")</f>
        <v>7.0202957552535472E-2</v>
      </c>
      <c r="M65" s="8" t="str">
        <f>IF(L65="","FCF yok",IF(L65&lt;0.01,"%1 altı",IF(L65&lt;0.05,"%1–5",IF(L65&lt;0.1,"%5–10",IF(L65&lt;0.25,"%10–25","%25 üstü")))))</f>
        <v>%5–10</v>
      </c>
      <c r="N65" s="8" t="str">
        <f>IF(OR(C65="NULL",C65="KOŞULLU"),C65,IF(OR(F65=1,H65=1),"KOŞULLU",C65))</f>
        <v>KOŞULLU</v>
      </c>
      <c r="O65" s="8" t="str">
        <f>IF(OR(C65="NULL",C65="KOŞULLU"),C65,IF(H65=1,"KOŞULLU",C65))</f>
        <v>KOŞULLU</v>
      </c>
      <c r="P65" s="8">
        <f>IF(N65&lt;&gt;C65,1,0)</f>
        <v>1</v>
      </c>
      <c r="Q65" s="8">
        <f>IF(O65&lt;&gt;C65,1,0)</f>
        <v>1</v>
      </c>
    </row>
    <row r="66" spans="1:17" x14ac:dyDescent="0.2">
      <c r="A66" s="8" t="s">
        <v>282</v>
      </c>
      <c r="B66" s="8" t="s">
        <v>208</v>
      </c>
      <c r="C66" s="8" t="s">
        <v>212</v>
      </c>
      <c r="D66" s="10">
        <v>156.39699999999999</v>
      </c>
      <c r="E66" s="10">
        <v>157.44999999999999</v>
      </c>
      <c r="F66" s="8">
        <v>0</v>
      </c>
      <c r="G66" s="10"/>
      <c r="H66" s="8">
        <v>1</v>
      </c>
      <c r="I66" s="8" t="s">
        <v>83</v>
      </c>
      <c r="J66" s="8">
        <v>0</v>
      </c>
      <c r="K66" s="10">
        <v>3.6989999999999998</v>
      </c>
      <c r="L66" s="11">
        <f>IF(AND(ISNUMBER(K66),ISNUMBER(D66)),IF(D66&lt;&gt;0,K66/ABS(D66),""),"")</f>
        <v>2.3651348811038576E-2</v>
      </c>
      <c r="M66" s="8" t="str">
        <f>IF(L66="","FCF yok",IF(L66&lt;0.01,"%1 altı",IF(L66&lt;0.05,"%1–5",IF(L66&lt;0.1,"%5–10",IF(L66&lt;0.25,"%10–25","%25 üstü")))))</f>
        <v>%1–5</v>
      </c>
      <c r="N66" s="8" t="str">
        <f>IF(OR(C66="NULL",C66="KOŞULLU"),C66,IF(OR(F66=1,H66=1),"KOŞULLU",C66))</f>
        <v>KOŞULLU</v>
      </c>
      <c r="O66" s="8" t="str">
        <f>IF(OR(C66="NULL",C66="KOŞULLU"),C66,IF(H66=1,"KOŞULLU",C66))</f>
        <v>KOŞULLU</v>
      </c>
      <c r="P66" s="8">
        <f>IF(N66&lt;&gt;C66,1,0)</f>
        <v>0</v>
      </c>
      <c r="Q66" s="8">
        <f>IF(O66&lt;&gt;C66,1,0)</f>
        <v>0</v>
      </c>
    </row>
    <row r="67" spans="1:17" x14ac:dyDescent="0.2">
      <c r="A67" s="8" t="s">
        <v>282</v>
      </c>
      <c r="B67" s="8" t="s">
        <v>210</v>
      </c>
      <c r="C67" s="8" t="s">
        <v>204</v>
      </c>
      <c r="D67" s="10">
        <v>-83.703000000000003</v>
      </c>
      <c r="E67" s="10">
        <v>-83.703000000000003</v>
      </c>
      <c r="F67" s="8">
        <v>0</v>
      </c>
      <c r="G67" s="10"/>
      <c r="H67" s="8">
        <v>1</v>
      </c>
      <c r="I67" s="8" t="s">
        <v>83</v>
      </c>
      <c r="J67" s="8">
        <v>0</v>
      </c>
      <c r="K67" s="10">
        <v>4.9930000000000003</v>
      </c>
      <c r="L67" s="11">
        <f>IF(AND(ISNUMBER(K67),ISNUMBER(D67)),IF(D67&lt;&gt;0,K67/ABS(D67),""),"")</f>
        <v>5.965138644970909E-2</v>
      </c>
      <c r="M67" s="8" t="str">
        <f>IF(L67="","FCF yok",IF(L67&lt;0.01,"%1 altı",IF(L67&lt;0.05,"%1–5",IF(L67&lt;0.1,"%5–10",IF(L67&lt;0.25,"%10–25","%25 üstü")))))</f>
        <v>%5–10</v>
      </c>
      <c r="N67" s="8" t="str">
        <f>IF(OR(C67="NULL",C67="KOŞULLU"),C67,IF(OR(F67=1,H67=1),"KOŞULLU",C67))</f>
        <v>KOŞULLU</v>
      </c>
      <c r="O67" s="8" t="str">
        <f>IF(OR(C67="NULL",C67="KOŞULLU"),C67,IF(H67=1,"KOŞULLU",C67))</f>
        <v>KOŞULLU</v>
      </c>
      <c r="P67" s="8">
        <f>IF(N67&lt;&gt;C67,1,0)</f>
        <v>1</v>
      </c>
      <c r="Q67" s="8">
        <f>IF(O67&lt;&gt;C67,1,0)</f>
        <v>1</v>
      </c>
    </row>
    <row r="68" spans="1:17" x14ac:dyDescent="0.2">
      <c r="A68" s="8" t="s">
        <v>283</v>
      </c>
      <c r="B68" s="8" t="s">
        <v>203</v>
      </c>
      <c r="C68" s="8" t="s">
        <v>204</v>
      </c>
      <c r="D68" s="10">
        <v>-49.523000000000003</v>
      </c>
      <c r="E68" s="10">
        <v>-45.244</v>
      </c>
      <c r="F68" s="8">
        <v>0</v>
      </c>
      <c r="G68" s="10"/>
      <c r="H68" s="8">
        <v>1</v>
      </c>
      <c r="I68" s="8" t="s">
        <v>82</v>
      </c>
      <c r="J68" s="8">
        <v>0</v>
      </c>
      <c r="K68" s="10">
        <v>23.33</v>
      </c>
      <c r="L68" s="11">
        <f>IF(AND(ISNUMBER(K68),ISNUMBER(D68)),IF(D68&lt;&gt;0,K68/ABS(D68),""),"")</f>
        <v>0.47109423904044578</v>
      </c>
      <c r="M68" s="8" t="str">
        <f>IF(L68="","FCF yok",IF(L68&lt;0.01,"%1 altı",IF(L68&lt;0.05,"%1–5",IF(L68&lt;0.1,"%5–10",IF(L68&lt;0.25,"%10–25","%25 üstü")))))</f>
        <v>%25 üstü</v>
      </c>
      <c r="N68" s="8" t="str">
        <f>IF(OR(C68="NULL",C68="KOŞULLU"),C68,IF(OR(F68=1,H68=1),"KOŞULLU",C68))</f>
        <v>KOŞULLU</v>
      </c>
      <c r="O68" s="8" t="str">
        <f>IF(OR(C68="NULL",C68="KOŞULLU"),C68,IF(H68=1,"KOŞULLU",C68))</f>
        <v>KOŞULLU</v>
      </c>
      <c r="P68" s="8">
        <f>IF(N68&lt;&gt;C68,1,0)</f>
        <v>1</v>
      </c>
      <c r="Q68" s="8">
        <f>IF(O68&lt;&gt;C68,1,0)</f>
        <v>1</v>
      </c>
    </row>
    <row r="69" spans="1:17" x14ac:dyDescent="0.2">
      <c r="A69" s="8" t="s">
        <v>283</v>
      </c>
      <c r="B69" s="8" t="s">
        <v>205</v>
      </c>
      <c r="C69" s="8" t="s">
        <v>204</v>
      </c>
      <c r="D69" s="10">
        <v>-43.277000000000001</v>
      </c>
      <c r="E69" s="10">
        <v>-38.965000000000003</v>
      </c>
      <c r="F69" s="8">
        <v>0</v>
      </c>
      <c r="G69" s="10"/>
      <c r="H69" s="8">
        <v>1</v>
      </c>
      <c r="I69" s="8" t="s">
        <v>82</v>
      </c>
      <c r="J69" s="8">
        <v>0</v>
      </c>
      <c r="K69" s="10">
        <v>26.706</v>
      </c>
      <c r="L69" s="11">
        <f>IF(AND(ISNUMBER(K69),ISNUMBER(D69)),IF(D69&lt;&gt;0,K69/ABS(D69),""),"")</f>
        <v>0.61709453058206432</v>
      </c>
      <c r="M69" s="8" t="str">
        <f>IF(L69="","FCF yok",IF(L69&lt;0.01,"%1 altı",IF(L69&lt;0.05,"%1–5",IF(L69&lt;0.1,"%5–10",IF(L69&lt;0.25,"%10–25","%25 üstü")))))</f>
        <v>%25 üstü</v>
      </c>
      <c r="N69" s="8" t="str">
        <f>IF(OR(C69="NULL",C69="KOŞULLU"),C69,IF(OR(F69=1,H69=1),"KOŞULLU",C69))</f>
        <v>KOŞULLU</v>
      </c>
      <c r="O69" s="8" t="str">
        <f>IF(OR(C69="NULL",C69="KOŞULLU"),C69,IF(H69=1,"KOŞULLU",C69))</f>
        <v>KOŞULLU</v>
      </c>
      <c r="P69" s="8">
        <f>IF(N69&lt;&gt;C69,1,0)</f>
        <v>1</v>
      </c>
      <c r="Q69" s="8">
        <f>IF(O69&lt;&gt;C69,1,0)</f>
        <v>1</v>
      </c>
    </row>
    <row r="70" spans="1:17" x14ac:dyDescent="0.2">
      <c r="A70" s="8" t="s">
        <v>283</v>
      </c>
      <c r="B70" s="8" t="s">
        <v>215</v>
      </c>
      <c r="C70" s="8" t="s">
        <v>204</v>
      </c>
      <c r="D70" s="10">
        <v>3.1909999999999998</v>
      </c>
      <c r="E70" s="10">
        <v>3.5179999999999998</v>
      </c>
      <c r="F70" s="8">
        <v>0</v>
      </c>
      <c r="G70" s="10"/>
      <c r="H70" s="8">
        <v>1</v>
      </c>
      <c r="I70" s="8" t="s">
        <v>83</v>
      </c>
      <c r="J70" s="8">
        <v>0</v>
      </c>
      <c r="K70" s="10">
        <v>3.2210000000000001</v>
      </c>
      <c r="L70" s="11">
        <f>IF(AND(ISNUMBER(K70),ISNUMBER(D70)),IF(D70&lt;&gt;0,K70/ABS(D70),""),"")</f>
        <v>1.0094014415543717</v>
      </c>
      <c r="M70" s="8" t="str">
        <f>IF(L70="","FCF yok",IF(L70&lt;0.01,"%1 altı",IF(L70&lt;0.05,"%1–5",IF(L70&lt;0.1,"%5–10",IF(L70&lt;0.25,"%10–25","%25 üstü")))))</f>
        <v>%25 üstü</v>
      </c>
      <c r="N70" s="8" t="str">
        <f>IF(OR(C70="NULL",C70="KOŞULLU"),C70,IF(OR(F70=1,H70=1),"KOŞULLU",C70))</f>
        <v>KOŞULLU</v>
      </c>
      <c r="O70" s="8" t="str">
        <f>IF(OR(C70="NULL",C70="KOŞULLU"),C70,IF(H70=1,"KOŞULLU",C70))</f>
        <v>KOŞULLU</v>
      </c>
      <c r="P70" s="8">
        <f>IF(N70&lt;&gt;C70,1,0)</f>
        <v>1</v>
      </c>
      <c r="Q70" s="8">
        <f>IF(O70&lt;&gt;C70,1,0)</f>
        <v>1</v>
      </c>
    </row>
    <row r="71" spans="1:17" x14ac:dyDescent="0.2">
      <c r="A71" s="8" t="s">
        <v>284</v>
      </c>
      <c r="B71" s="8" t="s">
        <v>205</v>
      </c>
      <c r="C71" s="8" t="s">
        <v>207</v>
      </c>
      <c r="D71" s="10"/>
      <c r="E71" s="10">
        <v>-421.488</v>
      </c>
      <c r="F71" s="8">
        <v>0</v>
      </c>
      <c r="G71" s="10"/>
      <c r="H71" s="8">
        <v>1</v>
      </c>
      <c r="I71" s="8" t="s">
        <v>83</v>
      </c>
      <c r="J71" s="8">
        <v>0</v>
      </c>
      <c r="K71" s="10">
        <v>14.965999999999999</v>
      </c>
      <c r="L71" s="11" t="str">
        <f>IF(AND(ISNUMBER(K71),ISNUMBER(D71)),IF(D71&lt;&gt;0,K71/ABS(D71),""),"")</f>
        <v/>
      </c>
      <c r="M71" s="8" t="str">
        <f>IF(L71="","FCF yok",IF(L71&lt;0.01,"%1 altı",IF(L71&lt;0.05,"%1–5",IF(L71&lt;0.1,"%5–10",IF(L71&lt;0.25,"%10–25","%25 üstü")))))</f>
        <v>FCF yok</v>
      </c>
      <c r="N71" s="8" t="str">
        <f>IF(OR(C71="NULL",C71="KOŞULLU"),C71,IF(OR(F71=1,H71=1),"KOŞULLU",C71))</f>
        <v>NULL</v>
      </c>
      <c r="O71" s="8" t="str">
        <f>IF(OR(C71="NULL",C71="KOŞULLU"),C71,IF(H71=1,"KOŞULLU",C71))</f>
        <v>NULL</v>
      </c>
      <c r="P71" s="8">
        <f>IF(N71&lt;&gt;C71,1,0)</f>
        <v>0</v>
      </c>
      <c r="Q71" s="8">
        <f>IF(O71&lt;&gt;C71,1,0)</f>
        <v>0</v>
      </c>
    </row>
    <row r="72" spans="1:17" x14ac:dyDescent="0.2">
      <c r="A72" s="8" t="s">
        <v>577</v>
      </c>
      <c r="B72" s="8" t="s">
        <v>203</v>
      </c>
      <c r="C72" s="8" t="s">
        <v>207</v>
      </c>
      <c r="D72" s="10"/>
      <c r="E72" s="10">
        <v>74.400999999999996</v>
      </c>
      <c r="F72" s="8">
        <v>1</v>
      </c>
      <c r="G72" s="8" t="s">
        <v>82</v>
      </c>
      <c r="H72" s="8">
        <v>0</v>
      </c>
      <c r="I72" s="10"/>
      <c r="J72" s="8">
        <v>0</v>
      </c>
      <c r="K72" s="10">
        <v>1.9E-2</v>
      </c>
      <c r="L72" s="11" t="str">
        <f>IF(AND(ISNUMBER(K72),ISNUMBER(D72)),IF(D72&lt;&gt;0,K72/ABS(D72),""),"")</f>
        <v/>
      </c>
      <c r="M72" s="8" t="str">
        <f>IF(L72="","FCF yok",IF(L72&lt;0.01,"%1 altı",IF(L72&lt;0.05,"%1–5",IF(L72&lt;0.1,"%5–10",IF(L72&lt;0.25,"%10–25","%25 üstü")))))</f>
        <v>FCF yok</v>
      </c>
      <c r="N72" s="8" t="str">
        <f>IF(OR(C72="NULL",C72="KOŞULLU"),C72,IF(OR(F72=1,H72=1),"KOŞULLU",C72))</f>
        <v>NULL</v>
      </c>
      <c r="O72" s="8" t="str">
        <f>IF(OR(C72="NULL",C72="KOŞULLU"),C72,IF(H72=1,"KOŞULLU",C72))</f>
        <v>NULL</v>
      </c>
      <c r="P72" s="8">
        <f>IF(N72&lt;&gt;C72,1,0)</f>
        <v>0</v>
      </c>
      <c r="Q72" s="8">
        <f>IF(O72&lt;&gt;C72,1,0)</f>
        <v>0</v>
      </c>
    </row>
    <row r="73" spans="1:17" x14ac:dyDescent="0.2">
      <c r="A73" s="8" t="s">
        <v>577</v>
      </c>
      <c r="B73" s="8" t="s">
        <v>205</v>
      </c>
      <c r="C73" s="8" t="s">
        <v>207</v>
      </c>
      <c r="D73" s="10"/>
      <c r="E73" s="10">
        <v>-54.930999999999997</v>
      </c>
      <c r="F73" s="8">
        <v>1</v>
      </c>
      <c r="G73" s="8" t="s">
        <v>82</v>
      </c>
      <c r="H73" s="8">
        <v>0</v>
      </c>
      <c r="I73" s="10"/>
      <c r="J73" s="8">
        <v>0</v>
      </c>
      <c r="K73" s="10">
        <v>1.9E-2</v>
      </c>
      <c r="L73" s="11" t="str">
        <f>IF(AND(ISNUMBER(K73),ISNUMBER(D73)),IF(D73&lt;&gt;0,K73/ABS(D73),""),"")</f>
        <v/>
      </c>
      <c r="M73" s="8" t="str">
        <f>IF(L73="","FCF yok",IF(L73&lt;0.01,"%1 altı",IF(L73&lt;0.05,"%1–5",IF(L73&lt;0.1,"%5–10",IF(L73&lt;0.25,"%10–25","%25 üstü")))))</f>
        <v>FCF yok</v>
      </c>
      <c r="N73" s="8" t="str">
        <f>IF(OR(C73="NULL",C73="KOŞULLU"),C73,IF(OR(F73=1,H73=1),"KOŞULLU",C73))</f>
        <v>NULL</v>
      </c>
      <c r="O73" s="8" t="str">
        <f>IF(OR(C73="NULL",C73="KOŞULLU"),C73,IF(H73=1,"KOŞULLU",C73))</f>
        <v>NULL</v>
      </c>
      <c r="P73" s="8">
        <f>IF(N73&lt;&gt;C73,1,0)</f>
        <v>0</v>
      </c>
      <c r="Q73" s="8">
        <f>IF(O73&lt;&gt;C73,1,0)</f>
        <v>0</v>
      </c>
    </row>
    <row r="74" spans="1:17" x14ac:dyDescent="0.2">
      <c r="A74" s="8" t="s">
        <v>577</v>
      </c>
      <c r="B74" s="8" t="s">
        <v>215</v>
      </c>
      <c r="C74" s="8" t="s">
        <v>207</v>
      </c>
      <c r="D74" s="10"/>
      <c r="E74" s="10">
        <v>-69.567999999999998</v>
      </c>
      <c r="F74" s="8">
        <v>1</v>
      </c>
      <c r="G74" s="8" t="s">
        <v>82</v>
      </c>
      <c r="H74" s="8">
        <v>0</v>
      </c>
      <c r="I74" s="10"/>
      <c r="J74" s="8">
        <v>0</v>
      </c>
      <c r="K74" s="10">
        <v>1.9E-2</v>
      </c>
      <c r="L74" s="11" t="str">
        <f>IF(AND(ISNUMBER(K74),ISNUMBER(D74)),IF(D74&lt;&gt;0,K74/ABS(D74),""),"")</f>
        <v/>
      </c>
      <c r="M74" s="8" t="str">
        <f>IF(L74="","FCF yok",IF(L74&lt;0.01,"%1 altı",IF(L74&lt;0.05,"%1–5",IF(L74&lt;0.1,"%5–10",IF(L74&lt;0.25,"%10–25","%25 üstü")))))</f>
        <v>FCF yok</v>
      </c>
      <c r="N74" s="8" t="str">
        <f>IF(OR(C74="NULL",C74="KOŞULLU"),C74,IF(OR(F74=1,H74=1),"KOŞULLU",C74))</f>
        <v>NULL</v>
      </c>
      <c r="O74" s="8" t="str">
        <f>IF(OR(C74="NULL",C74="KOŞULLU"),C74,IF(H74=1,"KOŞULLU",C74))</f>
        <v>NULL</v>
      </c>
      <c r="P74" s="8">
        <f>IF(N74&lt;&gt;C74,1,0)</f>
        <v>0</v>
      </c>
      <c r="Q74" s="8">
        <f>IF(O74&lt;&gt;C74,1,0)</f>
        <v>0</v>
      </c>
    </row>
    <row r="75" spans="1:17" x14ac:dyDescent="0.2">
      <c r="A75" s="8" t="s">
        <v>288</v>
      </c>
      <c r="B75" s="8" t="s">
        <v>203</v>
      </c>
      <c r="C75" s="8" t="s">
        <v>207</v>
      </c>
      <c r="D75" s="10"/>
      <c r="E75" s="10">
        <v>-416.29199999999997</v>
      </c>
      <c r="F75" s="8">
        <v>1</v>
      </c>
      <c r="G75" s="8" t="s">
        <v>82</v>
      </c>
      <c r="H75" s="8">
        <v>0</v>
      </c>
      <c r="I75" s="10"/>
      <c r="J75" s="8">
        <v>0</v>
      </c>
      <c r="K75" s="10">
        <v>311.83300000000003</v>
      </c>
      <c r="L75" s="11" t="str">
        <f>IF(AND(ISNUMBER(K75),ISNUMBER(D75)),IF(D75&lt;&gt;0,K75/ABS(D75),""),"")</f>
        <v/>
      </c>
      <c r="M75" s="8" t="str">
        <f>IF(L75="","FCF yok",IF(L75&lt;0.01,"%1 altı",IF(L75&lt;0.05,"%1–5",IF(L75&lt;0.1,"%5–10",IF(L75&lt;0.25,"%10–25","%25 üstü")))))</f>
        <v>FCF yok</v>
      </c>
      <c r="N75" s="8" t="str">
        <f>IF(OR(C75="NULL",C75="KOŞULLU"),C75,IF(OR(F75=1,H75=1),"KOŞULLU",C75))</f>
        <v>NULL</v>
      </c>
      <c r="O75" s="8" t="str">
        <f>IF(OR(C75="NULL",C75="KOŞULLU"),C75,IF(H75=1,"KOŞULLU",C75))</f>
        <v>NULL</v>
      </c>
      <c r="P75" s="8">
        <f>IF(N75&lt;&gt;C75,1,0)</f>
        <v>0</v>
      </c>
      <c r="Q75" s="8">
        <f>IF(O75&lt;&gt;C75,1,0)</f>
        <v>0</v>
      </c>
    </row>
    <row r="76" spans="1:17" x14ac:dyDescent="0.2">
      <c r="A76" s="8" t="s">
        <v>288</v>
      </c>
      <c r="B76" s="8" t="s">
        <v>205</v>
      </c>
      <c r="C76" s="8" t="s">
        <v>207</v>
      </c>
      <c r="D76" s="10"/>
      <c r="E76" s="10">
        <v>-137.322</v>
      </c>
      <c r="F76" s="8">
        <v>1</v>
      </c>
      <c r="G76" s="8" t="s">
        <v>82</v>
      </c>
      <c r="H76" s="8">
        <v>0</v>
      </c>
      <c r="I76" s="10"/>
      <c r="J76" s="8">
        <v>0</v>
      </c>
      <c r="K76" s="10">
        <v>311.83300000000003</v>
      </c>
      <c r="L76" s="11" t="str">
        <f>IF(AND(ISNUMBER(K76),ISNUMBER(D76)),IF(D76&lt;&gt;0,K76/ABS(D76),""),"")</f>
        <v/>
      </c>
      <c r="M76" s="8" t="str">
        <f>IF(L76="","FCF yok",IF(L76&lt;0.01,"%1 altı",IF(L76&lt;0.05,"%1–5",IF(L76&lt;0.1,"%5–10",IF(L76&lt;0.25,"%10–25","%25 üstü")))))</f>
        <v>FCF yok</v>
      </c>
      <c r="N76" s="8" t="str">
        <f>IF(OR(C76="NULL",C76="KOŞULLU"),C76,IF(OR(F76=1,H76=1),"KOŞULLU",C76))</f>
        <v>NULL</v>
      </c>
      <c r="O76" s="8" t="str">
        <f>IF(OR(C76="NULL",C76="KOŞULLU"),C76,IF(H76=1,"KOŞULLU",C76))</f>
        <v>NULL</v>
      </c>
      <c r="P76" s="8">
        <f>IF(N76&lt;&gt;C76,1,0)</f>
        <v>0</v>
      </c>
      <c r="Q76" s="8">
        <f>IF(O76&lt;&gt;C76,1,0)</f>
        <v>0</v>
      </c>
    </row>
    <row r="77" spans="1:17" x14ac:dyDescent="0.2">
      <c r="A77" s="8" t="s">
        <v>288</v>
      </c>
      <c r="B77" s="8" t="s">
        <v>215</v>
      </c>
      <c r="C77" s="8" t="s">
        <v>209</v>
      </c>
      <c r="D77" s="10">
        <v>-1266.78</v>
      </c>
      <c r="E77" s="10">
        <v>-218.184</v>
      </c>
      <c r="F77" s="8">
        <v>1</v>
      </c>
      <c r="G77" s="8" t="s">
        <v>82</v>
      </c>
      <c r="H77" s="8">
        <v>0</v>
      </c>
      <c r="I77" s="10"/>
      <c r="J77" s="8">
        <v>0</v>
      </c>
      <c r="K77" s="10">
        <v>311.83300000000003</v>
      </c>
      <c r="L77" s="11">
        <f>IF(AND(ISNUMBER(K77),ISNUMBER(D77)),IF(D77&lt;&gt;0,K77/ABS(D77),""),"")</f>
        <v>0.24616192235431569</v>
      </c>
      <c r="M77" s="8" t="str">
        <f>IF(L77="","FCF yok",IF(L77&lt;0.01,"%1 altı",IF(L77&lt;0.05,"%1–5",IF(L77&lt;0.1,"%5–10",IF(L77&lt;0.25,"%10–25","%25 üstü")))))</f>
        <v>%10–25</v>
      </c>
      <c r="N77" s="8" t="str">
        <f>IF(OR(C77="NULL",C77="KOŞULLU"),C77,IF(OR(F77=1,H77=1),"KOŞULLU",C77))</f>
        <v>KOŞULLU</v>
      </c>
      <c r="O77" s="8" t="str">
        <f>IF(OR(C77="NULL",C77="KOŞULLU"),C77,IF(H77=1,"KOŞULLU",C77))</f>
        <v>TÜRETİLMİŞ</v>
      </c>
      <c r="P77" s="8">
        <f>IF(N77&lt;&gt;C77,1,0)</f>
        <v>1</v>
      </c>
      <c r="Q77" s="8">
        <f>IF(O77&lt;&gt;C77,1,0)</f>
        <v>0</v>
      </c>
    </row>
    <row r="78" spans="1:17" x14ac:dyDescent="0.2">
      <c r="A78" s="8" t="s">
        <v>288</v>
      </c>
      <c r="B78" s="8" t="s">
        <v>290</v>
      </c>
      <c r="C78" s="8" t="s">
        <v>209</v>
      </c>
      <c r="D78" s="10">
        <v>-365.72800000000001</v>
      </c>
      <c r="E78" s="10">
        <v>1040.2850000000001</v>
      </c>
      <c r="F78" s="8">
        <v>1</v>
      </c>
      <c r="G78" s="8" t="s">
        <v>82</v>
      </c>
      <c r="H78" s="8">
        <v>0</v>
      </c>
      <c r="I78" s="10"/>
      <c r="J78" s="8">
        <v>0</v>
      </c>
      <c r="K78" s="10">
        <v>86.308000000000007</v>
      </c>
      <c r="L78" s="11">
        <f>IF(AND(ISNUMBER(K78),ISNUMBER(D78)),IF(D78&lt;&gt;0,K78/ABS(D78),""),"")</f>
        <v>0.23598958789045413</v>
      </c>
      <c r="M78" s="8" t="str">
        <f>IF(L78="","FCF yok",IF(L78&lt;0.01,"%1 altı",IF(L78&lt;0.05,"%1–5",IF(L78&lt;0.1,"%5–10",IF(L78&lt;0.25,"%10–25","%25 üstü")))))</f>
        <v>%10–25</v>
      </c>
      <c r="N78" s="8" t="str">
        <f>IF(OR(C78="NULL",C78="KOŞULLU"),C78,IF(OR(F78=1,H78=1),"KOŞULLU",C78))</f>
        <v>KOŞULLU</v>
      </c>
      <c r="O78" s="8" t="str">
        <f>IF(OR(C78="NULL",C78="KOŞULLU"),C78,IF(H78=1,"KOŞULLU",C78))</f>
        <v>TÜRETİLMİŞ</v>
      </c>
      <c r="P78" s="8">
        <f>IF(N78&lt;&gt;C78,1,0)</f>
        <v>1</v>
      </c>
      <c r="Q78" s="8">
        <f>IF(O78&lt;&gt;C78,1,0)</f>
        <v>0</v>
      </c>
    </row>
    <row r="79" spans="1:17" x14ac:dyDescent="0.2">
      <c r="A79" s="8" t="s">
        <v>288</v>
      </c>
      <c r="B79" s="8" t="s">
        <v>208</v>
      </c>
      <c r="C79" s="8" t="s">
        <v>207</v>
      </c>
      <c r="D79" s="10"/>
      <c r="E79" s="10">
        <v>1137.5530000000001</v>
      </c>
      <c r="F79" s="8">
        <v>1</v>
      </c>
      <c r="G79" s="8" t="s">
        <v>82</v>
      </c>
      <c r="H79" s="8">
        <v>0</v>
      </c>
      <c r="I79" s="10"/>
      <c r="J79" s="8">
        <v>0</v>
      </c>
      <c r="K79" s="10">
        <v>86.308000000000007</v>
      </c>
      <c r="L79" s="11" t="str">
        <f>IF(AND(ISNUMBER(K79),ISNUMBER(D79)),IF(D79&lt;&gt;0,K79/ABS(D79),""),"")</f>
        <v/>
      </c>
      <c r="M79" s="8" t="str">
        <f>IF(L79="","FCF yok",IF(L79&lt;0.01,"%1 altı",IF(L79&lt;0.05,"%1–5",IF(L79&lt;0.1,"%5–10",IF(L79&lt;0.25,"%10–25","%25 üstü")))))</f>
        <v>FCF yok</v>
      </c>
      <c r="N79" s="8" t="str">
        <f>IF(OR(C79="NULL",C79="KOŞULLU"),C79,IF(OR(F79=1,H79=1),"KOŞULLU",C79))</f>
        <v>NULL</v>
      </c>
      <c r="O79" s="8" t="str">
        <f>IF(OR(C79="NULL",C79="KOŞULLU"),C79,IF(H79=1,"KOŞULLU",C79))</f>
        <v>NULL</v>
      </c>
      <c r="P79" s="8">
        <f>IF(N79&lt;&gt;C79,1,0)</f>
        <v>0</v>
      </c>
      <c r="Q79" s="8">
        <f>IF(O79&lt;&gt;C79,1,0)</f>
        <v>0</v>
      </c>
    </row>
    <row r="80" spans="1:17" x14ac:dyDescent="0.2">
      <c r="A80" s="8" t="s">
        <v>288</v>
      </c>
      <c r="B80" s="8" t="s">
        <v>210</v>
      </c>
      <c r="C80" s="8" t="s">
        <v>207</v>
      </c>
      <c r="D80" s="10"/>
      <c r="E80" s="10">
        <v>1051.9290000000001</v>
      </c>
      <c r="F80" s="8">
        <v>1</v>
      </c>
      <c r="G80" s="8" t="s">
        <v>82</v>
      </c>
      <c r="H80" s="8">
        <v>0</v>
      </c>
      <c r="I80" s="10"/>
      <c r="J80" s="8">
        <v>0</v>
      </c>
      <c r="K80" s="10">
        <v>86.308000000000007</v>
      </c>
      <c r="L80" s="11" t="str">
        <f>IF(AND(ISNUMBER(K80),ISNUMBER(D80)),IF(D80&lt;&gt;0,K80/ABS(D80),""),"")</f>
        <v/>
      </c>
      <c r="M80" s="8" t="str">
        <f>IF(L80="","FCF yok",IF(L80&lt;0.01,"%1 altı",IF(L80&lt;0.05,"%1–5",IF(L80&lt;0.1,"%5–10",IF(L80&lt;0.25,"%10–25","%25 üstü")))))</f>
        <v>FCF yok</v>
      </c>
      <c r="N80" s="8" t="str">
        <f>IF(OR(C80="NULL",C80="KOŞULLU"),C80,IF(OR(F80=1,H80=1),"KOŞULLU",C80))</f>
        <v>NULL</v>
      </c>
      <c r="O80" s="8" t="str">
        <f>IF(OR(C80="NULL",C80="KOŞULLU"),C80,IF(H80=1,"KOŞULLU",C80))</f>
        <v>NULL</v>
      </c>
      <c r="P80" s="8">
        <f>IF(N80&lt;&gt;C80,1,0)</f>
        <v>0</v>
      </c>
      <c r="Q80" s="8">
        <f>IF(O80&lt;&gt;C80,1,0)</f>
        <v>0</v>
      </c>
    </row>
    <row r="81" spans="1:17" x14ac:dyDescent="0.2">
      <c r="A81" s="8" t="s">
        <v>292</v>
      </c>
      <c r="B81" s="8" t="s">
        <v>203</v>
      </c>
      <c r="C81" s="8" t="s">
        <v>204</v>
      </c>
      <c r="D81" s="10">
        <v>256.71800000000098</v>
      </c>
      <c r="E81" s="10">
        <v>2283.3319999999999</v>
      </c>
      <c r="F81" s="8">
        <v>1</v>
      </c>
      <c r="G81" s="8" t="s">
        <v>82</v>
      </c>
      <c r="H81" s="8">
        <v>1</v>
      </c>
      <c r="I81" s="8" t="s">
        <v>83</v>
      </c>
      <c r="J81" s="8">
        <v>1</v>
      </c>
      <c r="K81" s="10">
        <v>770.50599999999997</v>
      </c>
      <c r="L81" s="11">
        <f>IF(AND(ISNUMBER(K81),ISNUMBER(D81)),IF(D81&lt;&gt;0,K81/ABS(D81),""),"")</f>
        <v>3.001371154340549</v>
      </c>
      <c r="M81" s="8" t="str">
        <f>IF(L81="","FCF yok",IF(L81&lt;0.01,"%1 altı",IF(L81&lt;0.05,"%1–5",IF(L81&lt;0.1,"%5–10",IF(L81&lt;0.25,"%10–25","%25 üstü")))))</f>
        <v>%25 üstü</v>
      </c>
      <c r="N81" s="8" t="str">
        <f>IF(OR(C81="NULL",C81="KOŞULLU"),C81,IF(OR(F81=1,H81=1),"KOŞULLU",C81))</f>
        <v>KOŞULLU</v>
      </c>
      <c r="O81" s="8" t="str">
        <f>IF(OR(C81="NULL",C81="KOŞULLU"),C81,IF(H81=1,"KOŞULLU",C81))</f>
        <v>KOŞULLU</v>
      </c>
      <c r="P81" s="8">
        <f>IF(N81&lt;&gt;C81,1,0)</f>
        <v>1</v>
      </c>
      <c r="Q81" s="8">
        <f>IF(O81&lt;&gt;C81,1,0)</f>
        <v>1</v>
      </c>
    </row>
    <row r="82" spans="1:17" x14ac:dyDescent="0.2">
      <c r="A82" s="8" t="s">
        <v>292</v>
      </c>
      <c r="B82" s="8" t="s">
        <v>205</v>
      </c>
      <c r="C82" s="8" t="s">
        <v>204</v>
      </c>
      <c r="D82" s="10">
        <v>-3074.2449999999999</v>
      </c>
      <c r="E82" s="10">
        <v>-3074.2449999999999</v>
      </c>
      <c r="F82" s="8">
        <v>1</v>
      </c>
      <c r="G82" s="8" t="s">
        <v>748</v>
      </c>
      <c r="H82" s="8">
        <v>0</v>
      </c>
      <c r="I82" s="10"/>
      <c r="J82" s="8">
        <v>0</v>
      </c>
      <c r="K82" s="10">
        <v>267.33699999999999</v>
      </c>
      <c r="L82" s="11">
        <f>IF(AND(ISNUMBER(K82),ISNUMBER(D82)),IF(D82&lt;&gt;0,K82/ABS(D82),""),"")</f>
        <v>8.6960212995385852E-2</v>
      </c>
      <c r="M82" s="8" t="str">
        <f>IF(L82="","FCF yok",IF(L82&lt;0.01,"%1 altı",IF(L82&lt;0.05,"%1–5",IF(L82&lt;0.1,"%5–10",IF(L82&lt;0.25,"%10–25","%25 üstü")))))</f>
        <v>%5–10</v>
      </c>
      <c r="N82" s="8" t="str">
        <f>IF(OR(C82="NULL",C82="KOŞULLU"),C82,IF(OR(F82=1,H82=1),"KOŞULLU",C82))</f>
        <v>KOŞULLU</v>
      </c>
      <c r="O82" s="8" t="str">
        <f>IF(OR(C82="NULL",C82="KOŞULLU"),C82,IF(H82=1,"KOŞULLU",C82))</f>
        <v>KESİN</v>
      </c>
      <c r="P82" s="8">
        <f>IF(N82&lt;&gt;C82,1,0)</f>
        <v>1</v>
      </c>
      <c r="Q82" s="8">
        <f>IF(O82&lt;&gt;C82,1,0)</f>
        <v>0</v>
      </c>
    </row>
    <row r="83" spans="1:17" x14ac:dyDescent="0.2">
      <c r="A83" s="8" t="s">
        <v>292</v>
      </c>
      <c r="B83" s="8" t="s">
        <v>215</v>
      </c>
      <c r="C83" s="8" t="s">
        <v>204</v>
      </c>
      <c r="D83" s="10">
        <v>-5299.7740000000003</v>
      </c>
      <c r="E83" s="10">
        <v>-5299.7740000000003</v>
      </c>
      <c r="F83" s="8">
        <v>1</v>
      </c>
      <c r="G83" s="8" t="s">
        <v>748</v>
      </c>
      <c r="H83" s="8">
        <v>0</v>
      </c>
      <c r="I83" s="10"/>
      <c r="J83" s="8">
        <v>0</v>
      </c>
      <c r="K83" s="10">
        <v>1390.8820000000001</v>
      </c>
      <c r="L83" s="11">
        <f>IF(AND(ISNUMBER(K83),ISNUMBER(D83)),IF(D83&lt;&gt;0,K83/ABS(D83),""),"")</f>
        <v>0.26244175695039074</v>
      </c>
      <c r="M83" s="8" t="str">
        <f>IF(L83="","FCF yok",IF(L83&lt;0.01,"%1 altı",IF(L83&lt;0.05,"%1–5",IF(L83&lt;0.1,"%5–10",IF(L83&lt;0.25,"%10–25","%25 üstü")))))</f>
        <v>%25 üstü</v>
      </c>
      <c r="N83" s="8" t="str">
        <f>IF(OR(C83="NULL",C83="KOŞULLU"),C83,IF(OR(F83=1,H83=1),"KOŞULLU",C83))</f>
        <v>KOŞULLU</v>
      </c>
      <c r="O83" s="8" t="str">
        <f>IF(OR(C83="NULL",C83="KOŞULLU"),C83,IF(H83=1,"KOŞULLU",C83))</f>
        <v>KESİN</v>
      </c>
      <c r="P83" s="8">
        <f>IF(N83&lt;&gt;C83,1,0)</f>
        <v>1</v>
      </c>
      <c r="Q83" s="8">
        <f>IF(O83&lt;&gt;C83,1,0)</f>
        <v>0</v>
      </c>
    </row>
    <row r="84" spans="1:17" x14ac:dyDescent="0.2">
      <c r="A84" s="8" t="s">
        <v>292</v>
      </c>
      <c r="B84" s="8" t="s">
        <v>290</v>
      </c>
      <c r="C84" s="8" t="s">
        <v>204</v>
      </c>
      <c r="D84" s="10">
        <v>-2046.8630000000001</v>
      </c>
      <c r="E84" s="10">
        <v>-2046.8630000000001</v>
      </c>
      <c r="F84" s="8">
        <v>1</v>
      </c>
      <c r="G84" s="8" t="s">
        <v>748</v>
      </c>
      <c r="H84" s="8">
        <v>0</v>
      </c>
      <c r="I84" s="10"/>
      <c r="J84" s="8">
        <v>0</v>
      </c>
      <c r="K84" s="10">
        <v>2904.857</v>
      </c>
      <c r="L84" s="11">
        <f>IF(AND(ISNUMBER(K84),ISNUMBER(D84)),IF(D84&lt;&gt;0,K84/ABS(D84),""),"")</f>
        <v>1.4191750986753875</v>
      </c>
      <c r="M84" s="8" t="str">
        <f>IF(L84="","FCF yok",IF(L84&lt;0.01,"%1 altı",IF(L84&lt;0.05,"%1–5",IF(L84&lt;0.1,"%5–10",IF(L84&lt;0.25,"%10–25","%25 üstü")))))</f>
        <v>%25 üstü</v>
      </c>
      <c r="N84" s="8" t="str">
        <f>IF(OR(C84="NULL",C84="KOŞULLU"),C84,IF(OR(F84=1,H84=1),"KOŞULLU",C84))</f>
        <v>KOŞULLU</v>
      </c>
      <c r="O84" s="8" t="str">
        <f>IF(OR(C84="NULL",C84="KOŞULLU"),C84,IF(H84=1,"KOŞULLU",C84))</f>
        <v>KESİN</v>
      </c>
      <c r="P84" s="8">
        <f>IF(N84&lt;&gt;C84,1,0)</f>
        <v>1</v>
      </c>
      <c r="Q84" s="8">
        <f>IF(O84&lt;&gt;C84,1,0)</f>
        <v>0</v>
      </c>
    </row>
    <row r="85" spans="1:17" x14ac:dyDescent="0.2">
      <c r="A85" s="8" t="s">
        <v>292</v>
      </c>
      <c r="B85" s="8" t="s">
        <v>208</v>
      </c>
      <c r="C85" s="8" t="s">
        <v>204</v>
      </c>
      <c r="D85" s="10">
        <v>-5809.9440000000004</v>
      </c>
      <c r="E85" s="10">
        <v>-5809.9440000000004</v>
      </c>
      <c r="F85" s="8">
        <v>1</v>
      </c>
      <c r="G85" s="8" t="s">
        <v>748</v>
      </c>
      <c r="H85" s="8">
        <v>0</v>
      </c>
      <c r="I85" s="10"/>
      <c r="J85" s="8">
        <v>0</v>
      </c>
      <c r="K85" s="10">
        <v>2904.857</v>
      </c>
      <c r="L85" s="11">
        <f>IF(AND(ISNUMBER(K85),ISNUMBER(D85)),IF(D85&lt;&gt;0,K85/ABS(D85),""),"")</f>
        <v>0.49998020634966528</v>
      </c>
      <c r="M85" s="8" t="str">
        <f>IF(L85="","FCF yok",IF(L85&lt;0.01,"%1 altı",IF(L85&lt;0.05,"%1–5",IF(L85&lt;0.1,"%5–10",IF(L85&lt;0.25,"%10–25","%25 üstü")))))</f>
        <v>%25 üstü</v>
      </c>
      <c r="N85" s="8" t="str">
        <f>IF(OR(C85="NULL",C85="KOŞULLU"),C85,IF(OR(F85=1,H85=1),"KOŞULLU",C85))</f>
        <v>KOŞULLU</v>
      </c>
      <c r="O85" s="8" t="str">
        <f>IF(OR(C85="NULL",C85="KOŞULLU"),C85,IF(H85=1,"KOŞULLU",C85))</f>
        <v>KESİN</v>
      </c>
      <c r="P85" s="8">
        <f>IF(N85&lt;&gt;C85,1,0)</f>
        <v>1</v>
      </c>
      <c r="Q85" s="8">
        <f>IF(O85&lt;&gt;C85,1,0)</f>
        <v>0</v>
      </c>
    </row>
    <row r="86" spans="1:17" x14ac:dyDescent="0.2">
      <c r="A86" s="8" t="s">
        <v>292</v>
      </c>
      <c r="B86" s="8" t="s">
        <v>210</v>
      </c>
      <c r="C86" s="8" t="s">
        <v>204</v>
      </c>
      <c r="D86" s="10">
        <v>-394.54700000000003</v>
      </c>
      <c r="E86" s="10">
        <v>-391.23899999999998</v>
      </c>
      <c r="F86" s="8">
        <v>1</v>
      </c>
      <c r="G86" s="8" t="s">
        <v>748</v>
      </c>
      <c r="H86" s="8">
        <v>0</v>
      </c>
      <c r="I86" s="10"/>
      <c r="J86" s="8">
        <v>1</v>
      </c>
      <c r="K86" s="10">
        <v>2904.857</v>
      </c>
      <c r="L86" s="11">
        <f>IF(AND(ISNUMBER(K86),ISNUMBER(D86)),IF(D86&lt;&gt;0,K86/ABS(D86),""),"")</f>
        <v>7.3625119440776379</v>
      </c>
      <c r="M86" s="8" t="str">
        <f>IF(L86="","FCF yok",IF(L86&lt;0.01,"%1 altı",IF(L86&lt;0.05,"%1–5",IF(L86&lt;0.1,"%5–10",IF(L86&lt;0.25,"%10–25","%25 üstü")))))</f>
        <v>%25 üstü</v>
      </c>
      <c r="N86" s="8" t="str">
        <f>IF(OR(C86="NULL",C86="KOŞULLU"),C86,IF(OR(F86=1,H86=1),"KOŞULLU",C86))</f>
        <v>KOŞULLU</v>
      </c>
      <c r="O86" s="8" t="str">
        <f>IF(OR(C86="NULL",C86="KOŞULLU"),C86,IF(H86=1,"KOŞULLU",C86))</f>
        <v>KESİN</v>
      </c>
      <c r="P86" s="8">
        <f>IF(N86&lt;&gt;C86,1,0)</f>
        <v>1</v>
      </c>
      <c r="Q86" s="8">
        <f>IF(O86&lt;&gt;C86,1,0)</f>
        <v>0</v>
      </c>
    </row>
    <row r="87" spans="1:17" x14ac:dyDescent="0.2">
      <c r="A87" s="8" t="s">
        <v>304</v>
      </c>
      <c r="B87" s="8" t="s">
        <v>203</v>
      </c>
      <c r="C87" s="8" t="s">
        <v>204</v>
      </c>
      <c r="D87" s="10">
        <v>870.101</v>
      </c>
      <c r="E87" s="10">
        <v>1251.19</v>
      </c>
      <c r="F87" s="8">
        <v>1</v>
      </c>
      <c r="G87" s="8" t="s">
        <v>83</v>
      </c>
      <c r="H87" s="8">
        <v>0</v>
      </c>
      <c r="I87" s="10"/>
      <c r="J87" s="8">
        <v>1</v>
      </c>
      <c r="K87" s="10">
        <v>244.49100000000001</v>
      </c>
      <c r="L87" s="11">
        <f>IF(AND(ISNUMBER(K87),ISNUMBER(D87)),IF(D87&lt;&gt;0,K87/ABS(D87),""),"")</f>
        <v>0.28099151707675318</v>
      </c>
      <c r="M87" s="8" t="str">
        <f>IF(L87="","FCF yok",IF(L87&lt;0.01,"%1 altı",IF(L87&lt;0.05,"%1–5",IF(L87&lt;0.1,"%5–10",IF(L87&lt;0.25,"%10–25","%25 üstü")))))</f>
        <v>%25 üstü</v>
      </c>
      <c r="N87" s="8" t="str">
        <f>IF(OR(C87="NULL",C87="KOŞULLU"),C87,IF(OR(F87=1,H87=1),"KOŞULLU",C87))</f>
        <v>KOŞULLU</v>
      </c>
      <c r="O87" s="8" t="str">
        <f>IF(OR(C87="NULL",C87="KOŞULLU"),C87,IF(H87=1,"KOŞULLU",C87))</f>
        <v>KESİN</v>
      </c>
      <c r="P87" s="8">
        <f>IF(N87&lt;&gt;C87,1,0)</f>
        <v>1</v>
      </c>
      <c r="Q87" s="8">
        <f>IF(O87&lt;&gt;C87,1,0)</f>
        <v>0</v>
      </c>
    </row>
    <row r="88" spans="1:17" x14ac:dyDescent="0.2">
      <c r="A88" s="8" t="s">
        <v>306</v>
      </c>
      <c r="B88" s="8" t="s">
        <v>205</v>
      </c>
      <c r="C88" s="8" t="s">
        <v>209</v>
      </c>
      <c r="D88" s="10">
        <v>-457.548</v>
      </c>
      <c r="E88" s="10">
        <v>-269.029</v>
      </c>
      <c r="F88" s="8">
        <v>0</v>
      </c>
      <c r="G88" s="10"/>
      <c r="H88" s="8">
        <v>1</v>
      </c>
      <c r="I88" s="8" t="s">
        <v>83</v>
      </c>
      <c r="J88" s="8">
        <v>0</v>
      </c>
      <c r="K88" s="10">
        <v>61.789000000000001</v>
      </c>
      <c r="L88" s="11">
        <f>IF(AND(ISNUMBER(K88),ISNUMBER(D88)),IF(D88&lt;&gt;0,K88/ABS(D88),""),"")</f>
        <v>0.13504375497215593</v>
      </c>
      <c r="M88" s="8" t="str">
        <f>IF(L88="","FCF yok",IF(L88&lt;0.01,"%1 altı",IF(L88&lt;0.05,"%1–5",IF(L88&lt;0.1,"%5–10",IF(L88&lt;0.25,"%10–25","%25 üstü")))))</f>
        <v>%10–25</v>
      </c>
      <c r="N88" s="8" t="str">
        <f>IF(OR(C88="NULL",C88="KOŞULLU"),C88,IF(OR(F88=1,H88=1),"KOŞULLU",C88))</f>
        <v>KOŞULLU</v>
      </c>
      <c r="O88" s="8" t="str">
        <f>IF(OR(C88="NULL",C88="KOŞULLU"),C88,IF(H88=1,"KOŞULLU",C88))</f>
        <v>KOŞULLU</v>
      </c>
      <c r="P88" s="8">
        <f>IF(N88&lt;&gt;C88,1,0)</f>
        <v>1</v>
      </c>
      <c r="Q88" s="8">
        <f>IF(O88&lt;&gt;C88,1,0)</f>
        <v>1</v>
      </c>
    </row>
    <row r="89" spans="1:17" x14ac:dyDescent="0.2">
      <c r="A89" s="8" t="s">
        <v>309</v>
      </c>
      <c r="B89" s="8" t="s">
        <v>215</v>
      </c>
      <c r="C89" s="8" t="s">
        <v>207</v>
      </c>
      <c r="D89" s="10"/>
      <c r="E89" s="10">
        <v>91.819000000000003</v>
      </c>
      <c r="F89" s="8">
        <v>0</v>
      </c>
      <c r="G89" s="10"/>
      <c r="H89" s="8">
        <v>1</v>
      </c>
      <c r="I89" s="8" t="s">
        <v>83</v>
      </c>
      <c r="J89" s="8">
        <v>0</v>
      </c>
      <c r="K89" s="10">
        <v>1.5720000000000001</v>
      </c>
      <c r="L89" s="11" t="str">
        <f>IF(AND(ISNUMBER(K89),ISNUMBER(D89)),IF(D89&lt;&gt;0,K89/ABS(D89),""),"")</f>
        <v/>
      </c>
      <c r="M89" s="8" t="str">
        <f>IF(L89="","FCF yok",IF(L89&lt;0.01,"%1 altı",IF(L89&lt;0.05,"%1–5",IF(L89&lt;0.1,"%5–10",IF(L89&lt;0.25,"%10–25","%25 üstü")))))</f>
        <v>FCF yok</v>
      </c>
      <c r="N89" s="8" t="str">
        <f>IF(OR(C89="NULL",C89="KOŞULLU"),C89,IF(OR(F89=1,H89=1),"KOŞULLU",C89))</f>
        <v>NULL</v>
      </c>
      <c r="O89" s="8" t="str">
        <f>IF(OR(C89="NULL",C89="KOŞULLU"),C89,IF(H89=1,"KOŞULLU",C89))</f>
        <v>NULL</v>
      </c>
      <c r="P89" s="8">
        <f>IF(N89&lt;&gt;C89,1,0)</f>
        <v>0</v>
      </c>
      <c r="Q89" s="8">
        <f>IF(O89&lt;&gt;C89,1,0)</f>
        <v>0</v>
      </c>
    </row>
    <row r="90" spans="1:17" x14ac:dyDescent="0.2">
      <c r="A90" s="8" t="s">
        <v>311</v>
      </c>
      <c r="B90" s="8" t="s">
        <v>203</v>
      </c>
      <c r="C90" s="8" t="s">
        <v>209</v>
      </c>
      <c r="D90" s="10">
        <v>37.311</v>
      </c>
      <c r="E90" s="10">
        <v>37.895000000000003</v>
      </c>
      <c r="F90" s="8">
        <v>1</v>
      </c>
      <c r="G90" s="8" t="s">
        <v>83</v>
      </c>
      <c r="H90" s="8">
        <v>0</v>
      </c>
      <c r="I90" s="10"/>
      <c r="J90" s="8">
        <v>0</v>
      </c>
      <c r="K90" s="10">
        <v>29.58</v>
      </c>
      <c r="L90" s="11">
        <f>IF(AND(ISNUMBER(K90),ISNUMBER(D90)),IF(D90&lt;&gt;0,K90/ABS(D90),""),"")</f>
        <v>0.79279569027900609</v>
      </c>
      <c r="M90" s="8" t="str">
        <f>IF(L90="","FCF yok",IF(L90&lt;0.01,"%1 altı",IF(L90&lt;0.05,"%1–5",IF(L90&lt;0.1,"%5–10",IF(L90&lt;0.25,"%10–25","%25 üstü")))))</f>
        <v>%25 üstü</v>
      </c>
      <c r="N90" s="8" t="str">
        <f>IF(OR(C90="NULL",C90="KOŞULLU"),C90,IF(OR(F90=1,H90=1),"KOŞULLU",C90))</f>
        <v>KOŞULLU</v>
      </c>
      <c r="O90" s="8" t="str">
        <f>IF(OR(C90="NULL",C90="KOŞULLU"),C90,IF(H90=1,"KOŞULLU",C90))</f>
        <v>TÜRETİLMİŞ</v>
      </c>
      <c r="P90" s="8">
        <f>IF(N90&lt;&gt;C90,1,0)</f>
        <v>1</v>
      </c>
      <c r="Q90" s="8">
        <f>IF(O90&lt;&gt;C90,1,0)</f>
        <v>0</v>
      </c>
    </row>
    <row r="91" spans="1:17" x14ac:dyDescent="0.2">
      <c r="A91" s="8" t="s">
        <v>311</v>
      </c>
      <c r="B91" s="8" t="s">
        <v>208</v>
      </c>
      <c r="C91" s="8" t="s">
        <v>209</v>
      </c>
      <c r="D91" s="10">
        <v>-657.75475900000004</v>
      </c>
      <c r="E91" s="10">
        <v>-655.77300000000002</v>
      </c>
      <c r="F91" s="8">
        <v>1</v>
      </c>
      <c r="G91" s="8" t="s">
        <v>83</v>
      </c>
      <c r="H91" s="8">
        <v>0</v>
      </c>
      <c r="I91" s="10"/>
      <c r="J91" s="8">
        <v>0</v>
      </c>
      <c r="K91" s="10">
        <v>53.755000000000003</v>
      </c>
      <c r="L91" s="11">
        <f>IF(AND(ISNUMBER(K91),ISNUMBER(D91)),IF(D91&lt;&gt;0,K91/ABS(D91),""),"")</f>
        <v>8.1724988325017955E-2</v>
      </c>
      <c r="M91" s="8" t="str">
        <f>IF(L91="","FCF yok",IF(L91&lt;0.01,"%1 altı",IF(L91&lt;0.05,"%1–5",IF(L91&lt;0.1,"%5–10",IF(L91&lt;0.25,"%10–25","%25 üstü")))))</f>
        <v>%5–10</v>
      </c>
      <c r="N91" s="8" t="str">
        <f>IF(OR(C91="NULL",C91="KOŞULLU"),C91,IF(OR(F91=1,H91=1),"KOŞULLU",C91))</f>
        <v>KOŞULLU</v>
      </c>
      <c r="O91" s="8" t="str">
        <f>IF(OR(C91="NULL",C91="KOŞULLU"),C91,IF(H91=1,"KOŞULLU",C91))</f>
        <v>TÜRETİLMİŞ</v>
      </c>
      <c r="P91" s="8">
        <f>IF(N91&lt;&gt;C91,1,0)</f>
        <v>1</v>
      </c>
      <c r="Q91" s="8">
        <f>IF(O91&lt;&gt;C91,1,0)</f>
        <v>0</v>
      </c>
    </row>
    <row r="92" spans="1:17" x14ac:dyDescent="0.2">
      <c r="A92" s="8" t="s">
        <v>314</v>
      </c>
      <c r="B92" s="8" t="s">
        <v>205</v>
      </c>
      <c r="C92" s="8" t="s">
        <v>204</v>
      </c>
      <c r="D92" s="10">
        <v>-566.53300000000002</v>
      </c>
      <c r="E92" s="10">
        <v>-519.97400000000005</v>
      </c>
      <c r="F92" s="8">
        <v>0</v>
      </c>
      <c r="G92" s="10"/>
      <c r="H92" s="8">
        <v>1</v>
      </c>
      <c r="I92" s="8" t="s">
        <v>83</v>
      </c>
      <c r="J92" s="8">
        <v>0</v>
      </c>
      <c r="K92" s="10">
        <v>6.7789999999999999</v>
      </c>
      <c r="L92" s="11">
        <f>IF(AND(ISNUMBER(K92),ISNUMBER(D92)),IF(D92&lt;&gt;0,K92/ABS(D92),""),"")</f>
        <v>1.1965763688964279E-2</v>
      </c>
      <c r="M92" s="8" t="str">
        <f>IF(L92="","FCF yok",IF(L92&lt;0.01,"%1 altı",IF(L92&lt;0.05,"%1–5",IF(L92&lt;0.1,"%5–10",IF(L92&lt;0.25,"%10–25","%25 üstü")))))</f>
        <v>%1–5</v>
      </c>
      <c r="N92" s="8" t="str">
        <f>IF(OR(C92="NULL",C92="KOŞULLU"),C92,IF(OR(F92=1,H92=1),"KOŞULLU",C92))</f>
        <v>KOŞULLU</v>
      </c>
      <c r="O92" s="8" t="str">
        <f>IF(OR(C92="NULL",C92="KOŞULLU"),C92,IF(H92=1,"KOŞULLU",C92))</f>
        <v>KOŞULLU</v>
      </c>
      <c r="P92" s="8">
        <f>IF(N92&lt;&gt;C92,1,0)</f>
        <v>1</v>
      </c>
      <c r="Q92" s="8">
        <f>IF(O92&lt;&gt;C92,1,0)</f>
        <v>1</v>
      </c>
    </row>
    <row r="93" spans="1:17" x14ac:dyDescent="0.2">
      <c r="A93" s="8" t="s">
        <v>316</v>
      </c>
      <c r="B93" s="8" t="s">
        <v>210</v>
      </c>
      <c r="C93" s="8" t="s">
        <v>207</v>
      </c>
      <c r="D93" s="10"/>
      <c r="E93" s="10">
        <v>742.63</v>
      </c>
      <c r="F93" s="8">
        <v>0</v>
      </c>
      <c r="G93" s="10"/>
      <c r="H93" s="8">
        <v>1</v>
      </c>
      <c r="I93" s="8" t="s">
        <v>82</v>
      </c>
      <c r="J93" s="8">
        <v>0</v>
      </c>
      <c r="K93" s="10">
        <v>17.72</v>
      </c>
      <c r="L93" s="11" t="str">
        <f>IF(AND(ISNUMBER(K93),ISNUMBER(D93)),IF(D93&lt;&gt;0,K93/ABS(D93),""),"")</f>
        <v/>
      </c>
      <c r="M93" s="8" t="str">
        <f>IF(L93="","FCF yok",IF(L93&lt;0.01,"%1 altı",IF(L93&lt;0.05,"%1–5",IF(L93&lt;0.1,"%5–10",IF(L93&lt;0.25,"%10–25","%25 üstü")))))</f>
        <v>FCF yok</v>
      </c>
      <c r="N93" s="8" t="str">
        <f>IF(OR(C93="NULL",C93="KOŞULLU"),C93,IF(OR(F93=1,H93=1),"KOŞULLU",C93))</f>
        <v>NULL</v>
      </c>
      <c r="O93" s="8" t="str">
        <f>IF(OR(C93="NULL",C93="KOŞULLU"),C93,IF(H93=1,"KOŞULLU",C93))</f>
        <v>NULL</v>
      </c>
      <c r="P93" s="8">
        <f>IF(N93&lt;&gt;C93,1,0)</f>
        <v>0</v>
      </c>
      <c r="Q93" s="8">
        <f>IF(O93&lt;&gt;C93,1,0)</f>
        <v>0</v>
      </c>
    </row>
    <row r="94" spans="1:17" x14ac:dyDescent="0.2">
      <c r="A94" s="8" t="s">
        <v>317</v>
      </c>
      <c r="B94" s="8" t="s">
        <v>205</v>
      </c>
      <c r="C94" s="8" t="s">
        <v>212</v>
      </c>
      <c r="D94" s="10">
        <v>-1012.875</v>
      </c>
      <c r="E94" s="10">
        <v>-444.21800000000002</v>
      </c>
      <c r="F94" s="8">
        <v>1</v>
      </c>
      <c r="G94" s="8" t="s">
        <v>83</v>
      </c>
      <c r="H94" s="8">
        <v>0</v>
      </c>
      <c r="I94" s="10"/>
      <c r="J94" s="8">
        <v>1</v>
      </c>
      <c r="K94" s="10">
        <v>416.61099999999999</v>
      </c>
      <c r="L94" s="11">
        <f>IF(AND(ISNUMBER(K94),ISNUMBER(D94)),IF(D94&lt;&gt;0,K94/ABS(D94),""),"")</f>
        <v>0.41131531531531529</v>
      </c>
      <c r="M94" s="8" t="str">
        <f>IF(L94="","FCF yok",IF(L94&lt;0.01,"%1 altı",IF(L94&lt;0.05,"%1–5",IF(L94&lt;0.1,"%5–10",IF(L94&lt;0.25,"%10–25","%25 üstü")))))</f>
        <v>%25 üstü</v>
      </c>
      <c r="N94" s="8" t="str">
        <f>IF(OR(C94="NULL",C94="KOŞULLU"),C94,IF(OR(F94=1,H94=1),"KOŞULLU",C94))</f>
        <v>KOŞULLU</v>
      </c>
      <c r="O94" s="8" t="str">
        <f>IF(OR(C94="NULL",C94="KOŞULLU"),C94,IF(H94=1,"KOŞULLU",C94))</f>
        <v>KOŞULLU</v>
      </c>
      <c r="P94" s="8">
        <f>IF(N94&lt;&gt;C94,1,0)</f>
        <v>0</v>
      </c>
      <c r="Q94" s="8">
        <f>IF(O94&lt;&gt;C94,1,0)</f>
        <v>0</v>
      </c>
    </row>
    <row r="95" spans="1:17" x14ac:dyDescent="0.2">
      <c r="A95" s="8" t="s">
        <v>317</v>
      </c>
      <c r="B95" s="8" t="s">
        <v>208</v>
      </c>
      <c r="C95" s="8" t="s">
        <v>204</v>
      </c>
      <c r="D95" s="10">
        <v>735.577</v>
      </c>
      <c r="E95" s="10">
        <v>1016.7140000000001</v>
      </c>
      <c r="F95" s="8">
        <v>1</v>
      </c>
      <c r="G95" s="8" t="s">
        <v>82</v>
      </c>
      <c r="H95" s="8">
        <v>0</v>
      </c>
      <c r="I95" s="10"/>
      <c r="J95" s="8">
        <v>1</v>
      </c>
      <c r="K95" s="10">
        <v>822.77700000000004</v>
      </c>
      <c r="L95" s="11">
        <f>IF(AND(ISNUMBER(K95),ISNUMBER(D95)),IF(D95&lt;&gt;0,K95/ABS(D95),""),"")</f>
        <v>1.1185463928317498</v>
      </c>
      <c r="M95" s="8" t="str">
        <f>IF(L95="","FCF yok",IF(L95&lt;0.01,"%1 altı",IF(L95&lt;0.05,"%1–5",IF(L95&lt;0.1,"%5–10",IF(L95&lt;0.25,"%10–25","%25 üstü")))))</f>
        <v>%25 üstü</v>
      </c>
      <c r="N95" s="8" t="str">
        <f>IF(OR(C95="NULL",C95="KOŞULLU"),C95,IF(OR(F95=1,H95=1),"KOŞULLU",C95))</f>
        <v>KOŞULLU</v>
      </c>
      <c r="O95" s="8" t="str">
        <f>IF(OR(C95="NULL",C95="KOŞULLU"),C95,IF(H95=1,"KOŞULLU",C95))</f>
        <v>KESİN</v>
      </c>
      <c r="P95" s="8">
        <f>IF(N95&lt;&gt;C95,1,0)</f>
        <v>1</v>
      </c>
      <c r="Q95" s="8">
        <f>IF(O95&lt;&gt;C95,1,0)</f>
        <v>0</v>
      </c>
    </row>
    <row r="96" spans="1:17" x14ac:dyDescent="0.2">
      <c r="A96" s="8" t="s">
        <v>317</v>
      </c>
      <c r="B96" s="8" t="s">
        <v>210</v>
      </c>
      <c r="C96" s="8" t="s">
        <v>204</v>
      </c>
      <c r="D96" s="10">
        <v>102.205</v>
      </c>
      <c r="E96" s="10">
        <v>1233.5550000000001</v>
      </c>
      <c r="F96" s="8">
        <v>1</v>
      </c>
      <c r="G96" s="8" t="s">
        <v>748</v>
      </c>
      <c r="H96" s="8">
        <v>0</v>
      </c>
      <c r="I96" s="10"/>
      <c r="J96" s="8">
        <v>1</v>
      </c>
      <c r="K96" s="10">
        <v>416.61099999999999</v>
      </c>
      <c r="L96" s="11">
        <f>IF(AND(ISNUMBER(K96),ISNUMBER(D96)),IF(D96&lt;&gt;0,K96/ABS(D96),""),"")</f>
        <v>4.0762291473019907</v>
      </c>
      <c r="M96" s="8" t="str">
        <f>IF(L96="","FCF yok",IF(L96&lt;0.01,"%1 altı",IF(L96&lt;0.05,"%1–5",IF(L96&lt;0.1,"%5–10",IF(L96&lt;0.25,"%10–25","%25 üstü")))))</f>
        <v>%25 üstü</v>
      </c>
      <c r="N96" s="8" t="str">
        <f>IF(OR(C96="NULL",C96="KOŞULLU"),C96,IF(OR(F96=1,H96=1),"KOŞULLU",C96))</f>
        <v>KOŞULLU</v>
      </c>
      <c r="O96" s="8" t="str">
        <f>IF(OR(C96="NULL",C96="KOŞULLU"),C96,IF(H96=1,"KOŞULLU",C96))</f>
        <v>KESİN</v>
      </c>
      <c r="P96" s="8">
        <f>IF(N96&lt;&gt;C96,1,0)</f>
        <v>1</v>
      </c>
      <c r="Q96" s="8">
        <f>IF(O96&lt;&gt;C96,1,0)</f>
        <v>0</v>
      </c>
    </row>
    <row r="97" spans="1:17" x14ac:dyDescent="0.2">
      <c r="A97" s="8" t="s">
        <v>582</v>
      </c>
      <c r="B97" s="8" t="s">
        <v>215</v>
      </c>
      <c r="C97" s="8" t="s">
        <v>207</v>
      </c>
      <c r="D97" s="10"/>
      <c r="E97" s="10">
        <v>-705.56600000000003</v>
      </c>
      <c r="F97" s="8">
        <v>0</v>
      </c>
      <c r="G97" s="10"/>
      <c r="H97" s="8">
        <v>1</v>
      </c>
      <c r="I97" s="8" t="s">
        <v>82</v>
      </c>
      <c r="J97" s="8">
        <v>0</v>
      </c>
      <c r="K97" s="10">
        <v>18.099</v>
      </c>
      <c r="L97" s="11" t="str">
        <f>IF(AND(ISNUMBER(K97),ISNUMBER(D97)),IF(D97&lt;&gt;0,K97/ABS(D97),""),"")</f>
        <v/>
      </c>
      <c r="M97" s="8" t="str">
        <f>IF(L97="","FCF yok",IF(L97&lt;0.01,"%1 altı",IF(L97&lt;0.05,"%1–5",IF(L97&lt;0.1,"%5–10",IF(L97&lt;0.25,"%10–25","%25 üstü")))))</f>
        <v>FCF yok</v>
      </c>
      <c r="N97" s="8" t="str">
        <f>IF(OR(C97="NULL",C97="KOŞULLU"),C97,IF(OR(F97=1,H97=1),"KOŞULLU",C97))</f>
        <v>NULL</v>
      </c>
      <c r="O97" s="8" t="str">
        <f>IF(OR(C97="NULL",C97="KOŞULLU"),C97,IF(H97=1,"KOŞULLU",C97))</f>
        <v>NULL</v>
      </c>
      <c r="P97" s="8">
        <f>IF(N97&lt;&gt;C97,1,0)</f>
        <v>0</v>
      </c>
      <c r="Q97" s="8">
        <f>IF(O97&lt;&gt;C97,1,0)</f>
        <v>0</v>
      </c>
    </row>
    <row r="98" spans="1:17" x14ac:dyDescent="0.2">
      <c r="A98" s="8" t="s">
        <v>323</v>
      </c>
      <c r="B98" s="8" t="s">
        <v>205</v>
      </c>
      <c r="C98" s="8" t="s">
        <v>212</v>
      </c>
      <c r="D98" s="10">
        <v>-135.16200000000001</v>
      </c>
      <c r="E98" s="10">
        <v>-106.03700000000001</v>
      </c>
      <c r="F98" s="8">
        <v>0</v>
      </c>
      <c r="G98" s="10"/>
      <c r="H98" s="8">
        <v>1</v>
      </c>
      <c r="I98" s="8" t="s">
        <v>83</v>
      </c>
      <c r="J98" s="8">
        <v>0</v>
      </c>
      <c r="K98" s="10">
        <v>22.369</v>
      </c>
      <c r="L98" s="11">
        <f>IF(AND(ISNUMBER(K98),ISNUMBER(D98)),IF(D98&lt;&gt;0,K98/ABS(D98),""),"")</f>
        <v>0.16549769905742737</v>
      </c>
      <c r="M98" s="8" t="str">
        <f>IF(L98="","FCF yok",IF(L98&lt;0.01,"%1 altı",IF(L98&lt;0.05,"%1–5",IF(L98&lt;0.1,"%5–10",IF(L98&lt;0.25,"%10–25","%25 üstü")))))</f>
        <v>%10–25</v>
      </c>
      <c r="N98" s="8" t="str">
        <f>IF(OR(C98="NULL",C98="KOŞULLU"),C98,IF(OR(F98=1,H98=1),"KOŞULLU",C98))</f>
        <v>KOŞULLU</v>
      </c>
      <c r="O98" s="8" t="str">
        <f>IF(OR(C98="NULL",C98="KOŞULLU"),C98,IF(H98=1,"KOŞULLU",C98))</f>
        <v>KOŞULLU</v>
      </c>
      <c r="P98" s="8">
        <f>IF(N98&lt;&gt;C98,1,0)</f>
        <v>0</v>
      </c>
      <c r="Q98" s="8">
        <f>IF(O98&lt;&gt;C98,1,0)</f>
        <v>0</v>
      </c>
    </row>
    <row r="99" spans="1:17" x14ac:dyDescent="0.2">
      <c r="A99" s="8" t="s">
        <v>323</v>
      </c>
      <c r="B99" s="8" t="s">
        <v>215</v>
      </c>
      <c r="C99" s="8" t="s">
        <v>212</v>
      </c>
      <c r="D99" s="10">
        <v>-582.10900000000004</v>
      </c>
      <c r="E99" s="10">
        <v>-525.69000000000005</v>
      </c>
      <c r="F99" s="8">
        <v>0</v>
      </c>
      <c r="G99" s="10"/>
      <c r="H99" s="8">
        <v>1</v>
      </c>
      <c r="I99" s="8" t="s">
        <v>83</v>
      </c>
      <c r="J99" s="8">
        <v>0</v>
      </c>
      <c r="K99" s="10">
        <v>31.131</v>
      </c>
      <c r="L99" s="11">
        <f>IF(AND(ISNUMBER(K99),ISNUMBER(D99)),IF(D99&lt;&gt;0,K99/ABS(D99),""),"")</f>
        <v>5.3479674768814774E-2</v>
      </c>
      <c r="M99" s="8" t="str">
        <f>IF(L99="","FCF yok",IF(L99&lt;0.01,"%1 altı",IF(L99&lt;0.05,"%1–5",IF(L99&lt;0.1,"%5–10",IF(L99&lt;0.25,"%10–25","%25 üstü")))))</f>
        <v>%5–10</v>
      </c>
      <c r="N99" s="8" t="str">
        <f>IF(OR(C99="NULL",C99="KOŞULLU"),C99,IF(OR(F99=1,H99=1),"KOŞULLU",C99))</f>
        <v>KOŞULLU</v>
      </c>
      <c r="O99" s="8" t="str">
        <f>IF(OR(C99="NULL",C99="KOŞULLU"),C99,IF(H99=1,"KOŞULLU",C99))</f>
        <v>KOŞULLU</v>
      </c>
      <c r="P99" s="8">
        <f>IF(N99&lt;&gt;C99,1,0)</f>
        <v>0</v>
      </c>
      <c r="Q99" s="8">
        <f>IF(O99&lt;&gt;C99,1,0)</f>
        <v>0</v>
      </c>
    </row>
    <row r="100" spans="1:17" x14ac:dyDescent="0.2">
      <c r="A100" s="8" t="s">
        <v>324</v>
      </c>
      <c r="B100" s="8" t="s">
        <v>205</v>
      </c>
      <c r="C100" s="8" t="s">
        <v>207</v>
      </c>
      <c r="D100" s="10"/>
      <c r="E100" s="10">
        <v>23033.022000000001</v>
      </c>
      <c r="F100" s="8">
        <v>0</v>
      </c>
      <c r="G100" s="10"/>
      <c r="H100" s="8">
        <v>1</v>
      </c>
      <c r="I100" s="8" t="s">
        <v>82</v>
      </c>
      <c r="J100" s="8">
        <v>0</v>
      </c>
      <c r="K100" s="10">
        <v>456.10599999999999</v>
      </c>
      <c r="L100" s="11" t="str">
        <f>IF(AND(ISNUMBER(K100),ISNUMBER(D100)),IF(D100&lt;&gt;0,K100/ABS(D100),""),"")</f>
        <v/>
      </c>
      <c r="M100" s="8" t="str">
        <f>IF(L100="","FCF yok",IF(L100&lt;0.01,"%1 altı",IF(L100&lt;0.05,"%1–5",IF(L100&lt;0.1,"%5–10",IF(L100&lt;0.25,"%10–25","%25 üstü")))))</f>
        <v>FCF yok</v>
      </c>
      <c r="N100" s="8" t="str">
        <f>IF(OR(C100="NULL",C100="KOŞULLU"),C100,IF(OR(F100=1,H100=1),"KOŞULLU",C100))</f>
        <v>NULL</v>
      </c>
      <c r="O100" s="8" t="str">
        <f>IF(OR(C100="NULL",C100="KOŞULLU"),C100,IF(H100=1,"KOŞULLU",C100))</f>
        <v>NULL</v>
      </c>
      <c r="P100" s="8">
        <f>IF(N100&lt;&gt;C100,1,0)</f>
        <v>0</v>
      </c>
      <c r="Q100" s="8">
        <f>IF(O100&lt;&gt;C100,1,0)</f>
        <v>0</v>
      </c>
    </row>
    <row r="101" spans="1:17" x14ac:dyDescent="0.2">
      <c r="A101" s="8" t="s">
        <v>324</v>
      </c>
      <c r="B101" s="8" t="s">
        <v>215</v>
      </c>
      <c r="C101" s="8" t="s">
        <v>207</v>
      </c>
      <c r="D101" s="10"/>
      <c r="E101" s="10">
        <v>25422.044000000002</v>
      </c>
      <c r="F101" s="8">
        <v>0</v>
      </c>
      <c r="G101" s="10"/>
      <c r="H101" s="8">
        <v>1</v>
      </c>
      <c r="I101" s="8" t="s">
        <v>82</v>
      </c>
      <c r="J101" s="8">
        <v>0</v>
      </c>
      <c r="K101" s="10">
        <v>349.952</v>
      </c>
      <c r="L101" s="11" t="str">
        <f>IF(AND(ISNUMBER(K101),ISNUMBER(D101)),IF(D101&lt;&gt;0,K101/ABS(D101),""),"")</f>
        <v/>
      </c>
      <c r="M101" s="8" t="str">
        <f>IF(L101="","FCF yok",IF(L101&lt;0.01,"%1 altı",IF(L101&lt;0.05,"%1–5",IF(L101&lt;0.1,"%5–10",IF(L101&lt;0.25,"%10–25","%25 üstü")))))</f>
        <v>FCF yok</v>
      </c>
      <c r="N101" s="8" t="str">
        <f>IF(OR(C101="NULL",C101="KOŞULLU"),C101,IF(OR(F101=1,H101=1),"KOŞULLU",C101))</f>
        <v>NULL</v>
      </c>
      <c r="O101" s="8" t="str">
        <f>IF(OR(C101="NULL",C101="KOŞULLU"),C101,IF(H101=1,"KOŞULLU",C101))</f>
        <v>NULL</v>
      </c>
      <c r="P101" s="8">
        <f>IF(N101&lt;&gt;C101,1,0)</f>
        <v>0</v>
      </c>
      <c r="Q101" s="8">
        <f>IF(O101&lt;&gt;C101,1,0)</f>
        <v>0</v>
      </c>
    </row>
    <row r="102" spans="1:17" x14ac:dyDescent="0.2">
      <c r="A102" s="8" t="s">
        <v>584</v>
      </c>
      <c r="B102" s="8" t="s">
        <v>203</v>
      </c>
      <c r="C102" s="8" t="s">
        <v>207</v>
      </c>
      <c r="D102" s="10"/>
      <c r="E102" s="10">
        <v>350.95800000000003</v>
      </c>
      <c r="F102" s="8">
        <v>1</v>
      </c>
      <c r="G102" s="8" t="s">
        <v>84</v>
      </c>
      <c r="H102" s="8">
        <v>0</v>
      </c>
      <c r="I102" s="10"/>
      <c r="J102" s="8">
        <v>0</v>
      </c>
      <c r="K102" s="10">
        <v>77.222999999999999</v>
      </c>
      <c r="L102" s="11" t="str">
        <f>IF(AND(ISNUMBER(K102),ISNUMBER(D102)),IF(D102&lt;&gt;0,K102/ABS(D102),""),"")</f>
        <v/>
      </c>
      <c r="M102" s="8" t="str">
        <f>IF(L102="","FCF yok",IF(L102&lt;0.01,"%1 altı",IF(L102&lt;0.05,"%1–5",IF(L102&lt;0.1,"%5–10",IF(L102&lt;0.25,"%10–25","%25 üstü")))))</f>
        <v>FCF yok</v>
      </c>
      <c r="N102" s="8" t="str">
        <f>IF(OR(C102="NULL",C102="KOŞULLU"),C102,IF(OR(F102=1,H102=1),"KOŞULLU",C102))</f>
        <v>NULL</v>
      </c>
      <c r="O102" s="8" t="str">
        <f>IF(OR(C102="NULL",C102="KOŞULLU"),C102,IF(H102=1,"KOŞULLU",C102))</f>
        <v>NULL</v>
      </c>
      <c r="P102" s="8">
        <f>IF(N102&lt;&gt;C102,1,0)</f>
        <v>0</v>
      </c>
      <c r="Q102" s="8">
        <f>IF(O102&lt;&gt;C102,1,0)</f>
        <v>0</v>
      </c>
    </row>
    <row r="103" spans="1:17" x14ac:dyDescent="0.2">
      <c r="A103" s="8" t="s">
        <v>584</v>
      </c>
      <c r="B103" s="8" t="s">
        <v>205</v>
      </c>
      <c r="C103" s="8" t="s">
        <v>207</v>
      </c>
      <c r="D103" s="10"/>
      <c r="E103" s="10">
        <v>361.79399999999998</v>
      </c>
      <c r="F103" s="8">
        <v>1</v>
      </c>
      <c r="G103" s="8" t="s">
        <v>84</v>
      </c>
      <c r="H103" s="8">
        <v>0</v>
      </c>
      <c r="I103" s="10"/>
      <c r="J103" s="8">
        <v>0</v>
      </c>
      <c r="K103" s="10">
        <v>77.222999999999999</v>
      </c>
      <c r="L103" s="11" t="str">
        <f>IF(AND(ISNUMBER(K103),ISNUMBER(D103)),IF(D103&lt;&gt;0,K103/ABS(D103),""),"")</f>
        <v/>
      </c>
      <c r="M103" s="8" t="str">
        <f>IF(L103="","FCF yok",IF(L103&lt;0.01,"%1 altı",IF(L103&lt;0.05,"%1–5",IF(L103&lt;0.1,"%5–10",IF(L103&lt;0.25,"%10–25","%25 üstü")))))</f>
        <v>FCF yok</v>
      </c>
      <c r="N103" s="8" t="str">
        <f>IF(OR(C103="NULL",C103="KOŞULLU"),C103,IF(OR(F103=1,H103=1),"KOŞULLU",C103))</f>
        <v>NULL</v>
      </c>
      <c r="O103" s="8" t="str">
        <f>IF(OR(C103="NULL",C103="KOŞULLU"),C103,IF(H103=1,"KOŞULLU",C103))</f>
        <v>NULL</v>
      </c>
      <c r="P103" s="8">
        <f>IF(N103&lt;&gt;C103,1,0)</f>
        <v>0</v>
      </c>
      <c r="Q103" s="8">
        <f>IF(O103&lt;&gt;C103,1,0)</f>
        <v>0</v>
      </c>
    </row>
    <row r="104" spans="1:17" x14ac:dyDescent="0.2">
      <c r="A104" s="8" t="s">
        <v>584</v>
      </c>
      <c r="B104" s="8" t="s">
        <v>215</v>
      </c>
      <c r="C104" s="8" t="s">
        <v>207</v>
      </c>
      <c r="D104" s="10"/>
      <c r="E104" s="10">
        <v>475.25599999999997</v>
      </c>
      <c r="F104" s="8">
        <v>1</v>
      </c>
      <c r="G104" s="8" t="s">
        <v>84</v>
      </c>
      <c r="H104" s="8">
        <v>0</v>
      </c>
      <c r="I104" s="10"/>
      <c r="J104" s="8">
        <v>0</v>
      </c>
      <c r="K104" s="10">
        <v>77.222999999999999</v>
      </c>
      <c r="L104" s="11" t="str">
        <f>IF(AND(ISNUMBER(K104),ISNUMBER(D104)),IF(D104&lt;&gt;0,K104/ABS(D104),""),"")</f>
        <v/>
      </c>
      <c r="M104" s="8" t="str">
        <f>IF(L104="","FCF yok",IF(L104&lt;0.01,"%1 altı",IF(L104&lt;0.05,"%1–5",IF(L104&lt;0.1,"%5–10",IF(L104&lt;0.25,"%10–25","%25 üstü")))))</f>
        <v>FCF yok</v>
      </c>
      <c r="N104" s="8" t="str">
        <f>IF(OR(C104="NULL",C104="KOŞULLU"),C104,IF(OR(F104=1,H104=1),"KOŞULLU",C104))</f>
        <v>NULL</v>
      </c>
      <c r="O104" s="8" t="str">
        <f>IF(OR(C104="NULL",C104="KOŞULLU"),C104,IF(H104=1,"KOŞULLU",C104))</f>
        <v>NULL</v>
      </c>
      <c r="P104" s="8">
        <f>IF(N104&lt;&gt;C104,1,0)</f>
        <v>0</v>
      </c>
      <c r="Q104" s="8">
        <f>IF(O104&lt;&gt;C104,1,0)</f>
        <v>0</v>
      </c>
    </row>
    <row r="105" spans="1:17" x14ac:dyDescent="0.2">
      <c r="A105" s="8" t="s">
        <v>326</v>
      </c>
      <c r="B105" s="8" t="s">
        <v>203</v>
      </c>
      <c r="C105" s="8" t="s">
        <v>204</v>
      </c>
      <c r="D105" s="10">
        <v>1482.6379999999999</v>
      </c>
      <c r="E105" s="10">
        <v>1884.4059999999999</v>
      </c>
      <c r="F105" s="8">
        <v>1</v>
      </c>
      <c r="G105" s="8" t="s">
        <v>82</v>
      </c>
      <c r="H105" s="8">
        <v>0</v>
      </c>
      <c r="I105" s="10"/>
      <c r="J105" s="8">
        <v>1</v>
      </c>
      <c r="K105" s="10">
        <v>375.74700000000001</v>
      </c>
      <c r="L105" s="11">
        <f>IF(AND(ISNUMBER(K105),ISNUMBER(D105)),IF(D105&lt;&gt;0,K105/ABS(D105),""),"")</f>
        <v>0.25343138379024416</v>
      </c>
      <c r="M105" s="8" t="str">
        <f>IF(L105="","FCF yok",IF(L105&lt;0.01,"%1 altı",IF(L105&lt;0.05,"%1–5",IF(L105&lt;0.1,"%5–10",IF(L105&lt;0.25,"%10–25","%25 üstü")))))</f>
        <v>%25 üstü</v>
      </c>
      <c r="N105" s="8" t="str">
        <f>IF(OR(C105="NULL",C105="KOŞULLU"),C105,IF(OR(F105=1,H105=1),"KOŞULLU",C105))</f>
        <v>KOŞULLU</v>
      </c>
      <c r="O105" s="8" t="str">
        <f>IF(OR(C105="NULL",C105="KOŞULLU"),C105,IF(H105=1,"KOŞULLU",C105))</f>
        <v>KESİN</v>
      </c>
      <c r="P105" s="8">
        <f>IF(N105&lt;&gt;C105,1,0)</f>
        <v>1</v>
      </c>
      <c r="Q105" s="8">
        <f>IF(O105&lt;&gt;C105,1,0)</f>
        <v>0</v>
      </c>
    </row>
    <row r="106" spans="1:17" x14ac:dyDescent="0.2">
      <c r="A106" s="8" t="s">
        <v>326</v>
      </c>
      <c r="B106" s="8" t="s">
        <v>205</v>
      </c>
      <c r="C106" s="8" t="s">
        <v>204</v>
      </c>
      <c r="D106" s="10">
        <v>2524.873</v>
      </c>
      <c r="E106" s="10">
        <v>2800.2150000000001</v>
      </c>
      <c r="F106" s="8">
        <v>0</v>
      </c>
      <c r="G106" s="10"/>
      <c r="H106" s="8">
        <v>1</v>
      </c>
      <c r="I106" s="8" t="s">
        <v>83</v>
      </c>
      <c r="J106" s="8">
        <v>0</v>
      </c>
      <c r="K106" s="10">
        <v>190.934</v>
      </c>
      <c r="L106" s="11">
        <f>IF(AND(ISNUMBER(K106),ISNUMBER(D106)),IF(D106&lt;&gt;0,K106/ABS(D106),""),"")</f>
        <v>7.5621229265788806E-2</v>
      </c>
      <c r="M106" s="8" t="str">
        <f>IF(L106="","FCF yok",IF(L106&lt;0.01,"%1 altı",IF(L106&lt;0.05,"%1–5",IF(L106&lt;0.1,"%5–10",IF(L106&lt;0.25,"%10–25","%25 üstü")))))</f>
        <v>%5–10</v>
      </c>
      <c r="N106" s="8" t="str">
        <f>IF(OR(C106="NULL",C106="KOŞULLU"),C106,IF(OR(F106=1,H106=1),"KOŞULLU",C106))</f>
        <v>KOŞULLU</v>
      </c>
      <c r="O106" s="8" t="str">
        <f>IF(OR(C106="NULL",C106="KOŞULLU"),C106,IF(H106=1,"KOŞULLU",C106))</f>
        <v>KOŞULLU</v>
      </c>
      <c r="P106" s="8">
        <f>IF(N106&lt;&gt;C106,1,0)</f>
        <v>1</v>
      </c>
      <c r="Q106" s="8">
        <f>IF(O106&lt;&gt;C106,1,0)</f>
        <v>1</v>
      </c>
    </row>
    <row r="107" spans="1:17" x14ac:dyDescent="0.2">
      <c r="A107" s="8" t="s">
        <v>326</v>
      </c>
      <c r="B107" s="8" t="s">
        <v>215</v>
      </c>
      <c r="C107" s="8" t="s">
        <v>204</v>
      </c>
      <c r="D107" s="10">
        <v>2600.567</v>
      </c>
      <c r="E107" s="10">
        <v>3058.2820000000002</v>
      </c>
      <c r="F107" s="8">
        <v>0</v>
      </c>
      <c r="G107" s="10"/>
      <c r="H107" s="8">
        <v>1</v>
      </c>
      <c r="I107" s="8" t="s">
        <v>83</v>
      </c>
      <c r="J107" s="8">
        <v>0</v>
      </c>
      <c r="K107" s="10">
        <v>375.74700000000001</v>
      </c>
      <c r="L107" s="11">
        <f>IF(AND(ISNUMBER(K107),ISNUMBER(D107)),IF(D107&lt;&gt;0,K107/ABS(D107),""),"")</f>
        <v>0.14448656773695889</v>
      </c>
      <c r="M107" s="8" t="str">
        <f>IF(L107="","FCF yok",IF(L107&lt;0.01,"%1 altı",IF(L107&lt;0.05,"%1–5",IF(L107&lt;0.1,"%5–10",IF(L107&lt;0.25,"%10–25","%25 üstü")))))</f>
        <v>%10–25</v>
      </c>
      <c r="N107" s="8" t="str">
        <f>IF(OR(C107="NULL",C107="KOŞULLU"),C107,IF(OR(F107=1,H107=1),"KOŞULLU",C107))</f>
        <v>KOŞULLU</v>
      </c>
      <c r="O107" s="8" t="str">
        <f>IF(OR(C107="NULL",C107="KOŞULLU"),C107,IF(H107=1,"KOŞULLU",C107))</f>
        <v>KOŞULLU</v>
      </c>
      <c r="P107" s="8">
        <f>IF(N107&lt;&gt;C107,1,0)</f>
        <v>1</v>
      </c>
      <c r="Q107" s="8">
        <f>IF(O107&lt;&gt;C107,1,0)</f>
        <v>1</v>
      </c>
    </row>
    <row r="108" spans="1:17" x14ac:dyDescent="0.2">
      <c r="A108" s="8" t="s">
        <v>326</v>
      </c>
      <c r="B108" s="8" t="s">
        <v>208</v>
      </c>
      <c r="C108" s="8" t="s">
        <v>204</v>
      </c>
      <c r="D108" s="10">
        <v>1847.838</v>
      </c>
      <c r="E108" s="10">
        <v>2480.8519999999999</v>
      </c>
      <c r="F108" s="8">
        <v>1</v>
      </c>
      <c r="G108" s="8" t="s">
        <v>82</v>
      </c>
      <c r="H108" s="8">
        <v>0</v>
      </c>
      <c r="I108" s="10"/>
      <c r="J108" s="8">
        <v>1</v>
      </c>
      <c r="K108" s="10">
        <v>47.145000000000003</v>
      </c>
      <c r="L108" s="11">
        <f>IF(AND(ISNUMBER(K108),ISNUMBER(D108)),IF(D108&lt;&gt;0,K108/ABS(D108),""),"")</f>
        <v>2.5513600218200948E-2</v>
      </c>
      <c r="M108" s="8" t="str">
        <f>IF(L108="","FCF yok",IF(L108&lt;0.01,"%1 altı",IF(L108&lt;0.05,"%1–5",IF(L108&lt;0.1,"%5–10",IF(L108&lt;0.25,"%10–25","%25 üstü")))))</f>
        <v>%1–5</v>
      </c>
      <c r="N108" s="8" t="str">
        <f>IF(OR(C108="NULL",C108="KOŞULLU"),C108,IF(OR(F108=1,H108=1),"KOŞULLU",C108))</f>
        <v>KOŞULLU</v>
      </c>
      <c r="O108" s="8" t="str">
        <f>IF(OR(C108="NULL",C108="KOŞULLU"),C108,IF(H108=1,"KOŞULLU",C108))</f>
        <v>KESİN</v>
      </c>
      <c r="P108" s="8">
        <f>IF(N108&lt;&gt;C108,1,0)</f>
        <v>1</v>
      </c>
      <c r="Q108" s="8">
        <f>IF(O108&lt;&gt;C108,1,0)</f>
        <v>0</v>
      </c>
    </row>
    <row r="109" spans="1:17" x14ac:dyDescent="0.2">
      <c r="A109" s="8" t="s">
        <v>330</v>
      </c>
      <c r="B109" s="8" t="s">
        <v>215</v>
      </c>
      <c r="C109" s="8" t="s">
        <v>207</v>
      </c>
      <c r="D109" s="10"/>
      <c r="E109" s="10">
        <v>1915.7850000000001</v>
      </c>
      <c r="F109" s="8">
        <v>0</v>
      </c>
      <c r="G109" s="10"/>
      <c r="H109" s="8">
        <v>1</v>
      </c>
      <c r="I109" s="8" t="s">
        <v>83</v>
      </c>
      <c r="J109" s="8">
        <v>0</v>
      </c>
      <c r="K109" s="10">
        <v>253.286</v>
      </c>
      <c r="L109" s="11" t="str">
        <f>IF(AND(ISNUMBER(K109),ISNUMBER(D109)),IF(D109&lt;&gt;0,K109/ABS(D109),""),"")</f>
        <v/>
      </c>
      <c r="M109" s="8" t="str">
        <f>IF(L109="","FCF yok",IF(L109&lt;0.01,"%1 altı",IF(L109&lt;0.05,"%1–5",IF(L109&lt;0.1,"%5–10",IF(L109&lt;0.25,"%10–25","%25 üstü")))))</f>
        <v>FCF yok</v>
      </c>
      <c r="N109" s="8" t="str">
        <f>IF(OR(C109="NULL",C109="KOŞULLU"),C109,IF(OR(F109=1,H109=1),"KOŞULLU",C109))</f>
        <v>NULL</v>
      </c>
      <c r="O109" s="8" t="str">
        <f>IF(OR(C109="NULL",C109="KOŞULLU"),C109,IF(H109=1,"KOŞULLU",C109))</f>
        <v>NULL</v>
      </c>
      <c r="P109" s="8">
        <f>IF(N109&lt;&gt;C109,1,0)</f>
        <v>0</v>
      </c>
      <c r="Q109" s="8">
        <f>IF(O109&lt;&gt;C109,1,0)</f>
        <v>0</v>
      </c>
    </row>
    <row r="110" spans="1:17" x14ac:dyDescent="0.2">
      <c r="A110" s="8" t="s">
        <v>333</v>
      </c>
      <c r="B110" s="8" t="s">
        <v>203</v>
      </c>
      <c r="C110" s="8" t="s">
        <v>204</v>
      </c>
      <c r="D110" s="10">
        <v>-1123.8789999999999</v>
      </c>
      <c r="E110" s="10">
        <v>472.16300000000001</v>
      </c>
      <c r="F110" s="8">
        <v>1</v>
      </c>
      <c r="G110" s="8" t="s">
        <v>82</v>
      </c>
      <c r="H110" s="8">
        <v>0</v>
      </c>
      <c r="I110" s="10"/>
      <c r="J110" s="8">
        <v>1</v>
      </c>
      <c r="K110" s="10">
        <v>94.233000000000004</v>
      </c>
      <c r="L110" s="11">
        <f>IF(AND(ISNUMBER(K110),ISNUMBER(D110)),IF(D110&lt;&gt;0,K110/ABS(D110),""),"")</f>
        <v>8.3846214761553517E-2</v>
      </c>
      <c r="M110" s="8" t="str">
        <f>IF(L110="","FCF yok",IF(L110&lt;0.01,"%1 altı",IF(L110&lt;0.05,"%1–5",IF(L110&lt;0.1,"%5–10",IF(L110&lt;0.25,"%10–25","%25 üstü")))))</f>
        <v>%5–10</v>
      </c>
      <c r="N110" s="8" t="str">
        <f>IF(OR(C110="NULL",C110="KOŞULLU"),C110,IF(OR(F110=1,H110=1),"KOŞULLU",C110))</f>
        <v>KOŞULLU</v>
      </c>
      <c r="O110" s="8" t="str">
        <f>IF(OR(C110="NULL",C110="KOŞULLU"),C110,IF(H110=1,"KOŞULLU",C110))</f>
        <v>KESİN</v>
      </c>
      <c r="P110" s="8">
        <f>IF(N110&lt;&gt;C110,1,0)</f>
        <v>1</v>
      </c>
      <c r="Q110" s="8">
        <f>IF(O110&lt;&gt;C110,1,0)</f>
        <v>0</v>
      </c>
    </row>
    <row r="111" spans="1:17" x14ac:dyDescent="0.2">
      <c r="A111" s="8" t="s">
        <v>336</v>
      </c>
      <c r="B111" s="8" t="s">
        <v>203</v>
      </c>
      <c r="C111" s="8" t="s">
        <v>207</v>
      </c>
      <c r="D111" s="10"/>
      <c r="E111" s="10"/>
      <c r="F111" s="8">
        <v>1</v>
      </c>
      <c r="G111" s="8" t="s">
        <v>83</v>
      </c>
      <c r="H111" s="8">
        <v>0</v>
      </c>
      <c r="I111" s="10"/>
      <c r="J111" s="8">
        <v>0</v>
      </c>
      <c r="K111" s="10">
        <v>1501.326</v>
      </c>
      <c r="L111" s="11" t="str">
        <f>IF(AND(ISNUMBER(K111),ISNUMBER(D111)),IF(D111&lt;&gt;0,K111/ABS(D111),""),"")</f>
        <v/>
      </c>
      <c r="M111" s="8" t="str">
        <f>IF(L111="","FCF yok",IF(L111&lt;0.01,"%1 altı",IF(L111&lt;0.05,"%1–5",IF(L111&lt;0.1,"%5–10",IF(L111&lt;0.25,"%10–25","%25 üstü")))))</f>
        <v>FCF yok</v>
      </c>
      <c r="N111" s="8" t="str">
        <f>IF(OR(C111="NULL",C111="KOŞULLU"),C111,IF(OR(F111=1,H111=1),"KOŞULLU",C111))</f>
        <v>NULL</v>
      </c>
      <c r="O111" s="8" t="str">
        <f>IF(OR(C111="NULL",C111="KOŞULLU"),C111,IF(H111=1,"KOŞULLU",C111))</f>
        <v>NULL</v>
      </c>
      <c r="P111" s="8">
        <f>IF(N111&lt;&gt;C111,1,0)</f>
        <v>0</v>
      </c>
      <c r="Q111" s="8">
        <f>IF(O111&lt;&gt;C111,1,0)</f>
        <v>0</v>
      </c>
    </row>
    <row r="112" spans="1:17" x14ac:dyDescent="0.2">
      <c r="A112" s="8" t="s">
        <v>336</v>
      </c>
      <c r="B112" s="8" t="s">
        <v>208</v>
      </c>
      <c r="C112" s="8" t="s">
        <v>207</v>
      </c>
      <c r="D112" s="10"/>
      <c r="E112" s="10"/>
      <c r="F112" s="8">
        <v>1</v>
      </c>
      <c r="G112" s="8" t="s">
        <v>83</v>
      </c>
      <c r="H112" s="8">
        <v>0</v>
      </c>
      <c r="I112" s="10"/>
      <c r="J112" s="8">
        <v>0</v>
      </c>
      <c r="K112" s="10">
        <v>1501.326</v>
      </c>
      <c r="L112" s="11" t="str">
        <f>IF(AND(ISNUMBER(K112),ISNUMBER(D112)),IF(D112&lt;&gt;0,K112/ABS(D112),""),"")</f>
        <v/>
      </c>
      <c r="M112" s="8" t="str">
        <f>IF(L112="","FCF yok",IF(L112&lt;0.01,"%1 altı",IF(L112&lt;0.05,"%1–5",IF(L112&lt;0.1,"%5–10",IF(L112&lt;0.25,"%10–25","%25 üstü")))))</f>
        <v>FCF yok</v>
      </c>
      <c r="N112" s="8" t="str">
        <f>IF(OR(C112="NULL",C112="KOŞULLU"),C112,IF(OR(F112=1,H112=1),"KOŞULLU",C112))</f>
        <v>NULL</v>
      </c>
      <c r="O112" s="8" t="str">
        <f>IF(OR(C112="NULL",C112="KOŞULLU"),C112,IF(H112=1,"KOŞULLU",C112))</f>
        <v>NULL</v>
      </c>
      <c r="P112" s="8">
        <f>IF(N112&lt;&gt;C112,1,0)</f>
        <v>0</v>
      </c>
      <c r="Q112" s="8">
        <f>IF(O112&lt;&gt;C112,1,0)</f>
        <v>0</v>
      </c>
    </row>
    <row r="113" spans="1:17" x14ac:dyDescent="0.2">
      <c r="A113" s="8" t="s">
        <v>338</v>
      </c>
      <c r="B113" s="8" t="s">
        <v>208</v>
      </c>
      <c r="C113" s="8" t="s">
        <v>207</v>
      </c>
      <c r="D113" s="10"/>
      <c r="E113" s="10">
        <v>-586.98900000000003</v>
      </c>
      <c r="F113" s="8">
        <v>1</v>
      </c>
      <c r="G113" s="8" t="s">
        <v>82</v>
      </c>
      <c r="H113" s="8">
        <v>0</v>
      </c>
      <c r="I113" s="10"/>
      <c r="J113" s="8">
        <v>0</v>
      </c>
      <c r="K113" s="10">
        <v>6.0419999999999998</v>
      </c>
      <c r="L113" s="11" t="str">
        <f>IF(AND(ISNUMBER(K113),ISNUMBER(D113)),IF(D113&lt;&gt;0,K113/ABS(D113),""),"")</f>
        <v/>
      </c>
      <c r="M113" s="8" t="str">
        <f>IF(L113="","FCF yok",IF(L113&lt;0.01,"%1 altı",IF(L113&lt;0.05,"%1–5",IF(L113&lt;0.1,"%5–10",IF(L113&lt;0.25,"%10–25","%25 üstü")))))</f>
        <v>FCF yok</v>
      </c>
      <c r="N113" s="8" t="str">
        <f>IF(OR(C113="NULL",C113="KOŞULLU"),C113,IF(OR(F113=1,H113=1),"KOŞULLU",C113))</f>
        <v>NULL</v>
      </c>
      <c r="O113" s="8" t="str">
        <f>IF(OR(C113="NULL",C113="KOŞULLU"),C113,IF(H113=1,"KOŞULLU",C113))</f>
        <v>NULL</v>
      </c>
      <c r="P113" s="8">
        <f>IF(N113&lt;&gt;C113,1,0)</f>
        <v>0</v>
      </c>
      <c r="Q113" s="8">
        <f>IF(O113&lt;&gt;C113,1,0)</f>
        <v>0</v>
      </c>
    </row>
    <row r="114" spans="1:17" x14ac:dyDescent="0.2">
      <c r="A114" s="8" t="s">
        <v>341</v>
      </c>
      <c r="B114" s="8" t="s">
        <v>210</v>
      </c>
      <c r="C114" s="8" t="s">
        <v>207</v>
      </c>
      <c r="D114" s="10"/>
      <c r="E114" s="10">
        <v>22.018999999999998</v>
      </c>
      <c r="F114" s="8">
        <v>1</v>
      </c>
      <c r="G114" s="8" t="s">
        <v>82</v>
      </c>
      <c r="H114" s="8">
        <v>0</v>
      </c>
      <c r="I114" s="10"/>
      <c r="J114" s="8">
        <v>0</v>
      </c>
      <c r="K114" s="10">
        <v>3.4039999999999999</v>
      </c>
      <c r="L114" s="11" t="str">
        <f>IF(AND(ISNUMBER(K114),ISNUMBER(D114)),IF(D114&lt;&gt;0,K114/ABS(D114),""),"")</f>
        <v/>
      </c>
      <c r="M114" s="8" t="str">
        <f>IF(L114="","FCF yok",IF(L114&lt;0.01,"%1 altı",IF(L114&lt;0.05,"%1–5",IF(L114&lt;0.1,"%5–10",IF(L114&lt;0.25,"%10–25","%25 üstü")))))</f>
        <v>FCF yok</v>
      </c>
      <c r="N114" s="8" t="str">
        <f>IF(OR(C114="NULL",C114="KOŞULLU"),C114,IF(OR(F114=1,H114=1),"KOŞULLU",C114))</f>
        <v>NULL</v>
      </c>
      <c r="O114" s="8" t="str">
        <f>IF(OR(C114="NULL",C114="KOŞULLU"),C114,IF(H114=1,"KOŞULLU",C114))</f>
        <v>NULL</v>
      </c>
      <c r="P114" s="8">
        <f>IF(N114&lt;&gt;C114,1,0)</f>
        <v>0</v>
      </c>
      <c r="Q114" s="8">
        <f>IF(O114&lt;&gt;C114,1,0)</f>
        <v>0</v>
      </c>
    </row>
    <row r="115" spans="1:17" x14ac:dyDescent="0.2">
      <c r="A115" s="8" t="s">
        <v>343</v>
      </c>
      <c r="B115" s="8" t="s">
        <v>210</v>
      </c>
      <c r="C115" s="8" t="s">
        <v>212</v>
      </c>
      <c r="D115" s="10">
        <v>-162.089</v>
      </c>
      <c r="E115" s="10">
        <v>7.7340000000000702</v>
      </c>
      <c r="F115" s="8">
        <v>0</v>
      </c>
      <c r="G115" s="10"/>
      <c r="H115" s="8">
        <v>1</v>
      </c>
      <c r="I115" s="8" t="s">
        <v>82</v>
      </c>
      <c r="J115" s="8">
        <v>0</v>
      </c>
      <c r="K115" s="10">
        <v>28.588999999999999</v>
      </c>
      <c r="L115" s="11">
        <f>IF(AND(ISNUMBER(K115),ISNUMBER(D115)),IF(D115&lt;&gt;0,K115/ABS(D115),""),"")</f>
        <v>0.17637840939237084</v>
      </c>
      <c r="M115" s="8" t="str">
        <f>IF(L115="","FCF yok",IF(L115&lt;0.01,"%1 altı",IF(L115&lt;0.05,"%1–5",IF(L115&lt;0.1,"%5–10",IF(L115&lt;0.25,"%10–25","%25 üstü")))))</f>
        <v>%10–25</v>
      </c>
      <c r="N115" s="8" t="str">
        <f>IF(OR(C115="NULL",C115="KOŞULLU"),C115,IF(OR(F115=1,H115=1),"KOŞULLU",C115))</f>
        <v>KOŞULLU</v>
      </c>
      <c r="O115" s="8" t="str">
        <f>IF(OR(C115="NULL",C115="KOŞULLU"),C115,IF(H115=1,"KOŞULLU",C115))</f>
        <v>KOŞULLU</v>
      </c>
      <c r="P115" s="8">
        <f>IF(N115&lt;&gt;C115,1,0)</f>
        <v>0</v>
      </c>
      <c r="Q115" s="8">
        <f>IF(O115&lt;&gt;C115,1,0)</f>
        <v>0</v>
      </c>
    </row>
    <row r="116" spans="1:17" x14ac:dyDescent="0.2">
      <c r="A116" s="8" t="s">
        <v>344</v>
      </c>
      <c r="B116" s="8" t="s">
        <v>215</v>
      </c>
      <c r="C116" s="8" t="s">
        <v>204</v>
      </c>
      <c r="D116" s="10">
        <v>14263.74</v>
      </c>
      <c r="E116" s="10">
        <v>23863.271000000001</v>
      </c>
      <c r="F116" s="8">
        <v>0</v>
      </c>
      <c r="G116" s="10"/>
      <c r="H116" s="8">
        <v>1</v>
      </c>
      <c r="I116" s="8" t="s">
        <v>84</v>
      </c>
      <c r="J116" s="8">
        <v>0</v>
      </c>
      <c r="K116" s="10">
        <v>5.6090000000000098</v>
      </c>
      <c r="L116" s="11">
        <f>IF(AND(ISNUMBER(K116),ISNUMBER(D116)),IF(D116&lt;&gt;0,K116/ABS(D116),""),"")</f>
        <v>3.9323487388300753E-4</v>
      </c>
      <c r="M116" s="8" t="str">
        <f>IF(L116="","FCF yok",IF(L116&lt;0.01,"%1 altı",IF(L116&lt;0.05,"%1–5",IF(L116&lt;0.1,"%5–10",IF(L116&lt;0.25,"%10–25","%25 üstü")))))</f>
        <v>%1 altı</v>
      </c>
      <c r="N116" s="8" t="str">
        <f>IF(OR(C116="NULL",C116="KOŞULLU"),C116,IF(OR(F116=1,H116=1),"KOŞULLU",C116))</f>
        <v>KOŞULLU</v>
      </c>
      <c r="O116" s="8" t="str">
        <f>IF(OR(C116="NULL",C116="KOŞULLU"),C116,IF(H116=1,"KOŞULLU",C116))</f>
        <v>KOŞULLU</v>
      </c>
      <c r="P116" s="8">
        <f>IF(N116&lt;&gt;C116,1,0)</f>
        <v>1</v>
      </c>
      <c r="Q116" s="8">
        <f>IF(O116&lt;&gt;C116,1,0)</f>
        <v>1</v>
      </c>
    </row>
    <row r="117" spans="1:17" x14ac:dyDescent="0.2">
      <c r="A117" s="8" t="s">
        <v>345</v>
      </c>
      <c r="B117" s="8" t="s">
        <v>203</v>
      </c>
      <c r="C117" s="8" t="s">
        <v>207</v>
      </c>
      <c r="D117" s="10"/>
      <c r="E117" s="10">
        <v>56.011000000000003</v>
      </c>
      <c r="F117" s="8">
        <v>1</v>
      </c>
      <c r="G117" s="8" t="s">
        <v>84</v>
      </c>
      <c r="H117" s="8">
        <v>0</v>
      </c>
      <c r="I117" s="10"/>
      <c r="J117" s="8">
        <v>0</v>
      </c>
      <c r="K117" s="10">
        <v>31.332000000000001</v>
      </c>
      <c r="L117" s="11" t="str">
        <f>IF(AND(ISNUMBER(K117),ISNUMBER(D117)),IF(D117&lt;&gt;0,K117/ABS(D117),""),"")</f>
        <v/>
      </c>
      <c r="M117" s="8" t="str">
        <f>IF(L117="","FCF yok",IF(L117&lt;0.01,"%1 altı",IF(L117&lt;0.05,"%1–5",IF(L117&lt;0.1,"%5–10",IF(L117&lt;0.25,"%10–25","%25 üstü")))))</f>
        <v>FCF yok</v>
      </c>
      <c r="N117" s="8" t="str">
        <f>IF(OR(C117="NULL",C117="KOŞULLU"),C117,IF(OR(F117=1,H117=1),"KOŞULLU",C117))</f>
        <v>NULL</v>
      </c>
      <c r="O117" s="8" t="str">
        <f>IF(OR(C117="NULL",C117="KOŞULLU"),C117,IF(H117=1,"KOŞULLU",C117))</f>
        <v>NULL</v>
      </c>
      <c r="P117" s="8">
        <f>IF(N117&lt;&gt;C117,1,0)</f>
        <v>0</v>
      </c>
      <c r="Q117" s="8">
        <f>IF(O117&lt;&gt;C117,1,0)</f>
        <v>0</v>
      </c>
    </row>
    <row r="118" spans="1:17" x14ac:dyDescent="0.2">
      <c r="A118" s="8" t="s">
        <v>345</v>
      </c>
      <c r="B118" s="8" t="s">
        <v>205</v>
      </c>
      <c r="C118" s="8" t="s">
        <v>207</v>
      </c>
      <c r="D118" s="10"/>
      <c r="E118" s="10">
        <v>-222.821</v>
      </c>
      <c r="F118" s="8">
        <v>1</v>
      </c>
      <c r="G118" s="8" t="s">
        <v>84</v>
      </c>
      <c r="H118" s="8">
        <v>0</v>
      </c>
      <c r="I118" s="10"/>
      <c r="J118" s="8">
        <v>0</v>
      </c>
      <c r="K118" s="10">
        <v>40.075000000000003</v>
      </c>
      <c r="L118" s="11" t="str">
        <f>IF(AND(ISNUMBER(K118),ISNUMBER(D118)),IF(D118&lt;&gt;0,K118/ABS(D118),""),"")</f>
        <v/>
      </c>
      <c r="M118" s="8" t="str">
        <f>IF(L118="","FCF yok",IF(L118&lt;0.01,"%1 altı",IF(L118&lt;0.05,"%1–5",IF(L118&lt;0.1,"%5–10",IF(L118&lt;0.25,"%10–25","%25 üstü")))))</f>
        <v>FCF yok</v>
      </c>
      <c r="N118" s="8" t="str">
        <f>IF(OR(C118="NULL",C118="KOŞULLU"),C118,IF(OR(F118=1,H118=1),"KOŞULLU",C118))</f>
        <v>NULL</v>
      </c>
      <c r="O118" s="8" t="str">
        <f>IF(OR(C118="NULL",C118="KOŞULLU"),C118,IF(H118=1,"KOŞULLU",C118))</f>
        <v>NULL</v>
      </c>
      <c r="P118" s="8">
        <f>IF(N118&lt;&gt;C118,1,0)</f>
        <v>0</v>
      </c>
      <c r="Q118" s="8">
        <f>IF(O118&lt;&gt;C118,1,0)</f>
        <v>0</v>
      </c>
    </row>
    <row r="119" spans="1:17" x14ac:dyDescent="0.2">
      <c r="A119" s="8" t="s">
        <v>345</v>
      </c>
      <c r="B119" s="8" t="s">
        <v>215</v>
      </c>
      <c r="C119" s="8" t="s">
        <v>207</v>
      </c>
      <c r="D119" s="10"/>
      <c r="E119" s="10">
        <v>15.448</v>
      </c>
      <c r="F119" s="8">
        <v>1</v>
      </c>
      <c r="G119" s="8" t="s">
        <v>84</v>
      </c>
      <c r="H119" s="8">
        <v>0</v>
      </c>
      <c r="I119" s="10"/>
      <c r="J119" s="8">
        <v>0</v>
      </c>
      <c r="K119" s="10">
        <v>40.076000000000001</v>
      </c>
      <c r="L119" s="11" t="str">
        <f>IF(AND(ISNUMBER(K119),ISNUMBER(D119)),IF(D119&lt;&gt;0,K119/ABS(D119),""),"")</f>
        <v/>
      </c>
      <c r="M119" s="8" t="str">
        <f>IF(L119="","FCF yok",IF(L119&lt;0.01,"%1 altı",IF(L119&lt;0.05,"%1–5",IF(L119&lt;0.1,"%5–10",IF(L119&lt;0.25,"%10–25","%25 üstü")))))</f>
        <v>FCF yok</v>
      </c>
      <c r="N119" s="8" t="str">
        <f>IF(OR(C119="NULL",C119="KOŞULLU"),C119,IF(OR(F119=1,H119=1),"KOŞULLU",C119))</f>
        <v>NULL</v>
      </c>
      <c r="O119" s="8" t="str">
        <f>IF(OR(C119="NULL",C119="KOŞULLU"),C119,IF(H119=1,"KOŞULLU",C119))</f>
        <v>NULL</v>
      </c>
      <c r="P119" s="8">
        <f>IF(N119&lt;&gt;C119,1,0)</f>
        <v>0</v>
      </c>
      <c r="Q119" s="8">
        <f>IF(O119&lt;&gt;C119,1,0)</f>
        <v>0</v>
      </c>
    </row>
    <row r="120" spans="1:17" x14ac:dyDescent="0.2">
      <c r="A120" s="8" t="s">
        <v>345</v>
      </c>
      <c r="B120" s="8" t="s">
        <v>208</v>
      </c>
      <c r="C120" s="8" t="s">
        <v>207</v>
      </c>
      <c r="D120" s="10"/>
      <c r="E120" s="10">
        <v>-100.83199999999999</v>
      </c>
      <c r="F120" s="8">
        <v>1</v>
      </c>
      <c r="G120" s="8" t="s">
        <v>84</v>
      </c>
      <c r="H120" s="8">
        <v>0</v>
      </c>
      <c r="I120" s="10"/>
      <c r="J120" s="8">
        <v>0</v>
      </c>
      <c r="K120" s="10">
        <v>7.84</v>
      </c>
      <c r="L120" s="11" t="str">
        <f>IF(AND(ISNUMBER(K120),ISNUMBER(D120)),IF(D120&lt;&gt;0,K120/ABS(D120),""),"")</f>
        <v/>
      </c>
      <c r="M120" s="8" t="str">
        <f>IF(L120="","FCF yok",IF(L120&lt;0.01,"%1 altı",IF(L120&lt;0.05,"%1–5",IF(L120&lt;0.1,"%5–10",IF(L120&lt;0.25,"%10–25","%25 üstü")))))</f>
        <v>FCF yok</v>
      </c>
      <c r="N120" s="8" t="str">
        <f>IF(OR(C120="NULL",C120="KOŞULLU"),C120,IF(OR(F120=1,H120=1),"KOŞULLU",C120))</f>
        <v>NULL</v>
      </c>
      <c r="O120" s="8" t="str">
        <f>IF(OR(C120="NULL",C120="KOŞULLU"),C120,IF(H120=1,"KOŞULLU",C120))</f>
        <v>NULL</v>
      </c>
      <c r="P120" s="8">
        <f>IF(N120&lt;&gt;C120,1,0)</f>
        <v>0</v>
      </c>
      <c r="Q120" s="8">
        <f>IF(O120&lt;&gt;C120,1,0)</f>
        <v>0</v>
      </c>
    </row>
    <row r="121" spans="1:17" x14ac:dyDescent="0.2">
      <c r="A121" s="8" t="s">
        <v>345</v>
      </c>
      <c r="B121" s="8" t="s">
        <v>210</v>
      </c>
      <c r="C121" s="8" t="s">
        <v>207</v>
      </c>
      <c r="D121" s="10"/>
      <c r="E121" s="10">
        <v>166.72800000000001</v>
      </c>
      <c r="F121" s="8">
        <v>1</v>
      </c>
      <c r="G121" s="8" t="s">
        <v>84</v>
      </c>
      <c r="H121" s="8">
        <v>0</v>
      </c>
      <c r="I121" s="10"/>
      <c r="J121" s="8">
        <v>0</v>
      </c>
      <c r="K121" s="10">
        <v>40.075000000000003</v>
      </c>
      <c r="L121" s="11" t="str">
        <f>IF(AND(ISNUMBER(K121),ISNUMBER(D121)),IF(D121&lt;&gt;0,K121/ABS(D121),""),"")</f>
        <v/>
      </c>
      <c r="M121" s="8" t="str">
        <f>IF(L121="","FCF yok",IF(L121&lt;0.01,"%1 altı",IF(L121&lt;0.05,"%1–5",IF(L121&lt;0.1,"%5–10",IF(L121&lt;0.25,"%10–25","%25 üstü")))))</f>
        <v>FCF yok</v>
      </c>
      <c r="N121" s="8" t="str">
        <f>IF(OR(C121="NULL",C121="KOŞULLU"),C121,IF(OR(F121=1,H121=1),"KOŞULLU",C121))</f>
        <v>NULL</v>
      </c>
      <c r="O121" s="8" t="str">
        <f>IF(OR(C121="NULL",C121="KOŞULLU"),C121,IF(H121=1,"KOŞULLU",C121))</f>
        <v>NULL</v>
      </c>
      <c r="P121" s="8">
        <f>IF(N121&lt;&gt;C121,1,0)</f>
        <v>0</v>
      </c>
      <c r="Q121" s="8">
        <f>IF(O121&lt;&gt;C121,1,0)</f>
        <v>0</v>
      </c>
    </row>
    <row r="122" spans="1:17" x14ac:dyDescent="0.2">
      <c r="A122" s="8" t="s">
        <v>347</v>
      </c>
      <c r="B122" s="8" t="s">
        <v>203</v>
      </c>
      <c r="C122" s="8" t="s">
        <v>209</v>
      </c>
      <c r="D122" s="10">
        <v>-192.50800000000001</v>
      </c>
      <c r="E122" s="10">
        <v>-131.75399999999999</v>
      </c>
      <c r="F122" s="8">
        <v>0</v>
      </c>
      <c r="G122" s="10"/>
      <c r="H122" s="8">
        <v>1</v>
      </c>
      <c r="I122" s="8" t="s">
        <v>83</v>
      </c>
      <c r="J122" s="8">
        <v>0</v>
      </c>
      <c r="K122" s="10">
        <v>79.200999999999993</v>
      </c>
      <c r="L122" s="11">
        <f>IF(AND(ISNUMBER(K122),ISNUMBER(D122)),IF(D122&lt;&gt;0,K122/ABS(D122),""),"")</f>
        <v>0.41141666839819641</v>
      </c>
      <c r="M122" s="8" t="str">
        <f>IF(L122="","FCF yok",IF(L122&lt;0.01,"%1 altı",IF(L122&lt;0.05,"%1–5",IF(L122&lt;0.1,"%5–10",IF(L122&lt;0.25,"%10–25","%25 üstü")))))</f>
        <v>%25 üstü</v>
      </c>
      <c r="N122" s="8" t="str">
        <f>IF(OR(C122="NULL",C122="KOŞULLU"),C122,IF(OR(F122=1,H122=1),"KOŞULLU",C122))</f>
        <v>KOŞULLU</v>
      </c>
      <c r="O122" s="8" t="str">
        <f>IF(OR(C122="NULL",C122="KOŞULLU"),C122,IF(H122=1,"KOŞULLU",C122))</f>
        <v>KOŞULLU</v>
      </c>
      <c r="P122" s="8">
        <f>IF(N122&lt;&gt;C122,1,0)</f>
        <v>1</v>
      </c>
      <c r="Q122" s="8">
        <f>IF(O122&lt;&gt;C122,1,0)</f>
        <v>1</v>
      </c>
    </row>
    <row r="123" spans="1:17" x14ac:dyDescent="0.2">
      <c r="A123" s="8" t="s">
        <v>347</v>
      </c>
      <c r="B123" s="8" t="s">
        <v>205</v>
      </c>
      <c r="C123" s="8" t="s">
        <v>207</v>
      </c>
      <c r="D123" s="10"/>
      <c r="E123" s="10">
        <v>-90.322000000000003</v>
      </c>
      <c r="F123" s="8">
        <v>0</v>
      </c>
      <c r="G123" s="10"/>
      <c r="H123" s="8">
        <v>1</v>
      </c>
      <c r="I123" s="8" t="s">
        <v>83</v>
      </c>
      <c r="J123" s="8">
        <v>0</v>
      </c>
      <c r="K123" s="10">
        <v>88.344999999999999</v>
      </c>
      <c r="L123" s="11" t="str">
        <f>IF(AND(ISNUMBER(K123),ISNUMBER(D123)),IF(D123&lt;&gt;0,K123/ABS(D123),""),"")</f>
        <v/>
      </c>
      <c r="M123" s="8" t="str">
        <f>IF(L123="","FCF yok",IF(L123&lt;0.01,"%1 altı",IF(L123&lt;0.05,"%1–5",IF(L123&lt;0.1,"%5–10",IF(L123&lt;0.25,"%10–25","%25 üstü")))))</f>
        <v>FCF yok</v>
      </c>
      <c r="N123" s="8" t="str">
        <f>IF(OR(C123="NULL",C123="KOŞULLU"),C123,IF(OR(F123=1,H123=1),"KOŞULLU",C123))</f>
        <v>NULL</v>
      </c>
      <c r="O123" s="8" t="str">
        <f>IF(OR(C123="NULL",C123="KOŞULLU"),C123,IF(H123=1,"KOŞULLU",C123))</f>
        <v>NULL</v>
      </c>
      <c r="P123" s="8">
        <f>IF(N123&lt;&gt;C123,1,0)</f>
        <v>0</v>
      </c>
      <c r="Q123" s="8">
        <f>IF(O123&lt;&gt;C123,1,0)</f>
        <v>0</v>
      </c>
    </row>
    <row r="124" spans="1:17" x14ac:dyDescent="0.2">
      <c r="A124" s="8" t="s">
        <v>347</v>
      </c>
      <c r="B124" s="8" t="s">
        <v>215</v>
      </c>
      <c r="C124" s="8" t="s">
        <v>207</v>
      </c>
      <c r="D124" s="10"/>
      <c r="E124" s="10">
        <v>-226.708</v>
      </c>
      <c r="F124" s="8">
        <v>0</v>
      </c>
      <c r="G124" s="10"/>
      <c r="H124" s="8">
        <v>1</v>
      </c>
      <c r="I124" s="8" t="s">
        <v>83</v>
      </c>
      <c r="J124" s="8">
        <v>0</v>
      </c>
      <c r="K124" s="10">
        <v>96.194000000000003</v>
      </c>
      <c r="L124" s="11" t="str">
        <f>IF(AND(ISNUMBER(K124),ISNUMBER(D124)),IF(D124&lt;&gt;0,K124/ABS(D124),""),"")</f>
        <v/>
      </c>
      <c r="M124" s="8" t="str">
        <f>IF(L124="","FCF yok",IF(L124&lt;0.01,"%1 altı",IF(L124&lt;0.05,"%1–5",IF(L124&lt;0.1,"%5–10",IF(L124&lt;0.25,"%10–25","%25 üstü")))))</f>
        <v>FCF yok</v>
      </c>
      <c r="N124" s="8" t="str">
        <f>IF(OR(C124="NULL",C124="KOŞULLU"),C124,IF(OR(F124=1,H124=1),"KOŞULLU",C124))</f>
        <v>NULL</v>
      </c>
      <c r="O124" s="8" t="str">
        <f>IF(OR(C124="NULL",C124="KOŞULLU"),C124,IF(H124=1,"KOŞULLU",C124))</f>
        <v>NULL</v>
      </c>
      <c r="P124" s="8">
        <f>IF(N124&lt;&gt;C124,1,0)</f>
        <v>0</v>
      </c>
      <c r="Q124" s="8">
        <f>IF(O124&lt;&gt;C124,1,0)</f>
        <v>0</v>
      </c>
    </row>
    <row r="125" spans="1:17" x14ac:dyDescent="0.2">
      <c r="A125" s="8" t="s">
        <v>350</v>
      </c>
      <c r="B125" s="8" t="s">
        <v>290</v>
      </c>
      <c r="C125" s="8" t="s">
        <v>209</v>
      </c>
      <c r="D125" s="10">
        <v>-3704.4969999999998</v>
      </c>
      <c r="E125" s="10">
        <v>-3704.4969999999998</v>
      </c>
      <c r="F125" s="8">
        <v>1</v>
      </c>
      <c r="G125" s="8" t="s">
        <v>84</v>
      </c>
      <c r="H125" s="8">
        <v>0</v>
      </c>
      <c r="I125" s="10"/>
      <c r="J125" s="8">
        <v>0</v>
      </c>
      <c r="K125" s="10">
        <v>44.814</v>
      </c>
      <c r="L125" s="11">
        <f>IF(AND(ISNUMBER(K125),ISNUMBER(D125)),IF(D125&lt;&gt;0,K125/ABS(D125),""),"")</f>
        <v>1.2097188903108843E-2</v>
      </c>
      <c r="M125" s="8" t="str">
        <f>IF(L125="","FCF yok",IF(L125&lt;0.01,"%1 altı",IF(L125&lt;0.05,"%1–5",IF(L125&lt;0.1,"%5–10",IF(L125&lt;0.25,"%10–25","%25 üstü")))))</f>
        <v>%1–5</v>
      </c>
      <c r="N125" s="8" t="str">
        <f>IF(OR(C125="NULL",C125="KOŞULLU"),C125,IF(OR(F125=1,H125=1),"KOŞULLU",C125))</f>
        <v>KOŞULLU</v>
      </c>
      <c r="O125" s="8" t="str">
        <f>IF(OR(C125="NULL",C125="KOŞULLU"),C125,IF(H125=1,"KOŞULLU",C125))</f>
        <v>TÜRETİLMİŞ</v>
      </c>
      <c r="P125" s="8">
        <f>IF(N125&lt;&gt;C125,1,0)</f>
        <v>1</v>
      </c>
      <c r="Q125" s="8">
        <f>IF(O125&lt;&gt;C125,1,0)</f>
        <v>0</v>
      </c>
    </row>
    <row r="126" spans="1:17" x14ac:dyDescent="0.2">
      <c r="A126" s="8" t="s">
        <v>350</v>
      </c>
      <c r="B126" s="8" t="s">
        <v>208</v>
      </c>
      <c r="C126" s="8" t="s">
        <v>209</v>
      </c>
      <c r="D126" s="10">
        <v>-3690.319</v>
      </c>
      <c r="E126" s="10">
        <v>-3690.319</v>
      </c>
      <c r="F126" s="8">
        <v>1</v>
      </c>
      <c r="G126" s="8" t="s">
        <v>84</v>
      </c>
      <c r="H126" s="8">
        <v>0</v>
      </c>
      <c r="I126" s="10"/>
      <c r="J126" s="8">
        <v>0</v>
      </c>
      <c r="K126" s="10">
        <v>44.814</v>
      </c>
      <c r="L126" s="11">
        <f>IF(AND(ISNUMBER(K126),ISNUMBER(D126)),IF(D126&lt;&gt;0,K126/ABS(D126),""),"")</f>
        <v>1.2143665628906336E-2</v>
      </c>
      <c r="M126" s="8" t="str">
        <f>IF(L126="","FCF yok",IF(L126&lt;0.01,"%1 altı",IF(L126&lt;0.05,"%1–5",IF(L126&lt;0.1,"%5–10",IF(L126&lt;0.25,"%10–25","%25 üstü")))))</f>
        <v>%1–5</v>
      </c>
      <c r="N126" s="8" t="str">
        <f>IF(OR(C126="NULL",C126="KOŞULLU"),C126,IF(OR(F126=1,H126=1),"KOŞULLU",C126))</f>
        <v>KOŞULLU</v>
      </c>
      <c r="O126" s="8" t="str">
        <f>IF(OR(C126="NULL",C126="KOŞULLU"),C126,IF(H126=1,"KOŞULLU",C126))</f>
        <v>TÜRETİLMİŞ</v>
      </c>
      <c r="P126" s="8">
        <f>IF(N126&lt;&gt;C126,1,0)</f>
        <v>1</v>
      </c>
      <c r="Q126" s="8">
        <f>IF(O126&lt;&gt;C126,1,0)</f>
        <v>0</v>
      </c>
    </row>
    <row r="127" spans="1:17" x14ac:dyDescent="0.2">
      <c r="A127" s="8" t="s">
        <v>350</v>
      </c>
      <c r="B127" s="8" t="s">
        <v>210</v>
      </c>
      <c r="C127" s="8" t="s">
        <v>209</v>
      </c>
      <c r="D127" s="10">
        <v>-3653.08</v>
      </c>
      <c r="E127" s="10">
        <v>-3653.08</v>
      </c>
      <c r="F127" s="8">
        <v>1</v>
      </c>
      <c r="G127" s="8" t="s">
        <v>84</v>
      </c>
      <c r="H127" s="8">
        <v>0</v>
      </c>
      <c r="I127" s="10"/>
      <c r="J127" s="8">
        <v>0</v>
      </c>
      <c r="K127" s="10">
        <v>44.814</v>
      </c>
      <c r="L127" s="11">
        <f>IF(AND(ISNUMBER(K127),ISNUMBER(D127)),IF(D127&lt;&gt;0,K127/ABS(D127),""),"")</f>
        <v>1.22674565024582E-2</v>
      </c>
      <c r="M127" s="8" t="str">
        <f>IF(L127="","FCF yok",IF(L127&lt;0.01,"%1 altı",IF(L127&lt;0.05,"%1–5",IF(L127&lt;0.1,"%5–10",IF(L127&lt;0.25,"%10–25","%25 üstü")))))</f>
        <v>%1–5</v>
      </c>
      <c r="N127" s="8" t="str">
        <f>IF(OR(C127="NULL",C127="KOŞULLU"),C127,IF(OR(F127=1,H127=1),"KOŞULLU",C127))</f>
        <v>KOŞULLU</v>
      </c>
      <c r="O127" s="8" t="str">
        <f>IF(OR(C127="NULL",C127="KOŞULLU"),C127,IF(H127=1,"KOŞULLU",C127))</f>
        <v>TÜRETİLMİŞ</v>
      </c>
      <c r="P127" s="8">
        <f>IF(N127&lt;&gt;C127,1,0)</f>
        <v>1</v>
      </c>
      <c r="Q127" s="8">
        <f>IF(O127&lt;&gt;C127,1,0)</f>
        <v>0</v>
      </c>
    </row>
    <row r="128" spans="1:17" x14ac:dyDescent="0.2">
      <c r="A128" s="8" t="s">
        <v>355</v>
      </c>
      <c r="B128" s="8" t="s">
        <v>290</v>
      </c>
      <c r="C128" s="8" t="s">
        <v>204</v>
      </c>
      <c r="D128" s="10">
        <v>-306.35300000000001</v>
      </c>
      <c r="E128" s="10">
        <v>-164.28899999999999</v>
      </c>
      <c r="F128" s="8">
        <v>1</v>
      </c>
      <c r="G128" s="8" t="s">
        <v>82</v>
      </c>
      <c r="H128" s="8">
        <v>0</v>
      </c>
      <c r="I128" s="10"/>
      <c r="J128" s="8">
        <v>0</v>
      </c>
      <c r="K128" s="10">
        <v>0.79500000000000004</v>
      </c>
      <c r="L128" s="11">
        <f>IF(AND(ISNUMBER(K128),ISNUMBER(D128)),IF(D128&lt;&gt;0,K128/ABS(D128),""),"")</f>
        <v>2.5950455846686666E-3</v>
      </c>
      <c r="M128" s="8" t="str">
        <f>IF(L128="","FCF yok",IF(L128&lt;0.01,"%1 altı",IF(L128&lt;0.05,"%1–5",IF(L128&lt;0.1,"%5–10",IF(L128&lt;0.25,"%10–25","%25 üstü")))))</f>
        <v>%1 altı</v>
      </c>
      <c r="N128" s="8" t="str">
        <f>IF(OR(C128="NULL",C128="KOŞULLU"),C128,IF(OR(F128=1,H128=1),"KOŞULLU",C128))</f>
        <v>KOŞULLU</v>
      </c>
      <c r="O128" s="8" t="str">
        <f>IF(OR(C128="NULL",C128="KOŞULLU"),C128,IF(H128=1,"KOŞULLU",C128))</f>
        <v>KESİN</v>
      </c>
      <c r="P128" s="8">
        <f>IF(N128&lt;&gt;C128,1,0)</f>
        <v>1</v>
      </c>
      <c r="Q128" s="8">
        <f>IF(O128&lt;&gt;C128,1,0)</f>
        <v>0</v>
      </c>
    </row>
    <row r="129" spans="1:17" x14ac:dyDescent="0.2">
      <c r="A129" s="8" t="s">
        <v>355</v>
      </c>
      <c r="B129" s="8" t="s">
        <v>208</v>
      </c>
      <c r="C129" s="8" t="s">
        <v>204</v>
      </c>
      <c r="D129" s="10">
        <v>-411.99900000000002</v>
      </c>
      <c r="E129" s="10">
        <v>-285.90600000000001</v>
      </c>
      <c r="F129" s="8">
        <v>1</v>
      </c>
      <c r="G129" s="8" t="s">
        <v>82</v>
      </c>
      <c r="H129" s="8">
        <v>0</v>
      </c>
      <c r="I129" s="10"/>
      <c r="J129" s="8">
        <v>0</v>
      </c>
      <c r="K129" s="10">
        <v>0.79500000000000004</v>
      </c>
      <c r="L129" s="11">
        <f>IF(AND(ISNUMBER(K129),ISNUMBER(D129)),IF(D129&lt;&gt;0,K129/ABS(D129),""),"")</f>
        <v>1.9296163340202282E-3</v>
      </c>
      <c r="M129" s="8" t="str">
        <f>IF(L129="","FCF yok",IF(L129&lt;0.01,"%1 altı",IF(L129&lt;0.05,"%1–5",IF(L129&lt;0.1,"%5–10",IF(L129&lt;0.25,"%10–25","%25 üstü")))))</f>
        <v>%1 altı</v>
      </c>
      <c r="N129" s="8" t="str">
        <f>IF(OR(C129="NULL",C129="KOŞULLU"),C129,IF(OR(F129=1,H129=1),"KOŞULLU",C129))</f>
        <v>KOŞULLU</v>
      </c>
      <c r="O129" s="8" t="str">
        <f>IF(OR(C129="NULL",C129="KOŞULLU"),C129,IF(H129=1,"KOŞULLU",C129))</f>
        <v>KESİN</v>
      </c>
      <c r="P129" s="8">
        <f>IF(N129&lt;&gt;C129,1,0)</f>
        <v>1</v>
      </c>
      <c r="Q129" s="8">
        <f>IF(O129&lt;&gt;C129,1,0)</f>
        <v>0</v>
      </c>
    </row>
    <row r="130" spans="1:17" x14ac:dyDescent="0.2">
      <c r="A130" s="8" t="s">
        <v>355</v>
      </c>
      <c r="B130" s="8" t="s">
        <v>210</v>
      </c>
      <c r="C130" s="8" t="s">
        <v>204</v>
      </c>
      <c r="D130" s="10">
        <v>-234.297</v>
      </c>
      <c r="E130" s="10">
        <v>-69.858000000000004</v>
      </c>
      <c r="F130" s="8">
        <v>1</v>
      </c>
      <c r="G130" s="8" t="s">
        <v>82</v>
      </c>
      <c r="H130" s="8">
        <v>0</v>
      </c>
      <c r="I130" s="10"/>
      <c r="J130" s="8">
        <v>0</v>
      </c>
      <c r="K130" s="10">
        <v>0.79500000000000004</v>
      </c>
      <c r="L130" s="11">
        <f>IF(AND(ISNUMBER(K130),ISNUMBER(D130)),IF(D130&lt;&gt;0,K130/ABS(D130),""),"")</f>
        <v>3.3931292334088785E-3</v>
      </c>
      <c r="M130" s="8" t="str">
        <f>IF(L130="","FCF yok",IF(L130&lt;0.01,"%1 altı",IF(L130&lt;0.05,"%1–5",IF(L130&lt;0.1,"%5–10",IF(L130&lt;0.25,"%10–25","%25 üstü")))))</f>
        <v>%1 altı</v>
      </c>
      <c r="N130" s="8" t="str">
        <f>IF(OR(C130="NULL",C130="KOŞULLU"),C130,IF(OR(F130=1,H130=1),"KOŞULLU",C130))</f>
        <v>KOŞULLU</v>
      </c>
      <c r="O130" s="8" t="str">
        <f>IF(OR(C130="NULL",C130="KOŞULLU"),C130,IF(H130=1,"KOŞULLU",C130))</f>
        <v>KESİN</v>
      </c>
      <c r="P130" s="8">
        <f>IF(N130&lt;&gt;C130,1,0)</f>
        <v>1</v>
      </c>
      <c r="Q130" s="8">
        <f>IF(O130&lt;&gt;C130,1,0)</f>
        <v>0</v>
      </c>
    </row>
    <row r="131" spans="1:17" x14ac:dyDescent="0.2">
      <c r="A131" s="8" t="s">
        <v>359</v>
      </c>
      <c r="B131" s="8" t="s">
        <v>215</v>
      </c>
      <c r="C131" s="8" t="s">
        <v>207</v>
      </c>
      <c r="D131" s="10"/>
      <c r="E131" s="10">
        <v>380.71899999999999</v>
      </c>
      <c r="F131" s="8">
        <v>1</v>
      </c>
      <c r="G131" s="8" t="s">
        <v>83</v>
      </c>
      <c r="H131" s="8">
        <v>0</v>
      </c>
      <c r="I131" s="10"/>
      <c r="J131" s="8">
        <v>0</v>
      </c>
      <c r="K131" s="10">
        <v>1.0660000000000001</v>
      </c>
      <c r="L131" s="11" t="str">
        <f>IF(AND(ISNUMBER(K131),ISNUMBER(D131)),IF(D131&lt;&gt;0,K131/ABS(D131),""),"")</f>
        <v/>
      </c>
      <c r="M131" s="8" t="str">
        <f>IF(L131="","FCF yok",IF(L131&lt;0.01,"%1 altı",IF(L131&lt;0.05,"%1–5",IF(L131&lt;0.1,"%5–10",IF(L131&lt;0.25,"%10–25","%25 üstü")))))</f>
        <v>FCF yok</v>
      </c>
      <c r="N131" s="8" t="str">
        <f>IF(OR(C131="NULL",C131="KOŞULLU"),C131,IF(OR(F131=1,H131=1),"KOŞULLU",C131))</f>
        <v>NULL</v>
      </c>
      <c r="O131" s="8" t="str">
        <f>IF(OR(C131="NULL",C131="KOŞULLU"),C131,IF(H131=1,"KOŞULLU",C131))</f>
        <v>NULL</v>
      </c>
      <c r="P131" s="8">
        <f>IF(N131&lt;&gt;C131,1,0)</f>
        <v>0</v>
      </c>
      <c r="Q131" s="8">
        <f>IF(O131&lt;&gt;C131,1,0)</f>
        <v>0</v>
      </c>
    </row>
    <row r="132" spans="1:17" x14ac:dyDescent="0.2">
      <c r="A132" s="8" t="s">
        <v>360</v>
      </c>
      <c r="B132" s="8" t="s">
        <v>203</v>
      </c>
      <c r="C132" s="8" t="s">
        <v>204</v>
      </c>
      <c r="D132" s="10">
        <v>114.825</v>
      </c>
      <c r="E132" s="10">
        <v>583.04899999999998</v>
      </c>
      <c r="F132" s="8">
        <v>1</v>
      </c>
      <c r="G132" s="8" t="s">
        <v>82</v>
      </c>
      <c r="H132" s="8">
        <v>0</v>
      </c>
      <c r="I132" s="10"/>
      <c r="J132" s="8">
        <v>1</v>
      </c>
      <c r="K132" s="10">
        <v>4.71</v>
      </c>
      <c r="L132" s="11">
        <f>IF(AND(ISNUMBER(K132),ISNUMBER(D132)),IF(D132&lt;&gt;0,K132/ABS(D132),""),"")</f>
        <v>4.1018941868060092E-2</v>
      </c>
      <c r="M132" s="8" t="str">
        <f>IF(L132="","FCF yok",IF(L132&lt;0.01,"%1 altı",IF(L132&lt;0.05,"%1–5",IF(L132&lt;0.1,"%5–10",IF(L132&lt;0.25,"%10–25","%25 üstü")))))</f>
        <v>%1–5</v>
      </c>
      <c r="N132" s="8" t="str">
        <f>IF(OR(C132="NULL",C132="KOŞULLU"),C132,IF(OR(F132=1,H132=1),"KOŞULLU",C132))</f>
        <v>KOŞULLU</v>
      </c>
      <c r="O132" s="8" t="str">
        <f>IF(OR(C132="NULL",C132="KOŞULLU"),C132,IF(H132=1,"KOŞULLU",C132))</f>
        <v>KESİN</v>
      </c>
      <c r="P132" s="8">
        <f>IF(N132&lt;&gt;C132,1,0)</f>
        <v>1</v>
      </c>
      <c r="Q132" s="8">
        <f>IF(O132&lt;&gt;C132,1,0)</f>
        <v>0</v>
      </c>
    </row>
    <row r="133" spans="1:17" x14ac:dyDescent="0.2">
      <c r="A133" s="8" t="s">
        <v>360</v>
      </c>
      <c r="B133" s="8" t="s">
        <v>205</v>
      </c>
      <c r="C133" s="8" t="s">
        <v>204</v>
      </c>
      <c r="D133" s="10">
        <v>115.94199999999999</v>
      </c>
      <c r="E133" s="10">
        <v>480.41199999999998</v>
      </c>
      <c r="F133" s="8">
        <v>1</v>
      </c>
      <c r="G133" s="8" t="s">
        <v>82</v>
      </c>
      <c r="H133" s="8">
        <v>0</v>
      </c>
      <c r="I133" s="10"/>
      <c r="J133" s="8">
        <v>1</v>
      </c>
      <c r="K133" s="10">
        <v>2.0099999999999998</v>
      </c>
      <c r="L133" s="11">
        <f>IF(AND(ISNUMBER(K133),ISNUMBER(D133)),IF(D133&lt;&gt;0,K133/ABS(D133),""),"")</f>
        <v>1.7336254334063581E-2</v>
      </c>
      <c r="M133" s="8" t="str">
        <f>IF(L133="","FCF yok",IF(L133&lt;0.01,"%1 altı",IF(L133&lt;0.05,"%1–5",IF(L133&lt;0.1,"%5–10",IF(L133&lt;0.25,"%10–25","%25 üstü")))))</f>
        <v>%1–5</v>
      </c>
      <c r="N133" s="8" t="str">
        <f>IF(OR(C133="NULL",C133="KOŞULLU"),C133,IF(OR(F133=1,H133=1),"KOŞULLU",C133))</f>
        <v>KOŞULLU</v>
      </c>
      <c r="O133" s="8" t="str">
        <f>IF(OR(C133="NULL",C133="KOŞULLU"),C133,IF(H133=1,"KOŞULLU",C133))</f>
        <v>KESİN</v>
      </c>
      <c r="P133" s="8">
        <f>IF(N133&lt;&gt;C133,1,0)</f>
        <v>1</v>
      </c>
      <c r="Q133" s="8">
        <f>IF(O133&lt;&gt;C133,1,0)</f>
        <v>0</v>
      </c>
    </row>
    <row r="134" spans="1:17" x14ac:dyDescent="0.2">
      <c r="A134" s="8" t="s">
        <v>363</v>
      </c>
      <c r="B134" s="8" t="s">
        <v>203</v>
      </c>
      <c r="C134" s="8" t="s">
        <v>204</v>
      </c>
      <c r="D134" s="10">
        <v>128.483</v>
      </c>
      <c r="E134" s="10">
        <v>1443.729</v>
      </c>
      <c r="F134" s="8">
        <v>1</v>
      </c>
      <c r="G134" s="8" t="s">
        <v>82</v>
      </c>
      <c r="H134" s="8">
        <v>0</v>
      </c>
      <c r="I134" s="10"/>
      <c r="J134" s="8">
        <v>0</v>
      </c>
      <c r="K134" s="10">
        <v>72.119</v>
      </c>
      <c r="L134" s="11">
        <f>IF(AND(ISNUMBER(K134),ISNUMBER(D134)),IF(D134&lt;&gt;0,K134/ABS(D134),""),"")</f>
        <v>0.5613116132095296</v>
      </c>
      <c r="M134" s="8" t="str">
        <f>IF(L134="","FCF yok",IF(L134&lt;0.01,"%1 altı",IF(L134&lt;0.05,"%1–5",IF(L134&lt;0.1,"%5–10",IF(L134&lt;0.25,"%10–25","%25 üstü")))))</f>
        <v>%25 üstü</v>
      </c>
      <c r="N134" s="8" t="str">
        <f>IF(OR(C134="NULL",C134="KOŞULLU"),C134,IF(OR(F134=1,H134=1),"KOŞULLU",C134))</f>
        <v>KOŞULLU</v>
      </c>
      <c r="O134" s="8" t="str">
        <f>IF(OR(C134="NULL",C134="KOŞULLU"),C134,IF(H134=1,"KOŞULLU",C134))</f>
        <v>KESİN</v>
      </c>
      <c r="P134" s="8">
        <f>IF(N134&lt;&gt;C134,1,0)</f>
        <v>1</v>
      </c>
      <c r="Q134" s="8">
        <f>IF(O134&lt;&gt;C134,1,0)</f>
        <v>0</v>
      </c>
    </row>
    <row r="135" spans="1:17" x14ac:dyDescent="0.2">
      <c r="A135" s="8" t="s">
        <v>363</v>
      </c>
      <c r="B135" s="8" t="s">
        <v>205</v>
      </c>
      <c r="C135" s="8" t="s">
        <v>204</v>
      </c>
      <c r="D135" s="10">
        <v>452.84899999999999</v>
      </c>
      <c r="E135" s="10">
        <v>1850.223</v>
      </c>
      <c r="F135" s="8">
        <v>1</v>
      </c>
      <c r="G135" s="8" t="s">
        <v>82</v>
      </c>
      <c r="H135" s="8">
        <v>0</v>
      </c>
      <c r="I135" s="10"/>
      <c r="J135" s="8">
        <v>0</v>
      </c>
      <c r="K135" s="10">
        <v>17.863</v>
      </c>
      <c r="L135" s="11">
        <f>IF(AND(ISNUMBER(K135),ISNUMBER(D135)),IF(D135&lt;&gt;0,K135/ABS(D135),""),"")</f>
        <v>3.9445819688240451E-2</v>
      </c>
      <c r="M135" s="8" t="str">
        <f>IF(L135="","FCF yok",IF(L135&lt;0.01,"%1 altı",IF(L135&lt;0.05,"%1–5",IF(L135&lt;0.1,"%5–10",IF(L135&lt;0.25,"%10–25","%25 üstü")))))</f>
        <v>%1–5</v>
      </c>
      <c r="N135" s="8" t="str">
        <f>IF(OR(C135="NULL",C135="KOŞULLU"),C135,IF(OR(F135=1,H135=1),"KOŞULLU",C135))</f>
        <v>KOŞULLU</v>
      </c>
      <c r="O135" s="8" t="str">
        <f>IF(OR(C135="NULL",C135="KOŞULLU"),C135,IF(H135=1,"KOŞULLU",C135))</f>
        <v>KESİN</v>
      </c>
      <c r="P135" s="8">
        <f>IF(N135&lt;&gt;C135,1,0)</f>
        <v>1</v>
      </c>
      <c r="Q135" s="8">
        <f>IF(O135&lt;&gt;C135,1,0)</f>
        <v>0</v>
      </c>
    </row>
    <row r="136" spans="1:17" x14ac:dyDescent="0.2">
      <c r="A136" s="8" t="s">
        <v>363</v>
      </c>
      <c r="B136" s="8" t="s">
        <v>215</v>
      </c>
      <c r="C136" s="8" t="s">
        <v>204</v>
      </c>
      <c r="D136" s="10">
        <v>-417.786</v>
      </c>
      <c r="E136" s="10">
        <v>776.32</v>
      </c>
      <c r="F136" s="8">
        <v>1</v>
      </c>
      <c r="G136" s="8" t="s">
        <v>82</v>
      </c>
      <c r="H136" s="8">
        <v>0</v>
      </c>
      <c r="I136" s="10"/>
      <c r="J136" s="8">
        <v>0</v>
      </c>
      <c r="K136" s="10">
        <v>17.094000000000001</v>
      </c>
      <c r="L136" s="11">
        <f>IF(AND(ISNUMBER(K136),ISNUMBER(D136)),IF(D136&lt;&gt;0,K136/ABS(D136),""),"")</f>
        <v>4.0915684106217064E-2</v>
      </c>
      <c r="M136" s="8" t="str">
        <f>IF(L136="","FCF yok",IF(L136&lt;0.01,"%1 altı",IF(L136&lt;0.05,"%1–5",IF(L136&lt;0.1,"%5–10",IF(L136&lt;0.25,"%10–25","%25 üstü")))))</f>
        <v>%1–5</v>
      </c>
      <c r="N136" s="8" t="str">
        <f>IF(OR(C136="NULL",C136="KOŞULLU"),C136,IF(OR(F136=1,H136=1),"KOŞULLU",C136))</f>
        <v>KOŞULLU</v>
      </c>
      <c r="O136" s="8" t="str">
        <f>IF(OR(C136="NULL",C136="KOŞULLU"),C136,IF(H136=1,"KOŞULLU",C136))</f>
        <v>KESİN</v>
      </c>
      <c r="P136" s="8">
        <f>IF(N136&lt;&gt;C136,1,0)</f>
        <v>1</v>
      </c>
      <c r="Q136" s="8">
        <f>IF(O136&lt;&gt;C136,1,0)</f>
        <v>0</v>
      </c>
    </row>
    <row r="137" spans="1:17" x14ac:dyDescent="0.2">
      <c r="A137" s="8" t="s">
        <v>363</v>
      </c>
      <c r="B137" s="8" t="s">
        <v>290</v>
      </c>
      <c r="C137" s="8" t="s">
        <v>204</v>
      </c>
      <c r="D137" s="10">
        <v>-2085.29</v>
      </c>
      <c r="E137" s="10">
        <v>-1959.172</v>
      </c>
      <c r="F137" s="8">
        <v>1</v>
      </c>
      <c r="G137" s="8" t="s">
        <v>82</v>
      </c>
      <c r="H137" s="8">
        <v>0</v>
      </c>
      <c r="I137" s="10"/>
      <c r="J137" s="8">
        <v>0</v>
      </c>
      <c r="K137" s="10">
        <v>42.972999999999999</v>
      </c>
      <c r="L137" s="11">
        <f>IF(AND(ISNUMBER(K137),ISNUMBER(D137)),IF(D137&lt;&gt;0,K137/ABS(D137),""),"")</f>
        <v>2.0607685262001928E-2</v>
      </c>
      <c r="M137" s="8" t="str">
        <f>IF(L137="","FCF yok",IF(L137&lt;0.01,"%1 altı",IF(L137&lt;0.05,"%1–5",IF(L137&lt;0.1,"%5–10",IF(L137&lt;0.25,"%10–25","%25 üstü")))))</f>
        <v>%1–5</v>
      </c>
      <c r="N137" s="8" t="str">
        <f>IF(OR(C137="NULL",C137="KOŞULLU"),C137,IF(OR(F137=1,H137=1),"KOŞULLU",C137))</f>
        <v>KOŞULLU</v>
      </c>
      <c r="O137" s="8" t="str">
        <f>IF(OR(C137="NULL",C137="KOŞULLU"),C137,IF(H137=1,"KOŞULLU",C137))</f>
        <v>KESİN</v>
      </c>
      <c r="P137" s="8">
        <f>IF(N137&lt;&gt;C137,1,0)</f>
        <v>1</v>
      </c>
      <c r="Q137" s="8">
        <f>IF(O137&lt;&gt;C137,1,0)</f>
        <v>0</v>
      </c>
    </row>
    <row r="138" spans="1:17" x14ac:dyDescent="0.2">
      <c r="A138" s="8" t="s">
        <v>363</v>
      </c>
      <c r="B138" s="8" t="s">
        <v>208</v>
      </c>
      <c r="C138" s="8" t="s">
        <v>204</v>
      </c>
      <c r="D138" s="10">
        <v>-1956.5840000000001</v>
      </c>
      <c r="E138" s="10">
        <v>-1808.7370000000001</v>
      </c>
      <c r="F138" s="8">
        <v>1</v>
      </c>
      <c r="G138" s="8" t="s">
        <v>82</v>
      </c>
      <c r="H138" s="8">
        <v>0</v>
      </c>
      <c r="I138" s="10"/>
      <c r="J138" s="8">
        <v>0</v>
      </c>
      <c r="K138" s="10">
        <v>42.972999999999999</v>
      </c>
      <c r="L138" s="11">
        <f>IF(AND(ISNUMBER(K138),ISNUMBER(D138)),IF(D138&lt;&gt;0,K138/ABS(D138),""),"")</f>
        <v>2.1963278857437245E-2</v>
      </c>
      <c r="M138" s="8" t="str">
        <f>IF(L138="","FCF yok",IF(L138&lt;0.01,"%1 altı",IF(L138&lt;0.05,"%1–5",IF(L138&lt;0.1,"%5–10",IF(L138&lt;0.25,"%10–25","%25 üstü")))))</f>
        <v>%1–5</v>
      </c>
      <c r="N138" s="8" t="str">
        <f>IF(OR(C138="NULL",C138="KOŞULLU"),C138,IF(OR(F138=1,H138=1),"KOŞULLU",C138))</f>
        <v>KOŞULLU</v>
      </c>
      <c r="O138" s="8" t="str">
        <f>IF(OR(C138="NULL",C138="KOŞULLU"),C138,IF(H138=1,"KOŞULLU",C138))</f>
        <v>KESİN</v>
      </c>
      <c r="P138" s="8">
        <f>IF(N138&lt;&gt;C138,1,0)</f>
        <v>1</v>
      </c>
      <c r="Q138" s="8">
        <f>IF(O138&lt;&gt;C138,1,0)</f>
        <v>0</v>
      </c>
    </row>
    <row r="139" spans="1:17" x14ac:dyDescent="0.2">
      <c r="A139" s="8" t="s">
        <v>363</v>
      </c>
      <c r="B139" s="8" t="s">
        <v>210</v>
      </c>
      <c r="C139" s="8" t="s">
        <v>204</v>
      </c>
      <c r="D139" s="10">
        <v>-2527.0039999999999</v>
      </c>
      <c r="E139" s="10">
        <v>-2356.5169999999998</v>
      </c>
      <c r="F139" s="8">
        <v>1</v>
      </c>
      <c r="G139" s="8" t="s">
        <v>82</v>
      </c>
      <c r="H139" s="8">
        <v>0</v>
      </c>
      <c r="I139" s="10"/>
      <c r="J139" s="8">
        <v>0</v>
      </c>
      <c r="K139" s="10">
        <v>42.972999999999999</v>
      </c>
      <c r="L139" s="11">
        <f>IF(AND(ISNUMBER(K139),ISNUMBER(D139)),IF(D139&lt;&gt;0,K139/ABS(D139),""),"")</f>
        <v>1.7005513248099329E-2</v>
      </c>
      <c r="M139" s="8" t="str">
        <f>IF(L139="","FCF yok",IF(L139&lt;0.01,"%1 altı",IF(L139&lt;0.05,"%1–5",IF(L139&lt;0.1,"%5–10",IF(L139&lt;0.25,"%10–25","%25 üstü")))))</f>
        <v>%1–5</v>
      </c>
      <c r="N139" s="8" t="str">
        <f>IF(OR(C139="NULL",C139="KOŞULLU"),C139,IF(OR(F139=1,H139=1),"KOŞULLU",C139))</f>
        <v>KOŞULLU</v>
      </c>
      <c r="O139" s="8" t="str">
        <f>IF(OR(C139="NULL",C139="KOŞULLU"),C139,IF(H139=1,"KOŞULLU",C139))</f>
        <v>KESİN</v>
      </c>
      <c r="P139" s="8">
        <f>IF(N139&lt;&gt;C139,1,0)</f>
        <v>1</v>
      </c>
      <c r="Q139" s="8">
        <f>IF(O139&lt;&gt;C139,1,0)</f>
        <v>0</v>
      </c>
    </row>
    <row r="140" spans="1:17" x14ac:dyDescent="0.2">
      <c r="A140" s="8" t="s">
        <v>370</v>
      </c>
      <c r="B140" s="8" t="s">
        <v>203</v>
      </c>
      <c r="C140" s="8" t="s">
        <v>204</v>
      </c>
      <c r="D140" s="10">
        <v>156.46899999999999</v>
      </c>
      <c r="E140" s="10">
        <v>156.46899999999999</v>
      </c>
      <c r="F140" s="8">
        <v>0</v>
      </c>
      <c r="G140" s="10"/>
      <c r="H140" s="8">
        <v>1</v>
      </c>
      <c r="I140" s="8" t="s">
        <v>83</v>
      </c>
      <c r="J140" s="8">
        <v>0</v>
      </c>
      <c r="K140" s="10">
        <v>1089.2529999999999</v>
      </c>
      <c r="L140" s="11">
        <f>IF(AND(ISNUMBER(K140),ISNUMBER(D140)),IF(D140&lt;&gt;0,K140/ABS(D140),""),"")</f>
        <v>6.9614620148400004</v>
      </c>
      <c r="M140" s="8" t="str">
        <f>IF(L140="","FCF yok",IF(L140&lt;0.01,"%1 altı",IF(L140&lt;0.05,"%1–5",IF(L140&lt;0.1,"%5–10",IF(L140&lt;0.25,"%10–25","%25 üstü")))))</f>
        <v>%25 üstü</v>
      </c>
      <c r="N140" s="8" t="str">
        <f>IF(OR(C140="NULL",C140="KOŞULLU"),C140,IF(OR(F140=1,H140=1),"KOŞULLU",C140))</f>
        <v>KOŞULLU</v>
      </c>
      <c r="O140" s="8" t="str">
        <f>IF(OR(C140="NULL",C140="KOŞULLU"),C140,IF(H140=1,"KOŞULLU",C140))</f>
        <v>KOŞULLU</v>
      </c>
      <c r="P140" s="8">
        <f>IF(N140&lt;&gt;C140,1,0)</f>
        <v>1</v>
      </c>
      <c r="Q140" s="8">
        <f>IF(O140&lt;&gt;C140,1,0)</f>
        <v>1</v>
      </c>
    </row>
    <row r="141" spans="1:17" x14ac:dyDescent="0.2">
      <c r="A141" s="8" t="s">
        <v>373</v>
      </c>
      <c r="B141" s="8" t="s">
        <v>215</v>
      </c>
      <c r="C141" s="8" t="s">
        <v>207</v>
      </c>
      <c r="D141" s="10"/>
      <c r="E141" s="10">
        <v>188.11500000000001</v>
      </c>
      <c r="F141" s="8">
        <v>0</v>
      </c>
      <c r="G141" s="10"/>
      <c r="H141" s="8">
        <v>1</v>
      </c>
      <c r="I141" s="8" t="s">
        <v>83</v>
      </c>
      <c r="J141" s="8">
        <v>0</v>
      </c>
      <c r="K141" s="10">
        <v>698.64700000000005</v>
      </c>
      <c r="L141" s="11" t="str">
        <f>IF(AND(ISNUMBER(K141),ISNUMBER(D141)),IF(D141&lt;&gt;0,K141/ABS(D141),""),"")</f>
        <v/>
      </c>
      <c r="M141" s="8" t="str">
        <f>IF(L141="","FCF yok",IF(L141&lt;0.01,"%1 altı",IF(L141&lt;0.05,"%1–5",IF(L141&lt;0.1,"%5–10",IF(L141&lt;0.25,"%10–25","%25 üstü")))))</f>
        <v>FCF yok</v>
      </c>
      <c r="N141" s="8" t="str">
        <f>IF(OR(C141="NULL",C141="KOŞULLU"),C141,IF(OR(F141=1,H141=1),"KOŞULLU",C141))</f>
        <v>NULL</v>
      </c>
      <c r="O141" s="8" t="str">
        <f>IF(OR(C141="NULL",C141="KOŞULLU"),C141,IF(H141=1,"KOŞULLU",C141))</f>
        <v>NULL</v>
      </c>
      <c r="P141" s="8">
        <f>IF(N141&lt;&gt;C141,1,0)</f>
        <v>0</v>
      </c>
      <c r="Q141" s="8">
        <f>IF(O141&lt;&gt;C141,1,0)</f>
        <v>0</v>
      </c>
    </row>
    <row r="142" spans="1:17" x14ac:dyDescent="0.2">
      <c r="A142" s="8" t="s">
        <v>374</v>
      </c>
      <c r="B142" s="8" t="s">
        <v>215</v>
      </c>
      <c r="C142" s="8" t="s">
        <v>204</v>
      </c>
      <c r="D142" s="10">
        <v>-15.9109999999999</v>
      </c>
      <c r="E142" s="10">
        <v>270.81700000000001</v>
      </c>
      <c r="F142" s="8">
        <v>0</v>
      </c>
      <c r="G142" s="10"/>
      <c r="H142" s="8">
        <v>1</v>
      </c>
      <c r="I142" s="8" t="s">
        <v>83</v>
      </c>
      <c r="J142" s="8">
        <v>0</v>
      </c>
      <c r="K142" s="10">
        <v>21.391999999999999</v>
      </c>
      <c r="L142" s="11">
        <f>IF(AND(ISNUMBER(K142),ISNUMBER(D142)),IF(D142&lt;&gt;0,K142/ABS(D142),""),"")</f>
        <v>1.3444786625605012</v>
      </c>
      <c r="M142" s="8" t="str">
        <f>IF(L142="","FCF yok",IF(L142&lt;0.01,"%1 altı",IF(L142&lt;0.05,"%1–5",IF(L142&lt;0.1,"%5–10",IF(L142&lt;0.25,"%10–25","%25 üstü")))))</f>
        <v>%25 üstü</v>
      </c>
      <c r="N142" s="8" t="str">
        <f>IF(OR(C142="NULL",C142="KOŞULLU"),C142,IF(OR(F142=1,H142=1),"KOŞULLU",C142))</f>
        <v>KOŞULLU</v>
      </c>
      <c r="O142" s="8" t="str">
        <f>IF(OR(C142="NULL",C142="KOŞULLU"),C142,IF(H142=1,"KOŞULLU",C142))</f>
        <v>KOŞULLU</v>
      </c>
      <c r="P142" s="8">
        <f>IF(N142&lt;&gt;C142,1,0)</f>
        <v>1</v>
      </c>
      <c r="Q142" s="8">
        <f>IF(O142&lt;&gt;C142,1,0)</f>
        <v>1</v>
      </c>
    </row>
    <row r="143" spans="1:17" x14ac:dyDescent="0.2">
      <c r="A143" s="8" t="s">
        <v>374</v>
      </c>
      <c r="B143" s="8" t="s">
        <v>208</v>
      </c>
      <c r="C143" s="8" t="s">
        <v>204</v>
      </c>
      <c r="D143" s="10">
        <v>-10.759</v>
      </c>
      <c r="E143" s="10">
        <v>295.63299999999998</v>
      </c>
      <c r="F143" s="8">
        <v>0</v>
      </c>
      <c r="G143" s="10"/>
      <c r="H143" s="8">
        <v>1</v>
      </c>
      <c r="I143" s="8" t="s">
        <v>82</v>
      </c>
      <c r="J143" s="8">
        <v>0</v>
      </c>
      <c r="K143" s="10">
        <v>2.38</v>
      </c>
      <c r="L143" s="11">
        <f>IF(AND(ISNUMBER(K143),ISNUMBER(D143)),IF(D143&lt;&gt;0,K143/ABS(D143),""),"")</f>
        <v>0.22121014964216004</v>
      </c>
      <c r="M143" s="8" t="str">
        <f>IF(L143="","FCF yok",IF(L143&lt;0.01,"%1 altı",IF(L143&lt;0.05,"%1–5",IF(L143&lt;0.1,"%5–10",IF(L143&lt;0.25,"%10–25","%25 üstü")))))</f>
        <v>%10–25</v>
      </c>
      <c r="N143" s="8" t="str">
        <f>IF(OR(C143="NULL",C143="KOŞULLU"),C143,IF(OR(F143=1,H143=1),"KOŞULLU",C143))</f>
        <v>KOŞULLU</v>
      </c>
      <c r="O143" s="8" t="str">
        <f>IF(OR(C143="NULL",C143="KOŞULLU"),C143,IF(H143=1,"KOŞULLU",C143))</f>
        <v>KOŞULLU</v>
      </c>
      <c r="P143" s="8">
        <f>IF(N143&lt;&gt;C143,1,0)</f>
        <v>1</v>
      </c>
      <c r="Q143" s="8">
        <f>IF(O143&lt;&gt;C143,1,0)</f>
        <v>1</v>
      </c>
    </row>
    <row r="144" spans="1:17" x14ac:dyDescent="0.2">
      <c r="A144" s="8" t="s">
        <v>374</v>
      </c>
      <c r="B144" s="8" t="s">
        <v>210</v>
      </c>
      <c r="C144" s="8" t="s">
        <v>204</v>
      </c>
      <c r="D144" s="10">
        <v>-51.768000000000001</v>
      </c>
      <c r="E144" s="10">
        <v>258.56099999999998</v>
      </c>
      <c r="F144" s="8">
        <v>0</v>
      </c>
      <c r="G144" s="10"/>
      <c r="H144" s="8">
        <v>1</v>
      </c>
      <c r="I144" s="8" t="s">
        <v>82</v>
      </c>
      <c r="J144" s="8">
        <v>0</v>
      </c>
      <c r="K144" s="10">
        <v>2.181</v>
      </c>
      <c r="L144" s="11">
        <f>IF(AND(ISNUMBER(K144),ISNUMBER(D144)),IF(D144&lt;&gt;0,K144/ABS(D144),""),"")</f>
        <v>4.2130273528048212E-2</v>
      </c>
      <c r="M144" s="8" t="str">
        <f>IF(L144="","FCF yok",IF(L144&lt;0.01,"%1 altı",IF(L144&lt;0.05,"%1–5",IF(L144&lt;0.1,"%5–10",IF(L144&lt;0.25,"%10–25","%25 üstü")))))</f>
        <v>%1–5</v>
      </c>
      <c r="N144" s="8" t="str">
        <f>IF(OR(C144="NULL",C144="KOŞULLU"),C144,IF(OR(F144=1,H144=1),"KOŞULLU",C144))</f>
        <v>KOŞULLU</v>
      </c>
      <c r="O144" s="8" t="str">
        <f>IF(OR(C144="NULL",C144="KOŞULLU"),C144,IF(H144=1,"KOŞULLU",C144))</f>
        <v>KOŞULLU</v>
      </c>
      <c r="P144" s="8">
        <f>IF(N144&lt;&gt;C144,1,0)</f>
        <v>1</v>
      </c>
      <c r="Q144" s="8">
        <f>IF(O144&lt;&gt;C144,1,0)</f>
        <v>1</v>
      </c>
    </row>
    <row r="145" spans="1:17" x14ac:dyDescent="0.2">
      <c r="A145" s="8" t="s">
        <v>376</v>
      </c>
      <c r="B145" s="8" t="s">
        <v>215</v>
      </c>
      <c r="C145" s="8" t="s">
        <v>207</v>
      </c>
      <c r="D145" s="10"/>
      <c r="E145" s="10"/>
      <c r="F145" s="8">
        <v>1</v>
      </c>
      <c r="G145" s="8" t="s">
        <v>748</v>
      </c>
      <c r="H145" s="8">
        <v>0</v>
      </c>
      <c r="I145" s="10"/>
      <c r="J145" s="8">
        <v>0</v>
      </c>
      <c r="K145" s="10">
        <v>1809.1030000000001</v>
      </c>
      <c r="L145" s="11" t="str">
        <f>IF(AND(ISNUMBER(K145),ISNUMBER(D145)),IF(D145&lt;&gt;0,K145/ABS(D145),""),"")</f>
        <v/>
      </c>
      <c r="M145" s="8" t="str">
        <f>IF(L145="","FCF yok",IF(L145&lt;0.01,"%1 altı",IF(L145&lt;0.05,"%1–5",IF(L145&lt;0.1,"%5–10",IF(L145&lt;0.25,"%10–25","%25 üstü")))))</f>
        <v>FCF yok</v>
      </c>
      <c r="N145" s="8" t="str">
        <f>IF(OR(C145="NULL",C145="KOŞULLU"),C145,IF(OR(F145=1,H145=1),"KOŞULLU",C145))</f>
        <v>NULL</v>
      </c>
      <c r="O145" s="8" t="str">
        <f>IF(OR(C145="NULL",C145="KOŞULLU"),C145,IF(H145=1,"KOŞULLU",C145))</f>
        <v>NULL</v>
      </c>
      <c r="P145" s="8">
        <f>IF(N145&lt;&gt;C145,1,0)</f>
        <v>0</v>
      </c>
      <c r="Q145" s="8">
        <f>IF(O145&lt;&gt;C145,1,0)</f>
        <v>0</v>
      </c>
    </row>
    <row r="146" spans="1:17" x14ac:dyDescent="0.2">
      <c r="A146" s="8" t="s">
        <v>380</v>
      </c>
      <c r="B146" s="8" t="s">
        <v>203</v>
      </c>
      <c r="C146" s="8" t="s">
        <v>204</v>
      </c>
      <c r="D146" s="10">
        <v>380.89800000000002</v>
      </c>
      <c r="E146" s="10">
        <v>380.89800000000002</v>
      </c>
      <c r="F146" s="8">
        <v>0</v>
      </c>
      <c r="G146" s="10"/>
      <c r="H146" s="8">
        <v>1</v>
      </c>
      <c r="I146" s="8" t="s">
        <v>83</v>
      </c>
      <c r="J146" s="8">
        <v>0</v>
      </c>
      <c r="K146" s="10">
        <v>33.146000000000001</v>
      </c>
      <c r="L146" s="11">
        <f>IF(AND(ISNUMBER(K146),ISNUMBER(D146)),IF(D146&lt;&gt;0,K146/ABS(D146),""),"")</f>
        <v>8.7020672200956689E-2</v>
      </c>
      <c r="M146" s="8" t="str">
        <f>IF(L146="","FCF yok",IF(L146&lt;0.01,"%1 altı",IF(L146&lt;0.05,"%1–5",IF(L146&lt;0.1,"%5–10",IF(L146&lt;0.25,"%10–25","%25 üstü")))))</f>
        <v>%5–10</v>
      </c>
      <c r="N146" s="8" t="str">
        <f>IF(OR(C146="NULL",C146="KOŞULLU"),C146,IF(OR(F146=1,H146=1),"KOŞULLU",C146))</f>
        <v>KOŞULLU</v>
      </c>
      <c r="O146" s="8" t="str">
        <f>IF(OR(C146="NULL",C146="KOŞULLU"),C146,IF(H146=1,"KOŞULLU",C146))</f>
        <v>KOŞULLU</v>
      </c>
      <c r="P146" s="8">
        <f>IF(N146&lt;&gt;C146,1,0)</f>
        <v>1</v>
      </c>
      <c r="Q146" s="8">
        <f>IF(O146&lt;&gt;C146,1,0)</f>
        <v>1</v>
      </c>
    </row>
    <row r="147" spans="1:17" x14ac:dyDescent="0.2">
      <c r="A147" s="8" t="s">
        <v>380</v>
      </c>
      <c r="B147" s="8" t="s">
        <v>205</v>
      </c>
      <c r="C147" s="8" t="s">
        <v>204</v>
      </c>
      <c r="D147" s="10">
        <v>-77.343999999999994</v>
      </c>
      <c r="E147" s="10">
        <v>-77.343999999999994</v>
      </c>
      <c r="F147" s="8">
        <v>0</v>
      </c>
      <c r="G147" s="10"/>
      <c r="H147" s="8">
        <v>1</v>
      </c>
      <c r="I147" s="8" t="s">
        <v>83</v>
      </c>
      <c r="J147" s="8">
        <v>0</v>
      </c>
      <c r="K147" s="10">
        <v>82.995000000000005</v>
      </c>
      <c r="L147" s="11">
        <f>IF(AND(ISNUMBER(K147),ISNUMBER(D147)),IF(D147&lt;&gt;0,K147/ABS(D147),""),"")</f>
        <v>1.0730631981795615</v>
      </c>
      <c r="M147" s="8" t="str">
        <f>IF(L147="","FCF yok",IF(L147&lt;0.01,"%1 altı",IF(L147&lt;0.05,"%1–5",IF(L147&lt;0.1,"%5–10",IF(L147&lt;0.25,"%10–25","%25 üstü")))))</f>
        <v>%25 üstü</v>
      </c>
      <c r="N147" s="8" t="str">
        <f>IF(OR(C147="NULL",C147="KOŞULLU"),C147,IF(OR(F147=1,H147=1),"KOŞULLU",C147))</f>
        <v>KOŞULLU</v>
      </c>
      <c r="O147" s="8" t="str">
        <f>IF(OR(C147="NULL",C147="KOŞULLU"),C147,IF(H147=1,"KOŞULLU",C147))</f>
        <v>KOŞULLU</v>
      </c>
      <c r="P147" s="8">
        <f>IF(N147&lt;&gt;C147,1,0)</f>
        <v>1</v>
      </c>
      <c r="Q147" s="8">
        <f>IF(O147&lt;&gt;C147,1,0)</f>
        <v>1</v>
      </c>
    </row>
    <row r="148" spans="1:17" x14ac:dyDescent="0.2">
      <c r="A148" s="8" t="s">
        <v>380</v>
      </c>
      <c r="B148" s="8" t="s">
        <v>215</v>
      </c>
      <c r="C148" s="8" t="s">
        <v>204</v>
      </c>
      <c r="D148" s="10">
        <v>-9.1479999999999997</v>
      </c>
      <c r="E148" s="10">
        <v>-9.1479999999999997</v>
      </c>
      <c r="F148" s="8">
        <v>0</v>
      </c>
      <c r="G148" s="10"/>
      <c r="H148" s="8">
        <v>1</v>
      </c>
      <c r="I148" s="8" t="s">
        <v>83</v>
      </c>
      <c r="J148" s="8">
        <v>0</v>
      </c>
      <c r="K148" s="10">
        <v>122.822</v>
      </c>
      <c r="L148" s="11">
        <f>IF(AND(ISNUMBER(K148),ISNUMBER(D148)),IF(D148&lt;&gt;0,K148/ABS(D148),""),"")</f>
        <v>13.426104066462615</v>
      </c>
      <c r="M148" s="8" t="str">
        <f>IF(L148="","FCF yok",IF(L148&lt;0.01,"%1 altı",IF(L148&lt;0.05,"%1–5",IF(L148&lt;0.1,"%5–10",IF(L148&lt;0.25,"%10–25","%25 üstü")))))</f>
        <v>%25 üstü</v>
      </c>
      <c r="N148" s="8" t="str">
        <f>IF(OR(C148="NULL",C148="KOŞULLU"),C148,IF(OR(F148=1,H148=1),"KOŞULLU",C148))</f>
        <v>KOŞULLU</v>
      </c>
      <c r="O148" s="8" t="str">
        <f>IF(OR(C148="NULL",C148="KOŞULLU"),C148,IF(H148=1,"KOŞULLU",C148))</f>
        <v>KOŞULLU</v>
      </c>
      <c r="P148" s="8">
        <f>IF(N148&lt;&gt;C148,1,0)</f>
        <v>1</v>
      </c>
      <c r="Q148" s="8">
        <f>IF(O148&lt;&gt;C148,1,0)</f>
        <v>1</v>
      </c>
    </row>
    <row r="149" spans="1:17" x14ac:dyDescent="0.2">
      <c r="A149" s="8" t="s">
        <v>381</v>
      </c>
      <c r="B149" s="8" t="s">
        <v>215</v>
      </c>
      <c r="C149" s="8" t="s">
        <v>204</v>
      </c>
      <c r="D149" s="10">
        <v>767.8</v>
      </c>
      <c r="E149" s="10">
        <v>1895.3879999999999</v>
      </c>
      <c r="F149" s="8">
        <v>0</v>
      </c>
      <c r="G149" s="10"/>
      <c r="H149" s="8">
        <v>1</v>
      </c>
      <c r="I149" s="8" t="s">
        <v>82</v>
      </c>
      <c r="J149" s="8">
        <v>0</v>
      </c>
      <c r="K149" s="10">
        <v>259.08800000000002</v>
      </c>
      <c r="L149" s="11">
        <f>IF(AND(ISNUMBER(K149),ISNUMBER(D149)),IF(D149&lt;&gt;0,K149/ABS(D149),""),"")</f>
        <v>0.33744204219848922</v>
      </c>
      <c r="M149" s="8" t="str">
        <f>IF(L149="","FCF yok",IF(L149&lt;0.01,"%1 altı",IF(L149&lt;0.05,"%1–5",IF(L149&lt;0.1,"%5–10",IF(L149&lt;0.25,"%10–25","%25 üstü")))))</f>
        <v>%25 üstü</v>
      </c>
      <c r="N149" s="8" t="str">
        <f>IF(OR(C149="NULL",C149="KOŞULLU"),C149,IF(OR(F149=1,H149=1),"KOŞULLU",C149))</f>
        <v>KOŞULLU</v>
      </c>
      <c r="O149" s="8" t="str">
        <f>IF(OR(C149="NULL",C149="KOŞULLU"),C149,IF(H149=1,"KOŞULLU",C149))</f>
        <v>KOŞULLU</v>
      </c>
      <c r="P149" s="8">
        <f>IF(N149&lt;&gt;C149,1,0)</f>
        <v>1</v>
      </c>
      <c r="Q149" s="8">
        <f>IF(O149&lt;&gt;C149,1,0)</f>
        <v>1</v>
      </c>
    </row>
    <row r="150" spans="1:17" x14ac:dyDescent="0.2">
      <c r="A150" s="8" t="s">
        <v>382</v>
      </c>
      <c r="B150" s="8" t="s">
        <v>215</v>
      </c>
      <c r="C150" s="8" t="s">
        <v>204</v>
      </c>
      <c r="D150" s="10">
        <v>-158.29300000000001</v>
      </c>
      <c r="E150" s="10">
        <v>596.90599999999995</v>
      </c>
      <c r="F150" s="8">
        <v>1</v>
      </c>
      <c r="G150" s="8" t="s">
        <v>82</v>
      </c>
      <c r="H150" s="8">
        <v>0</v>
      </c>
      <c r="I150" s="10"/>
      <c r="J150" s="8">
        <v>1</v>
      </c>
      <c r="K150" s="10">
        <v>2.161</v>
      </c>
      <c r="L150" s="11">
        <f>IF(AND(ISNUMBER(K150),ISNUMBER(D150)),IF(D150&lt;&gt;0,K150/ABS(D150),""),"")</f>
        <v>1.3651898694193679E-2</v>
      </c>
      <c r="M150" s="8" t="str">
        <f>IF(L150="","FCF yok",IF(L150&lt;0.01,"%1 altı",IF(L150&lt;0.05,"%1–5",IF(L150&lt;0.1,"%5–10",IF(L150&lt;0.25,"%10–25","%25 üstü")))))</f>
        <v>%1–5</v>
      </c>
      <c r="N150" s="8" t="str">
        <f>IF(OR(C150="NULL",C150="KOŞULLU"),C150,IF(OR(F150=1,H150=1),"KOŞULLU",C150))</f>
        <v>KOŞULLU</v>
      </c>
      <c r="O150" s="8" t="str">
        <f>IF(OR(C150="NULL",C150="KOŞULLU"),C150,IF(H150=1,"KOŞULLU",C150))</f>
        <v>KESİN</v>
      </c>
      <c r="P150" s="8">
        <f>IF(N150&lt;&gt;C150,1,0)</f>
        <v>1</v>
      </c>
      <c r="Q150" s="8">
        <f>IF(O150&lt;&gt;C150,1,0)</f>
        <v>0</v>
      </c>
    </row>
    <row r="151" spans="1:17" x14ac:dyDescent="0.2">
      <c r="A151" s="8" t="s">
        <v>384</v>
      </c>
      <c r="B151" s="8" t="s">
        <v>203</v>
      </c>
      <c r="C151" s="8" t="s">
        <v>204</v>
      </c>
      <c r="D151" s="10">
        <v>273.84100000000001</v>
      </c>
      <c r="E151" s="10">
        <v>534.04100000000005</v>
      </c>
      <c r="F151" s="8">
        <v>0</v>
      </c>
      <c r="G151" s="10"/>
      <c r="H151" s="8">
        <v>1</v>
      </c>
      <c r="I151" s="8" t="s">
        <v>83</v>
      </c>
      <c r="J151" s="8">
        <v>0</v>
      </c>
      <c r="K151" s="10">
        <v>129.86199999999999</v>
      </c>
      <c r="L151" s="11">
        <f>IF(AND(ISNUMBER(K151),ISNUMBER(D151)),IF(D151&lt;&gt;0,K151/ABS(D151),""),"")</f>
        <v>0.4742240935433335</v>
      </c>
      <c r="M151" s="8" t="str">
        <f>IF(L151="","FCF yok",IF(L151&lt;0.01,"%1 altı",IF(L151&lt;0.05,"%1–5",IF(L151&lt;0.1,"%5–10",IF(L151&lt;0.25,"%10–25","%25 üstü")))))</f>
        <v>%25 üstü</v>
      </c>
      <c r="N151" s="8" t="str">
        <f>IF(OR(C151="NULL",C151="KOŞULLU"),C151,IF(OR(F151=1,H151=1),"KOŞULLU",C151))</f>
        <v>KOŞULLU</v>
      </c>
      <c r="O151" s="8" t="str">
        <f>IF(OR(C151="NULL",C151="KOŞULLU"),C151,IF(H151=1,"KOŞULLU",C151))</f>
        <v>KOŞULLU</v>
      </c>
      <c r="P151" s="8">
        <f>IF(N151&lt;&gt;C151,1,0)</f>
        <v>1</v>
      </c>
      <c r="Q151" s="8">
        <f>IF(O151&lt;&gt;C151,1,0)</f>
        <v>1</v>
      </c>
    </row>
    <row r="152" spans="1:17" x14ac:dyDescent="0.2">
      <c r="A152" s="8" t="s">
        <v>384</v>
      </c>
      <c r="B152" s="8" t="s">
        <v>205</v>
      </c>
      <c r="C152" s="8" t="s">
        <v>204</v>
      </c>
      <c r="D152" s="10">
        <v>487.33199999999999</v>
      </c>
      <c r="E152" s="10">
        <v>908.05899999999997</v>
      </c>
      <c r="F152" s="8">
        <v>0</v>
      </c>
      <c r="G152" s="10"/>
      <c r="H152" s="8">
        <v>1</v>
      </c>
      <c r="I152" s="8" t="s">
        <v>83</v>
      </c>
      <c r="J152" s="8">
        <v>0</v>
      </c>
      <c r="K152" s="10">
        <v>205.03800000000001</v>
      </c>
      <c r="L152" s="11">
        <f>IF(AND(ISNUMBER(K152),ISNUMBER(D152)),IF(D152&lt;&gt;0,K152/ABS(D152),""),"")</f>
        <v>0.42073576124695283</v>
      </c>
      <c r="M152" s="8" t="str">
        <f>IF(L152="","FCF yok",IF(L152&lt;0.01,"%1 altı",IF(L152&lt;0.05,"%1–5",IF(L152&lt;0.1,"%5–10",IF(L152&lt;0.25,"%10–25","%25 üstü")))))</f>
        <v>%25 üstü</v>
      </c>
      <c r="N152" s="8" t="str">
        <f>IF(OR(C152="NULL",C152="KOŞULLU"),C152,IF(OR(F152=1,H152=1),"KOŞULLU",C152))</f>
        <v>KOŞULLU</v>
      </c>
      <c r="O152" s="8" t="str">
        <f>IF(OR(C152="NULL",C152="KOŞULLU"),C152,IF(H152=1,"KOŞULLU",C152))</f>
        <v>KOŞULLU</v>
      </c>
      <c r="P152" s="8">
        <f>IF(N152&lt;&gt;C152,1,0)</f>
        <v>1</v>
      </c>
      <c r="Q152" s="8">
        <f>IF(O152&lt;&gt;C152,1,0)</f>
        <v>1</v>
      </c>
    </row>
    <row r="153" spans="1:17" x14ac:dyDescent="0.2">
      <c r="A153" s="8" t="s">
        <v>384</v>
      </c>
      <c r="B153" s="8" t="s">
        <v>215</v>
      </c>
      <c r="C153" s="8" t="s">
        <v>204</v>
      </c>
      <c r="D153" s="10">
        <v>303.98099999999999</v>
      </c>
      <c r="E153" s="10">
        <v>675.14200000000005</v>
      </c>
      <c r="F153" s="8">
        <v>0</v>
      </c>
      <c r="G153" s="10"/>
      <c r="H153" s="8">
        <v>1</v>
      </c>
      <c r="I153" s="8" t="s">
        <v>83</v>
      </c>
      <c r="J153" s="8">
        <v>0</v>
      </c>
      <c r="K153" s="10">
        <v>486.12799999999999</v>
      </c>
      <c r="L153" s="11">
        <f>IF(AND(ISNUMBER(K153),ISNUMBER(D153)),IF(D153&lt;&gt;0,K153/ABS(D153),""),"")</f>
        <v>1.5992052134837373</v>
      </c>
      <c r="M153" s="8" t="str">
        <f>IF(L153="","FCF yok",IF(L153&lt;0.01,"%1 altı",IF(L153&lt;0.05,"%1–5",IF(L153&lt;0.1,"%5–10",IF(L153&lt;0.25,"%10–25","%25 üstü")))))</f>
        <v>%25 üstü</v>
      </c>
      <c r="N153" s="8" t="str">
        <f>IF(OR(C153="NULL",C153="KOŞULLU"),C153,IF(OR(F153=1,H153=1),"KOŞULLU",C153))</f>
        <v>KOŞULLU</v>
      </c>
      <c r="O153" s="8" t="str">
        <f>IF(OR(C153="NULL",C153="KOŞULLU"),C153,IF(H153=1,"KOŞULLU",C153))</f>
        <v>KOŞULLU</v>
      </c>
      <c r="P153" s="8">
        <f>IF(N153&lt;&gt;C153,1,0)</f>
        <v>1</v>
      </c>
      <c r="Q153" s="8">
        <f>IF(O153&lt;&gt;C153,1,0)</f>
        <v>1</v>
      </c>
    </row>
    <row r="154" spans="1:17" x14ac:dyDescent="0.2">
      <c r="A154" s="8" t="s">
        <v>385</v>
      </c>
      <c r="B154" s="8" t="s">
        <v>210</v>
      </c>
      <c r="C154" s="8" t="s">
        <v>204</v>
      </c>
      <c r="D154" s="10">
        <v>1170.5730000000001</v>
      </c>
      <c r="E154" s="10">
        <v>1170.5730000000001</v>
      </c>
      <c r="F154" s="8">
        <v>0</v>
      </c>
      <c r="G154" s="10"/>
      <c r="H154" s="8">
        <v>1</v>
      </c>
      <c r="I154" s="8" t="s">
        <v>83</v>
      </c>
      <c r="J154" s="8">
        <v>0</v>
      </c>
      <c r="K154" s="10">
        <v>111.404</v>
      </c>
      <c r="L154" s="11">
        <f>IF(AND(ISNUMBER(K154),ISNUMBER(D154)),IF(D154&lt;&gt;0,K154/ABS(D154),""),"")</f>
        <v>9.5170484882190168E-2</v>
      </c>
      <c r="M154" s="8" t="str">
        <f>IF(L154="","FCF yok",IF(L154&lt;0.01,"%1 altı",IF(L154&lt;0.05,"%1–5",IF(L154&lt;0.1,"%5–10",IF(L154&lt;0.25,"%10–25","%25 üstü")))))</f>
        <v>%5–10</v>
      </c>
      <c r="N154" s="8" t="str">
        <f>IF(OR(C154="NULL",C154="KOŞULLU"),C154,IF(OR(F154=1,H154=1),"KOŞULLU",C154))</f>
        <v>KOŞULLU</v>
      </c>
      <c r="O154" s="8" t="str">
        <f>IF(OR(C154="NULL",C154="KOŞULLU"),C154,IF(H154=1,"KOŞULLU",C154))</f>
        <v>KOŞULLU</v>
      </c>
      <c r="P154" s="8">
        <f>IF(N154&lt;&gt;C154,1,0)</f>
        <v>1</v>
      </c>
      <c r="Q154" s="8">
        <f>IF(O154&lt;&gt;C154,1,0)</f>
        <v>1</v>
      </c>
    </row>
    <row r="155" spans="1:17" x14ac:dyDescent="0.2">
      <c r="A155" s="8" t="s">
        <v>386</v>
      </c>
      <c r="B155" s="8" t="s">
        <v>205</v>
      </c>
      <c r="C155" s="8" t="s">
        <v>204</v>
      </c>
      <c r="D155" s="10">
        <v>-268.76299999999998</v>
      </c>
      <c r="E155" s="10">
        <v>531.625</v>
      </c>
      <c r="F155" s="8">
        <v>0</v>
      </c>
      <c r="G155" s="10"/>
      <c r="H155" s="8">
        <v>1</v>
      </c>
      <c r="I155" s="8" t="s">
        <v>82</v>
      </c>
      <c r="J155" s="8">
        <v>0</v>
      </c>
      <c r="K155" s="10">
        <v>11.804</v>
      </c>
      <c r="L155" s="11">
        <f>IF(AND(ISNUMBER(K155),ISNUMBER(D155)),IF(D155&lt;&gt;0,K155/ABS(D155),""),"")</f>
        <v>4.3919735975562119E-2</v>
      </c>
      <c r="M155" s="8" t="str">
        <f>IF(L155="","FCF yok",IF(L155&lt;0.01,"%1 altı",IF(L155&lt;0.05,"%1–5",IF(L155&lt;0.1,"%5–10",IF(L155&lt;0.25,"%10–25","%25 üstü")))))</f>
        <v>%1–5</v>
      </c>
      <c r="N155" s="8" t="str">
        <f>IF(OR(C155="NULL",C155="KOŞULLU"),C155,IF(OR(F155=1,H155=1),"KOŞULLU",C155))</f>
        <v>KOŞULLU</v>
      </c>
      <c r="O155" s="8" t="str">
        <f>IF(OR(C155="NULL",C155="KOŞULLU"),C155,IF(H155=1,"KOŞULLU",C155))</f>
        <v>KOŞULLU</v>
      </c>
      <c r="P155" s="8">
        <f>IF(N155&lt;&gt;C155,1,0)</f>
        <v>1</v>
      </c>
      <c r="Q155" s="8">
        <f>IF(O155&lt;&gt;C155,1,0)</f>
        <v>1</v>
      </c>
    </row>
    <row r="156" spans="1:17" x14ac:dyDescent="0.2">
      <c r="A156" s="8" t="s">
        <v>386</v>
      </c>
      <c r="B156" s="8" t="s">
        <v>215</v>
      </c>
      <c r="C156" s="8" t="s">
        <v>204</v>
      </c>
      <c r="D156" s="10">
        <v>-504.47800000000001</v>
      </c>
      <c r="E156" s="10">
        <v>577.86099999999999</v>
      </c>
      <c r="F156" s="8">
        <v>0</v>
      </c>
      <c r="G156" s="10"/>
      <c r="H156" s="8">
        <v>1</v>
      </c>
      <c r="I156" s="8" t="s">
        <v>82</v>
      </c>
      <c r="J156" s="8">
        <v>0</v>
      </c>
      <c r="K156" s="10">
        <v>16.5</v>
      </c>
      <c r="L156" s="11">
        <f>IF(AND(ISNUMBER(K156),ISNUMBER(D156)),IF(D156&lt;&gt;0,K156/ABS(D156),""),"")</f>
        <v>3.270707543242718E-2</v>
      </c>
      <c r="M156" s="8" t="str">
        <f>IF(L156="","FCF yok",IF(L156&lt;0.01,"%1 altı",IF(L156&lt;0.05,"%1–5",IF(L156&lt;0.1,"%5–10",IF(L156&lt;0.25,"%10–25","%25 üstü")))))</f>
        <v>%1–5</v>
      </c>
      <c r="N156" s="8" t="str">
        <f>IF(OR(C156="NULL",C156="KOŞULLU"),C156,IF(OR(F156=1,H156=1),"KOŞULLU",C156))</f>
        <v>KOŞULLU</v>
      </c>
      <c r="O156" s="8" t="str">
        <f>IF(OR(C156="NULL",C156="KOŞULLU"),C156,IF(H156=1,"KOŞULLU",C156))</f>
        <v>KOŞULLU</v>
      </c>
      <c r="P156" s="8">
        <f>IF(N156&lt;&gt;C156,1,0)</f>
        <v>1</v>
      </c>
      <c r="Q156" s="8">
        <f>IF(O156&lt;&gt;C156,1,0)</f>
        <v>1</v>
      </c>
    </row>
    <row r="157" spans="1:17" x14ac:dyDescent="0.2">
      <c r="A157" s="8" t="s">
        <v>386</v>
      </c>
      <c r="B157" s="8" t="s">
        <v>208</v>
      </c>
      <c r="C157" s="8" t="s">
        <v>204</v>
      </c>
      <c r="D157" s="10">
        <v>-151.49199999999999</v>
      </c>
      <c r="E157" s="10">
        <v>-60.908999999999999</v>
      </c>
      <c r="F157" s="8">
        <v>0</v>
      </c>
      <c r="G157" s="10"/>
      <c r="H157" s="8">
        <v>1</v>
      </c>
      <c r="I157" s="8" t="s">
        <v>82</v>
      </c>
      <c r="J157" s="8">
        <v>0</v>
      </c>
      <c r="K157" s="10">
        <v>129.596</v>
      </c>
      <c r="L157" s="11">
        <f>IF(AND(ISNUMBER(K157),ISNUMBER(D157)),IF(D157&lt;&gt;0,K157/ABS(D157),""),"")</f>
        <v>0.855464314947324</v>
      </c>
      <c r="M157" s="8" t="str">
        <f>IF(L157="","FCF yok",IF(L157&lt;0.01,"%1 altı",IF(L157&lt;0.05,"%1–5",IF(L157&lt;0.1,"%5–10",IF(L157&lt;0.25,"%10–25","%25 üstü")))))</f>
        <v>%25 üstü</v>
      </c>
      <c r="N157" s="8" t="str">
        <f>IF(OR(C157="NULL",C157="KOŞULLU"),C157,IF(OR(F157=1,H157=1),"KOŞULLU",C157))</f>
        <v>KOŞULLU</v>
      </c>
      <c r="O157" s="8" t="str">
        <f>IF(OR(C157="NULL",C157="KOŞULLU"),C157,IF(H157=1,"KOŞULLU",C157))</f>
        <v>KOŞULLU</v>
      </c>
      <c r="P157" s="8">
        <f>IF(N157&lt;&gt;C157,1,0)</f>
        <v>1</v>
      </c>
      <c r="Q157" s="8">
        <f>IF(O157&lt;&gt;C157,1,0)</f>
        <v>1</v>
      </c>
    </row>
    <row r="158" spans="1:17" x14ac:dyDescent="0.2">
      <c r="A158" s="8" t="s">
        <v>386</v>
      </c>
      <c r="B158" s="8" t="s">
        <v>210</v>
      </c>
      <c r="C158" s="8" t="s">
        <v>204</v>
      </c>
      <c r="D158" s="10">
        <v>-607.55600000000004</v>
      </c>
      <c r="E158" s="10">
        <v>-501.22699999999998</v>
      </c>
      <c r="F158" s="8">
        <v>0</v>
      </c>
      <c r="G158" s="10"/>
      <c r="H158" s="8">
        <v>1</v>
      </c>
      <c r="I158" s="8" t="s">
        <v>82</v>
      </c>
      <c r="J158" s="8">
        <v>0</v>
      </c>
      <c r="K158" s="10">
        <v>136.25800000000001</v>
      </c>
      <c r="L158" s="11">
        <f>IF(AND(ISNUMBER(K158),ISNUMBER(D158)),IF(D158&lt;&gt;0,K158/ABS(D158),""),"")</f>
        <v>0.22427233045184311</v>
      </c>
      <c r="M158" s="8" t="str">
        <f>IF(L158="","FCF yok",IF(L158&lt;0.01,"%1 altı",IF(L158&lt;0.05,"%1–5",IF(L158&lt;0.1,"%5–10",IF(L158&lt;0.25,"%10–25","%25 üstü")))))</f>
        <v>%10–25</v>
      </c>
      <c r="N158" s="8" t="str">
        <f>IF(OR(C158="NULL",C158="KOŞULLU"),C158,IF(OR(F158=1,H158=1),"KOŞULLU",C158))</f>
        <v>KOŞULLU</v>
      </c>
      <c r="O158" s="8" t="str">
        <f>IF(OR(C158="NULL",C158="KOŞULLU"),C158,IF(H158=1,"KOŞULLU",C158))</f>
        <v>KOŞULLU</v>
      </c>
      <c r="P158" s="8">
        <f>IF(N158&lt;&gt;C158,1,0)</f>
        <v>1</v>
      </c>
      <c r="Q158" s="8">
        <f>IF(O158&lt;&gt;C158,1,0)</f>
        <v>1</v>
      </c>
    </row>
    <row r="159" spans="1:17" x14ac:dyDescent="0.2">
      <c r="A159" s="8" t="s">
        <v>388</v>
      </c>
      <c r="B159" s="8" t="s">
        <v>210</v>
      </c>
      <c r="C159" s="8" t="s">
        <v>204</v>
      </c>
      <c r="D159" s="10">
        <v>-64.477000000000004</v>
      </c>
      <c r="E159" s="10">
        <v>-64.477000000000004</v>
      </c>
      <c r="F159" s="8">
        <v>0</v>
      </c>
      <c r="G159" s="10"/>
      <c r="H159" s="8">
        <v>1</v>
      </c>
      <c r="I159" s="8" t="s">
        <v>83</v>
      </c>
      <c r="J159" s="8">
        <v>0</v>
      </c>
      <c r="K159" s="10">
        <v>34.277999999999999</v>
      </c>
      <c r="L159" s="11">
        <f>IF(AND(ISNUMBER(K159),ISNUMBER(D159)),IF(D159&lt;&gt;0,K159/ABS(D159),""),"")</f>
        <v>0.53163143446500294</v>
      </c>
      <c r="M159" s="8" t="str">
        <f>IF(L159="","FCF yok",IF(L159&lt;0.01,"%1 altı",IF(L159&lt;0.05,"%1–5",IF(L159&lt;0.1,"%5–10",IF(L159&lt;0.25,"%10–25","%25 üstü")))))</f>
        <v>%25 üstü</v>
      </c>
      <c r="N159" s="8" t="str">
        <f>IF(OR(C159="NULL",C159="KOŞULLU"),C159,IF(OR(F159=1,H159=1),"KOŞULLU",C159))</f>
        <v>KOŞULLU</v>
      </c>
      <c r="O159" s="8" t="str">
        <f>IF(OR(C159="NULL",C159="KOŞULLU"),C159,IF(H159=1,"KOŞULLU",C159))</f>
        <v>KOŞULLU</v>
      </c>
      <c r="P159" s="8">
        <f>IF(N159&lt;&gt;C159,1,0)</f>
        <v>1</v>
      </c>
      <c r="Q159" s="8">
        <f>IF(O159&lt;&gt;C159,1,0)</f>
        <v>1</v>
      </c>
    </row>
    <row r="160" spans="1:17" x14ac:dyDescent="0.2">
      <c r="A160" s="8" t="s">
        <v>390</v>
      </c>
      <c r="B160" s="8" t="s">
        <v>203</v>
      </c>
      <c r="C160" s="8" t="s">
        <v>204</v>
      </c>
      <c r="D160" s="10">
        <v>-1329.393</v>
      </c>
      <c r="E160" s="10">
        <v>-1139.086</v>
      </c>
      <c r="F160" s="8">
        <v>1</v>
      </c>
      <c r="G160" s="8" t="s">
        <v>82</v>
      </c>
      <c r="H160" s="8">
        <v>0</v>
      </c>
      <c r="I160" s="10"/>
      <c r="J160" s="8">
        <v>0</v>
      </c>
      <c r="K160" s="10">
        <v>60.944000000000003</v>
      </c>
      <c r="L160" s="11">
        <f>IF(AND(ISNUMBER(K160),ISNUMBER(D160)),IF(D160&lt;&gt;0,K160/ABS(D160),""),"")</f>
        <v>4.5843478941140804E-2</v>
      </c>
      <c r="M160" s="8" t="str">
        <f>IF(L160="","FCF yok",IF(L160&lt;0.01,"%1 altı",IF(L160&lt;0.05,"%1–5",IF(L160&lt;0.1,"%5–10",IF(L160&lt;0.25,"%10–25","%25 üstü")))))</f>
        <v>%1–5</v>
      </c>
      <c r="N160" s="8" t="str">
        <f>IF(OR(C160="NULL",C160="KOŞULLU"),C160,IF(OR(F160=1,H160=1),"KOŞULLU",C160))</f>
        <v>KOŞULLU</v>
      </c>
      <c r="O160" s="8" t="str">
        <f>IF(OR(C160="NULL",C160="KOŞULLU"),C160,IF(H160=1,"KOŞULLU",C160))</f>
        <v>KESİN</v>
      </c>
      <c r="P160" s="8">
        <f>IF(N160&lt;&gt;C160,1,0)</f>
        <v>1</v>
      </c>
      <c r="Q160" s="8">
        <f>IF(O160&lt;&gt;C160,1,0)</f>
        <v>0</v>
      </c>
    </row>
    <row r="161" spans="1:17" x14ac:dyDescent="0.2">
      <c r="A161" s="8" t="s">
        <v>390</v>
      </c>
      <c r="B161" s="8" t="s">
        <v>205</v>
      </c>
      <c r="C161" s="8" t="s">
        <v>204</v>
      </c>
      <c r="D161" s="10">
        <v>-1126.4949999999999</v>
      </c>
      <c r="E161" s="10">
        <v>-1030.5640000000001</v>
      </c>
      <c r="F161" s="8">
        <v>1</v>
      </c>
      <c r="G161" s="8" t="s">
        <v>82</v>
      </c>
      <c r="H161" s="8">
        <v>0</v>
      </c>
      <c r="I161" s="10"/>
      <c r="J161" s="8">
        <v>0</v>
      </c>
      <c r="K161" s="10">
        <v>94.757000000000005</v>
      </c>
      <c r="L161" s="11">
        <f>IF(AND(ISNUMBER(K161),ISNUMBER(D161)),IF(D161&lt;&gt;0,K161/ABS(D161),""),"")</f>
        <v>8.4116662745950949E-2</v>
      </c>
      <c r="M161" s="8" t="str">
        <f>IF(L161="","FCF yok",IF(L161&lt;0.01,"%1 altı",IF(L161&lt;0.05,"%1–5",IF(L161&lt;0.1,"%5–10",IF(L161&lt;0.25,"%10–25","%25 üstü")))))</f>
        <v>%5–10</v>
      </c>
      <c r="N161" s="8" t="str">
        <f>IF(OR(C161="NULL",C161="KOŞULLU"),C161,IF(OR(F161=1,H161=1),"KOŞULLU",C161))</f>
        <v>KOŞULLU</v>
      </c>
      <c r="O161" s="8" t="str">
        <f>IF(OR(C161="NULL",C161="KOŞULLU"),C161,IF(H161=1,"KOŞULLU",C161))</f>
        <v>KESİN</v>
      </c>
      <c r="P161" s="8">
        <f>IF(N161&lt;&gt;C161,1,0)</f>
        <v>1</v>
      </c>
      <c r="Q161" s="8">
        <f>IF(O161&lt;&gt;C161,1,0)</f>
        <v>0</v>
      </c>
    </row>
    <row r="162" spans="1:17" x14ac:dyDescent="0.2">
      <c r="A162" s="8" t="s">
        <v>390</v>
      </c>
      <c r="B162" s="8" t="s">
        <v>215</v>
      </c>
      <c r="C162" s="8" t="s">
        <v>204</v>
      </c>
      <c r="D162" s="10">
        <v>-1161.239</v>
      </c>
      <c r="E162" s="10">
        <v>-1067.9380000000001</v>
      </c>
      <c r="F162" s="8">
        <v>1</v>
      </c>
      <c r="G162" s="8" t="s">
        <v>82</v>
      </c>
      <c r="H162" s="8">
        <v>0</v>
      </c>
      <c r="I162" s="10"/>
      <c r="J162" s="8">
        <v>0</v>
      </c>
      <c r="K162" s="10">
        <v>136.137</v>
      </c>
      <c r="L162" s="11">
        <f>IF(AND(ISNUMBER(K162),ISNUMBER(D162)),IF(D162&lt;&gt;0,K162/ABS(D162),""),"")</f>
        <v>0.11723426443651995</v>
      </c>
      <c r="M162" s="8" t="str">
        <f>IF(L162="","FCF yok",IF(L162&lt;0.01,"%1 altı",IF(L162&lt;0.05,"%1–5",IF(L162&lt;0.1,"%5–10",IF(L162&lt;0.25,"%10–25","%25 üstü")))))</f>
        <v>%10–25</v>
      </c>
      <c r="N162" s="8" t="str">
        <f>IF(OR(C162="NULL",C162="KOŞULLU"),C162,IF(OR(F162=1,H162=1),"KOŞULLU",C162))</f>
        <v>KOŞULLU</v>
      </c>
      <c r="O162" s="8" t="str">
        <f>IF(OR(C162="NULL",C162="KOŞULLU"),C162,IF(H162=1,"KOŞULLU",C162))</f>
        <v>KESİN</v>
      </c>
      <c r="P162" s="8">
        <f>IF(N162&lt;&gt;C162,1,0)</f>
        <v>1</v>
      </c>
      <c r="Q162" s="8">
        <f>IF(O162&lt;&gt;C162,1,0)</f>
        <v>0</v>
      </c>
    </row>
    <row r="163" spans="1:17" x14ac:dyDescent="0.2">
      <c r="A163" s="8" t="s">
        <v>390</v>
      </c>
      <c r="B163" s="8" t="s">
        <v>290</v>
      </c>
      <c r="C163" s="8" t="s">
        <v>204</v>
      </c>
      <c r="D163" s="10">
        <v>-970.06799999999998</v>
      </c>
      <c r="E163" s="10">
        <v>-803.93399999999997</v>
      </c>
      <c r="F163" s="8">
        <v>1</v>
      </c>
      <c r="G163" s="8" t="s">
        <v>82</v>
      </c>
      <c r="H163" s="8">
        <v>0</v>
      </c>
      <c r="I163" s="10"/>
      <c r="J163" s="8">
        <v>0</v>
      </c>
      <c r="K163" s="10">
        <v>158.059</v>
      </c>
      <c r="L163" s="11">
        <f>IF(AND(ISNUMBER(K163),ISNUMBER(D163)),IF(D163&lt;&gt;0,K163/ABS(D163),""),"")</f>
        <v>0.16293600036286116</v>
      </c>
      <c r="M163" s="8" t="str">
        <f>IF(L163="","FCF yok",IF(L163&lt;0.01,"%1 altı",IF(L163&lt;0.05,"%1–5",IF(L163&lt;0.1,"%5–10",IF(L163&lt;0.25,"%10–25","%25 üstü")))))</f>
        <v>%10–25</v>
      </c>
      <c r="N163" s="8" t="str">
        <f>IF(OR(C163="NULL",C163="KOŞULLU"),C163,IF(OR(F163=1,H163=1),"KOŞULLU",C163))</f>
        <v>KOŞULLU</v>
      </c>
      <c r="O163" s="8" t="str">
        <f>IF(OR(C163="NULL",C163="KOŞULLU"),C163,IF(H163=1,"KOŞULLU",C163))</f>
        <v>KESİN</v>
      </c>
      <c r="P163" s="8">
        <f>IF(N163&lt;&gt;C163,1,0)</f>
        <v>1</v>
      </c>
      <c r="Q163" s="8">
        <f>IF(O163&lt;&gt;C163,1,0)</f>
        <v>0</v>
      </c>
    </row>
    <row r="164" spans="1:17" x14ac:dyDescent="0.2">
      <c r="A164" s="8" t="s">
        <v>390</v>
      </c>
      <c r="B164" s="8" t="s">
        <v>208</v>
      </c>
      <c r="C164" s="8" t="s">
        <v>204</v>
      </c>
      <c r="D164" s="10">
        <v>-721.54700000000003</v>
      </c>
      <c r="E164" s="10">
        <v>-581.74900000000002</v>
      </c>
      <c r="F164" s="8">
        <v>1</v>
      </c>
      <c r="G164" s="8" t="s">
        <v>82</v>
      </c>
      <c r="H164" s="8">
        <v>0</v>
      </c>
      <c r="I164" s="10"/>
      <c r="J164" s="8">
        <v>0</v>
      </c>
      <c r="K164" s="10">
        <v>158.059</v>
      </c>
      <c r="L164" s="11">
        <f>IF(AND(ISNUMBER(K164),ISNUMBER(D164)),IF(D164&lt;&gt;0,K164/ABS(D164),""),"")</f>
        <v>0.2190557233277943</v>
      </c>
      <c r="M164" s="8" t="str">
        <f>IF(L164="","FCF yok",IF(L164&lt;0.01,"%1 altı",IF(L164&lt;0.05,"%1–5",IF(L164&lt;0.1,"%5–10",IF(L164&lt;0.25,"%10–25","%25 üstü")))))</f>
        <v>%10–25</v>
      </c>
      <c r="N164" s="8" t="str">
        <f>IF(OR(C164="NULL",C164="KOŞULLU"),C164,IF(OR(F164=1,H164=1),"KOŞULLU",C164))</f>
        <v>KOŞULLU</v>
      </c>
      <c r="O164" s="8" t="str">
        <f>IF(OR(C164="NULL",C164="KOŞULLU"),C164,IF(H164=1,"KOŞULLU",C164))</f>
        <v>KESİN</v>
      </c>
      <c r="P164" s="8">
        <f>IF(N164&lt;&gt;C164,1,0)</f>
        <v>1</v>
      </c>
      <c r="Q164" s="8">
        <f>IF(O164&lt;&gt;C164,1,0)</f>
        <v>0</v>
      </c>
    </row>
    <row r="165" spans="1:17" x14ac:dyDescent="0.2">
      <c r="A165" s="8" t="s">
        <v>390</v>
      </c>
      <c r="B165" s="8" t="s">
        <v>210</v>
      </c>
      <c r="C165" s="8" t="s">
        <v>204</v>
      </c>
      <c r="D165" s="10">
        <v>-861.221</v>
      </c>
      <c r="E165" s="10">
        <v>-687.53099999999995</v>
      </c>
      <c r="F165" s="8">
        <v>1</v>
      </c>
      <c r="G165" s="8" t="s">
        <v>82</v>
      </c>
      <c r="H165" s="8">
        <v>0</v>
      </c>
      <c r="I165" s="10"/>
      <c r="J165" s="8">
        <v>0</v>
      </c>
      <c r="K165" s="10">
        <v>158.059</v>
      </c>
      <c r="L165" s="11">
        <f>IF(AND(ISNUMBER(K165),ISNUMBER(D165)),IF(D165&lt;&gt;0,K165/ABS(D165),""),"")</f>
        <v>0.18352896643254171</v>
      </c>
      <c r="M165" s="8" t="str">
        <f>IF(L165="","FCF yok",IF(L165&lt;0.01,"%1 altı",IF(L165&lt;0.05,"%1–5",IF(L165&lt;0.1,"%5–10",IF(L165&lt;0.25,"%10–25","%25 üstü")))))</f>
        <v>%10–25</v>
      </c>
      <c r="N165" s="8" t="str">
        <f>IF(OR(C165="NULL",C165="KOŞULLU"),C165,IF(OR(F165=1,H165=1),"KOŞULLU",C165))</f>
        <v>KOŞULLU</v>
      </c>
      <c r="O165" s="8" t="str">
        <f>IF(OR(C165="NULL",C165="KOŞULLU"),C165,IF(H165=1,"KOŞULLU",C165))</f>
        <v>KESİN</v>
      </c>
      <c r="P165" s="8">
        <f>IF(N165&lt;&gt;C165,1,0)</f>
        <v>1</v>
      </c>
      <c r="Q165" s="8">
        <f>IF(O165&lt;&gt;C165,1,0)</f>
        <v>0</v>
      </c>
    </row>
    <row r="166" spans="1:17" x14ac:dyDescent="0.2">
      <c r="A166" s="8" t="s">
        <v>397</v>
      </c>
      <c r="B166" s="8" t="s">
        <v>215</v>
      </c>
      <c r="C166" s="8" t="s">
        <v>204</v>
      </c>
      <c r="D166" s="10">
        <v>-293.92099999999999</v>
      </c>
      <c r="E166" s="10">
        <v>-293.92099999999999</v>
      </c>
      <c r="F166" s="8">
        <v>0</v>
      </c>
      <c r="G166" s="10"/>
      <c r="H166" s="8">
        <v>1</v>
      </c>
      <c r="I166" s="8" t="s">
        <v>83</v>
      </c>
      <c r="J166" s="8">
        <v>0</v>
      </c>
      <c r="K166" s="10">
        <v>411.57400000000001</v>
      </c>
      <c r="L166" s="11">
        <f>IF(AND(ISNUMBER(K166),ISNUMBER(D166)),IF(D166&lt;&gt;0,K166/ABS(D166),""),"")</f>
        <v>1.4002878324447727</v>
      </c>
      <c r="M166" s="8" t="str">
        <f>IF(L166="","FCF yok",IF(L166&lt;0.01,"%1 altı",IF(L166&lt;0.05,"%1–5",IF(L166&lt;0.1,"%5–10",IF(L166&lt;0.25,"%10–25","%25 üstü")))))</f>
        <v>%25 üstü</v>
      </c>
      <c r="N166" s="8" t="str">
        <f>IF(OR(C166="NULL",C166="KOŞULLU"),C166,IF(OR(F166=1,H166=1),"KOŞULLU",C166))</f>
        <v>KOŞULLU</v>
      </c>
      <c r="O166" s="8" t="str">
        <f>IF(OR(C166="NULL",C166="KOŞULLU"),C166,IF(H166=1,"KOŞULLU",C166))</f>
        <v>KOŞULLU</v>
      </c>
      <c r="P166" s="8">
        <f>IF(N166&lt;&gt;C166,1,0)</f>
        <v>1</v>
      </c>
      <c r="Q166" s="8">
        <f>IF(O166&lt;&gt;C166,1,0)</f>
        <v>1</v>
      </c>
    </row>
    <row r="167" spans="1:17" x14ac:dyDescent="0.2">
      <c r="A167" s="8" t="s">
        <v>398</v>
      </c>
      <c r="B167" s="8" t="s">
        <v>215</v>
      </c>
      <c r="C167" s="8" t="s">
        <v>207</v>
      </c>
      <c r="D167" s="10"/>
      <c r="E167" s="10">
        <v>1508.68</v>
      </c>
      <c r="F167" s="8">
        <v>1</v>
      </c>
      <c r="G167" s="8" t="s">
        <v>82</v>
      </c>
      <c r="H167" s="8">
        <v>0</v>
      </c>
      <c r="I167" s="10"/>
      <c r="J167" s="8">
        <v>0</v>
      </c>
      <c r="K167" s="10">
        <v>111.577</v>
      </c>
      <c r="L167" s="11" t="str">
        <f>IF(AND(ISNUMBER(K167),ISNUMBER(D167)),IF(D167&lt;&gt;0,K167/ABS(D167),""),"")</f>
        <v/>
      </c>
      <c r="M167" s="8" t="str">
        <f>IF(L167="","FCF yok",IF(L167&lt;0.01,"%1 altı",IF(L167&lt;0.05,"%1–5",IF(L167&lt;0.1,"%5–10",IF(L167&lt;0.25,"%10–25","%25 üstü")))))</f>
        <v>FCF yok</v>
      </c>
      <c r="N167" s="8" t="str">
        <f>IF(OR(C167="NULL",C167="KOŞULLU"),C167,IF(OR(F167=1,H167=1),"KOŞULLU",C167))</f>
        <v>NULL</v>
      </c>
      <c r="O167" s="8" t="str">
        <f>IF(OR(C167="NULL",C167="KOŞULLU"),C167,IF(H167=1,"KOŞULLU",C167))</f>
        <v>NULL</v>
      </c>
      <c r="P167" s="8">
        <f>IF(N167&lt;&gt;C167,1,0)</f>
        <v>0</v>
      </c>
      <c r="Q167" s="8">
        <f>IF(O167&lt;&gt;C167,1,0)</f>
        <v>0</v>
      </c>
    </row>
    <row r="168" spans="1:17" x14ac:dyDescent="0.2">
      <c r="A168" s="8" t="s">
        <v>399</v>
      </c>
      <c r="B168" s="8" t="s">
        <v>215</v>
      </c>
      <c r="C168" s="8" t="s">
        <v>204</v>
      </c>
      <c r="D168" s="10">
        <v>221.77699999999999</v>
      </c>
      <c r="E168" s="10">
        <v>455.601</v>
      </c>
      <c r="F168" s="8">
        <v>0</v>
      </c>
      <c r="G168" s="10"/>
      <c r="H168" s="8">
        <v>1</v>
      </c>
      <c r="I168" s="8" t="s">
        <v>82</v>
      </c>
      <c r="J168" s="8">
        <v>0</v>
      </c>
      <c r="K168" s="10">
        <v>6.6520000000000001</v>
      </c>
      <c r="L168" s="11">
        <f>IF(AND(ISNUMBER(K168),ISNUMBER(D168)),IF(D168&lt;&gt;0,K168/ABS(D168),""),"")</f>
        <v>2.9994093165657397E-2</v>
      </c>
      <c r="M168" s="8" t="str">
        <f>IF(L168="","FCF yok",IF(L168&lt;0.01,"%1 altı",IF(L168&lt;0.05,"%1–5",IF(L168&lt;0.1,"%5–10",IF(L168&lt;0.25,"%10–25","%25 üstü")))))</f>
        <v>%1–5</v>
      </c>
      <c r="N168" s="8" t="str">
        <f>IF(OR(C168="NULL",C168="KOŞULLU"),C168,IF(OR(F168=1,H168=1),"KOŞULLU",C168))</f>
        <v>KOŞULLU</v>
      </c>
      <c r="O168" s="8" t="str">
        <f>IF(OR(C168="NULL",C168="KOŞULLU"),C168,IF(H168=1,"KOŞULLU",C168))</f>
        <v>KOŞULLU</v>
      </c>
      <c r="P168" s="8">
        <f>IF(N168&lt;&gt;C168,1,0)</f>
        <v>1</v>
      </c>
      <c r="Q168" s="8">
        <f>IF(O168&lt;&gt;C168,1,0)</f>
        <v>1</v>
      </c>
    </row>
    <row r="169" spans="1:17" x14ac:dyDescent="0.2">
      <c r="A169" s="8" t="s">
        <v>400</v>
      </c>
      <c r="B169" s="8" t="s">
        <v>203</v>
      </c>
      <c r="C169" s="8" t="s">
        <v>204</v>
      </c>
      <c r="D169" s="10">
        <v>132.339</v>
      </c>
      <c r="E169" s="10">
        <v>3138.3690000000001</v>
      </c>
      <c r="F169" s="8">
        <v>0</v>
      </c>
      <c r="G169" s="10"/>
      <c r="H169" s="8">
        <v>1</v>
      </c>
      <c r="I169" s="8" t="s">
        <v>83</v>
      </c>
      <c r="J169" s="8">
        <v>0</v>
      </c>
      <c r="K169" s="10">
        <v>3.6379999999999999</v>
      </c>
      <c r="L169" s="11">
        <f>IF(AND(ISNUMBER(K169),ISNUMBER(D169)),IF(D169&lt;&gt;0,K169/ABS(D169),""),"")</f>
        <v>2.7490006725152828E-2</v>
      </c>
      <c r="M169" s="8" t="str">
        <f>IF(L169="","FCF yok",IF(L169&lt;0.01,"%1 altı",IF(L169&lt;0.05,"%1–5",IF(L169&lt;0.1,"%5–10",IF(L169&lt;0.25,"%10–25","%25 üstü")))))</f>
        <v>%1–5</v>
      </c>
      <c r="N169" s="8" t="str">
        <f>IF(OR(C169="NULL",C169="KOŞULLU"),C169,IF(OR(F169=1,H169=1),"KOŞULLU",C169))</f>
        <v>KOŞULLU</v>
      </c>
      <c r="O169" s="8" t="str">
        <f>IF(OR(C169="NULL",C169="KOŞULLU"),C169,IF(H169=1,"KOŞULLU",C169))</f>
        <v>KOŞULLU</v>
      </c>
      <c r="P169" s="8">
        <f>IF(N169&lt;&gt;C169,1,0)</f>
        <v>1</v>
      </c>
      <c r="Q169" s="8">
        <f>IF(O169&lt;&gt;C169,1,0)</f>
        <v>1</v>
      </c>
    </row>
    <row r="170" spans="1:17" x14ac:dyDescent="0.2">
      <c r="A170" s="8" t="s">
        <v>400</v>
      </c>
      <c r="B170" s="8" t="s">
        <v>205</v>
      </c>
      <c r="C170" s="8" t="s">
        <v>204</v>
      </c>
      <c r="D170" s="10">
        <v>-197.947</v>
      </c>
      <c r="E170" s="10">
        <v>2804.9749999999999</v>
      </c>
      <c r="F170" s="8">
        <v>0</v>
      </c>
      <c r="G170" s="10"/>
      <c r="H170" s="8">
        <v>1</v>
      </c>
      <c r="I170" s="8" t="s">
        <v>83</v>
      </c>
      <c r="J170" s="8">
        <v>0</v>
      </c>
      <c r="K170" s="10">
        <v>2.157</v>
      </c>
      <c r="L170" s="11">
        <f>IF(AND(ISNUMBER(K170),ISNUMBER(D170)),IF(D170&lt;&gt;0,K170/ABS(D170),""),"")</f>
        <v>1.0896856229192663E-2</v>
      </c>
      <c r="M170" s="8" t="str">
        <f>IF(L170="","FCF yok",IF(L170&lt;0.01,"%1 altı",IF(L170&lt;0.05,"%1–5",IF(L170&lt;0.1,"%5–10",IF(L170&lt;0.25,"%10–25","%25 üstü")))))</f>
        <v>%1–5</v>
      </c>
      <c r="N170" s="8" t="str">
        <f>IF(OR(C170="NULL",C170="KOŞULLU"),C170,IF(OR(F170=1,H170=1),"KOŞULLU",C170))</f>
        <v>KOŞULLU</v>
      </c>
      <c r="O170" s="8" t="str">
        <f>IF(OR(C170="NULL",C170="KOŞULLU"),C170,IF(H170=1,"KOŞULLU",C170))</f>
        <v>KOŞULLU</v>
      </c>
      <c r="P170" s="8">
        <f>IF(N170&lt;&gt;C170,1,0)</f>
        <v>1</v>
      </c>
      <c r="Q170" s="8">
        <f>IF(O170&lt;&gt;C170,1,0)</f>
        <v>1</v>
      </c>
    </row>
    <row r="171" spans="1:17" x14ac:dyDescent="0.2">
      <c r="A171" s="8" t="s">
        <v>400</v>
      </c>
      <c r="B171" s="8" t="s">
        <v>215</v>
      </c>
      <c r="C171" s="8" t="s">
        <v>204</v>
      </c>
      <c r="D171" s="10">
        <v>-1023.197</v>
      </c>
      <c r="E171" s="10">
        <v>1990.364</v>
      </c>
      <c r="F171" s="8">
        <v>0</v>
      </c>
      <c r="G171" s="10"/>
      <c r="H171" s="8">
        <v>1</v>
      </c>
      <c r="I171" s="8" t="s">
        <v>83</v>
      </c>
      <c r="J171" s="8">
        <v>0</v>
      </c>
      <c r="K171" s="10">
        <v>1.1240000000000001</v>
      </c>
      <c r="L171" s="11">
        <f>IF(AND(ISNUMBER(K171),ISNUMBER(D171)),IF(D171&lt;&gt;0,K171/ABS(D171),""),"")</f>
        <v>1.0985176852551367E-3</v>
      </c>
      <c r="M171" s="8" t="str">
        <f>IF(L171="","FCF yok",IF(L171&lt;0.01,"%1 altı",IF(L171&lt;0.05,"%1–5",IF(L171&lt;0.1,"%5–10",IF(L171&lt;0.25,"%10–25","%25 üstü")))))</f>
        <v>%1 altı</v>
      </c>
      <c r="N171" s="8" t="str">
        <f>IF(OR(C171="NULL",C171="KOŞULLU"),C171,IF(OR(F171=1,H171=1),"KOŞULLU",C171))</f>
        <v>KOŞULLU</v>
      </c>
      <c r="O171" s="8" t="str">
        <f>IF(OR(C171="NULL",C171="KOŞULLU"),C171,IF(H171=1,"KOŞULLU",C171))</f>
        <v>KOŞULLU</v>
      </c>
      <c r="P171" s="8">
        <f>IF(N171&lt;&gt;C171,1,0)</f>
        <v>1</v>
      </c>
      <c r="Q171" s="8">
        <f>IF(O171&lt;&gt;C171,1,0)</f>
        <v>1</v>
      </c>
    </row>
    <row r="172" spans="1:17" x14ac:dyDescent="0.2">
      <c r="A172" s="8" t="s">
        <v>401</v>
      </c>
      <c r="B172" s="8" t="s">
        <v>205</v>
      </c>
      <c r="C172" s="8" t="s">
        <v>204</v>
      </c>
      <c r="D172" s="10">
        <v>-1035.971</v>
      </c>
      <c r="E172" s="10">
        <v>-664.22199999999998</v>
      </c>
      <c r="F172" s="8">
        <v>0</v>
      </c>
      <c r="G172" s="10"/>
      <c r="H172" s="8">
        <v>1</v>
      </c>
      <c r="I172" s="8" t="s">
        <v>82</v>
      </c>
      <c r="J172" s="8">
        <v>0</v>
      </c>
      <c r="K172" s="10">
        <v>5.33</v>
      </c>
      <c r="L172" s="11">
        <f>IF(AND(ISNUMBER(K172),ISNUMBER(D172)),IF(D172&lt;&gt;0,K172/ABS(D172),""),"")</f>
        <v>5.1449316631450113E-3</v>
      </c>
      <c r="M172" s="8" t="str">
        <f>IF(L172="","FCF yok",IF(L172&lt;0.01,"%1 altı",IF(L172&lt;0.05,"%1–5",IF(L172&lt;0.1,"%5–10",IF(L172&lt;0.25,"%10–25","%25 üstü")))))</f>
        <v>%1 altı</v>
      </c>
      <c r="N172" s="8" t="str">
        <f>IF(OR(C172="NULL",C172="KOŞULLU"),C172,IF(OR(F172=1,H172=1),"KOŞULLU",C172))</f>
        <v>KOŞULLU</v>
      </c>
      <c r="O172" s="8" t="str">
        <f>IF(OR(C172="NULL",C172="KOŞULLU"),C172,IF(H172=1,"KOŞULLU",C172))</f>
        <v>KOŞULLU</v>
      </c>
      <c r="P172" s="8">
        <f>IF(N172&lt;&gt;C172,1,0)</f>
        <v>1</v>
      </c>
      <c r="Q172" s="8">
        <f>IF(O172&lt;&gt;C172,1,0)</f>
        <v>1</v>
      </c>
    </row>
    <row r="173" spans="1:17" x14ac:dyDescent="0.2">
      <c r="A173" s="8" t="s">
        <v>401</v>
      </c>
      <c r="B173" s="8" t="s">
        <v>215</v>
      </c>
      <c r="C173" s="8" t="s">
        <v>204</v>
      </c>
      <c r="D173" s="10">
        <v>-3814.75</v>
      </c>
      <c r="E173" s="10">
        <v>-3399.4920000000002</v>
      </c>
      <c r="F173" s="8">
        <v>0</v>
      </c>
      <c r="G173" s="10"/>
      <c r="H173" s="8">
        <v>1</v>
      </c>
      <c r="I173" s="8" t="s">
        <v>82</v>
      </c>
      <c r="J173" s="8">
        <v>0</v>
      </c>
      <c r="K173" s="10">
        <v>1.3120000000000001</v>
      </c>
      <c r="L173" s="11">
        <f>IF(AND(ISNUMBER(K173),ISNUMBER(D173)),IF(D173&lt;&gt;0,K173/ABS(D173),""),"")</f>
        <v>3.4392817353692904E-4</v>
      </c>
      <c r="M173" s="8" t="str">
        <f>IF(L173="","FCF yok",IF(L173&lt;0.01,"%1 altı",IF(L173&lt;0.05,"%1–5",IF(L173&lt;0.1,"%5–10",IF(L173&lt;0.25,"%10–25","%25 üstü")))))</f>
        <v>%1 altı</v>
      </c>
      <c r="N173" s="8" t="str">
        <f>IF(OR(C173="NULL",C173="KOŞULLU"),C173,IF(OR(F173=1,H173=1),"KOŞULLU",C173))</f>
        <v>KOŞULLU</v>
      </c>
      <c r="O173" s="8" t="str">
        <f>IF(OR(C173="NULL",C173="KOŞULLU"),C173,IF(H173=1,"KOŞULLU",C173))</f>
        <v>KOŞULLU</v>
      </c>
      <c r="P173" s="8">
        <f>IF(N173&lt;&gt;C173,1,0)</f>
        <v>1</v>
      </c>
      <c r="Q173" s="8">
        <f>IF(O173&lt;&gt;C173,1,0)</f>
        <v>1</v>
      </c>
    </row>
    <row r="174" spans="1:17" x14ac:dyDescent="0.2">
      <c r="A174" s="8" t="s">
        <v>401</v>
      </c>
      <c r="B174" s="8" t="s">
        <v>210</v>
      </c>
      <c r="C174" s="8" t="s">
        <v>204</v>
      </c>
      <c r="D174" s="10">
        <v>-91.518000000000001</v>
      </c>
      <c r="E174" s="10">
        <v>235.60300000000001</v>
      </c>
      <c r="F174" s="8">
        <v>0</v>
      </c>
      <c r="G174" s="10"/>
      <c r="H174" s="8">
        <v>1</v>
      </c>
      <c r="I174" s="8" t="s">
        <v>82</v>
      </c>
      <c r="J174" s="8">
        <v>0</v>
      </c>
      <c r="K174" s="10">
        <v>4.0229999999999997</v>
      </c>
      <c r="L174" s="11">
        <f>IF(AND(ISNUMBER(K174),ISNUMBER(D174)),IF(D174&lt;&gt;0,K174/ABS(D174),""),"")</f>
        <v>4.3958565528092831E-2</v>
      </c>
      <c r="M174" s="8" t="str">
        <f>IF(L174="","FCF yok",IF(L174&lt;0.01,"%1 altı",IF(L174&lt;0.05,"%1–5",IF(L174&lt;0.1,"%5–10",IF(L174&lt;0.25,"%10–25","%25 üstü")))))</f>
        <v>%1–5</v>
      </c>
      <c r="N174" s="8" t="str">
        <f>IF(OR(C174="NULL",C174="KOŞULLU"),C174,IF(OR(F174=1,H174=1),"KOŞULLU",C174))</f>
        <v>KOŞULLU</v>
      </c>
      <c r="O174" s="8" t="str">
        <f>IF(OR(C174="NULL",C174="KOŞULLU"),C174,IF(H174=1,"KOŞULLU",C174))</f>
        <v>KOŞULLU</v>
      </c>
      <c r="P174" s="8">
        <f>IF(N174&lt;&gt;C174,1,0)</f>
        <v>1</v>
      </c>
      <c r="Q174" s="8">
        <f>IF(O174&lt;&gt;C174,1,0)</f>
        <v>1</v>
      </c>
    </row>
    <row r="175" spans="1:17" x14ac:dyDescent="0.2">
      <c r="A175" s="8" t="s">
        <v>402</v>
      </c>
      <c r="B175" s="8" t="s">
        <v>215</v>
      </c>
      <c r="C175" s="8" t="s">
        <v>204</v>
      </c>
      <c r="D175" s="10">
        <v>99.849000000000004</v>
      </c>
      <c r="E175" s="10">
        <v>248.678</v>
      </c>
      <c r="F175" s="8">
        <v>0</v>
      </c>
      <c r="G175" s="10"/>
      <c r="H175" s="8">
        <v>1</v>
      </c>
      <c r="I175" s="8" t="s">
        <v>82</v>
      </c>
      <c r="J175" s="8">
        <v>0</v>
      </c>
      <c r="K175" s="10">
        <v>20.594999999999999</v>
      </c>
      <c r="L175" s="11">
        <f>IF(AND(ISNUMBER(K175),ISNUMBER(D175)),IF(D175&lt;&gt;0,K175/ABS(D175),""),"")</f>
        <v>0.20626145479674307</v>
      </c>
      <c r="M175" s="8" t="str">
        <f>IF(L175="","FCF yok",IF(L175&lt;0.01,"%1 altı",IF(L175&lt;0.05,"%1–5",IF(L175&lt;0.1,"%5–10",IF(L175&lt;0.25,"%10–25","%25 üstü")))))</f>
        <v>%10–25</v>
      </c>
      <c r="N175" s="8" t="str">
        <f>IF(OR(C175="NULL",C175="KOŞULLU"),C175,IF(OR(F175=1,H175=1),"KOŞULLU",C175))</f>
        <v>KOŞULLU</v>
      </c>
      <c r="O175" s="8" t="str">
        <f>IF(OR(C175="NULL",C175="KOŞULLU"),C175,IF(H175=1,"KOŞULLU",C175))</f>
        <v>KOŞULLU</v>
      </c>
      <c r="P175" s="8">
        <f>IF(N175&lt;&gt;C175,1,0)</f>
        <v>1</v>
      </c>
      <c r="Q175" s="8">
        <f>IF(O175&lt;&gt;C175,1,0)</f>
        <v>1</v>
      </c>
    </row>
    <row r="176" spans="1:17" x14ac:dyDescent="0.2">
      <c r="A176" s="8" t="s">
        <v>403</v>
      </c>
      <c r="B176" s="8" t="s">
        <v>215</v>
      </c>
      <c r="C176" s="8" t="s">
        <v>204</v>
      </c>
      <c r="D176" s="10">
        <v>281.47399999999999</v>
      </c>
      <c r="E176" s="10">
        <v>281.47399999999999</v>
      </c>
      <c r="F176" s="8">
        <v>0</v>
      </c>
      <c r="G176" s="10"/>
      <c r="H176" s="8">
        <v>1</v>
      </c>
      <c r="I176" s="8" t="s">
        <v>83</v>
      </c>
      <c r="J176" s="8">
        <v>0</v>
      </c>
      <c r="K176" s="10">
        <v>10.356999999999999</v>
      </c>
      <c r="L176" s="11">
        <f>IF(AND(ISNUMBER(K176),ISNUMBER(D176)),IF(D176&lt;&gt;0,K176/ABS(D176),""),"")</f>
        <v>3.679558325102851E-2</v>
      </c>
      <c r="M176" s="8" t="str">
        <f>IF(L176="","FCF yok",IF(L176&lt;0.01,"%1 altı",IF(L176&lt;0.05,"%1–5",IF(L176&lt;0.1,"%5–10",IF(L176&lt;0.25,"%10–25","%25 üstü")))))</f>
        <v>%1–5</v>
      </c>
      <c r="N176" s="8" t="str">
        <f>IF(OR(C176="NULL",C176="KOŞULLU"),C176,IF(OR(F176=1,H176=1),"KOŞULLU",C176))</f>
        <v>KOŞULLU</v>
      </c>
      <c r="O176" s="8" t="str">
        <f>IF(OR(C176="NULL",C176="KOŞULLU"),C176,IF(H176=1,"KOŞULLU",C176))</f>
        <v>KOŞULLU</v>
      </c>
      <c r="P176" s="8">
        <f>IF(N176&lt;&gt;C176,1,0)</f>
        <v>1</v>
      </c>
      <c r="Q176" s="8">
        <f>IF(O176&lt;&gt;C176,1,0)</f>
        <v>1</v>
      </c>
    </row>
    <row r="177" spans="1:17" x14ac:dyDescent="0.2">
      <c r="A177" s="8" t="s">
        <v>404</v>
      </c>
      <c r="B177" s="8" t="s">
        <v>208</v>
      </c>
      <c r="C177" s="8" t="s">
        <v>204</v>
      </c>
      <c r="D177" s="10">
        <v>-412.74900000000002</v>
      </c>
      <c r="E177" s="10">
        <v>-343.98099999999999</v>
      </c>
      <c r="F177" s="8">
        <v>1</v>
      </c>
      <c r="G177" s="8" t="s">
        <v>83</v>
      </c>
      <c r="H177" s="8">
        <v>0</v>
      </c>
      <c r="I177" s="10"/>
      <c r="J177" s="8">
        <v>1</v>
      </c>
      <c r="K177" s="10">
        <v>25.814</v>
      </c>
      <c r="L177" s="11">
        <f>IF(AND(ISNUMBER(K177),ISNUMBER(D177)),IF(D177&lt;&gt;0,K177/ABS(D177),""),"")</f>
        <v>6.2541641530324724E-2</v>
      </c>
      <c r="M177" s="8" t="str">
        <f>IF(L177="","FCF yok",IF(L177&lt;0.01,"%1 altı",IF(L177&lt;0.05,"%1–5",IF(L177&lt;0.1,"%5–10",IF(L177&lt;0.25,"%10–25","%25 üstü")))))</f>
        <v>%5–10</v>
      </c>
      <c r="N177" s="8" t="str">
        <f>IF(OR(C177="NULL",C177="KOŞULLU"),C177,IF(OR(F177=1,H177=1),"KOŞULLU",C177))</f>
        <v>KOŞULLU</v>
      </c>
      <c r="O177" s="8" t="str">
        <f>IF(OR(C177="NULL",C177="KOŞULLU"),C177,IF(H177=1,"KOŞULLU",C177))</f>
        <v>KESİN</v>
      </c>
      <c r="P177" s="8">
        <f>IF(N177&lt;&gt;C177,1,0)</f>
        <v>1</v>
      </c>
      <c r="Q177" s="8">
        <f>IF(O177&lt;&gt;C177,1,0)</f>
        <v>0</v>
      </c>
    </row>
    <row r="178" spans="1:17" x14ac:dyDescent="0.2">
      <c r="A178" s="8" t="s">
        <v>406</v>
      </c>
      <c r="B178" s="8" t="s">
        <v>208</v>
      </c>
      <c r="C178" s="8" t="s">
        <v>207</v>
      </c>
      <c r="D178" s="10"/>
      <c r="E178" s="10">
        <v>-589.80399999999997</v>
      </c>
      <c r="F178" s="8">
        <v>0</v>
      </c>
      <c r="G178" s="10"/>
      <c r="H178" s="8">
        <v>1</v>
      </c>
      <c r="I178" s="8" t="s">
        <v>83</v>
      </c>
      <c r="J178" s="8">
        <v>0</v>
      </c>
      <c r="K178" s="10">
        <v>465.62599999999998</v>
      </c>
      <c r="L178" s="11" t="str">
        <f>IF(AND(ISNUMBER(K178),ISNUMBER(D178)),IF(D178&lt;&gt;0,K178/ABS(D178),""),"")</f>
        <v/>
      </c>
      <c r="M178" s="8" t="str">
        <f>IF(L178="","FCF yok",IF(L178&lt;0.01,"%1 altı",IF(L178&lt;0.05,"%1–5",IF(L178&lt;0.1,"%5–10",IF(L178&lt;0.25,"%10–25","%25 üstü")))))</f>
        <v>FCF yok</v>
      </c>
      <c r="N178" s="8" t="str">
        <f>IF(OR(C178="NULL",C178="KOŞULLU"),C178,IF(OR(F178=1,H178=1),"KOŞULLU",C178))</f>
        <v>NULL</v>
      </c>
      <c r="O178" s="8" t="str">
        <f>IF(OR(C178="NULL",C178="KOŞULLU"),C178,IF(H178=1,"KOŞULLU",C178))</f>
        <v>NULL</v>
      </c>
      <c r="P178" s="8">
        <f>IF(N178&lt;&gt;C178,1,0)</f>
        <v>0</v>
      </c>
      <c r="Q178" s="8">
        <f>IF(O178&lt;&gt;C178,1,0)</f>
        <v>0</v>
      </c>
    </row>
    <row r="179" spans="1:17" x14ac:dyDescent="0.2">
      <c r="A179" s="8" t="s">
        <v>408</v>
      </c>
      <c r="B179" s="8" t="s">
        <v>208</v>
      </c>
      <c r="C179" s="8" t="s">
        <v>204</v>
      </c>
      <c r="D179" s="10">
        <v>-542.35</v>
      </c>
      <c r="E179" s="10">
        <v>400.84899999999999</v>
      </c>
      <c r="F179" s="8">
        <v>1</v>
      </c>
      <c r="G179" s="8" t="s">
        <v>82</v>
      </c>
      <c r="H179" s="8">
        <v>0</v>
      </c>
      <c r="I179" s="10"/>
      <c r="J179" s="8">
        <v>1</v>
      </c>
      <c r="K179" s="10">
        <v>0.48599999999999999</v>
      </c>
      <c r="L179" s="11">
        <f>IF(AND(ISNUMBER(K179),ISNUMBER(D179)),IF(D179&lt;&gt;0,K179/ABS(D179),""),"")</f>
        <v>8.9610030423158474E-4</v>
      </c>
      <c r="M179" s="8" t="str">
        <f>IF(L179="","FCF yok",IF(L179&lt;0.01,"%1 altı",IF(L179&lt;0.05,"%1–5",IF(L179&lt;0.1,"%5–10",IF(L179&lt;0.25,"%10–25","%25 üstü")))))</f>
        <v>%1 altı</v>
      </c>
      <c r="N179" s="8" t="str">
        <f>IF(OR(C179="NULL",C179="KOŞULLU"),C179,IF(OR(F179=1,H179=1),"KOŞULLU",C179))</f>
        <v>KOŞULLU</v>
      </c>
      <c r="O179" s="8" t="str">
        <f>IF(OR(C179="NULL",C179="KOŞULLU"),C179,IF(H179=1,"KOŞULLU",C179))</f>
        <v>KESİN</v>
      </c>
      <c r="P179" s="8">
        <f>IF(N179&lt;&gt;C179,1,0)</f>
        <v>1</v>
      </c>
      <c r="Q179" s="8">
        <f>IF(O179&lt;&gt;C179,1,0)</f>
        <v>0</v>
      </c>
    </row>
    <row r="180" spans="1:17" x14ac:dyDescent="0.2">
      <c r="A180" s="8" t="s">
        <v>410</v>
      </c>
      <c r="B180" s="8" t="s">
        <v>208</v>
      </c>
      <c r="C180" s="8" t="s">
        <v>204</v>
      </c>
      <c r="D180" s="10">
        <v>-439.61</v>
      </c>
      <c r="E180" s="10">
        <v>415.74200000000002</v>
      </c>
      <c r="F180" s="8">
        <v>0</v>
      </c>
      <c r="G180" s="10"/>
      <c r="H180" s="8">
        <v>1</v>
      </c>
      <c r="I180" s="8" t="s">
        <v>82</v>
      </c>
      <c r="J180" s="8">
        <v>0</v>
      </c>
      <c r="K180" s="10">
        <v>709.15700000000004</v>
      </c>
      <c r="L180" s="11">
        <f>IF(AND(ISNUMBER(K180),ISNUMBER(D180)),IF(D180&lt;&gt;0,K180/ABS(D180),""),"")</f>
        <v>1.6131502923045427</v>
      </c>
      <c r="M180" s="8" t="str">
        <f>IF(L180="","FCF yok",IF(L180&lt;0.01,"%1 altı",IF(L180&lt;0.05,"%1–5",IF(L180&lt;0.1,"%5–10",IF(L180&lt;0.25,"%10–25","%25 üstü")))))</f>
        <v>%25 üstü</v>
      </c>
      <c r="N180" s="8" t="str">
        <f>IF(OR(C180="NULL",C180="KOŞULLU"),C180,IF(OR(F180=1,H180=1),"KOŞULLU",C180))</f>
        <v>KOŞULLU</v>
      </c>
      <c r="O180" s="8" t="str">
        <f>IF(OR(C180="NULL",C180="KOŞULLU"),C180,IF(H180=1,"KOŞULLU",C180))</f>
        <v>KOŞULLU</v>
      </c>
      <c r="P180" s="8">
        <f>IF(N180&lt;&gt;C180,1,0)</f>
        <v>1</v>
      </c>
      <c r="Q180" s="8">
        <f>IF(O180&lt;&gt;C180,1,0)</f>
        <v>1</v>
      </c>
    </row>
    <row r="181" spans="1:17" x14ac:dyDescent="0.2">
      <c r="A181" s="8" t="s">
        <v>410</v>
      </c>
      <c r="B181" s="8" t="s">
        <v>210</v>
      </c>
      <c r="C181" s="8" t="s">
        <v>204</v>
      </c>
      <c r="D181" s="10">
        <v>-617.43200000000002</v>
      </c>
      <c r="E181" s="10">
        <v>-80.698000000000107</v>
      </c>
      <c r="F181" s="8">
        <v>0</v>
      </c>
      <c r="G181" s="10"/>
      <c r="H181" s="8">
        <v>1</v>
      </c>
      <c r="I181" s="8" t="s">
        <v>748</v>
      </c>
      <c r="J181" s="8">
        <v>0</v>
      </c>
      <c r="K181" s="10">
        <v>709.15700000000004</v>
      </c>
      <c r="L181" s="11">
        <f>IF(AND(ISNUMBER(K181),ISNUMBER(D181)),IF(D181&lt;&gt;0,K181/ABS(D181),""),"")</f>
        <v>1.1485588696407054</v>
      </c>
      <c r="M181" s="8" t="str">
        <f>IF(L181="","FCF yok",IF(L181&lt;0.01,"%1 altı",IF(L181&lt;0.05,"%1–5",IF(L181&lt;0.1,"%5–10",IF(L181&lt;0.25,"%10–25","%25 üstü")))))</f>
        <v>%25 üstü</v>
      </c>
      <c r="N181" s="8" t="str">
        <f>IF(OR(C181="NULL",C181="KOŞULLU"),C181,IF(OR(F181=1,H181=1),"KOŞULLU",C181))</f>
        <v>KOŞULLU</v>
      </c>
      <c r="O181" s="8" t="str">
        <f>IF(OR(C181="NULL",C181="KOŞULLU"),C181,IF(H181=1,"KOŞULLU",C181))</f>
        <v>KOŞULLU</v>
      </c>
      <c r="P181" s="8">
        <f>IF(N181&lt;&gt;C181,1,0)</f>
        <v>1</v>
      </c>
      <c r="Q181" s="8">
        <f>IF(O181&lt;&gt;C181,1,0)</f>
        <v>1</v>
      </c>
    </row>
    <row r="182" spans="1:17" x14ac:dyDescent="0.2">
      <c r="A182" s="8" t="s">
        <v>611</v>
      </c>
      <c r="B182" s="8" t="s">
        <v>203</v>
      </c>
      <c r="C182" s="8" t="s">
        <v>209</v>
      </c>
      <c r="D182" s="10">
        <v>137.27799999999999</v>
      </c>
      <c r="E182" s="10">
        <v>175.46899999999999</v>
      </c>
      <c r="F182" s="8">
        <v>1</v>
      </c>
      <c r="G182" s="8" t="s">
        <v>82</v>
      </c>
      <c r="H182" s="8">
        <v>0</v>
      </c>
      <c r="I182" s="10"/>
      <c r="J182" s="8">
        <v>1</v>
      </c>
      <c r="K182" s="10">
        <v>0.44600000000000001</v>
      </c>
      <c r="L182" s="11">
        <f>IF(AND(ISNUMBER(K182),ISNUMBER(D182)),IF(D182&lt;&gt;0,K182/ABS(D182),""),"")</f>
        <v>3.2488818310290072E-3</v>
      </c>
      <c r="M182" s="8" t="str">
        <f>IF(L182="","FCF yok",IF(L182&lt;0.01,"%1 altı",IF(L182&lt;0.05,"%1–5",IF(L182&lt;0.1,"%5–10",IF(L182&lt;0.25,"%10–25","%25 üstü")))))</f>
        <v>%1 altı</v>
      </c>
      <c r="N182" s="8" t="str">
        <f>IF(OR(C182="NULL",C182="KOŞULLU"),C182,IF(OR(F182=1,H182=1),"KOŞULLU",C182))</f>
        <v>KOŞULLU</v>
      </c>
      <c r="O182" s="8" t="str">
        <f>IF(OR(C182="NULL",C182="KOŞULLU"),C182,IF(H182=1,"KOŞULLU",C182))</f>
        <v>TÜRETİLMİŞ</v>
      </c>
      <c r="P182" s="8">
        <f>IF(N182&lt;&gt;C182,1,0)</f>
        <v>1</v>
      </c>
      <c r="Q182" s="8">
        <f>IF(O182&lt;&gt;C182,1,0)</f>
        <v>0</v>
      </c>
    </row>
    <row r="183" spans="1:17" x14ac:dyDescent="0.2">
      <c r="A183" s="8" t="s">
        <v>611</v>
      </c>
      <c r="B183" s="8" t="s">
        <v>208</v>
      </c>
      <c r="C183" s="8" t="s">
        <v>207</v>
      </c>
      <c r="D183" s="10"/>
      <c r="E183" s="10">
        <v>242.49799999999999</v>
      </c>
      <c r="F183" s="8">
        <v>1</v>
      </c>
      <c r="G183" s="8" t="s">
        <v>82</v>
      </c>
      <c r="H183" s="8">
        <v>0</v>
      </c>
      <c r="I183" s="10"/>
      <c r="J183" s="8">
        <v>0</v>
      </c>
      <c r="K183" s="10">
        <v>1.2769999999999999</v>
      </c>
      <c r="L183" s="11" t="str">
        <f>IF(AND(ISNUMBER(K183),ISNUMBER(D183)),IF(D183&lt;&gt;0,K183/ABS(D183),""),"")</f>
        <v/>
      </c>
      <c r="M183" s="8" t="str">
        <f>IF(L183="","FCF yok",IF(L183&lt;0.01,"%1 altı",IF(L183&lt;0.05,"%1–5",IF(L183&lt;0.1,"%5–10",IF(L183&lt;0.25,"%10–25","%25 üstü")))))</f>
        <v>FCF yok</v>
      </c>
      <c r="N183" s="8" t="str">
        <f>IF(OR(C183="NULL",C183="KOŞULLU"),C183,IF(OR(F183=1,H183=1),"KOŞULLU",C183))</f>
        <v>NULL</v>
      </c>
      <c r="O183" s="8" t="str">
        <f>IF(OR(C183="NULL",C183="KOŞULLU"),C183,IF(H183=1,"KOŞULLU",C183))</f>
        <v>NULL</v>
      </c>
      <c r="P183" s="8">
        <f>IF(N183&lt;&gt;C183,1,0)</f>
        <v>0</v>
      </c>
      <c r="Q183" s="8">
        <f>IF(O183&lt;&gt;C183,1,0)</f>
        <v>0</v>
      </c>
    </row>
    <row r="184" spans="1:17" x14ac:dyDescent="0.2">
      <c r="A184" s="8" t="s">
        <v>411</v>
      </c>
      <c r="B184" s="8" t="s">
        <v>210</v>
      </c>
      <c r="C184" s="8" t="s">
        <v>207</v>
      </c>
      <c r="D184" s="10"/>
      <c r="E184" s="10">
        <v>-910.46100000000001</v>
      </c>
      <c r="F184" s="8">
        <v>0</v>
      </c>
      <c r="G184" s="10"/>
      <c r="H184" s="8">
        <v>1</v>
      </c>
      <c r="I184" s="8" t="s">
        <v>83</v>
      </c>
      <c r="J184" s="8">
        <v>0</v>
      </c>
      <c r="K184" s="10">
        <v>849.38099999999997</v>
      </c>
      <c r="L184" s="11" t="str">
        <f>IF(AND(ISNUMBER(K184),ISNUMBER(D184)),IF(D184&lt;&gt;0,K184/ABS(D184),""),"")</f>
        <v/>
      </c>
      <c r="M184" s="8" t="str">
        <f>IF(L184="","FCF yok",IF(L184&lt;0.01,"%1 altı",IF(L184&lt;0.05,"%1–5",IF(L184&lt;0.1,"%5–10",IF(L184&lt;0.25,"%10–25","%25 üstü")))))</f>
        <v>FCF yok</v>
      </c>
      <c r="N184" s="8" t="str">
        <f>IF(OR(C184="NULL",C184="KOŞULLU"),C184,IF(OR(F184=1,H184=1),"KOŞULLU",C184))</f>
        <v>NULL</v>
      </c>
      <c r="O184" s="8" t="str">
        <f>IF(OR(C184="NULL",C184="KOŞULLU"),C184,IF(H184=1,"KOŞULLU",C184))</f>
        <v>NULL</v>
      </c>
      <c r="P184" s="8">
        <f>IF(N184&lt;&gt;C184,1,0)</f>
        <v>0</v>
      </c>
      <c r="Q184" s="8">
        <f>IF(O184&lt;&gt;C184,1,0)</f>
        <v>0</v>
      </c>
    </row>
    <row r="185" spans="1:17" x14ac:dyDescent="0.2">
      <c r="A185" s="8" t="s">
        <v>412</v>
      </c>
      <c r="B185" s="8" t="s">
        <v>215</v>
      </c>
      <c r="C185" s="8" t="s">
        <v>204</v>
      </c>
      <c r="D185" s="10">
        <v>-25.235999999999901</v>
      </c>
      <c r="E185" s="10">
        <v>603.05700000000002</v>
      </c>
      <c r="F185" s="8">
        <v>0</v>
      </c>
      <c r="G185" s="10"/>
      <c r="H185" s="8">
        <v>1</v>
      </c>
      <c r="I185" s="8" t="s">
        <v>83</v>
      </c>
      <c r="J185" s="8">
        <v>0</v>
      </c>
      <c r="K185" s="10">
        <v>196.63</v>
      </c>
      <c r="L185" s="11">
        <f>IF(AND(ISNUMBER(K185),ISNUMBER(D185)),IF(D185&lt;&gt;0,K185/ABS(D185),""),"")</f>
        <v>7.7916468537010921</v>
      </c>
      <c r="M185" s="8" t="str">
        <f>IF(L185="","FCF yok",IF(L185&lt;0.01,"%1 altı",IF(L185&lt;0.05,"%1–5",IF(L185&lt;0.1,"%5–10",IF(L185&lt;0.25,"%10–25","%25 üstü")))))</f>
        <v>%25 üstü</v>
      </c>
      <c r="N185" s="8" t="str">
        <f>IF(OR(C185="NULL",C185="KOŞULLU"),C185,IF(OR(F185=1,H185=1),"KOŞULLU",C185))</f>
        <v>KOŞULLU</v>
      </c>
      <c r="O185" s="8" t="str">
        <f>IF(OR(C185="NULL",C185="KOŞULLU"),C185,IF(H185=1,"KOŞULLU",C185))</f>
        <v>KOŞULLU</v>
      </c>
      <c r="P185" s="8">
        <f>IF(N185&lt;&gt;C185,1,0)</f>
        <v>1</v>
      </c>
      <c r="Q185" s="8">
        <f>IF(O185&lt;&gt;C185,1,0)</f>
        <v>1</v>
      </c>
    </row>
    <row r="186" spans="1:17" x14ac:dyDescent="0.2">
      <c r="A186" s="8" t="s">
        <v>413</v>
      </c>
      <c r="B186" s="8" t="s">
        <v>210</v>
      </c>
      <c r="C186" s="8" t="s">
        <v>204</v>
      </c>
      <c r="D186" s="10">
        <v>-256.77199999999999</v>
      </c>
      <c r="E186" s="10">
        <v>-156.83099999999999</v>
      </c>
      <c r="F186" s="8">
        <v>0</v>
      </c>
      <c r="G186" s="10"/>
      <c r="H186" s="8">
        <v>1</v>
      </c>
      <c r="I186" s="8" t="s">
        <v>82</v>
      </c>
      <c r="J186" s="8">
        <v>0</v>
      </c>
      <c r="K186" s="10">
        <v>11.907</v>
      </c>
      <c r="L186" s="11">
        <f>IF(AND(ISNUMBER(K186),ISNUMBER(D186)),IF(D186&lt;&gt;0,K186/ABS(D186),""),"")</f>
        <v>4.6371878553736388E-2</v>
      </c>
      <c r="M186" s="8" t="str">
        <f>IF(L186="","FCF yok",IF(L186&lt;0.01,"%1 altı",IF(L186&lt;0.05,"%1–5",IF(L186&lt;0.1,"%5–10",IF(L186&lt;0.25,"%10–25","%25 üstü")))))</f>
        <v>%1–5</v>
      </c>
      <c r="N186" s="8" t="str">
        <f>IF(OR(C186="NULL",C186="KOŞULLU"),C186,IF(OR(F186=1,H186=1),"KOŞULLU",C186))</f>
        <v>KOŞULLU</v>
      </c>
      <c r="O186" s="8" t="str">
        <f>IF(OR(C186="NULL",C186="KOŞULLU"),C186,IF(H186=1,"KOŞULLU",C186))</f>
        <v>KOŞULLU</v>
      </c>
      <c r="P186" s="8">
        <f>IF(N186&lt;&gt;C186,1,0)</f>
        <v>1</v>
      </c>
      <c r="Q186" s="8">
        <f>IF(O186&lt;&gt;C186,1,0)</f>
        <v>1</v>
      </c>
    </row>
    <row r="187" spans="1:17" x14ac:dyDescent="0.2">
      <c r="A187" s="8" t="s">
        <v>414</v>
      </c>
      <c r="B187" s="8" t="s">
        <v>210</v>
      </c>
      <c r="C187" s="8" t="s">
        <v>207</v>
      </c>
      <c r="D187" s="10"/>
      <c r="E187" s="10">
        <v>207.95699999999999</v>
      </c>
      <c r="F187" s="8">
        <v>0</v>
      </c>
      <c r="G187" s="10"/>
      <c r="H187" s="8">
        <v>1</v>
      </c>
      <c r="I187" s="8" t="s">
        <v>83</v>
      </c>
      <c r="J187" s="8">
        <v>0</v>
      </c>
      <c r="K187" s="10">
        <v>8.2240000000000002</v>
      </c>
      <c r="L187" s="11" t="str">
        <f>IF(AND(ISNUMBER(K187),ISNUMBER(D187)),IF(D187&lt;&gt;0,K187/ABS(D187),""),"")</f>
        <v/>
      </c>
      <c r="M187" s="8" t="str">
        <f>IF(L187="","FCF yok",IF(L187&lt;0.01,"%1 altı",IF(L187&lt;0.05,"%1–5",IF(L187&lt;0.1,"%5–10",IF(L187&lt;0.25,"%10–25","%25 üstü")))))</f>
        <v>FCF yok</v>
      </c>
      <c r="N187" s="8" t="str">
        <f>IF(OR(C187="NULL",C187="KOŞULLU"),C187,IF(OR(F187=1,H187=1),"KOŞULLU",C187))</f>
        <v>NULL</v>
      </c>
      <c r="O187" s="8" t="str">
        <f>IF(OR(C187="NULL",C187="KOŞULLU"),C187,IF(H187=1,"KOŞULLU",C187))</f>
        <v>NULL</v>
      </c>
      <c r="P187" s="8">
        <f>IF(N187&lt;&gt;C187,1,0)</f>
        <v>0</v>
      </c>
      <c r="Q187" s="8">
        <f>IF(O187&lt;&gt;C187,1,0)</f>
        <v>0</v>
      </c>
    </row>
    <row r="188" spans="1:17" x14ac:dyDescent="0.2">
      <c r="A188" s="8" t="s">
        <v>415</v>
      </c>
      <c r="B188" s="8" t="s">
        <v>205</v>
      </c>
      <c r="C188" s="8" t="s">
        <v>204</v>
      </c>
      <c r="D188" s="10">
        <v>-128.006</v>
      </c>
      <c r="E188" s="10">
        <v>270.83800000000002</v>
      </c>
      <c r="F188" s="8">
        <v>1</v>
      </c>
      <c r="G188" s="8" t="s">
        <v>82</v>
      </c>
      <c r="H188" s="8">
        <v>0</v>
      </c>
      <c r="I188" s="10"/>
      <c r="J188" s="8">
        <v>1</v>
      </c>
      <c r="K188" s="10">
        <v>2.9350000000000001</v>
      </c>
      <c r="L188" s="11">
        <f>IF(AND(ISNUMBER(K188),ISNUMBER(D188)),IF(D188&lt;&gt;0,K188/ABS(D188),""),"")</f>
        <v>2.2928612721278691E-2</v>
      </c>
      <c r="M188" s="8" t="str">
        <f>IF(L188="","FCF yok",IF(L188&lt;0.01,"%1 altı",IF(L188&lt;0.05,"%1–5",IF(L188&lt;0.1,"%5–10",IF(L188&lt;0.25,"%10–25","%25 üstü")))))</f>
        <v>%1–5</v>
      </c>
      <c r="N188" s="8" t="str">
        <f>IF(OR(C188="NULL",C188="KOŞULLU"),C188,IF(OR(F188=1,H188=1),"KOŞULLU",C188))</f>
        <v>KOŞULLU</v>
      </c>
      <c r="O188" s="8" t="str">
        <f>IF(OR(C188="NULL",C188="KOŞULLU"),C188,IF(H188=1,"KOŞULLU",C188))</f>
        <v>KESİN</v>
      </c>
      <c r="P188" s="8">
        <f>IF(N188&lt;&gt;C188,1,0)</f>
        <v>1</v>
      </c>
      <c r="Q188" s="8">
        <f>IF(O188&lt;&gt;C188,1,0)</f>
        <v>0</v>
      </c>
    </row>
    <row r="189" spans="1:17" x14ac:dyDescent="0.2">
      <c r="A189" s="8" t="s">
        <v>415</v>
      </c>
      <c r="B189" s="8" t="s">
        <v>215</v>
      </c>
      <c r="C189" s="8" t="s">
        <v>204</v>
      </c>
      <c r="D189" s="10">
        <v>-276.91399999999999</v>
      </c>
      <c r="E189" s="10">
        <v>28.42</v>
      </c>
      <c r="F189" s="8">
        <v>1</v>
      </c>
      <c r="G189" s="8" t="s">
        <v>82</v>
      </c>
      <c r="H189" s="8">
        <v>0</v>
      </c>
      <c r="I189" s="10"/>
      <c r="J189" s="8">
        <v>1</v>
      </c>
      <c r="K189" s="10">
        <v>5.6210000000000004</v>
      </c>
      <c r="L189" s="11">
        <f>IF(AND(ISNUMBER(K189),ISNUMBER(D189)),IF(D189&lt;&gt;0,K189/ABS(D189),""),"")</f>
        <v>2.0298720902518472E-2</v>
      </c>
      <c r="M189" s="8" t="str">
        <f>IF(L189="","FCF yok",IF(L189&lt;0.01,"%1 altı",IF(L189&lt;0.05,"%1–5",IF(L189&lt;0.1,"%5–10",IF(L189&lt;0.25,"%10–25","%25 üstü")))))</f>
        <v>%1–5</v>
      </c>
      <c r="N189" s="8" t="str">
        <f>IF(OR(C189="NULL",C189="KOŞULLU"),C189,IF(OR(F189=1,H189=1),"KOŞULLU",C189))</f>
        <v>KOŞULLU</v>
      </c>
      <c r="O189" s="8" t="str">
        <f>IF(OR(C189="NULL",C189="KOŞULLU"),C189,IF(H189=1,"KOŞULLU",C189))</f>
        <v>KESİN</v>
      </c>
      <c r="P189" s="8">
        <f>IF(N189&lt;&gt;C189,1,0)</f>
        <v>1</v>
      </c>
      <c r="Q189" s="8">
        <f>IF(O189&lt;&gt;C189,1,0)</f>
        <v>0</v>
      </c>
    </row>
    <row r="190" spans="1:17" x14ac:dyDescent="0.2">
      <c r="A190" s="8" t="s">
        <v>415</v>
      </c>
      <c r="B190" s="8" t="s">
        <v>208</v>
      </c>
      <c r="C190" s="8" t="s">
        <v>204</v>
      </c>
      <c r="D190" s="10">
        <v>-6.5989999999999904</v>
      </c>
      <c r="E190" s="10">
        <v>139.40199999999999</v>
      </c>
      <c r="F190" s="8">
        <v>0</v>
      </c>
      <c r="G190" s="10"/>
      <c r="H190" s="8">
        <v>1</v>
      </c>
      <c r="I190" s="8" t="s">
        <v>82</v>
      </c>
      <c r="J190" s="8">
        <v>0</v>
      </c>
      <c r="K190" s="10">
        <v>24.556000000000001</v>
      </c>
      <c r="L190" s="11">
        <f>IF(AND(ISNUMBER(K190),ISNUMBER(D190)),IF(D190&lt;&gt;0,K190/ABS(D190),""),"")</f>
        <v>3.7211698742233725</v>
      </c>
      <c r="M190" s="8" t="str">
        <f>IF(L190="","FCF yok",IF(L190&lt;0.01,"%1 altı",IF(L190&lt;0.05,"%1–5",IF(L190&lt;0.1,"%5–10",IF(L190&lt;0.25,"%10–25","%25 üstü")))))</f>
        <v>%25 üstü</v>
      </c>
      <c r="N190" s="8" t="str">
        <f>IF(OR(C190="NULL",C190="KOŞULLU"),C190,IF(OR(F190=1,H190=1),"KOŞULLU",C190))</f>
        <v>KOŞULLU</v>
      </c>
      <c r="O190" s="8" t="str">
        <f>IF(OR(C190="NULL",C190="KOŞULLU"),C190,IF(H190=1,"KOŞULLU",C190))</f>
        <v>KOŞULLU</v>
      </c>
      <c r="P190" s="8">
        <f>IF(N190&lt;&gt;C190,1,0)</f>
        <v>1</v>
      </c>
      <c r="Q190" s="8">
        <f>IF(O190&lt;&gt;C190,1,0)</f>
        <v>1</v>
      </c>
    </row>
    <row r="191" spans="1:17" x14ac:dyDescent="0.2">
      <c r="A191" s="8" t="s">
        <v>415</v>
      </c>
      <c r="B191" s="8" t="s">
        <v>210</v>
      </c>
      <c r="C191" s="8" t="s">
        <v>204</v>
      </c>
      <c r="D191" s="10">
        <v>144.57</v>
      </c>
      <c r="E191" s="10">
        <v>360.64499999999998</v>
      </c>
      <c r="F191" s="8">
        <v>1</v>
      </c>
      <c r="G191" s="8" t="s">
        <v>82</v>
      </c>
      <c r="H191" s="8">
        <v>0</v>
      </c>
      <c r="I191" s="10"/>
      <c r="J191" s="8">
        <v>1</v>
      </c>
      <c r="K191" s="10">
        <v>2.9350000000000001</v>
      </c>
      <c r="L191" s="11">
        <f>IF(AND(ISNUMBER(K191),ISNUMBER(D191)),IF(D191&lt;&gt;0,K191/ABS(D191),""),"")</f>
        <v>2.0301584007747113E-2</v>
      </c>
      <c r="M191" s="8" t="str">
        <f>IF(L191="","FCF yok",IF(L191&lt;0.01,"%1 altı",IF(L191&lt;0.05,"%1–5",IF(L191&lt;0.1,"%5–10",IF(L191&lt;0.25,"%10–25","%25 üstü")))))</f>
        <v>%1–5</v>
      </c>
      <c r="N191" s="8" t="str">
        <f>IF(OR(C191="NULL",C191="KOŞULLU"),C191,IF(OR(F191=1,H191=1),"KOŞULLU",C191))</f>
        <v>KOŞULLU</v>
      </c>
      <c r="O191" s="8" t="str">
        <f>IF(OR(C191="NULL",C191="KOŞULLU"),C191,IF(H191=1,"KOŞULLU",C191))</f>
        <v>KESİN</v>
      </c>
      <c r="P191" s="8">
        <f>IF(N191&lt;&gt;C191,1,0)</f>
        <v>1</v>
      </c>
      <c r="Q191" s="8">
        <f>IF(O191&lt;&gt;C191,1,0)</f>
        <v>0</v>
      </c>
    </row>
    <row r="192" spans="1:17" x14ac:dyDescent="0.2">
      <c r="A192" s="8" t="s">
        <v>419</v>
      </c>
      <c r="B192" s="8" t="s">
        <v>205</v>
      </c>
      <c r="C192" s="8" t="s">
        <v>209</v>
      </c>
      <c r="D192" s="10">
        <v>-687.154</v>
      </c>
      <c r="E192" s="10">
        <v>-631.79499999999996</v>
      </c>
      <c r="F192" s="8">
        <v>0</v>
      </c>
      <c r="G192" s="10"/>
      <c r="H192" s="8">
        <v>1</v>
      </c>
      <c r="I192" s="8" t="s">
        <v>83</v>
      </c>
      <c r="J192" s="8">
        <v>0</v>
      </c>
      <c r="K192" s="10">
        <v>67.661000000000001</v>
      </c>
      <c r="L192" s="11">
        <f>IF(AND(ISNUMBER(K192),ISNUMBER(D192)),IF(D192&lt;&gt;0,K192/ABS(D192),""),"")</f>
        <v>9.8465555028421581E-2</v>
      </c>
      <c r="M192" s="8" t="str">
        <f>IF(L192="","FCF yok",IF(L192&lt;0.01,"%1 altı",IF(L192&lt;0.05,"%1–5",IF(L192&lt;0.1,"%5–10",IF(L192&lt;0.25,"%10–25","%25 üstü")))))</f>
        <v>%5–10</v>
      </c>
      <c r="N192" s="8" t="str">
        <f>IF(OR(C192="NULL",C192="KOŞULLU"),C192,IF(OR(F192=1,H192=1),"KOŞULLU",C192))</f>
        <v>KOŞULLU</v>
      </c>
      <c r="O192" s="8" t="str">
        <f>IF(OR(C192="NULL",C192="KOŞULLU"),C192,IF(H192=1,"KOŞULLU",C192))</f>
        <v>KOŞULLU</v>
      </c>
      <c r="P192" s="8">
        <f>IF(N192&lt;&gt;C192,1,0)</f>
        <v>1</v>
      </c>
      <c r="Q192" s="8">
        <f>IF(O192&lt;&gt;C192,1,0)</f>
        <v>1</v>
      </c>
    </row>
    <row r="193" spans="1:17" x14ac:dyDescent="0.2">
      <c r="A193" s="8" t="s">
        <v>420</v>
      </c>
      <c r="B193" s="8" t="s">
        <v>203</v>
      </c>
      <c r="C193" s="8" t="s">
        <v>207</v>
      </c>
      <c r="D193" s="10"/>
      <c r="E193" s="10">
        <v>-34.883000000000003</v>
      </c>
      <c r="F193" s="8">
        <v>1</v>
      </c>
      <c r="G193" s="8" t="s">
        <v>82</v>
      </c>
      <c r="H193" s="8">
        <v>0</v>
      </c>
      <c r="I193" s="10"/>
      <c r="J193" s="8">
        <v>1</v>
      </c>
      <c r="K193" s="10">
        <v>14.422000000000001</v>
      </c>
      <c r="L193" s="11" t="str">
        <f>IF(AND(ISNUMBER(K193),ISNUMBER(D193)),IF(D193&lt;&gt;0,K193/ABS(D193),""),"")</f>
        <v/>
      </c>
      <c r="M193" s="8" t="str">
        <f>IF(L193="","FCF yok",IF(L193&lt;0.01,"%1 altı",IF(L193&lt;0.05,"%1–5",IF(L193&lt;0.1,"%5–10",IF(L193&lt;0.25,"%10–25","%25 üstü")))))</f>
        <v>FCF yok</v>
      </c>
      <c r="N193" s="8" t="str">
        <f>IF(OR(C193="NULL",C193="KOŞULLU"),C193,IF(OR(F193=1,H193=1),"KOŞULLU",C193))</f>
        <v>NULL</v>
      </c>
      <c r="O193" s="8" t="str">
        <f>IF(OR(C193="NULL",C193="KOŞULLU"),C193,IF(H193=1,"KOŞULLU",C193))</f>
        <v>NULL</v>
      </c>
      <c r="P193" s="8">
        <f>IF(N193&lt;&gt;C193,1,0)</f>
        <v>0</v>
      </c>
      <c r="Q193" s="8">
        <f>IF(O193&lt;&gt;C193,1,0)</f>
        <v>0</v>
      </c>
    </row>
    <row r="194" spans="1:17" x14ac:dyDescent="0.2">
      <c r="A194" s="8" t="s">
        <v>420</v>
      </c>
      <c r="B194" s="8" t="s">
        <v>205</v>
      </c>
      <c r="C194" s="8" t="s">
        <v>207</v>
      </c>
      <c r="D194" s="10"/>
      <c r="E194" s="10">
        <v>59.05</v>
      </c>
      <c r="F194" s="8">
        <v>1</v>
      </c>
      <c r="G194" s="8" t="s">
        <v>82</v>
      </c>
      <c r="H194" s="8">
        <v>0</v>
      </c>
      <c r="I194" s="10"/>
      <c r="J194" s="8">
        <v>1</v>
      </c>
      <c r="K194" s="10">
        <v>14.422000000000001</v>
      </c>
      <c r="L194" s="11" t="str">
        <f>IF(AND(ISNUMBER(K194),ISNUMBER(D194)),IF(D194&lt;&gt;0,K194/ABS(D194),""),"")</f>
        <v/>
      </c>
      <c r="M194" s="8" t="str">
        <f>IF(L194="","FCF yok",IF(L194&lt;0.01,"%1 altı",IF(L194&lt;0.05,"%1–5",IF(L194&lt;0.1,"%5–10",IF(L194&lt;0.25,"%10–25","%25 üstü")))))</f>
        <v>FCF yok</v>
      </c>
      <c r="N194" s="8" t="str">
        <f>IF(OR(C194="NULL",C194="KOŞULLU"),C194,IF(OR(F194=1,H194=1),"KOŞULLU",C194))</f>
        <v>NULL</v>
      </c>
      <c r="O194" s="8" t="str">
        <f>IF(OR(C194="NULL",C194="KOŞULLU"),C194,IF(H194=1,"KOŞULLU",C194))</f>
        <v>NULL</v>
      </c>
      <c r="P194" s="8">
        <f>IF(N194&lt;&gt;C194,1,0)</f>
        <v>0</v>
      </c>
      <c r="Q194" s="8">
        <f>IF(O194&lt;&gt;C194,1,0)</f>
        <v>0</v>
      </c>
    </row>
    <row r="195" spans="1:17" x14ac:dyDescent="0.2">
      <c r="A195" s="8" t="s">
        <v>420</v>
      </c>
      <c r="B195" s="8" t="s">
        <v>215</v>
      </c>
      <c r="C195" s="8" t="s">
        <v>207</v>
      </c>
      <c r="D195" s="10"/>
      <c r="E195" s="10">
        <v>147.29599999999999</v>
      </c>
      <c r="F195" s="8">
        <v>1</v>
      </c>
      <c r="G195" s="8" t="s">
        <v>82</v>
      </c>
      <c r="H195" s="8">
        <v>0</v>
      </c>
      <c r="I195" s="10"/>
      <c r="J195" s="8">
        <v>1</v>
      </c>
      <c r="K195" s="10">
        <v>96.525999999999996</v>
      </c>
      <c r="L195" s="11" t="str">
        <f>IF(AND(ISNUMBER(K195),ISNUMBER(D195)),IF(D195&lt;&gt;0,K195/ABS(D195),""),"")</f>
        <v/>
      </c>
      <c r="M195" s="8" t="str">
        <f>IF(L195="","FCF yok",IF(L195&lt;0.01,"%1 altı",IF(L195&lt;0.05,"%1–5",IF(L195&lt;0.1,"%5–10",IF(L195&lt;0.25,"%10–25","%25 üstü")))))</f>
        <v>FCF yok</v>
      </c>
      <c r="N195" s="8" t="str">
        <f>IF(OR(C195="NULL",C195="KOŞULLU"),C195,IF(OR(F195=1,H195=1),"KOŞULLU",C195))</f>
        <v>NULL</v>
      </c>
      <c r="O195" s="8" t="str">
        <f>IF(OR(C195="NULL",C195="KOŞULLU"),C195,IF(H195=1,"KOŞULLU",C195))</f>
        <v>NULL</v>
      </c>
      <c r="P195" s="8">
        <f>IF(N195&lt;&gt;C195,1,0)</f>
        <v>0</v>
      </c>
      <c r="Q195" s="8">
        <f>IF(O195&lt;&gt;C195,1,0)</f>
        <v>0</v>
      </c>
    </row>
    <row r="196" spans="1:17" x14ac:dyDescent="0.2">
      <c r="A196" s="8" t="s">
        <v>420</v>
      </c>
      <c r="B196" s="8" t="s">
        <v>290</v>
      </c>
      <c r="C196" s="8" t="s">
        <v>207</v>
      </c>
      <c r="D196" s="10"/>
      <c r="E196" s="10">
        <v>-485.39400000000001</v>
      </c>
      <c r="F196" s="8">
        <v>1</v>
      </c>
      <c r="G196" s="8" t="s">
        <v>83</v>
      </c>
      <c r="H196" s="8">
        <v>0</v>
      </c>
      <c r="I196" s="10"/>
      <c r="J196" s="8">
        <v>0</v>
      </c>
      <c r="K196" s="10">
        <v>859.09100000000001</v>
      </c>
      <c r="L196" s="11" t="str">
        <f>IF(AND(ISNUMBER(K196),ISNUMBER(D196)),IF(D196&lt;&gt;0,K196/ABS(D196),""),"")</f>
        <v/>
      </c>
      <c r="M196" s="8" t="str">
        <f>IF(L196="","FCF yok",IF(L196&lt;0.01,"%1 altı",IF(L196&lt;0.05,"%1–5",IF(L196&lt;0.1,"%5–10",IF(L196&lt;0.25,"%10–25","%25 üstü")))))</f>
        <v>FCF yok</v>
      </c>
      <c r="N196" s="8" t="str">
        <f>IF(OR(C196="NULL",C196="KOŞULLU"),C196,IF(OR(F196=1,H196=1),"KOŞULLU",C196))</f>
        <v>NULL</v>
      </c>
      <c r="O196" s="8" t="str">
        <f>IF(OR(C196="NULL",C196="KOŞULLU"),C196,IF(H196=1,"KOŞULLU",C196))</f>
        <v>NULL</v>
      </c>
      <c r="P196" s="8">
        <f>IF(N196&lt;&gt;C196,1,0)</f>
        <v>0</v>
      </c>
      <c r="Q196" s="8">
        <f>IF(O196&lt;&gt;C196,1,0)</f>
        <v>0</v>
      </c>
    </row>
    <row r="197" spans="1:17" x14ac:dyDescent="0.2">
      <c r="A197" s="8" t="s">
        <v>420</v>
      </c>
      <c r="B197" s="8" t="s">
        <v>208</v>
      </c>
      <c r="C197" s="8" t="s">
        <v>207</v>
      </c>
      <c r="D197" s="10"/>
      <c r="E197" s="10">
        <v>-474.72500000000002</v>
      </c>
      <c r="F197" s="8">
        <v>1</v>
      </c>
      <c r="G197" s="8" t="s">
        <v>748</v>
      </c>
      <c r="H197" s="8">
        <v>0</v>
      </c>
      <c r="I197" s="10"/>
      <c r="J197" s="8">
        <v>1</v>
      </c>
      <c r="K197" s="10">
        <v>859.09100000000001</v>
      </c>
      <c r="L197" s="11" t="str">
        <f>IF(AND(ISNUMBER(K197),ISNUMBER(D197)),IF(D197&lt;&gt;0,K197/ABS(D197),""),"")</f>
        <v/>
      </c>
      <c r="M197" s="8" t="str">
        <f>IF(L197="","FCF yok",IF(L197&lt;0.01,"%1 altı",IF(L197&lt;0.05,"%1–5",IF(L197&lt;0.1,"%5–10",IF(L197&lt;0.25,"%10–25","%25 üstü")))))</f>
        <v>FCF yok</v>
      </c>
      <c r="N197" s="8" t="str">
        <f>IF(OR(C197="NULL",C197="KOŞULLU"),C197,IF(OR(F197=1,H197=1),"KOŞULLU",C197))</f>
        <v>NULL</v>
      </c>
      <c r="O197" s="8" t="str">
        <f>IF(OR(C197="NULL",C197="KOŞULLU"),C197,IF(H197=1,"KOŞULLU",C197))</f>
        <v>NULL</v>
      </c>
      <c r="P197" s="8">
        <f>IF(N197&lt;&gt;C197,1,0)</f>
        <v>0</v>
      </c>
      <c r="Q197" s="8">
        <f>IF(O197&lt;&gt;C197,1,0)</f>
        <v>0</v>
      </c>
    </row>
    <row r="198" spans="1:17" x14ac:dyDescent="0.2">
      <c r="A198" s="8" t="s">
        <v>420</v>
      </c>
      <c r="B198" s="8" t="s">
        <v>210</v>
      </c>
      <c r="C198" s="8" t="s">
        <v>207</v>
      </c>
      <c r="D198" s="10"/>
      <c r="E198" s="10"/>
      <c r="F198" s="8">
        <v>1</v>
      </c>
      <c r="G198" s="8" t="s">
        <v>83</v>
      </c>
      <c r="H198" s="8">
        <v>0</v>
      </c>
      <c r="I198" s="10"/>
      <c r="J198" s="8">
        <v>0</v>
      </c>
      <c r="K198" s="10">
        <v>859.09100000000001</v>
      </c>
      <c r="L198" s="11" t="str">
        <f>IF(AND(ISNUMBER(K198),ISNUMBER(D198)),IF(D198&lt;&gt;0,K198/ABS(D198),""),"")</f>
        <v/>
      </c>
      <c r="M198" s="8" t="str">
        <f>IF(L198="","FCF yok",IF(L198&lt;0.01,"%1 altı",IF(L198&lt;0.05,"%1–5",IF(L198&lt;0.1,"%5–10",IF(L198&lt;0.25,"%10–25","%25 üstü")))))</f>
        <v>FCF yok</v>
      </c>
      <c r="N198" s="8" t="str">
        <f>IF(OR(C198="NULL",C198="KOŞULLU"),C198,IF(OR(F198=1,H198=1),"KOŞULLU",C198))</f>
        <v>NULL</v>
      </c>
      <c r="O198" s="8" t="str">
        <f>IF(OR(C198="NULL",C198="KOŞULLU"),C198,IF(H198=1,"KOŞULLU",C198))</f>
        <v>NULL</v>
      </c>
      <c r="P198" s="8">
        <f>IF(N198&lt;&gt;C198,1,0)</f>
        <v>0</v>
      </c>
      <c r="Q198" s="8">
        <f>IF(O198&lt;&gt;C198,1,0)</f>
        <v>0</v>
      </c>
    </row>
    <row r="199" spans="1:17" x14ac:dyDescent="0.2">
      <c r="A199" s="8" t="s">
        <v>427</v>
      </c>
      <c r="B199" s="8" t="s">
        <v>215</v>
      </c>
      <c r="C199" s="8" t="s">
        <v>207</v>
      </c>
      <c r="D199" s="10"/>
      <c r="E199" s="10">
        <v>201.47300000000001</v>
      </c>
      <c r="F199" s="8">
        <v>1</v>
      </c>
      <c r="G199" s="8" t="s">
        <v>749</v>
      </c>
      <c r="H199" s="8">
        <v>1</v>
      </c>
      <c r="I199" s="8" t="s">
        <v>83</v>
      </c>
      <c r="J199" s="8">
        <v>0</v>
      </c>
      <c r="K199" s="10">
        <v>61.444000000000003</v>
      </c>
      <c r="L199" s="11" t="str">
        <f>IF(AND(ISNUMBER(K199),ISNUMBER(D199)),IF(D199&lt;&gt;0,K199/ABS(D199),""),"")</f>
        <v/>
      </c>
      <c r="M199" s="8" t="str">
        <f>IF(L199="","FCF yok",IF(L199&lt;0.01,"%1 altı",IF(L199&lt;0.05,"%1–5",IF(L199&lt;0.1,"%5–10",IF(L199&lt;0.25,"%10–25","%25 üstü")))))</f>
        <v>FCF yok</v>
      </c>
      <c r="N199" s="8" t="str">
        <f>IF(OR(C199="NULL",C199="KOŞULLU"),C199,IF(OR(F199=1,H199=1),"KOŞULLU",C199))</f>
        <v>NULL</v>
      </c>
      <c r="O199" s="8" t="str">
        <f>IF(OR(C199="NULL",C199="KOŞULLU"),C199,IF(H199=1,"KOŞULLU",C199))</f>
        <v>NULL</v>
      </c>
      <c r="P199" s="8">
        <f>IF(N199&lt;&gt;C199,1,0)</f>
        <v>0</v>
      </c>
      <c r="Q199" s="8">
        <f>IF(O199&lt;&gt;C199,1,0)</f>
        <v>0</v>
      </c>
    </row>
    <row r="200" spans="1:17" x14ac:dyDescent="0.2">
      <c r="A200" s="8" t="s">
        <v>427</v>
      </c>
      <c r="B200" s="8" t="s">
        <v>290</v>
      </c>
      <c r="C200" s="8" t="s">
        <v>209</v>
      </c>
      <c r="D200" s="10">
        <v>-73.254999999999995</v>
      </c>
      <c r="E200" s="10">
        <v>71.840999999999994</v>
      </c>
      <c r="F200" s="8">
        <v>1</v>
      </c>
      <c r="G200" s="8" t="s">
        <v>749</v>
      </c>
      <c r="H200" s="8">
        <v>0</v>
      </c>
      <c r="I200" s="10"/>
      <c r="J200" s="8">
        <v>0</v>
      </c>
      <c r="K200" s="10">
        <v>133.02600000000001</v>
      </c>
      <c r="L200" s="11">
        <f>IF(AND(ISNUMBER(K200),ISNUMBER(D200)),IF(D200&lt;&gt;0,K200/ABS(D200),""),"")</f>
        <v>1.8159306531977342</v>
      </c>
      <c r="M200" s="8" t="str">
        <f>IF(L200="","FCF yok",IF(L200&lt;0.01,"%1 altı",IF(L200&lt;0.05,"%1–5",IF(L200&lt;0.1,"%5–10",IF(L200&lt;0.25,"%10–25","%25 üstü")))))</f>
        <v>%25 üstü</v>
      </c>
      <c r="N200" s="8" t="str">
        <f>IF(OR(C200="NULL",C200="KOŞULLU"),C200,IF(OR(F200=1,H200=1),"KOŞULLU",C200))</f>
        <v>KOŞULLU</v>
      </c>
      <c r="O200" s="8" t="str">
        <f>IF(OR(C200="NULL",C200="KOŞULLU"),C200,IF(H200=1,"KOŞULLU",C200))</f>
        <v>TÜRETİLMİŞ</v>
      </c>
      <c r="P200" s="8">
        <f>IF(N200&lt;&gt;C200,1,0)</f>
        <v>1</v>
      </c>
      <c r="Q200" s="8">
        <f>IF(O200&lt;&gt;C200,1,0)</f>
        <v>0</v>
      </c>
    </row>
    <row r="201" spans="1:17" x14ac:dyDescent="0.2">
      <c r="A201" s="8" t="s">
        <v>427</v>
      </c>
      <c r="B201" s="8" t="s">
        <v>208</v>
      </c>
      <c r="C201" s="8" t="s">
        <v>207</v>
      </c>
      <c r="D201" s="10"/>
      <c r="E201" s="10">
        <v>-351.14699999999999</v>
      </c>
      <c r="F201" s="8">
        <v>1</v>
      </c>
      <c r="G201" s="8" t="s">
        <v>749</v>
      </c>
      <c r="H201" s="8">
        <v>0</v>
      </c>
      <c r="I201" s="10"/>
      <c r="J201" s="8">
        <v>0</v>
      </c>
      <c r="K201" s="10">
        <v>133.02600000000001</v>
      </c>
      <c r="L201" s="11" t="str">
        <f>IF(AND(ISNUMBER(K201),ISNUMBER(D201)),IF(D201&lt;&gt;0,K201/ABS(D201),""),"")</f>
        <v/>
      </c>
      <c r="M201" s="8" t="str">
        <f>IF(L201="","FCF yok",IF(L201&lt;0.01,"%1 altı",IF(L201&lt;0.05,"%1–5",IF(L201&lt;0.1,"%5–10",IF(L201&lt;0.25,"%10–25","%25 üstü")))))</f>
        <v>FCF yok</v>
      </c>
      <c r="N201" s="8" t="str">
        <f>IF(OR(C201="NULL",C201="KOŞULLU"),C201,IF(OR(F201=1,H201=1),"KOŞULLU",C201))</f>
        <v>NULL</v>
      </c>
      <c r="O201" s="8" t="str">
        <f>IF(OR(C201="NULL",C201="KOŞULLU"),C201,IF(H201=1,"KOŞULLU",C201))</f>
        <v>NULL</v>
      </c>
      <c r="P201" s="8">
        <f>IF(N201&lt;&gt;C201,1,0)</f>
        <v>0</v>
      </c>
      <c r="Q201" s="8">
        <f>IF(O201&lt;&gt;C201,1,0)</f>
        <v>0</v>
      </c>
    </row>
    <row r="202" spans="1:17" x14ac:dyDescent="0.2">
      <c r="A202" s="8" t="s">
        <v>427</v>
      </c>
      <c r="B202" s="8" t="s">
        <v>210</v>
      </c>
      <c r="C202" s="8" t="s">
        <v>209</v>
      </c>
      <c r="D202" s="10">
        <v>-478.177323</v>
      </c>
      <c r="E202" s="10">
        <v>-278.16399999999999</v>
      </c>
      <c r="F202" s="8">
        <v>1</v>
      </c>
      <c r="G202" s="8" t="s">
        <v>749</v>
      </c>
      <c r="H202" s="8">
        <v>1</v>
      </c>
      <c r="I202" s="8" t="s">
        <v>83</v>
      </c>
      <c r="J202" s="8">
        <v>1</v>
      </c>
      <c r="K202" s="10">
        <v>58.878999999999998</v>
      </c>
      <c r="L202" s="11">
        <f>IF(AND(ISNUMBER(K202),ISNUMBER(D202)),IF(D202&lt;&gt;0,K202/ABS(D202),""),"")</f>
        <v>0.12313214610555674</v>
      </c>
      <c r="M202" s="8" t="str">
        <f>IF(L202="","FCF yok",IF(L202&lt;0.01,"%1 altı",IF(L202&lt;0.05,"%1–5",IF(L202&lt;0.1,"%5–10",IF(L202&lt;0.25,"%10–25","%25 üstü")))))</f>
        <v>%10–25</v>
      </c>
      <c r="N202" s="8" t="str">
        <f>IF(OR(C202="NULL",C202="KOŞULLU"),C202,IF(OR(F202=1,H202=1),"KOŞULLU",C202))</f>
        <v>KOŞULLU</v>
      </c>
      <c r="O202" s="8" t="str">
        <f>IF(OR(C202="NULL",C202="KOŞULLU"),C202,IF(H202=1,"KOŞULLU",C202))</f>
        <v>KOŞULLU</v>
      </c>
      <c r="P202" s="8">
        <f>IF(N202&lt;&gt;C202,1,0)</f>
        <v>1</v>
      </c>
      <c r="Q202" s="8">
        <f>IF(O202&lt;&gt;C202,1,0)</f>
        <v>1</v>
      </c>
    </row>
    <row r="203" spans="1:17" x14ac:dyDescent="0.2">
      <c r="A203" s="8" t="s">
        <v>431</v>
      </c>
      <c r="B203" s="8" t="s">
        <v>215</v>
      </c>
      <c r="C203" s="8" t="s">
        <v>207</v>
      </c>
      <c r="D203" s="10"/>
      <c r="E203" s="10">
        <v>270.31299999999999</v>
      </c>
      <c r="F203" s="8">
        <v>0</v>
      </c>
      <c r="G203" s="10"/>
      <c r="H203" s="8">
        <v>1</v>
      </c>
      <c r="I203" s="8" t="s">
        <v>83</v>
      </c>
      <c r="J203" s="8">
        <v>0</v>
      </c>
      <c r="K203" s="10">
        <v>50.597000000000001</v>
      </c>
      <c r="L203" s="11" t="str">
        <f>IF(AND(ISNUMBER(K203),ISNUMBER(D203)),IF(D203&lt;&gt;0,K203/ABS(D203),""),"")</f>
        <v/>
      </c>
      <c r="M203" s="8" t="str">
        <f>IF(L203="","FCF yok",IF(L203&lt;0.01,"%1 altı",IF(L203&lt;0.05,"%1–5",IF(L203&lt;0.1,"%5–10",IF(L203&lt;0.25,"%10–25","%25 üstü")))))</f>
        <v>FCF yok</v>
      </c>
      <c r="N203" s="8" t="str">
        <f>IF(OR(C203="NULL",C203="KOŞULLU"),C203,IF(OR(F203=1,H203=1),"KOŞULLU",C203))</f>
        <v>NULL</v>
      </c>
      <c r="O203" s="8" t="str">
        <f>IF(OR(C203="NULL",C203="KOŞULLU"),C203,IF(H203=1,"KOŞULLU",C203))</f>
        <v>NULL</v>
      </c>
      <c r="P203" s="8">
        <f>IF(N203&lt;&gt;C203,1,0)</f>
        <v>0</v>
      </c>
      <c r="Q203" s="8">
        <f>IF(O203&lt;&gt;C203,1,0)</f>
        <v>0</v>
      </c>
    </row>
    <row r="204" spans="1:17" x14ac:dyDescent="0.2">
      <c r="A204" s="8" t="s">
        <v>619</v>
      </c>
      <c r="B204" s="8" t="s">
        <v>203</v>
      </c>
      <c r="C204" s="8" t="s">
        <v>207</v>
      </c>
      <c r="D204" s="10"/>
      <c r="E204" s="10">
        <v>-2071.8180000000002</v>
      </c>
      <c r="F204" s="8">
        <v>1</v>
      </c>
      <c r="G204" s="8" t="s">
        <v>82</v>
      </c>
      <c r="H204" s="8">
        <v>0</v>
      </c>
      <c r="I204" s="10"/>
      <c r="J204" s="8">
        <v>0</v>
      </c>
      <c r="K204" s="10">
        <v>39.747</v>
      </c>
      <c r="L204" s="11" t="str">
        <f>IF(AND(ISNUMBER(K204),ISNUMBER(D204)),IF(D204&lt;&gt;0,K204/ABS(D204),""),"")</f>
        <v/>
      </c>
      <c r="M204" s="8" t="str">
        <f>IF(L204="","FCF yok",IF(L204&lt;0.01,"%1 altı",IF(L204&lt;0.05,"%1–5",IF(L204&lt;0.1,"%5–10",IF(L204&lt;0.25,"%10–25","%25 üstü")))))</f>
        <v>FCF yok</v>
      </c>
      <c r="N204" s="8" t="str">
        <f>IF(OR(C204="NULL",C204="KOŞULLU"),C204,IF(OR(F204=1,H204=1),"KOŞULLU",C204))</f>
        <v>NULL</v>
      </c>
      <c r="O204" s="8" t="str">
        <f>IF(OR(C204="NULL",C204="KOŞULLU"),C204,IF(H204=1,"KOŞULLU",C204))</f>
        <v>NULL</v>
      </c>
      <c r="P204" s="8">
        <f>IF(N204&lt;&gt;C204,1,0)</f>
        <v>0</v>
      </c>
      <c r="Q204" s="8">
        <f>IF(O204&lt;&gt;C204,1,0)</f>
        <v>0</v>
      </c>
    </row>
    <row r="205" spans="1:17" x14ac:dyDescent="0.2">
      <c r="A205" s="8" t="s">
        <v>619</v>
      </c>
      <c r="B205" s="8" t="s">
        <v>205</v>
      </c>
      <c r="C205" s="8" t="s">
        <v>207</v>
      </c>
      <c r="D205" s="10"/>
      <c r="E205" s="10">
        <v>111.395</v>
      </c>
      <c r="F205" s="8">
        <v>1</v>
      </c>
      <c r="G205" s="8" t="s">
        <v>82</v>
      </c>
      <c r="H205" s="8">
        <v>0</v>
      </c>
      <c r="I205" s="10"/>
      <c r="J205" s="8">
        <v>0</v>
      </c>
      <c r="K205" s="10">
        <v>39.747</v>
      </c>
      <c r="L205" s="11" t="str">
        <f>IF(AND(ISNUMBER(K205),ISNUMBER(D205)),IF(D205&lt;&gt;0,K205/ABS(D205),""),"")</f>
        <v/>
      </c>
      <c r="M205" s="8" t="str">
        <f>IF(L205="","FCF yok",IF(L205&lt;0.01,"%1 altı",IF(L205&lt;0.05,"%1–5",IF(L205&lt;0.1,"%5–10",IF(L205&lt;0.25,"%10–25","%25 üstü")))))</f>
        <v>FCF yok</v>
      </c>
      <c r="N205" s="8" t="str">
        <f>IF(OR(C205="NULL",C205="KOŞULLU"),C205,IF(OR(F205=1,H205=1),"KOŞULLU",C205))</f>
        <v>NULL</v>
      </c>
      <c r="O205" s="8" t="str">
        <f>IF(OR(C205="NULL",C205="KOŞULLU"),C205,IF(H205=1,"KOŞULLU",C205))</f>
        <v>NULL</v>
      </c>
      <c r="P205" s="8">
        <f>IF(N205&lt;&gt;C205,1,0)</f>
        <v>0</v>
      </c>
      <c r="Q205" s="8">
        <f>IF(O205&lt;&gt;C205,1,0)</f>
        <v>0</v>
      </c>
    </row>
    <row r="206" spans="1:17" x14ac:dyDescent="0.2">
      <c r="A206" s="8" t="s">
        <v>619</v>
      </c>
      <c r="B206" s="8" t="s">
        <v>215</v>
      </c>
      <c r="C206" s="8" t="s">
        <v>207</v>
      </c>
      <c r="D206" s="10"/>
      <c r="E206" s="10">
        <v>299.76400000000001</v>
      </c>
      <c r="F206" s="8">
        <v>1</v>
      </c>
      <c r="G206" s="8" t="s">
        <v>82</v>
      </c>
      <c r="H206" s="8">
        <v>0</v>
      </c>
      <c r="I206" s="10"/>
      <c r="J206" s="8">
        <v>0</v>
      </c>
      <c r="K206" s="10">
        <v>39.747</v>
      </c>
      <c r="L206" s="11" t="str">
        <f>IF(AND(ISNUMBER(K206),ISNUMBER(D206)),IF(D206&lt;&gt;0,K206/ABS(D206),""),"")</f>
        <v/>
      </c>
      <c r="M206" s="8" t="str">
        <f>IF(L206="","FCF yok",IF(L206&lt;0.01,"%1 altı",IF(L206&lt;0.05,"%1–5",IF(L206&lt;0.1,"%5–10",IF(L206&lt;0.25,"%10–25","%25 üstü")))))</f>
        <v>FCF yok</v>
      </c>
      <c r="N206" s="8" t="str">
        <f>IF(OR(C206="NULL",C206="KOŞULLU"),C206,IF(OR(F206=1,H206=1),"KOŞULLU",C206))</f>
        <v>NULL</v>
      </c>
      <c r="O206" s="8" t="str">
        <f>IF(OR(C206="NULL",C206="KOŞULLU"),C206,IF(H206=1,"KOŞULLU",C206))</f>
        <v>NULL</v>
      </c>
      <c r="P206" s="8">
        <f>IF(N206&lt;&gt;C206,1,0)</f>
        <v>0</v>
      </c>
      <c r="Q206" s="8">
        <f>IF(O206&lt;&gt;C206,1,0)</f>
        <v>0</v>
      </c>
    </row>
    <row r="207" spans="1:17" x14ac:dyDescent="0.2">
      <c r="A207" s="8" t="s">
        <v>619</v>
      </c>
      <c r="B207" s="8" t="s">
        <v>290</v>
      </c>
      <c r="C207" s="8" t="s">
        <v>207</v>
      </c>
      <c r="D207" s="10"/>
      <c r="E207" s="10">
        <v>483.59100000000001</v>
      </c>
      <c r="F207" s="8">
        <v>1</v>
      </c>
      <c r="G207" s="8" t="s">
        <v>82</v>
      </c>
      <c r="H207" s="8">
        <v>0</v>
      </c>
      <c r="I207" s="10"/>
      <c r="J207" s="8">
        <v>0</v>
      </c>
      <c r="K207" s="10">
        <v>18.184000000000001</v>
      </c>
      <c r="L207" s="11" t="str">
        <f>IF(AND(ISNUMBER(K207),ISNUMBER(D207)),IF(D207&lt;&gt;0,K207/ABS(D207),""),"")</f>
        <v/>
      </c>
      <c r="M207" s="8" t="str">
        <f>IF(L207="","FCF yok",IF(L207&lt;0.01,"%1 altı",IF(L207&lt;0.05,"%1–5",IF(L207&lt;0.1,"%5–10",IF(L207&lt;0.25,"%10–25","%25 üstü")))))</f>
        <v>FCF yok</v>
      </c>
      <c r="N207" s="8" t="str">
        <f>IF(OR(C207="NULL",C207="KOŞULLU"),C207,IF(OR(F207=1,H207=1),"KOŞULLU",C207))</f>
        <v>NULL</v>
      </c>
      <c r="O207" s="8" t="str">
        <f>IF(OR(C207="NULL",C207="KOŞULLU"),C207,IF(H207=1,"KOŞULLU",C207))</f>
        <v>NULL</v>
      </c>
      <c r="P207" s="8">
        <f>IF(N207&lt;&gt;C207,1,0)</f>
        <v>0</v>
      </c>
      <c r="Q207" s="8">
        <f>IF(O207&lt;&gt;C207,1,0)</f>
        <v>0</v>
      </c>
    </row>
    <row r="208" spans="1:17" x14ac:dyDescent="0.2">
      <c r="A208" s="8" t="s">
        <v>619</v>
      </c>
      <c r="B208" s="8" t="s">
        <v>208</v>
      </c>
      <c r="C208" s="8" t="s">
        <v>207</v>
      </c>
      <c r="D208" s="10"/>
      <c r="E208" s="10">
        <v>671.221</v>
      </c>
      <c r="F208" s="8">
        <v>1</v>
      </c>
      <c r="G208" s="8" t="s">
        <v>82</v>
      </c>
      <c r="H208" s="8">
        <v>0</v>
      </c>
      <c r="I208" s="10"/>
      <c r="J208" s="8">
        <v>0</v>
      </c>
      <c r="K208" s="10">
        <v>18.184000000000001</v>
      </c>
      <c r="L208" s="11" t="str">
        <f>IF(AND(ISNUMBER(K208),ISNUMBER(D208)),IF(D208&lt;&gt;0,K208/ABS(D208),""),"")</f>
        <v/>
      </c>
      <c r="M208" s="8" t="str">
        <f>IF(L208="","FCF yok",IF(L208&lt;0.01,"%1 altı",IF(L208&lt;0.05,"%1–5",IF(L208&lt;0.1,"%5–10",IF(L208&lt;0.25,"%10–25","%25 üstü")))))</f>
        <v>FCF yok</v>
      </c>
      <c r="N208" s="8" t="str">
        <f>IF(OR(C208="NULL",C208="KOŞULLU"),C208,IF(OR(F208=1,H208=1),"KOŞULLU",C208))</f>
        <v>NULL</v>
      </c>
      <c r="O208" s="8" t="str">
        <f>IF(OR(C208="NULL",C208="KOŞULLU"),C208,IF(H208=1,"KOŞULLU",C208))</f>
        <v>NULL</v>
      </c>
      <c r="P208" s="8">
        <f>IF(N208&lt;&gt;C208,1,0)</f>
        <v>0</v>
      </c>
      <c r="Q208" s="8">
        <f>IF(O208&lt;&gt;C208,1,0)</f>
        <v>0</v>
      </c>
    </row>
    <row r="209" spans="1:17" x14ac:dyDescent="0.2">
      <c r="A209" s="8" t="s">
        <v>619</v>
      </c>
      <c r="B209" s="8" t="s">
        <v>210</v>
      </c>
      <c r="C209" s="8" t="s">
        <v>207</v>
      </c>
      <c r="D209" s="10"/>
      <c r="E209" s="10">
        <v>344.45</v>
      </c>
      <c r="F209" s="8">
        <v>1</v>
      </c>
      <c r="G209" s="8" t="s">
        <v>82</v>
      </c>
      <c r="H209" s="8">
        <v>0</v>
      </c>
      <c r="I209" s="10"/>
      <c r="J209" s="8">
        <v>0</v>
      </c>
      <c r="K209" s="10">
        <v>18.184000000000001</v>
      </c>
      <c r="L209" s="11" t="str">
        <f>IF(AND(ISNUMBER(K209),ISNUMBER(D209)),IF(D209&lt;&gt;0,K209/ABS(D209),""),"")</f>
        <v/>
      </c>
      <c r="M209" s="8" t="str">
        <f>IF(L209="","FCF yok",IF(L209&lt;0.01,"%1 altı",IF(L209&lt;0.05,"%1–5",IF(L209&lt;0.1,"%5–10",IF(L209&lt;0.25,"%10–25","%25 üstü")))))</f>
        <v>FCF yok</v>
      </c>
      <c r="N209" s="8" t="str">
        <f>IF(OR(C209="NULL",C209="KOŞULLU"),C209,IF(OR(F209=1,H209=1),"KOŞULLU",C209))</f>
        <v>NULL</v>
      </c>
      <c r="O209" s="8" t="str">
        <f>IF(OR(C209="NULL",C209="KOŞULLU"),C209,IF(H209=1,"KOŞULLU",C209))</f>
        <v>NULL</v>
      </c>
      <c r="P209" s="8">
        <f>IF(N209&lt;&gt;C209,1,0)</f>
        <v>0</v>
      </c>
      <c r="Q209" s="8">
        <f>IF(O209&lt;&gt;C209,1,0)</f>
        <v>0</v>
      </c>
    </row>
    <row r="210" spans="1:17" x14ac:dyDescent="0.2">
      <c r="A210" s="8" t="s">
        <v>433</v>
      </c>
      <c r="B210" s="8" t="s">
        <v>205</v>
      </c>
      <c r="C210" s="8" t="s">
        <v>204</v>
      </c>
      <c r="D210" s="10">
        <v>59.688000000000102</v>
      </c>
      <c r="E210" s="10">
        <v>223.66200000000001</v>
      </c>
      <c r="F210" s="8">
        <v>0</v>
      </c>
      <c r="G210" s="10"/>
      <c r="H210" s="8">
        <v>1</v>
      </c>
      <c r="I210" s="8" t="s">
        <v>83</v>
      </c>
      <c r="J210" s="8">
        <v>0</v>
      </c>
      <c r="K210" s="10">
        <v>33.623000000000097</v>
      </c>
      <c r="L210" s="11">
        <f>IF(AND(ISNUMBER(K210),ISNUMBER(D210)),IF(D210&lt;&gt;0,K210/ABS(D210),""),"")</f>
        <v>0.56331255863825291</v>
      </c>
      <c r="M210" s="8" t="str">
        <f>IF(L210="","FCF yok",IF(L210&lt;0.01,"%1 altı",IF(L210&lt;0.05,"%1–5",IF(L210&lt;0.1,"%5–10",IF(L210&lt;0.25,"%10–25","%25 üstü")))))</f>
        <v>%25 üstü</v>
      </c>
      <c r="N210" s="8" t="str">
        <f>IF(OR(C210="NULL",C210="KOŞULLU"),C210,IF(OR(F210=1,H210=1),"KOŞULLU",C210))</f>
        <v>KOŞULLU</v>
      </c>
      <c r="O210" s="8" t="str">
        <f>IF(OR(C210="NULL",C210="KOŞULLU"),C210,IF(H210=1,"KOŞULLU",C210))</f>
        <v>KOŞULLU</v>
      </c>
      <c r="P210" s="8">
        <f>IF(N210&lt;&gt;C210,1,0)</f>
        <v>1</v>
      </c>
      <c r="Q210" s="8">
        <f>IF(O210&lt;&gt;C210,1,0)</f>
        <v>1</v>
      </c>
    </row>
    <row r="211" spans="1:17" x14ac:dyDescent="0.2">
      <c r="A211" s="8" t="s">
        <v>434</v>
      </c>
      <c r="B211" s="8" t="s">
        <v>203</v>
      </c>
      <c r="C211" s="8" t="s">
        <v>209</v>
      </c>
      <c r="D211" s="10">
        <v>-168.94596100000001</v>
      </c>
      <c r="E211" s="10">
        <v>-129.53100000000001</v>
      </c>
      <c r="F211" s="8">
        <v>0</v>
      </c>
      <c r="G211" s="10"/>
      <c r="H211" s="8">
        <v>1</v>
      </c>
      <c r="I211" s="8" t="s">
        <v>83</v>
      </c>
      <c r="J211" s="8">
        <v>0</v>
      </c>
      <c r="K211" s="10">
        <v>79.162999999999997</v>
      </c>
      <c r="L211" s="11">
        <f>IF(AND(ISNUMBER(K211),ISNUMBER(D211)),IF(D211&lt;&gt;0,K211/ABS(D211),""),"")</f>
        <v>0.46856994704951832</v>
      </c>
      <c r="M211" s="8" t="str">
        <f>IF(L211="","FCF yok",IF(L211&lt;0.01,"%1 altı",IF(L211&lt;0.05,"%1–5",IF(L211&lt;0.1,"%5–10",IF(L211&lt;0.25,"%10–25","%25 üstü")))))</f>
        <v>%25 üstü</v>
      </c>
      <c r="N211" s="8" t="str">
        <f>IF(OR(C211="NULL",C211="KOŞULLU"),C211,IF(OR(F211=1,H211=1),"KOŞULLU",C211))</f>
        <v>KOŞULLU</v>
      </c>
      <c r="O211" s="8" t="str">
        <f>IF(OR(C211="NULL",C211="KOŞULLU"),C211,IF(H211=1,"KOŞULLU",C211))</f>
        <v>KOŞULLU</v>
      </c>
      <c r="P211" s="8">
        <f>IF(N211&lt;&gt;C211,1,0)</f>
        <v>1</v>
      </c>
      <c r="Q211" s="8">
        <f>IF(O211&lt;&gt;C211,1,0)</f>
        <v>1</v>
      </c>
    </row>
    <row r="212" spans="1:17" x14ac:dyDescent="0.2">
      <c r="A212" s="8" t="s">
        <v>434</v>
      </c>
      <c r="B212" s="8" t="s">
        <v>205</v>
      </c>
      <c r="C212" s="8" t="s">
        <v>207</v>
      </c>
      <c r="D212" s="10"/>
      <c r="E212" s="10">
        <v>-72.67</v>
      </c>
      <c r="F212" s="8">
        <v>0</v>
      </c>
      <c r="G212" s="10"/>
      <c r="H212" s="8">
        <v>1</v>
      </c>
      <c r="I212" s="8" t="s">
        <v>83</v>
      </c>
      <c r="J212" s="8">
        <v>0</v>
      </c>
      <c r="K212" s="10">
        <v>88.307000000000002</v>
      </c>
      <c r="L212" s="11" t="str">
        <f>IF(AND(ISNUMBER(K212),ISNUMBER(D212)),IF(D212&lt;&gt;0,K212/ABS(D212),""),"")</f>
        <v/>
      </c>
      <c r="M212" s="8" t="str">
        <f>IF(L212="","FCF yok",IF(L212&lt;0.01,"%1 altı",IF(L212&lt;0.05,"%1–5",IF(L212&lt;0.1,"%5–10",IF(L212&lt;0.25,"%10–25","%25 üstü")))))</f>
        <v>FCF yok</v>
      </c>
      <c r="N212" s="8" t="str">
        <f>IF(OR(C212="NULL",C212="KOŞULLU"),C212,IF(OR(F212=1,H212=1),"KOŞULLU",C212))</f>
        <v>NULL</v>
      </c>
      <c r="O212" s="8" t="str">
        <f>IF(OR(C212="NULL",C212="KOŞULLU"),C212,IF(H212=1,"KOŞULLU",C212))</f>
        <v>NULL</v>
      </c>
      <c r="P212" s="8">
        <f>IF(N212&lt;&gt;C212,1,0)</f>
        <v>0</v>
      </c>
      <c r="Q212" s="8">
        <f>IF(O212&lt;&gt;C212,1,0)</f>
        <v>0</v>
      </c>
    </row>
    <row r="213" spans="1:17" x14ac:dyDescent="0.2">
      <c r="A213" s="8" t="s">
        <v>434</v>
      </c>
      <c r="B213" s="8" t="s">
        <v>215</v>
      </c>
      <c r="C213" s="8" t="s">
        <v>207</v>
      </c>
      <c r="D213" s="10"/>
      <c r="E213" s="10">
        <v>-147.577</v>
      </c>
      <c r="F213" s="8">
        <v>0</v>
      </c>
      <c r="G213" s="10"/>
      <c r="H213" s="8">
        <v>1</v>
      </c>
      <c r="I213" s="8" t="s">
        <v>83</v>
      </c>
      <c r="J213" s="8">
        <v>0</v>
      </c>
      <c r="K213" s="10">
        <v>96.192999999999998</v>
      </c>
      <c r="L213" s="11" t="str">
        <f>IF(AND(ISNUMBER(K213),ISNUMBER(D213)),IF(D213&lt;&gt;0,K213/ABS(D213),""),"")</f>
        <v/>
      </c>
      <c r="M213" s="8" t="str">
        <f>IF(L213="","FCF yok",IF(L213&lt;0.01,"%1 altı",IF(L213&lt;0.05,"%1–5",IF(L213&lt;0.1,"%5–10",IF(L213&lt;0.25,"%10–25","%25 üstü")))))</f>
        <v>FCF yok</v>
      </c>
      <c r="N213" s="8" t="str">
        <f>IF(OR(C213="NULL",C213="KOŞULLU"),C213,IF(OR(F213=1,H213=1),"KOŞULLU",C213))</f>
        <v>NULL</v>
      </c>
      <c r="O213" s="8" t="str">
        <f>IF(OR(C213="NULL",C213="KOŞULLU"),C213,IF(H213=1,"KOŞULLU",C213))</f>
        <v>NULL</v>
      </c>
      <c r="P213" s="8">
        <f>IF(N213&lt;&gt;C213,1,0)</f>
        <v>0</v>
      </c>
      <c r="Q213" s="8">
        <f>IF(O213&lt;&gt;C213,1,0)</f>
        <v>0</v>
      </c>
    </row>
    <row r="214" spans="1:17" x14ac:dyDescent="0.2">
      <c r="A214" s="8" t="s">
        <v>435</v>
      </c>
      <c r="B214" s="8" t="s">
        <v>215</v>
      </c>
      <c r="C214" s="8" t="s">
        <v>207</v>
      </c>
      <c r="D214" s="10"/>
      <c r="E214" s="10">
        <v>1072.4169999999999</v>
      </c>
      <c r="F214" s="8">
        <v>1</v>
      </c>
      <c r="G214" s="8" t="s">
        <v>83</v>
      </c>
      <c r="H214" s="8">
        <v>0</v>
      </c>
      <c r="I214" s="10"/>
      <c r="J214" s="8">
        <v>1</v>
      </c>
      <c r="K214" s="10">
        <v>0.35799999999999998</v>
      </c>
      <c r="L214" s="11" t="str">
        <f>IF(AND(ISNUMBER(K214),ISNUMBER(D214)),IF(D214&lt;&gt;0,K214/ABS(D214),""),"")</f>
        <v/>
      </c>
      <c r="M214" s="8" t="str">
        <f>IF(L214="","FCF yok",IF(L214&lt;0.01,"%1 altı",IF(L214&lt;0.05,"%1–5",IF(L214&lt;0.1,"%5–10",IF(L214&lt;0.25,"%10–25","%25 üstü")))))</f>
        <v>FCF yok</v>
      </c>
      <c r="N214" s="8" t="str">
        <f>IF(OR(C214="NULL",C214="KOŞULLU"),C214,IF(OR(F214=1,H214=1),"KOŞULLU",C214))</f>
        <v>NULL</v>
      </c>
      <c r="O214" s="8" t="str">
        <f>IF(OR(C214="NULL",C214="KOŞULLU"),C214,IF(H214=1,"KOŞULLU",C214))</f>
        <v>NULL</v>
      </c>
      <c r="P214" s="8">
        <f>IF(N214&lt;&gt;C214,1,0)</f>
        <v>0</v>
      </c>
      <c r="Q214" s="8">
        <f>IF(O214&lt;&gt;C214,1,0)</f>
        <v>0</v>
      </c>
    </row>
    <row r="215" spans="1:17" x14ac:dyDescent="0.2">
      <c r="A215" s="8" t="s">
        <v>437</v>
      </c>
      <c r="B215" s="8" t="s">
        <v>203</v>
      </c>
      <c r="C215" s="8" t="s">
        <v>204</v>
      </c>
      <c r="D215" s="10">
        <v>363.96600000000001</v>
      </c>
      <c r="E215" s="10">
        <v>1474.0319999999999</v>
      </c>
      <c r="F215" s="8">
        <v>0</v>
      </c>
      <c r="G215" s="10"/>
      <c r="H215" s="8">
        <v>1</v>
      </c>
      <c r="I215" s="8" t="s">
        <v>82</v>
      </c>
      <c r="J215" s="8">
        <v>0</v>
      </c>
      <c r="K215" s="10">
        <v>3.1720000000000002</v>
      </c>
      <c r="L215" s="11">
        <f>IF(AND(ISNUMBER(K215),ISNUMBER(D215)),IF(D215&lt;&gt;0,K215/ABS(D215),""),"")</f>
        <v>8.7150997620656871E-3</v>
      </c>
      <c r="M215" s="8" t="str">
        <f>IF(L215="","FCF yok",IF(L215&lt;0.01,"%1 altı",IF(L215&lt;0.05,"%1–5",IF(L215&lt;0.1,"%5–10",IF(L215&lt;0.25,"%10–25","%25 üstü")))))</f>
        <v>%1 altı</v>
      </c>
      <c r="N215" s="8" t="str">
        <f>IF(OR(C215="NULL",C215="KOŞULLU"),C215,IF(OR(F215=1,H215=1),"KOŞULLU",C215))</f>
        <v>KOŞULLU</v>
      </c>
      <c r="O215" s="8" t="str">
        <f>IF(OR(C215="NULL",C215="KOŞULLU"),C215,IF(H215=1,"KOŞULLU",C215))</f>
        <v>KOŞULLU</v>
      </c>
      <c r="P215" s="8">
        <f>IF(N215&lt;&gt;C215,1,0)</f>
        <v>1</v>
      </c>
      <c r="Q215" s="8">
        <f>IF(O215&lt;&gt;C215,1,0)</f>
        <v>1</v>
      </c>
    </row>
    <row r="216" spans="1:17" x14ac:dyDescent="0.2">
      <c r="A216" s="8" t="s">
        <v>437</v>
      </c>
      <c r="B216" s="8" t="s">
        <v>205</v>
      </c>
      <c r="C216" s="8" t="s">
        <v>204</v>
      </c>
      <c r="D216" s="10">
        <v>952.43600000000004</v>
      </c>
      <c r="E216" s="10">
        <v>2134.8209999999999</v>
      </c>
      <c r="F216" s="8">
        <v>0</v>
      </c>
      <c r="G216" s="10"/>
      <c r="H216" s="8">
        <v>1</v>
      </c>
      <c r="I216" s="8" t="s">
        <v>82</v>
      </c>
      <c r="J216" s="8">
        <v>0</v>
      </c>
      <c r="K216" s="10">
        <v>57.140999999999998</v>
      </c>
      <c r="L216" s="11">
        <f>IF(AND(ISNUMBER(K216),ISNUMBER(D216)),IF(D216&lt;&gt;0,K216/ABS(D216),""),"")</f>
        <v>5.9994582313142295E-2</v>
      </c>
      <c r="M216" s="8" t="str">
        <f>IF(L216="","FCF yok",IF(L216&lt;0.01,"%1 altı",IF(L216&lt;0.05,"%1–5",IF(L216&lt;0.1,"%5–10",IF(L216&lt;0.25,"%10–25","%25 üstü")))))</f>
        <v>%5–10</v>
      </c>
      <c r="N216" s="8" t="str">
        <f>IF(OR(C216="NULL",C216="KOŞULLU"),C216,IF(OR(F216=1,H216=1),"KOŞULLU",C216))</f>
        <v>KOŞULLU</v>
      </c>
      <c r="O216" s="8" t="str">
        <f>IF(OR(C216="NULL",C216="KOŞULLU"),C216,IF(H216=1,"KOŞULLU",C216))</f>
        <v>KOŞULLU</v>
      </c>
      <c r="P216" s="8">
        <f>IF(N216&lt;&gt;C216,1,0)</f>
        <v>1</v>
      </c>
      <c r="Q216" s="8">
        <f>IF(O216&lt;&gt;C216,1,0)</f>
        <v>1</v>
      </c>
    </row>
    <row r="217" spans="1:17" x14ac:dyDescent="0.2">
      <c r="A217" s="8" t="s">
        <v>437</v>
      </c>
      <c r="B217" s="8" t="s">
        <v>215</v>
      </c>
      <c r="C217" s="8" t="s">
        <v>204</v>
      </c>
      <c r="D217" s="10">
        <v>302.34899999999999</v>
      </c>
      <c r="E217" s="10">
        <v>1821.825</v>
      </c>
      <c r="F217" s="8">
        <v>0</v>
      </c>
      <c r="G217" s="10"/>
      <c r="H217" s="8">
        <v>1</v>
      </c>
      <c r="I217" s="8" t="s">
        <v>82</v>
      </c>
      <c r="J217" s="8">
        <v>0</v>
      </c>
      <c r="K217" s="10">
        <v>49.956000000000003</v>
      </c>
      <c r="L217" s="11">
        <f>IF(AND(ISNUMBER(K217),ISNUMBER(D217)),IF(D217&lt;&gt;0,K217/ABS(D217),""),"")</f>
        <v>0.16522627824137009</v>
      </c>
      <c r="M217" s="8" t="str">
        <f>IF(L217="","FCF yok",IF(L217&lt;0.01,"%1 altı",IF(L217&lt;0.05,"%1–5",IF(L217&lt;0.1,"%5–10",IF(L217&lt;0.25,"%10–25","%25 üstü")))))</f>
        <v>%10–25</v>
      </c>
      <c r="N217" s="8" t="str">
        <f>IF(OR(C217="NULL",C217="KOŞULLU"),C217,IF(OR(F217=1,H217=1),"KOŞULLU",C217))</f>
        <v>KOŞULLU</v>
      </c>
      <c r="O217" s="8" t="str">
        <f>IF(OR(C217="NULL",C217="KOŞULLU"),C217,IF(H217=1,"KOŞULLU",C217))</f>
        <v>KOŞULLU</v>
      </c>
      <c r="P217" s="8">
        <f>IF(N217&lt;&gt;C217,1,0)</f>
        <v>1</v>
      </c>
      <c r="Q217" s="8">
        <f>IF(O217&lt;&gt;C217,1,0)</f>
        <v>1</v>
      </c>
    </row>
    <row r="218" spans="1:17" x14ac:dyDescent="0.2">
      <c r="A218" s="8" t="s">
        <v>438</v>
      </c>
      <c r="B218" s="8" t="s">
        <v>208</v>
      </c>
      <c r="C218" s="8" t="s">
        <v>204</v>
      </c>
      <c r="D218" s="10">
        <v>1143.3679999999999</v>
      </c>
      <c r="E218" s="10">
        <v>2585.5459999999998</v>
      </c>
      <c r="F218" s="8">
        <v>0</v>
      </c>
      <c r="G218" s="10"/>
      <c r="H218" s="8">
        <v>1</v>
      </c>
      <c r="I218" s="8" t="s">
        <v>83</v>
      </c>
      <c r="J218" s="8">
        <v>0</v>
      </c>
      <c r="K218" s="10">
        <v>908.76599999999996</v>
      </c>
      <c r="L218" s="11">
        <f>IF(AND(ISNUMBER(K218),ISNUMBER(D218)),IF(D218&lt;&gt;0,K218/ABS(D218),""),"")</f>
        <v>0.79481496770943394</v>
      </c>
      <c r="M218" s="8" t="str">
        <f>IF(L218="","FCF yok",IF(L218&lt;0.01,"%1 altı",IF(L218&lt;0.05,"%1–5",IF(L218&lt;0.1,"%5–10",IF(L218&lt;0.25,"%10–25","%25 üstü")))))</f>
        <v>%25 üstü</v>
      </c>
      <c r="N218" s="8" t="str">
        <f>IF(OR(C218="NULL",C218="KOŞULLU"),C218,IF(OR(F218=1,H218=1),"KOŞULLU",C218))</f>
        <v>KOŞULLU</v>
      </c>
      <c r="O218" s="8" t="str">
        <f>IF(OR(C218="NULL",C218="KOŞULLU"),C218,IF(H218=1,"KOŞULLU",C218))</f>
        <v>KOŞULLU</v>
      </c>
      <c r="P218" s="8">
        <f>IF(N218&lt;&gt;C218,1,0)</f>
        <v>1</v>
      </c>
      <c r="Q218" s="8">
        <f>IF(O218&lt;&gt;C218,1,0)</f>
        <v>1</v>
      </c>
    </row>
    <row r="219" spans="1:17" x14ac:dyDescent="0.2">
      <c r="A219" s="8" t="s">
        <v>438</v>
      </c>
      <c r="B219" s="8" t="s">
        <v>210</v>
      </c>
      <c r="C219" s="8" t="s">
        <v>204</v>
      </c>
      <c r="D219" s="10">
        <v>-1391.809</v>
      </c>
      <c r="E219" s="10">
        <v>20.204999999999899</v>
      </c>
      <c r="F219" s="8">
        <v>0</v>
      </c>
      <c r="G219" s="10"/>
      <c r="H219" s="8">
        <v>1</v>
      </c>
      <c r="I219" s="8" t="s">
        <v>83</v>
      </c>
      <c r="J219" s="8">
        <v>0</v>
      </c>
      <c r="K219" s="10">
        <v>2763.1280000000002</v>
      </c>
      <c r="L219" s="11">
        <f>IF(AND(ISNUMBER(K219),ISNUMBER(D219)),IF(D219&lt;&gt;0,K219/ABS(D219),""),"")</f>
        <v>1.9852781523901628</v>
      </c>
      <c r="M219" s="8" t="str">
        <f>IF(L219="","FCF yok",IF(L219&lt;0.01,"%1 altı",IF(L219&lt;0.05,"%1–5",IF(L219&lt;0.1,"%5–10",IF(L219&lt;0.25,"%10–25","%25 üstü")))))</f>
        <v>%25 üstü</v>
      </c>
      <c r="N219" s="8" t="str">
        <f>IF(OR(C219="NULL",C219="KOŞULLU"),C219,IF(OR(F219=1,H219=1),"KOŞULLU",C219))</f>
        <v>KOŞULLU</v>
      </c>
      <c r="O219" s="8" t="str">
        <f>IF(OR(C219="NULL",C219="KOŞULLU"),C219,IF(H219=1,"KOŞULLU",C219))</f>
        <v>KOŞULLU</v>
      </c>
      <c r="P219" s="8">
        <f>IF(N219&lt;&gt;C219,1,0)</f>
        <v>1</v>
      </c>
      <c r="Q219" s="8">
        <f>IF(O219&lt;&gt;C219,1,0)</f>
        <v>1</v>
      </c>
    </row>
    <row r="220" spans="1:17" x14ac:dyDescent="0.2">
      <c r="A220" s="8" t="s">
        <v>439</v>
      </c>
      <c r="B220" s="8" t="s">
        <v>203</v>
      </c>
      <c r="C220" s="8" t="s">
        <v>207</v>
      </c>
      <c r="D220" s="10"/>
      <c r="E220" s="10">
        <v>1781.6610000000001</v>
      </c>
      <c r="F220" s="8">
        <v>1</v>
      </c>
      <c r="G220" s="8" t="s">
        <v>82</v>
      </c>
      <c r="H220" s="8">
        <v>0</v>
      </c>
      <c r="I220" s="10"/>
      <c r="J220" s="8">
        <v>0</v>
      </c>
      <c r="K220" s="10">
        <v>223.78399999999999</v>
      </c>
      <c r="L220" s="11" t="str">
        <f>IF(AND(ISNUMBER(K220),ISNUMBER(D220)),IF(D220&lt;&gt;0,K220/ABS(D220),""),"")</f>
        <v/>
      </c>
      <c r="M220" s="8" t="str">
        <f>IF(L220="","FCF yok",IF(L220&lt;0.01,"%1 altı",IF(L220&lt;0.05,"%1–5",IF(L220&lt;0.1,"%5–10",IF(L220&lt;0.25,"%10–25","%25 üstü")))))</f>
        <v>FCF yok</v>
      </c>
      <c r="N220" s="8" t="str">
        <f>IF(OR(C220="NULL",C220="KOŞULLU"),C220,IF(OR(F220=1,H220=1),"KOŞULLU",C220))</f>
        <v>NULL</v>
      </c>
      <c r="O220" s="8" t="str">
        <f>IF(OR(C220="NULL",C220="KOŞULLU"),C220,IF(H220=1,"KOŞULLU",C220))</f>
        <v>NULL</v>
      </c>
      <c r="P220" s="8">
        <f>IF(N220&lt;&gt;C220,1,0)</f>
        <v>0</v>
      </c>
      <c r="Q220" s="8">
        <f>IF(O220&lt;&gt;C220,1,0)</f>
        <v>0</v>
      </c>
    </row>
    <row r="221" spans="1:17" x14ac:dyDescent="0.2">
      <c r="A221" s="8" t="s">
        <v>439</v>
      </c>
      <c r="B221" s="8" t="s">
        <v>205</v>
      </c>
      <c r="C221" s="8" t="s">
        <v>209</v>
      </c>
      <c r="D221" s="10">
        <v>1851.8340000000001</v>
      </c>
      <c r="E221" s="10">
        <v>3677.6149999999998</v>
      </c>
      <c r="F221" s="8">
        <v>1</v>
      </c>
      <c r="G221" s="8" t="s">
        <v>82</v>
      </c>
      <c r="H221" s="8">
        <v>0</v>
      </c>
      <c r="I221" s="10"/>
      <c r="J221" s="8">
        <v>0</v>
      </c>
      <c r="K221" s="10">
        <v>223.78399999999999</v>
      </c>
      <c r="L221" s="11">
        <f>IF(AND(ISNUMBER(K221),ISNUMBER(D221)),IF(D221&lt;&gt;0,K221/ABS(D221),""),"")</f>
        <v>0.12084452494122043</v>
      </c>
      <c r="M221" s="8" t="str">
        <f>IF(L221="","FCF yok",IF(L221&lt;0.01,"%1 altı",IF(L221&lt;0.05,"%1–5",IF(L221&lt;0.1,"%5–10",IF(L221&lt;0.25,"%10–25","%25 üstü")))))</f>
        <v>%10–25</v>
      </c>
      <c r="N221" s="8" t="str">
        <f>IF(OR(C221="NULL",C221="KOŞULLU"),C221,IF(OR(F221=1,H221=1),"KOŞULLU",C221))</f>
        <v>KOŞULLU</v>
      </c>
      <c r="O221" s="8" t="str">
        <f>IF(OR(C221="NULL",C221="KOŞULLU"),C221,IF(H221=1,"KOŞULLU",C221))</f>
        <v>TÜRETİLMİŞ</v>
      </c>
      <c r="P221" s="8">
        <f>IF(N221&lt;&gt;C221,1,0)</f>
        <v>1</v>
      </c>
      <c r="Q221" s="8">
        <f>IF(O221&lt;&gt;C221,1,0)</f>
        <v>0</v>
      </c>
    </row>
    <row r="222" spans="1:17" x14ac:dyDescent="0.2">
      <c r="A222" s="8" t="s">
        <v>439</v>
      </c>
      <c r="B222" s="8" t="s">
        <v>215</v>
      </c>
      <c r="C222" s="8" t="s">
        <v>209</v>
      </c>
      <c r="D222" s="10">
        <v>2011.66</v>
      </c>
      <c r="E222" s="10">
        <v>3630.0770000000002</v>
      </c>
      <c r="F222" s="8">
        <v>1</v>
      </c>
      <c r="G222" s="8" t="s">
        <v>82</v>
      </c>
      <c r="H222" s="8">
        <v>0</v>
      </c>
      <c r="I222" s="10"/>
      <c r="J222" s="8">
        <v>0</v>
      </c>
      <c r="K222" s="10">
        <v>223.78399999999999</v>
      </c>
      <c r="L222" s="11">
        <f>IF(AND(ISNUMBER(K222),ISNUMBER(D222)),IF(D222&lt;&gt;0,K222/ABS(D222),""),"")</f>
        <v>0.11124345068252089</v>
      </c>
      <c r="M222" s="8" t="str">
        <f>IF(L222="","FCF yok",IF(L222&lt;0.01,"%1 altı",IF(L222&lt;0.05,"%1–5",IF(L222&lt;0.1,"%5–10",IF(L222&lt;0.25,"%10–25","%25 üstü")))))</f>
        <v>%10–25</v>
      </c>
      <c r="N222" s="8" t="str">
        <f>IF(OR(C222="NULL",C222="KOŞULLU"),C222,IF(OR(F222=1,H222=1),"KOŞULLU",C222))</f>
        <v>KOŞULLU</v>
      </c>
      <c r="O222" s="8" t="str">
        <f>IF(OR(C222="NULL",C222="KOŞULLU"),C222,IF(H222=1,"KOŞULLU",C222))</f>
        <v>TÜRETİLMİŞ</v>
      </c>
      <c r="P222" s="8">
        <f>IF(N222&lt;&gt;C222,1,0)</f>
        <v>1</v>
      </c>
      <c r="Q222" s="8">
        <f>IF(O222&lt;&gt;C222,1,0)</f>
        <v>0</v>
      </c>
    </row>
    <row r="223" spans="1:17" x14ac:dyDescent="0.2">
      <c r="A223" s="8" t="s">
        <v>439</v>
      </c>
      <c r="B223" s="8" t="s">
        <v>210</v>
      </c>
      <c r="C223" s="8" t="s">
        <v>207</v>
      </c>
      <c r="D223" s="10"/>
      <c r="E223" s="10">
        <v>2782.768</v>
      </c>
      <c r="F223" s="8">
        <v>1</v>
      </c>
      <c r="G223" s="8" t="s">
        <v>82</v>
      </c>
      <c r="H223" s="8">
        <v>0</v>
      </c>
      <c r="I223" s="10"/>
      <c r="J223" s="8">
        <v>0</v>
      </c>
      <c r="K223" s="10">
        <v>66.888000000000005</v>
      </c>
      <c r="L223" s="11" t="str">
        <f>IF(AND(ISNUMBER(K223),ISNUMBER(D223)),IF(D223&lt;&gt;0,K223/ABS(D223),""),"")</f>
        <v/>
      </c>
      <c r="M223" s="8" t="str">
        <f>IF(L223="","FCF yok",IF(L223&lt;0.01,"%1 altı",IF(L223&lt;0.05,"%1–5",IF(L223&lt;0.1,"%5–10",IF(L223&lt;0.25,"%10–25","%25 üstü")))))</f>
        <v>FCF yok</v>
      </c>
      <c r="N223" s="8" t="str">
        <f>IF(OR(C223="NULL",C223="KOŞULLU"),C223,IF(OR(F223=1,H223=1),"KOŞULLU",C223))</f>
        <v>NULL</v>
      </c>
      <c r="O223" s="8" t="str">
        <f>IF(OR(C223="NULL",C223="KOŞULLU"),C223,IF(H223=1,"KOŞULLU",C223))</f>
        <v>NULL</v>
      </c>
      <c r="P223" s="8">
        <f>IF(N223&lt;&gt;C223,1,0)</f>
        <v>0</v>
      </c>
      <c r="Q223" s="8">
        <f>IF(O223&lt;&gt;C223,1,0)</f>
        <v>0</v>
      </c>
    </row>
    <row r="224" spans="1:17" x14ac:dyDescent="0.2">
      <c r="A224" s="8" t="s">
        <v>443</v>
      </c>
      <c r="B224" s="8" t="s">
        <v>203</v>
      </c>
      <c r="C224" s="8" t="s">
        <v>204</v>
      </c>
      <c r="D224" s="10">
        <v>-3625.123</v>
      </c>
      <c r="E224" s="10">
        <v>1709.655</v>
      </c>
      <c r="F224" s="8">
        <v>1</v>
      </c>
      <c r="G224" s="8" t="s">
        <v>82</v>
      </c>
      <c r="H224" s="8">
        <v>1</v>
      </c>
      <c r="I224" s="8" t="s">
        <v>83</v>
      </c>
      <c r="J224" s="8">
        <v>0</v>
      </c>
      <c r="K224" s="10">
        <v>387.24700000000001</v>
      </c>
      <c r="L224" s="11">
        <f>IF(AND(ISNUMBER(K224),ISNUMBER(D224)),IF(D224&lt;&gt;0,K224/ABS(D224),""),"")</f>
        <v>0.10682313400124631</v>
      </c>
      <c r="M224" s="8" t="str">
        <f>IF(L224="","FCF yok",IF(L224&lt;0.01,"%1 altı",IF(L224&lt;0.05,"%1–5",IF(L224&lt;0.1,"%5–10",IF(L224&lt;0.25,"%10–25","%25 üstü")))))</f>
        <v>%10–25</v>
      </c>
      <c r="N224" s="8" t="str">
        <f>IF(OR(C224="NULL",C224="KOŞULLU"),C224,IF(OR(F224=1,H224=1),"KOŞULLU",C224))</f>
        <v>KOŞULLU</v>
      </c>
      <c r="O224" s="8" t="str">
        <f>IF(OR(C224="NULL",C224="KOŞULLU"),C224,IF(H224=1,"KOŞULLU",C224))</f>
        <v>KOŞULLU</v>
      </c>
      <c r="P224" s="8">
        <f>IF(N224&lt;&gt;C224,1,0)</f>
        <v>1</v>
      </c>
      <c r="Q224" s="8">
        <f>IF(O224&lt;&gt;C224,1,0)</f>
        <v>1</v>
      </c>
    </row>
    <row r="225" spans="1:17" x14ac:dyDescent="0.2">
      <c r="A225" s="8" t="s">
        <v>443</v>
      </c>
      <c r="B225" s="8" t="s">
        <v>205</v>
      </c>
      <c r="C225" s="8" t="s">
        <v>204</v>
      </c>
      <c r="D225" s="10">
        <v>-8814.1830000000009</v>
      </c>
      <c r="E225" s="10">
        <v>-8566.3279999999995</v>
      </c>
      <c r="F225" s="8">
        <v>1</v>
      </c>
      <c r="G225" s="8" t="s">
        <v>748</v>
      </c>
      <c r="H225" s="8">
        <v>0</v>
      </c>
      <c r="I225" s="10"/>
      <c r="J225" s="8">
        <v>1</v>
      </c>
      <c r="K225" s="10">
        <v>494.46100000000001</v>
      </c>
      <c r="L225" s="11">
        <f>IF(AND(ISNUMBER(K225),ISNUMBER(D225)),IF(D225&lt;&gt;0,K225/ABS(D225),""),"")</f>
        <v>5.6098336056784839E-2</v>
      </c>
      <c r="M225" s="8" t="str">
        <f>IF(L225="","FCF yok",IF(L225&lt;0.01,"%1 altı",IF(L225&lt;0.05,"%1–5",IF(L225&lt;0.1,"%5–10",IF(L225&lt;0.25,"%10–25","%25 üstü")))))</f>
        <v>%5–10</v>
      </c>
      <c r="N225" s="8" t="str">
        <f>IF(OR(C225="NULL",C225="KOŞULLU"),C225,IF(OR(F225=1,H225=1),"KOŞULLU",C225))</f>
        <v>KOŞULLU</v>
      </c>
      <c r="O225" s="8" t="str">
        <f>IF(OR(C225="NULL",C225="KOŞULLU"),C225,IF(H225=1,"KOŞULLU",C225))</f>
        <v>KESİN</v>
      </c>
      <c r="P225" s="8">
        <f>IF(N225&lt;&gt;C225,1,0)</f>
        <v>1</v>
      </c>
      <c r="Q225" s="8">
        <f>IF(O225&lt;&gt;C225,1,0)</f>
        <v>0</v>
      </c>
    </row>
    <row r="226" spans="1:17" x14ac:dyDescent="0.2">
      <c r="A226" s="8" t="s">
        <v>443</v>
      </c>
      <c r="B226" s="8" t="s">
        <v>215</v>
      </c>
      <c r="C226" s="8" t="s">
        <v>204</v>
      </c>
      <c r="D226" s="10">
        <v>-9476.0529999999999</v>
      </c>
      <c r="E226" s="10">
        <v>-9108.2759999999998</v>
      </c>
      <c r="F226" s="8">
        <v>1</v>
      </c>
      <c r="G226" s="8" t="s">
        <v>748</v>
      </c>
      <c r="H226" s="8">
        <v>0</v>
      </c>
      <c r="I226" s="10"/>
      <c r="J226" s="8">
        <v>1</v>
      </c>
      <c r="K226" s="10">
        <v>1155.5150000000001</v>
      </c>
      <c r="L226" s="11">
        <f>IF(AND(ISNUMBER(K226),ISNUMBER(D226)),IF(D226&lt;&gt;0,K226/ABS(D226),""),"")</f>
        <v>0.12194053790117047</v>
      </c>
      <c r="M226" s="8" t="str">
        <f>IF(L226="","FCF yok",IF(L226&lt;0.01,"%1 altı",IF(L226&lt;0.05,"%1–5",IF(L226&lt;0.1,"%5–10",IF(L226&lt;0.25,"%10–25","%25 üstü")))))</f>
        <v>%10–25</v>
      </c>
      <c r="N226" s="8" t="str">
        <f>IF(OR(C226="NULL",C226="KOŞULLU"),C226,IF(OR(F226=1,H226=1),"KOŞULLU",C226))</f>
        <v>KOŞULLU</v>
      </c>
      <c r="O226" s="8" t="str">
        <f>IF(OR(C226="NULL",C226="KOŞULLU"),C226,IF(H226=1,"KOŞULLU",C226))</f>
        <v>KESİN</v>
      </c>
      <c r="P226" s="8">
        <f>IF(N226&lt;&gt;C226,1,0)</f>
        <v>1</v>
      </c>
      <c r="Q226" s="8">
        <f>IF(O226&lt;&gt;C226,1,0)</f>
        <v>0</v>
      </c>
    </row>
    <row r="227" spans="1:17" x14ac:dyDescent="0.2">
      <c r="A227" s="8" t="s">
        <v>443</v>
      </c>
      <c r="B227" s="8" t="s">
        <v>290</v>
      </c>
      <c r="C227" s="8" t="s">
        <v>204</v>
      </c>
      <c r="D227" s="10">
        <v>-5633.5140000000001</v>
      </c>
      <c r="E227" s="10">
        <v>-5633.5140000000001</v>
      </c>
      <c r="F227" s="8">
        <v>1</v>
      </c>
      <c r="G227" s="8" t="s">
        <v>748</v>
      </c>
      <c r="H227" s="8">
        <v>0</v>
      </c>
      <c r="I227" s="10"/>
      <c r="J227" s="8">
        <v>0</v>
      </c>
      <c r="K227" s="10">
        <v>2722.0459999999998</v>
      </c>
      <c r="L227" s="11">
        <f>IF(AND(ISNUMBER(K227),ISNUMBER(D227)),IF(D227&lt;&gt;0,K227/ABS(D227),""),"")</f>
        <v>0.48318793562952</v>
      </c>
      <c r="M227" s="8" t="str">
        <f>IF(L227="","FCF yok",IF(L227&lt;0.01,"%1 altı",IF(L227&lt;0.05,"%1–5",IF(L227&lt;0.1,"%5–10",IF(L227&lt;0.25,"%10–25","%25 üstü")))))</f>
        <v>%25 üstü</v>
      </c>
      <c r="N227" s="8" t="str">
        <f>IF(OR(C227="NULL",C227="KOŞULLU"),C227,IF(OR(F227=1,H227=1),"KOŞULLU",C227))</f>
        <v>KOŞULLU</v>
      </c>
      <c r="O227" s="8" t="str">
        <f>IF(OR(C227="NULL",C227="KOŞULLU"),C227,IF(H227=1,"KOŞULLU",C227))</f>
        <v>KESİN</v>
      </c>
      <c r="P227" s="8">
        <f>IF(N227&lt;&gt;C227,1,0)</f>
        <v>1</v>
      </c>
      <c r="Q227" s="8">
        <f>IF(O227&lt;&gt;C227,1,0)</f>
        <v>0</v>
      </c>
    </row>
    <row r="228" spans="1:17" x14ac:dyDescent="0.2">
      <c r="A228" s="8" t="s">
        <v>443</v>
      </c>
      <c r="B228" s="8" t="s">
        <v>208</v>
      </c>
      <c r="C228" s="8" t="s">
        <v>204</v>
      </c>
      <c r="D228" s="10">
        <v>-9831.5660000000007</v>
      </c>
      <c r="E228" s="10">
        <v>-9812.9680000000008</v>
      </c>
      <c r="F228" s="8">
        <v>1</v>
      </c>
      <c r="G228" s="8" t="s">
        <v>748</v>
      </c>
      <c r="H228" s="8">
        <v>0</v>
      </c>
      <c r="I228" s="10"/>
      <c r="J228" s="8">
        <v>1</v>
      </c>
      <c r="K228" s="10">
        <v>2722.0459999999998</v>
      </c>
      <c r="L228" s="11">
        <f>IF(AND(ISNUMBER(K228),ISNUMBER(D228)),IF(D228&lt;&gt;0,K228/ABS(D228),""),"")</f>
        <v>0.27686799844500865</v>
      </c>
      <c r="M228" s="8" t="str">
        <f>IF(L228="","FCF yok",IF(L228&lt;0.01,"%1 altı",IF(L228&lt;0.05,"%1–5",IF(L228&lt;0.1,"%5–10",IF(L228&lt;0.25,"%10–25","%25 üstü")))))</f>
        <v>%25 üstü</v>
      </c>
      <c r="N228" s="8" t="str">
        <f>IF(OR(C228="NULL",C228="KOŞULLU"),C228,IF(OR(F228=1,H228=1),"KOŞULLU",C228))</f>
        <v>KOŞULLU</v>
      </c>
      <c r="O228" s="8" t="str">
        <f>IF(OR(C228="NULL",C228="KOŞULLU"),C228,IF(H228=1,"KOŞULLU",C228))</f>
        <v>KESİN</v>
      </c>
      <c r="P228" s="8">
        <f>IF(N228&lt;&gt;C228,1,0)</f>
        <v>1</v>
      </c>
      <c r="Q228" s="8">
        <f>IF(O228&lt;&gt;C228,1,0)</f>
        <v>0</v>
      </c>
    </row>
    <row r="229" spans="1:17" x14ac:dyDescent="0.2">
      <c r="A229" s="8" t="s">
        <v>443</v>
      </c>
      <c r="B229" s="8" t="s">
        <v>210</v>
      </c>
      <c r="C229" s="8" t="s">
        <v>204</v>
      </c>
      <c r="D229" s="10">
        <v>-200.65299999999999</v>
      </c>
      <c r="E229" s="10">
        <v>-10.557000000000199</v>
      </c>
      <c r="F229" s="8">
        <v>1</v>
      </c>
      <c r="G229" s="8" t="s">
        <v>748</v>
      </c>
      <c r="H229" s="8">
        <v>0</v>
      </c>
      <c r="I229" s="10"/>
      <c r="J229" s="8">
        <v>1</v>
      </c>
      <c r="K229" s="10">
        <v>2722.0459999999998</v>
      </c>
      <c r="L229" s="11">
        <f>IF(AND(ISNUMBER(K229),ISNUMBER(D229)),IF(D229&lt;&gt;0,K229/ABS(D229),""),"")</f>
        <v>13.565937214993047</v>
      </c>
      <c r="M229" s="8" t="str">
        <f>IF(L229="","FCF yok",IF(L229&lt;0.01,"%1 altı",IF(L229&lt;0.05,"%1–5",IF(L229&lt;0.1,"%5–10",IF(L229&lt;0.25,"%10–25","%25 üstü")))))</f>
        <v>%25 üstü</v>
      </c>
      <c r="N229" s="8" t="str">
        <f>IF(OR(C229="NULL",C229="KOŞULLU"),C229,IF(OR(F229=1,H229=1),"KOŞULLU",C229))</f>
        <v>KOŞULLU</v>
      </c>
      <c r="O229" s="8" t="str">
        <f>IF(OR(C229="NULL",C229="KOŞULLU"),C229,IF(H229=1,"KOŞULLU",C229))</f>
        <v>KESİN</v>
      </c>
      <c r="P229" s="8">
        <f>IF(N229&lt;&gt;C229,1,0)</f>
        <v>1</v>
      </c>
      <c r="Q229" s="8">
        <f>IF(O229&lt;&gt;C229,1,0)</f>
        <v>0</v>
      </c>
    </row>
    <row r="230" spans="1:17" x14ac:dyDescent="0.2">
      <c r="A230" s="8" t="s">
        <v>627</v>
      </c>
      <c r="B230" s="8" t="s">
        <v>203</v>
      </c>
      <c r="C230" s="8" t="s">
        <v>207</v>
      </c>
      <c r="D230" s="10"/>
      <c r="E230" s="10">
        <v>604.35199999999998</v>
      </c>
      <c r="F230" s="8">
        <v>0</v>
      </c>
      <c r="G230" s="10"/>
      <c r="H230" s="8">
        <v>1</v>
      </c>
      <c r="I230" s="8" t="s">
        <v>82</v>
      </c>
      <c r="J230" s="8">
        <v>0</v>
      </c>
      <c r="K230" s="10">
        <v>2.4460000000000002</v>
      </c>
      <c r="L230" s="11" t="str">
        <f>IF(AND(ISNUMBER(K230),ISNUMBER(D230)),IF(D230&lt;&gt;0,K230/ABS(D230),""),"")</f>
        <v/>
      </c>
      <c r="M230" s="8" t="str">
        <f>IF(L230="","FCF yok",IF(L230&lt;0.01,"%1 altı",IF(L230&lt;0.05,"%1–5",IF(L230&lt;0.1,"%5–10",IF(L230&lt;0.25,"%10–25","%25 üstü")))))</f>
        <v>FCF yok</v>
      </c>
      <c r="N230" s="8" t="str">
        <f>IF(OR(C230="NULL",C230="KOŞULLU"),C230,IF(OR(F230=1,H230=1),"KOŞULLU",C230))</f>
        <v>NULL</v>
      </c>
      <c r="O230" s="8" t="str">
        <f>IF(OR(C230="NULL",C230="KOŞULLU"),C230,IF(H230=1,"KOŞULLU",C230))</f>
        <v>NULL</v>
      </c>
      <c r="P230" s="8">
        <f>IF(N230&lt;&gt;C230,1,0)</f>
        <v>0</v>
      </c>
      <c r="Q230" s="8">
        <f>IF(O230&lt;&gt;C230,1,0)</f>
        <v>0</v>
      </c>
    </row>
    <row r="231" spans="1:17" x14ac:dyDescent="0.2">
      <c r="A231" s="8" t="s">
        <v>627</v>
      </c>
      <c r="B231" s="8" t="s">
        <v>205</v>
      </c>
      <c r="C231" s="8" t="s">
        <v>207</v>
      </c>
      <c r="D231" s="10"/>
      <c r="E231" s="10">
        <v>857.11599999999999</v>
      </c>
      <c r="F231" s="8">
        <v>0</v>
      </c>
      <c r="G231" s="10"/>
      <c r="H231" s="8">
        <v>1</v>
      </c>
      <c r="I231" s="8" t="s">
        <v>82</v>
      </c>
      <c r="J231" s="8">
        <v>0</v>
      </c>
      <c r="K231" s="10">
        <v>2.4460000000000002</v>
      </c>
      <c r="L231" s="11" t="str">
        <f>IF(AND(ISNUMBER(K231),ISNUMBER(D231)),IF(D231&lt;&gt;0,K231/ABS(D231),""),"")</f>
        <v/>
      </c>
      <c r="M231" s="8" t="str">
        <f>IF(L231="","FCF yok",IF(L231&lt;0.01,"%1 altı",IF(L231&lt;0.05,"%1–5",IF(L231&lt;0.1,"%5–10",IF(L231&lt;0.25,"%10–25","%25 üstü")))))</f>
        <v>FCF yok</v>
      </c>
      <c r="N231" s="8" t="str">
        <f>IF(OR(C231="NULL",C231="KOŞULLU"),C231,IF(OR(F231=1,H231=1),"KOŞULLU",C231))</f>
        <v>NULL</v>
      </c>
      <c r="O231" s="8" t="str">
        <f>IF(OR(C231="NULL",C231="KOŞULLU"),C231,IF(H231=1,"KOŞULLU",C231))</f>
        <v>NULL</v>
      </c>
      <c r="P231" s="8">
        <f>IF(N231&lt;&gt;C231,1,0)</f>
        <v>0</v>
      </c>
      <c r="Q231" s="8">
        <f>IF(O231&lt;&gt;C231,1,0)</f>
        <v>0</v>
      </c>
    </row>
    <row r="232" spans="1:17" x14ac:dyDescent="0.2">
      <c r="A232" s="8" t="s">
        <v>455</v>
      </c>
      <c r="B232" s="8" t="s">
        <v>290</v>
      </c>
      <c r="C232" s="8" t="s">
        <v>204</v>
      </c>
      <c r="D232" s="10">
        <v>10.432</v>
      </c>
      <c r="E232" s="10">
        <v>81.680000000000007</v>
      </c>
      <c r="F232" s="8">
        <v>1</v>
      </c>
      <c r="G232" s="8" t="s">
        <v>82</v>
      </c>
      <c r="H232" s="8">
        <v>0</v>
      </c>
      <c r="I232" s="10"/>
      <c r="J232" s="8">
        <v>0</v>
      </c>
      <c r="K232" s="10">
        <v>1.9450000000000001</v>
      </c>
      <c r="L232" s="11">
        <f>IF(AND(ISNUMBER(K232),ISNUMBER(D232)),IF(D232&lt;&gt;0,K232/ABS(D232),""),"")</f>
        <v>0.18644555214723926</v>
      </c>
      <c r="M232" s="8" t="str">
        <f>IF(L232="","FCF yok",IF(L232&lt;0.01,"%1 altı",IF(L232&lt;0.05,"%1–5",IF(L232&lt;0.1,"%5–10",IF(L232&lt;0.25,"%10–25","%25 üstü")))))</f>
        <v>%10–25</v>
      </c>
      <c r="N232" s="8" t="str">
        <f>IF(OR(C232="NULL",C232="KOŞULLU"),C232,IF(OR(F232=1,H232=1),"KOŞULLU",C232))</f>
        <v>KOŞULLU</v>
      </c>
      <c r="O232" s="8" t="str">
        <f>IF(OR(C232="NULL",C232="KOŞULLU"),C232,IF(H232=1,"KOŞULLU",C232))</f>
        <v>KESİN</v>
      </c>
      <c r="P232" s="8">
        <f>IF(N232&lt;&gt;C232,1,0)</f>
        <v>1</v>
      </c>
      <c r="Q232" s="8">
        <f>IF(O232&lt;&gt;C232,1,0)</f>
        <v>0</v>
      </c>
    </row>
    <row r="233" spans="1:17" x14ac:dyDescent="0.2">
      <c r="A233" s="8" t="s">
        <v>455</v>
      </c>
      <c r="B233" s="8" t="s">
        <v>208</v>
      </c>
      <c r="C233" s="8" t="s">
        <v>209</v>
      </c>
      <c r="D233" s="10">
        <v>-45.771999999999998</v>
      </c>
      <c r="E233" s="10">
        <v>52.86</v>
      </c>
      <c r="F233" s="8">
        <v>1</v>
      </c>
      <c r="G233" s="8" t="s">
        <v>82</v>
      </c>
      <c r="H233" s="8">
        <v>0</v>
      </c>
      <c r="I233" s="10"/>
      <c r="J233" s="8">
        <v>0</v>
      </c>
      <c r="K233" s="10">
        <v>1.9450000000000001</v>
      </c>
      <c r="L233" s="11">
        <f>IF(AND(ISNUMBER(K233),ISNUMBER(D233)),IF(D233&lt;&gt;0,K233/ABS(D233),""),"")</f>
        <v>4.2493227300533079E-2</v>
      </c>
      <c r="M233" s="8" t="str">
        <f>IF(L233="","FCF yok",IF(L233&lt;0.01,"%1 altı",IF(L233&lt;0.05,"%1–5",IF(L233&lt;0.1,"%5–10",IF(L233&lt;0.25,"%10–25","%25 üstü")))))</f>
        <v>%1–5</v>
      </c>
      <c r="N233" s="8" t="str">
        <f>IF(OR(C233="NULL",C233="KOŞULLU"),C233,IF(OR(F233=1,H233=1),"KOŞULLU",C233))</f>
        <v>KOŞULLU</v>
      </c>
      <c r="O233" s="8" t="str">
        <f>IF(OR(C233="NULL",C233="KOŞULLU"),C233,IF(H233=1,"KOŞULLU",C233))</f>
        <v>TÜRETİLMİŞ</v>
      </c>
      <c r="P233" s="8">
        <f>IF(N233&lt;&gt;C233,1,0)</f>
        <v>1</v>
      </c>
      <c r="Q233" s="8">
        <f>IF(O233&lt;&gt;C233,1,0)</f>
        <v>0</v>
      </c>
    </row>
    <row r="234" spans="1:17" x14ac:dyDescent="0.2">
      <c r="A234" s="8" t="s">
        <v>455</v>
      </c>
      <c r="B234" s="8" t="s">
        <v>210</v>
      </c>
      <c r="C234" s="8" t="s">
        <v>207</v>
      </c>
      <c r="D234" s="10"/>
      <c r="E234" s="10">
        <v>110.628</v>
      </c>
      <c r="F234" s="8">
        <v>1</v>
      </c>
      <c r="G234" s="8" t="s">
        <v>82</v>
      </c>
      <c r="H234" s="8">
        <v>0</v>
      </c>
      <c r="I234" s="10"/>
      <c r="J234" s="8">
        <v>0</v>
      </c>
      <c r="K234" s="10">
        <v>1.9450000000000001</v>
      </c>
      <c r="L234" s="11" t="str">
        <f>IF(AND(ISNUMBER(K234),ISNUMBER(D234)),IF(D234&lt;&gt;0,K234/ABS(D234),""),"")</f>
        <v/>
      </c>
      <c r="M234" s="8" t="str">
        <f>IF(L234="","FCF yok",IF(L234&lt;0.01,"%1 altı",IF(L234&lt;0.05,"%1–5",IF(L234&lt;0.1,"%5–10",IF(L234&lt;0.25,"%10–25","%25 üstü")))))</f>
        <v>FCF yok</v>
      </c>
      <c r="N234" s="8" t="str">
        <f>IF(OR(C234="NULL",C234="KOŞULLU"),C234,IF(OR(F234=1,H234=1),"KOŞULLU",C234))</f>
        <v>NULL</v>
      </c>
      <c r="O234" s="8" t="str">
        <f>IF(OR(C234="NULL",C234="KOŞULLU"),C234,IF(H234=1,"KOŞULLU",C234))</f>
        <v>NULL</v>
      </c>
      <c r="P234" s="8">
        <f>IF(N234&lt;&gt;C234,1,0)</f>
        <v>0</v>
      </c>
      <c r="Q234" s="8">
        <f>IF(O234&lt;&gt;C234,1,0)</f>
        <v>0</v>
      </c>
    </row>
    <row r="235" spans="1:17" x14ac:dyDescent="0.2">
      <c r="A235" s="8" t="s">
        <v>458</v>
      </c>
      <c r="B235" s="8" t="s">
        <v>208</v>
      </c>
      <c r="C235" s="8" t="s">
        <v>204</v>
      </c>
      <c r="D235" s="10">
        <v>210.28899999999999</v>
      </c>
      <c r="E235" s="10">
        <v>245.34100000000001</v>
      </c>
      <c r="F235" s="8">
        <v>0</v>
      </c>
      <c r="G235" s="10"/>
      <c r="H235" s="8">
        <v>1</v>
      </c>
      <c r="I235" s="8" t="s">
        <v>82</v>
      </c>
      <c r="J235" s="8">
        <v>0</v>
      </c>
      <c r="K235" s="10">
        <v>1.294</v>
      </c>
      <c r="L235" s="11">
        <f>IF(AND(ISNUMBER(K235),ISNUMBER(D235)),IF(D235&lt;&gt;0,K235/ABS(D235),""),"")</f>
        <v>6.1534364612509454E-3</v>
      </c>
      <c r="M235" s="8" t="str">
        <f>IF(L235="","FCF yok",IF(L235&lt;0.01,"%1 altı",IF(L235&lt;0.05,"%1–5",IF(L235&lt;0.1,"%5–10",IF(L235&lt;0.25,"%10–25","%25 üstü")))))</f>
        <v>%1 altı</v>
      </c>
      <c r="N235" s="8" t="str">
        <f>IF(OR(C235="NULL",C235="KOŞULLU"),C235,IF(OR(F235=1,H235=1),"KOŞULLU",C235))</f>
        <v>KOŞULLU</v>
      </c>
      <c r="O235" s="8" t="str">
        <f>IF(OR(C235="NULL",C235="KOŞULLU"),C235,IF(H235=1,"KOŞULLU",C235))</f>
        <v>KOŞULLU</v>
      </c>
      <c r="P235" s="8">
        <f>IF(N235&lt;&gt;C235,1,0)</f>
        <v>1</v>
      </c>
      <c r="Q235" s="8">
        <f>IF(O235&lt;&gt;C235,1,0)</f>
        <v>1</v>
      </c>
    </row>
    <row r="236" spans="1:17" x14ac:dyDescent="0.2">
      <c r="A236" s="8" t="s">
        <v>459</v>
      </c>
      <c r="B236" s="8" t="s">
        <v>215</v>
      </c>
      <c r="C236" s="8" t="s">
        <v>204</v>
      </c>
      <c r="D236" s="10">
        <v>38.109000000000002</v>
      </c>
      <c r="E236" s="10">
        <v>38.109000000000002</v>
      </c>
      <c r="F236" s="8">
        <v>0</v>
      </c>
      <c r="G236" s="10"/>
      <c r="H236" s="8">
        <v>1</v>
      </c>
      <c r="I236" s="8" t="s">
        <v>83</v>
      </c>
      <c r="J236" s="8">
        <v>0</v>
      </c>
      <c r="K236" s="10">
        <v>18.658000000000001</v>
      </c>
      <c r="L236" s="11">
        <f>IF(AND(ISNUMBER(K236),ISNUMBER(D236)),IF(D236&lt;&gt;0,K236/ABS(D236),""),"")</f>
        <v>0.48959563357737018</v>
      </c>
      <c r="M236" s="8" t="str">
        <f>IF(L236="","FCF yok",IF(L236&lt;0.01,"%1 altı",IF(L236&lt;0.05,"%1–5",IF(L236&lt;0.1,"%5–10",IF(L236&lt;0.25,"%10–25","%25 üstü")))))</f>
        <v>%25 üstü</v>
      </c>
      <c r="N236" s="8" t="str">
        <f>IF(OR(C236="NULL",C236="KOŞULLU"),C236,IF(OR(F236=1,H236=1),"KOŞULLU",C236))</f>
        <v>KOŞULLU</v>
      </c>
      <c r="O236" s="8" t="str">
        <f>IF(OR(C236="NULL",C236="KOŞULLU"),C236,IF(H236=1,"KOŞULLU",C236))</f>
        <v>KOŞULLU</v>
      </c>
      <c r="P236" s="8">
        <f>IF(N236&lt;&gt;C236,1,0)</f>
        <v>1</v>
      </c>
      <c r="Q236" s="8">
        <f>IF(O236&lt;&gt;C236,1,0)</f>
        <v>1</v>
      </c>
    </row>
    <row r="237" spans="1:17" x14ac:dyDescent="0.2">
      <c r="A237" s="8" t="s">
        <v>460</v>
      </c>
      <c r="B237" s="8" t="s">
        <v>215</v>
      </c>
      <c r="C237" s="8" t="s">
        <v>204</v>
      </c>
      <c r="D237" s="10">
        <v>-337.851</v>
      </c>
      <c r="E237" s="10">
        <v>-325.28100000000001</v>
      </c>
      <c r="F237" s="8">
        <v>0</v>
      </c>
      <c r="G237" s="10"/>
      <c r="H237" s="8">
        <v>1</v>
      </c>
      <c r="I237" s="8" t="s">
        <v>83</v>
      </c>
      <c r="J237" s="8">
        <v>0</v>
      </c>
      <c r="K237" s="10">
        <v>5.0470000000000104</v>
      </c>
      <c r="L237" s="11">
        <f>IF(AND(ISNUMBER(K237),ISNUMBER(D237)),IF(D237&lt;&gt;0,K237/ABS(D237),""),"")</f>
        <v>1.4938537994559763E-2</v>
      </c>
      <c r="M237" s="8" t="str">
        <f>IF(L237="","FCF yok",IF(L237&lt;0.01,"%1 altı",IF(L237&lt;0.05,"%1–5",IF(L237&lt;0.1,"%5–10",IF(L237&lt;0.25,"%10–25","%25 üstü")))))</f>
        <v>%1–5</v>
      </c>
      <c r="N237" s="8" t="str">
        <f>IF(OR(C237="NULL",C237="KOŞULLU"),C237,IF(OR(F237=1,H237=1),"KOŞULLU",C237))</f>
        <v>KOŞULLU</v>
      </c>
      <c r="O237" s="8" t="str">
        <f>IF(OR(C237="NULL",C237="KOŞULLU"),C237,IF(H237=1,"KOŞULLU",C237))</f>
        <v>KOŞULLU</v>
      </c>
      <c r="P237" s="8">
        <f>IF(N237&lt;&gt;C237,1,0)</f>
        <v>1</v>
      </c>
      <c r="Q237" s="8">
        <f>IF(O237&lt;&gt;C237,1,0)</f>
        <v>1</v>
      </c>
    </row>
    <row r="238" spans="1:17" x14ac:dyDescent="0.2">
      <c r="A238" s="8" t="s">
        <v>461</v>
      </c>
      <c r="B238" s="8" t="s">
        <v>205</v>
      </c>
      <c r="C238" s="8" t="s">
        <v>204</v>
      </c>
      <c r="D238" s="10">
        <v>45.061999999999998</v>
      </c>
      <c r="E238" s="10">
        <v>67.08</v>
      </c>
      <c r="F238" s="8">
        <v>0</v>
      </c>
      <c r="G238" s="10"/>
      <c r="H238" s="8">
        <v>1</v>
      </c>
      <c r="I238" s="8" t="s">
        <v>82</v>
      </c>
      <c r="J238" s="8">
        <v>0</v>
      </c>
      <c r="K238" s="10">
        <v>8.282</v>
      </c>
      <c r="L238" s="11">
        <f>IF(AND(ISNUMBER(K238),ISNUMBER(D238)),IF(D238&lt;&gt;0,K238/ABS(D238),""),"")</f>
        <v>0.18379122098442147</v>
      </c>
      <c r="M238" s="8" t="str">
        <f>IF(L238="","FCF yok",IF(L238&lt;0.01,"%1 altı",IF(L238&lt;0.05,"%1–5",IF(L238&lt;0.1,"%5–10",IF(L238&lt;0.25,"%10–25","%25 üstü")))))</f>
        <v>%10–25</v>
      </c>
      <c r="N238" s="8" t="str">
        <f>IF(OR(C238="NULL",C238="KOŞULLU"),C238,IF(OR(F238=1,H238=1),"KOŞULLU",C238))</f>
        <v>KOŞULLU</v>
      </c>
      <c r="O238" s="8" t="str">
        <f>IF(OR(C238="NULL",C238="KOŞULLU"),C238,IF(H238=1,"KOŞULLU",C238))</f>
        <v>KOŞULLU</v>
      </c>
      <c r="P238" s="8">
        <f>IF(N238&lt;&gt;C238,1,0)</f>
        <v>1</v>
      </c>
      <c r="Q238" s="8">
        <f>IF(O238&lt;&gt;C238,1,0)</f>
        <v>1</v>
      </c>
    </row>
    <row r="239" spans="1:17" x14ac:dyDescent="0.2">
      <c r="A239" s="8" t="s">
        <v>461</v>
      </c>
      <c r="B239" s="8" t="s">
        <v>215</v>
      </c>
      <c r="C239" s="8" t="s">
        <v>204</v>
      </c>
      <c r="D239" s="10">
        <v>14.381</v>
      </c>
      <c r="E239" s="10">
        <v>19.754000000000001</v>
      </c>
      <c r="F239" s="8">
        <v>0</v>
      </c>
      <c r="G239" s="10"/>
      <c r="H239" s="8">
        <v>1</v>
      </c>
      <c r="I239" s="8" t="s">
        <v>82</v>
      </c>
      <c r="J239" s="8">
        <v>0</v>
      </c>
      <c r="K239" s="10">
        <v>13.558999999999999</v>
      </c>
      <c r="L239" s="11">
        <f>IF(AND(ISNUMBER(K239),ISNUMBER(D239)),IF(D239&lt;&gt;0,K239/ABS(D239),""),"")</f>
        <v>0.94284124887003684</v>
      </c>
      <c r="M239" s="8" t="str">
        <f>IF(L239="","FCF yok",IF(L239&lt;0.01,"%1 altı",IF(L239&lt;0.05,"%1–5",IF(L239&lt;0.1,"%5–10",IF(L239&lt;0.25,"%10–25","%25 üstü")))))</f>
        <v>%25 üstü</v>
      </c>
      <c r="N239" s="8" t="str">
        <f>IF(OR(C239="NULL",C239="KOŞULLU"),C239,IF(OR(F239=1,H239=1),"KOŞULLU",C239))</f>
        <v>KOŞULLU</v>
      </c>
      <c r="O239" s="8" t="str">
        <f>IF(OR(C239="NULL",C239="KOŞULLU"),C239,IF(H239=1,"KOŞULLU",C239))</f>
        <v>KOŞULLU</v>
      </c>
      <c r="P239" s="8">
        <f>IF(N239&lt;&gt;C239,1,0)</f>
        <v>1</v>
      </c>
      <c r="Q239" s="8">
        <f>IF(O239&lt;&gt;C239,1,0)</f>
        <v>1</v>
      </c>
    </row>
    <row r="240" spans="1:17" x14ac:dyDescent="0.2">
      <c r="A240" s="8" t="s">
        <v>462</v>
      </c>
      <c r="B240" s="8" t="s">
        <v>203</v>
      </c>
      <c r="C240" s="8" t="s">
        <v>207</v>
      </c>
      <c r="D240" s="10"/>
      <c r="E240" s="10">
        <v>136.923</v>
      </c>
      <c r="F240" s="8">
        <v>1</v>
      </c>
      <c r="G240" s="8" t="s">
        <v>82</v>
      </c>
      <c r="H240" s="8">
        <v>0</v>
      </c>
      <c r="I240" s="10"/>
      <c r="J240" s="8">
        <v>1</v>
      </c>
      <c r="K240" s="10">
        <v>0.38600000000000001</v>
      </c>
      <c r="L240" s="11" t="str">
        <f>IF(AND(ISNUMBER(K240),ISNUMBER(D240)),IF(D240&lt;&gt;0,K240/ABS(D240),""),"")</f>
        <v/>
      </c>
      <c r="M240" s="8" t="str">
        <f>IF(L240="","FCF yok",IF(L240&lt;0.01,"%1 altı",IF(L240&lt;0.05,"%1–5",IF(L240&lt;0.1,"%5–10",IF(L240&lt;0.25,"%10–25","%25 üstü")))))</f>
        <v>FCF yok</v>
      </c>
      <c r="N240" s="8" t="str">
        <f>IF(OR(C240="NULL",C240="KOŞULLU"),C240,IF(OR(F240=1,H240=1),"KOŞULLU",C240))</f>
        <v>NULL</v>
      </c>
      <c r="O240" s="8" t="str">
        <f>IF(OR(C240="NULL",C240="KOŞULLU"),C240,IF(H240=1,"KOŞULLU",C240))</f>
        <v>NULL</v>
      </c>
      <c r="P240" s="8">
        <f>IF(N240&lt;&gt;C240,1,0)</f>
        <v>0</v>
      </c>
      <c r="Q240" s="8">
        <f>IF(O240&lt;&gt;C240,1,0)</f>
        <v>0</v>
      </c>
    </row>
    <row r="241" spans="1:17" x14ac:dyDescent="0.2">
      <c r="A241" s="8" t="s">
        <v>462</v>
      </c>
      <c r="B241" s="8" t="s">
        <v>205</v>
      </c>
      <c r="C241" s="8" t="s">
        <v>207</v>
      </c>
      <c r="D241" s="10"/>
      <c r="E241" s="10">
        <v>553.49800000000005</v>
      </c>
      <c r="F241" s="8">
        <v>1</v>
      </c>
      <c r="G241" s="8" t="s">
        <v>82</v>
      </c>
      <c r="H241" s="8">
        <v>0</v>
      </c>
      <c r="I241" s="10"/>
      <c r="J241" s="8">
        <v>1</v>
      </c>
      <c r="K241" s="10">
        <v>0.46700000000000003</v>
      </c>
      <c r="L241" s="11" t="str">
        <f>IF(AND(ISNUMBER(K241),ISNUMBER(D241)),IF(D241&lt;&gt;0,K241/ABS(D241),""),"")</f>
        <v/>
      </c>
      <c r="M241" s="8" t="str">
        <f>IF(L241="","FCF yok",IF(L241&lt;0.01,"%1 altı",IF(L241&lt;0.05,"%1–5",IF(L241&lt;0.1,"%5–10",IF(L241&lt;0.25,"%10–25","%25 üstü")))))</f>
        <v>FCF yok</v>
      </c>
      <c r="N241" s="8" t="str">
        <f>IF(OR(C241="NULL",C241="KOŞULLU"),C241,IF(OR(F241=1,H241=1),"KOŞULLU",C241))</f>
        <v>NULL</v>
      </c>
      <c r="O241" s="8" t="str">
        <f>IF(OR(C241="NULL",C241="KOŞULLU"),C241,IF(H241=1,"KOŞULLU",C241))</f>
        <v>NULL</v>
      </c>
      <c r="P241" s="8">
        <f>IF(N241&lt;&gt;C241,1,0)</f>
        <v>0</v>
      </c>
      <c r="Q241" s="8">
        <f>IF(O241&lt;&gt;C241,1,0)</f>
        <v>0</v>
      </c>
    </row>
    <row r="242" spans="1:17" x14ac:dyDescent="0.2">
      <c r="A242" s="8" t="s">
        <v>462</v>
      </c>
      <c r="B242" s="8" t="s">
        <v>215</v>
      </c>
      <c r="C242" s="8" t="s">
        <v>207</v>
      </c>
      <c r="D242" s="10"/>
      <c r="E242" s="10">
        <v>879.447</v>
      </c>
      <c r="F242" s="8">
        <v>1</v>
      </c>
      <c r="G242" s="8" t="s">
        <v>82</v>
      </c>
      <c r="H242" s="8">
        <v>0</v>
      </c>
      <c r="I242" s="10"/>
      <c r="J242" s="8">
        <v>1</v>
      </c>
      <c r="K242" s="10">
        <v>0.38600000000000001</v>
      </c>
      <c r="L242" s="11" t="str">
        <f>IF(AND(ISNUMBER(K242),ISNUMBER(D242)),IF(D242&lt;&gt;0,K242/ABS(D242),""),"")</f>
        <v/>
      </c>
      <c r="M242" s="8" t="str">
        <f>IF(L242="","FCF yok",IF(L242&lt;0.01,"%1 altı",IF(L242&lt;0.05,"%1–5",IF(L242&lt;0.1,"%5–10",IF(L242&lt;0.25,"%10–25","%25 üstü")))))</f>
        <v>FCF yok</v>
      </c>
      <c r="N242" s="8" t="str">
        <f>IF(OR(C242="NULL",C242="KOŞULLU"),C242,IF(OR(F242=1,H242=1),"KOŞULLU",C242))</f>
        <v>NULL</v>
      </c>
      <c r="O242" s="8" t="str">
        <f>IF(OR(C242="NULL",C242="KOŞULLU"),C242,IF(H242=1,"KOŞULLU",C242))</f>
        <v>NULL</v>
      </c>
      <c r="P242" s="8">
        <f>IF(N242&lt;&gt;C242,1,0)</f>
        <v>0</v>
      </c>
      <c r="Q242" s="8">
        <f>IF(O242&lt;&gt;C242,1,0)</f>
        <v>0</v>
      </c>
    </row>
    <row r="243" spans="1:17" x14ac:dyDescent="0.2">
      <c r="A243" s="8" t="s">
        <v>466</v>
      </c>
      <c r="B243" s="8" t="s">
        <v>203</v>
      </c>
      <c r="C243" s="8" t="s">
        <v>207</v>
      </c>
      <c r="D243" s="10"/>
      <c r="E243" s="10">
        <v>409.226</v>
      </c>
      <c r="F243" s="8">
        <v>1</v>
      </c>
      <c r="G243" s="8" t="s">
        <v>82</v>
      </c>
      <c r="H243" s="8">
        <v>0</v>
      </c>
      <c r="I243" s="10"/>
      <c r="J243" s="8">
        <v>1</v>
      </c>
      <c r="K243" s="10">
        <v>2.5470000000000002</v>
      </c>
      <c r="L243" s="11" t="str">
        <f>IF(AND(ISNUMBER(K243),ISNUMBER(D243)),IF(D243&lt;&gt;0,K243/ABS(D243),""),"")</f>
        <v/>
      </c>
      <c r="M243" s="8" t="str">
        <f>IF(L243="","FCF yok",IF(L243&lt;0.01,"%1 altı",IF(L243&lt;0.05,"%1–5",IF(L243&lt;0.1,"%5–10",IF(L243&lt;0.25,"%10–25","%25 üstü")))))</f>
        <v>FCF yok</v>
      </c>
      <c r="N243" s="8" t="str">
        <f>IF(OR(C243="NULL",C243="KOŞULLU"),C243,IF(OR(F243=1,H243=1),"KOŞULLU",C243))</f>
        <v>NULL</v>
      </c>
      <c r="O243" s="8" t="str">
        <f>IF(OR(C243="NULL",C243="KOŞULLU"),C243,IF(H243=1,"KOŞULLU",C243))</f>
        <v>NULL</v>
      </c>
      <c r="P243" s="8">
        <f>IF(N243&lt;&gt;C243,1,0)</f>
        <v>0</v>
      </c>
      <c r="Q243" s="8">
        <f>IF(O243&lt;&gt;C243,1,0)</f>
        <v>0</v>
      </c>
    </row>
    <row r="244" spans="1:17" x14ac:dyDescent="0.2">
      <c r="A244" s="8" t="s">
        <v>466</v>
      </c>
      <c r="B244" s="8" t="s">
        <v>215</v>
      </c>
      <c r="C244" s="8" t="s">
        <v>204</v>
      </c>
      <c r="D244" s="10">
        <v>375.14299999999997</v>
      </c>
      <c r="E244" s="10">
        <v>514.78</v>
      </c>
      <c r="F244" s="8">
        <v>0</v>
      </c>
      <c r="G244" s="10"/>
      <c r="H244" s="8">
        <v>1</v>
      </c>
      <c r="I244" s="8" t="s">
        <v>82</v>
      </c>
      <c r="J244" s="8">
        <v>0</v>
      </c>
      <c r="K244" s="10">
        <v>3.52</v>
      </c>
      <c r="L244" s="11">
        <f>IF(AND(ISNUMBER(K244),ISNUMBER(D244)),IF(D244&lt;&gt;0,K244/ABS(D244),""),"")</f>
        <v>9.3830885822206479E-3</v>
      </c>
      <c r="M244" s="8" t="str">
        <f>IF(L244="","FCF yok",IF(L244&lt;0.01,"%1 altı",IF(L244&lt;0.05,"%1–5",IF(L244&lt;0.1,"%5–10",IF(L244&lt;0.25,"%10–25","%25 üstü")))))</f>
        <v>%1 altı</v>
      </c>
      <c r="N244" s="8" t="str">
        <f>IF(OR(C244="NULL",C244="KOŞULLU"),C244,IF(OR(F244=1,H244=1),"KOŞULLU",C244))</f>
        <v>KOŞULLU</v>
      </c>
      <c r="O244" s="8" t="str">
        <f>IF(OR(C244="NULL",C244="KOŞULLU"),C244,IF(H244=1,"KOŞULLU",C244))</f>
        <v>KOŞULLU</v>
      </c>
      <c r="P244" s="8">
        <f>IF(N244&lt;&gt;C244,1,0)</f>
        <v>1</v>
      </c>
      <c r="Q244" s="8">
        <f>IF(O244&lt;&gt;C244,1,0)</f>
        <v>1</v>
      </c>
    </row>
    <row r="245" spans="1:17" x14ac:dyDescent="0.2">
      <c r="A245" s="8" t="s">
        <v>466</v>
      </c>
      <c r="B245" s="8" t="s">
        <v>208</v>
      </c>
      <c r="C245" s="8" t="s">
        <v>204</v>
      </c>
      <c r="D245" s="10">
        <v>-190.29900000000001</v>
      </c>
      <c r="E245" s="10">
        <v>-72.057000000000002</v>
      </c>
      <c r="F245" s="8">
        <v>1</v>
      </c>
      <c r="G245" s="8" t="s">
        <v>82</v>
      </c>
      <c r="H245" s="8">
        <v>0</v>
      </c>
      <c r="I245" s="10"/>
      <c r="J245" s="8">
        <v>1</v>
      </c>
      <c r="K245" s="10">
        <v>2.5470000000000002</v>
      </c>
      <c r="L245" s="11">
        <f>IF(AND(ISNUMBER(K245),ISNUMBER(D245)),IF(D245&lt;&gt;0,K245/ABS(D245),""),"")</f>
        <v>1.3384200652657134E-2</v>
      </c>
      <c r="M245" s="8" t="str">
        <f>IF(L245="","FCF yok",IF(L245&lt;0.01,"%1 altı",IF(L245&lt;0.05,"%1–5",IF(L245&lt;0.1,"%5–10",IF(L245&lt;0.25,"%10–25","%25 üstü")))))</f>
        <v>%1–5</v>
      </c>
      <c r="N245" s="8" t="str">
        <f>IF(OR(C245="NULL",C245="KOŞULLU"),C245,IF(OR(F245=1,H245=1),"KOŞULLU",C245))</f>
        <v>KOŞULLU</v>
      </c>
      <c r="O245" s="8" t="str">
        <f>IF(OR(C245="NULL",C245="KOŞULLU"),C245,IF(H245=1,"KOŞULLU",C245))</f>
        <v>KESİN</v>
      </c>
      <c r="P245" s="8">
        <f>IF(N245&lt;&gt;C245,1,0)</f>
        <v>1</v>
      </c>
      <c r="Q245" s="8">
        <f>IF(O245&lt;&gt;C245,1,0)</f>
        <v>0</v>
      </c>
    </row>
    <row r="246" spans="1:17" x14ac:dyDescent="0.2">
      <c r="A246" s="8" t="s">
        <v>469</v>
      </c>
      <c r="B246" s="8" t="s">
        <v>203</v>
      </c>
      <c r="C246" s="8" t="s">
        <v>207</v>
      </c>
      <c r="D246" s="10"/>
      <c r="E246" s="10">
        <v>239.52799999999999</v>
      </c>
      <c r="F246" s="8">
        <v>1</v>
      </c>
      <c r="G246" s="8" t="s">
        <v>82</v>
      </c>
      <c r="H246" s="8">
        <v>0</v>
      </c>
      <c r="I246" s="10"/>
      <c r="J246" s="8">
        <v>0</v>
      </c>
      <c r="K246" s="10">
        <v>2.9790000000000001</v>
      </c>
      <c r="L246" s="11" t="str">
        <f>IF(AND(ISNUMBER(K246),ISNUMBER(D246)),IF(D246&lt;&gt;0,K246/ABS(D246),""),"")</f>
        <v/>
      </c>
      <c r="M246" s="8" t="str">
        <f>IF(L246="","FCF yok",IF(L246&lt;0.01,"%1 altı",IF(L246&lt;0.05,"%1–5",IF(L246&lt;0.1,"%5–10",IF(L246&lt;0.25,"%10–25","%25 üstü")))))</f>
        <v>FCF yok</v>
      </c>
      <c r="N246" s="8" t="str">
        <f>IF(OR(C246="NULL",C246="KOŞULLU"),C246,IF(OR(F246=1,H246=1),"KOŞULLU",C246))</f>
        <v>NULL</v>
      </c>
      <c r="O246" s="8" t="str">
        <f>IF(OR(C246="NULL",C246="KOŞULLU"),C246,IF(H246=1,"KOŞULLU",C246))</f>
        <v>NULL</v>
      </c>
      <c r="P246" s="8">
        <f>IF(N246&lt;&gt;C246,1,0)</f>
        <v>0</v>
      </c>
      <c r="Q246" s="8">
        <f>IF(O246&lt;&gt;C246,1,0)</f>
        <v>0</v>
      </c>
    </row>
    <row r="247" spans="1:17" x14ac:dyDescent="0.2">
      <c r="A247" s="8" t="s">
        <v>469</v>
      </c>
      <c r="B247" s="8" t="s">
        <v>208</v>
      </c>
      <c r="C247" s="8" t="s">
        <v>207</v>
      </c>
      <c r="D247" s="10"/>
      <c r="E247" s="10">
        <v>859.75</v>
      </c>
      <c r="F247" s="8">
        <v>0</v>
      </c>
      <c r="G247" s="10"/>
      <c r="H247" s="8">
        <v>1</v>
      </c>
      <c r="I247" s="8" t="s">
        <v>83</v>
      </c>
      <c r="J247" s="8">
        <v>0</v>
      </c>
      <c r="K247" s="10">
        <v>2.7269999999999999</v>
      </c>
      <c r="L247" s="11" t="str">
        <f>IF(AND(ISNUMBER(K247),ISNUMBER(D247)),IF(D247&lt;&gt;0,K247/ABS(D247),""),"")</f>
        <v/>
      </c>
      <c r="M247" s="8" t="str">
        <f>IF(L247="","FCF yok",IF(L247&lt;0.01,"%1 altı",IF(L247&lt;0.05,"%1–5",IF(L247&lt;0.1,"%5–10",IF(L247&lt;0.25,"%10–25","%25 üstü")))))</f>
        <v>FCF yok</v>
      </c>
      <c r="N247" s="8" t="str">
        <f>IF(OR(C247="NULL",C247="KOŞULLU"),C247,IF(OR(F247=1,H247=1),"KOŞULLU",C247))</f>
        <v>NULL</v>
      </c>
      <c r="O247" s="8" t="str">
        <f>IF(OR(C247="NULL",C247="KOŞULLU"),C247,IF(H247=1,"KOŞULLU",C247))</f>
        <v>NULL</v>
      </c>
      <c r="P247" s="8">
        <f>IF(N247&lt;&gt;C247,1,0)</f>
        <v>0</v>
      </c>
      <c r="Q247" s="8">
        <f>IF(O247&lt;&gt;C247,1,0)</f>
        <v>0</v>
      </c>
    </row>
    <row r="248" spans="1:17" x14ac:dyDescent="0.2">
      <c r="A248" s="8" t="s">
        <v>472</v>
      </c>
      <c r="B248" s="8" t="s">
        <v>205</v>
      </c>
      <c r="C248" s="8" t="s">
        <v>204</v>
      </c>
      <c r="D248" s="10">
        <v>-67.837999999999994</v>
      </c>
      <c r="E248" s="10">
        <v>736.62</v>
      </c>
      <c r="F248" s="8">
        <v>0</v>
      </c>
      <c r="G248" s="10"/>
      <c r="H248" s="8">
        <v>1</v>
      </c>
      <c r="I248" s="8" t="s">
        <v>82</v>
      </c>
      <c r="J248" s="8">
        <v>0</v>
      </c>
      <c r="K248" s="10">
        <v>2.2629999999999999</v>
      </c>
      <c r="L248" s="11">
        <f>IF(AND(ISNUMBER(K248),ISNUMBER(D248)),IF(D248&lt;&gt;0,K248/ABS(D248),""),"")</f>
        <v>3.3358884401073145E-2</v>
      </c>
      <c r="M248" s="8" t="str">
        <f>IF(L248="","FCF yok",IF(L248&lt;0.01,"%1 altı",IF(L248&lt;0.05,"%1–5",IF(L248&lt;0.1,"%5–10",IF(L248&lt;0.25,"%10–25","%25 üstü")))))</f>
        <v>%1–5</v>
      </c>
      <c r="N248" s="8" t="str">
        <f>IF(OR(C248="NULL",C248="KOŞULLU"),C248,IF(OR(F248=1,H248=1),"KOŞULLU",C248))</f>
        <v>KOŞULLU</v>
      </c>
      <c r="O248" s="8" t="str">
        <f>IF(OR(C248="NULL",C248="KOŞULLU"),C248,IF(H248=1,"KOŞULLU",C248))</f>
        <v>KOŞULLU</v>
      </c>
      <c r="P248" s="8">
        <f>IF(N248&lt;&gt;C248,1,0)</f>
        <v>1</v>
      </c>
      <c r="Q248" s="8">
        <f>IF(O248&lt;&gt;C248,1,0)</f>
        <v>1</v>
      </c>
    </row>
    <row r="249" spans="1:17" x14ac:dyDescent="0.2">
      <c r="A249" s="8" t="s">
        <v>472</v>
      </c>
      <c r="B249" s="8" t="s">
        <v>208</v>
      </c>
      <c r="C249" s="8" t="s">
        <v>204</v>
      </c>
      <c r="D249" s="10">
        <v>70.762999999999906</v>
      </c>
      <c r="E249" s="10">
        <v>591.47400000000005</v>
      </c>
      <c r="F249" s="8">
        <v>1</v>
      </c>
      <c r="G249" s="8" t="s">
        <v>82</v>
      </c>
      <c r="H249" s="8">
        <v>0</v>
      </c>
      <c r="I249" s="10"/>
      <c r="J249" s="8">
        <v>1</v>
      </c>
      <c r="K249" s="10">
        <v>10.231999999999999</v>
      </c>
      <c r="L249" s="11">
        <f>IF(AND(ISNUMBER(K249),ISNUMBER(D249)),IF(D249&lt;&gt;0,K249/ABS(D249),""),"")</f>
        <v>0.14459533937227101</v>
      </c>
      <c r="M249" s="8" t="str">
        <f>IF(L249="","FCF yok",IF(L249&lt;0.01,"%1 altı",IF(L249&lt;0.05,"%1–5",IF(L249&lt;0.1,"%5–10",IF(L249&lt;0.25,"%10–25","%25 üstü")))))</f>
        <v>%10–25</v>
      </c>
      <c r="N249" s="8" t="str">
        <f>IF(OR(C249="NULL",C249="KOŞULLU"),C249,IF(OR(F249=1,H249=1),"KOŞULLU",C249))</f>
        <v>KOŞULLU</v>
      </c>
      <c r="O249" s="8" t="str">
        <f>IF(OR(C249="NULL",C249="KOŞULLU"),C249,IF(H249=1,"KOŞULLU",C249))</f>
        <v>KESİN</v>
      </c>
      <c r="P249" s="8">
        <f>IF(N249&lt;&gt;C249,1,0)</f>
        <v>1</v>
      </c>
      <c r="Q249" s="8">
        <f>IF(O249&lt;&gt;C249,1,0)</f>
        <v>0</v>
      </c>
    </row>
    <row r="250" spans="1:17" x14ac:dyDescent="0.2">
      <c r="A250" s="8" t="s">
        <v>472</v>
      </c>
      <c r="B250" s="8" t="s">
        <v>210</v>
      </c>
      <c r="C250" s="8" t="s">
        <v>204</v>
      </c>
      <c r="D250" s="10">
        <v>492.50200000000001</v>
      </c>
      <c r="E250" s="10">
        <v>1045.7729999999999</v>
      </c>
      <c r="F250" s="8">
        <v>1</v>
      </c>
      <c r="G250" s="8" t="s">
        <v>82</v>
      </c>
      <c r="H250" s="8">
        <v>0</v>
      </c>
      <c r="I250" s="10"/>
      <c r="J250" s="8">
        <v>1</v>
      </c>
      <c r="K250" s="10">
        <v>2.6309999999999998</v>
      </c>
      <c r="L250" s="11">
        <f>IF(AND(ISNUMBER(K250),ISNUMBER(D250)),IF(D250&lt;&gt;0,K250/ABS(D250),""),"")</f>
        <v>5.3421102858465545E-3</v>
      </c>
      <c r="M250" s="8" t="str">
        <f>IF(L250="","FCF yok",IF(L250&lt;0.01,"%1 altı",IF(L250&lt;0.05,"%1–5",IF(L250&lt;0.1,"%5–10",IF(L250&lt;0.25,"%10–25","%25 üstü")))))</f>
        <v>%1 altı</v>
      </c>
      <c r="N250" s="8" t="str">
        <f>IF(OR(C250="NULL",C250="KOŞULLU"),C250,IF(OR(F250=1,H250=1),"KOŞULLU",C250))</f>
        <v>KOŞULLU</v>
      </c>
      <c r="O250" s="8" t="str">
        <f>IF(OR(C250="NULL",C250="KOŞULLU"),C250,IF(H250=1,"KOŞULLU",C250))</f>
        <v>KESİN</v>
      </c>
      <c r="P250" s="8">
        <f>IF(N250&lt;&gt;C250,1,0)</f>
        <v>1</v>
      </c>
      <c r="Q250" s="8">
        <f>IF(O250&lt;&gt;C250,1,0)</f>
        <v>0</v>
      </c>
    </row>
    <row r="251" spans="1:17" x14ac:dyDescent="0.2">
      <c r="A251" s="8" t="s">
        <v>475</v>
      </c>
      <c r="B251" s="8" t="s">
        <v>203</v>
      </c>
      <c r="C251" s="8" t="s">
        <v>204</v>
      </c>
      <c r="D251" s="10">
        <v>15596.858</v>
      </c>
      <c r="E251" s="10">
        <v>29198.071</v>
      </c>
      <c r="F251" s="8">
        <v>1</v>
      </c>
      <c r="G251" s="8" t="s">
        <v>83</v>
      </c>
      <c r="H251" s="8">
        <v>0</v>
      </c>
      <c r="I251" s="10"/>
      <c r="J251" s="8">
        <v>0</v>
      </c>
      <c r="K251" s="10">
        <v>2568.0030000000002</v>
      </c>
      <c r="L251" s="11">
        <f>IF(AND(ISNUMBER(K251),ISNUMBER(D251)),IF(D251&lt;&gt;0,K251/ABS(D251),""),"")</f>
        <v>0.16464873886778991</v>
      </c>
      <c r="M251" s="8" t="str">
        <f>IF(L251="","FCF yok",IF(L251&lt;0.01,"%1 altı",IF(L251&lt;0.05,"%1–5",IF(L251&lt;0.1,"%5–10",IF(L251&lt;0.25,"%10–25","%25 üstü")))))</f>
        <v>%10–25</v>
      </c>
      <c r="N251" s="8" t="str">
        <f>IF(OR(C251="NULL",C251="KOŞULLU"),C251,IF(OR(F251=1,H251=1),"KOŞULLU",C251))</f>
        <v>KOŞULLU</v>
      </c>
      <c r="O251" s="8" t="str">
        <f>IF(OR(C251="NULL",C251="KOŞULLU"),C251,IF(H251=1,"KOŞULLU",C251))</f>
        <v>KESİN</v>
      </c>
      <c r="P251" s="8">
        <f>IF(N251&lt;&gt;C251,1,0)</f>
        <v>1</v>
      </c>
      <c r="Q251" s="8">
        <f>IF(O251&lt;&gt;C251,1,0)</f>
        <v>0</v>
      </c>
    </row>
    <row r="252" spans="1:17" x14ac:dyDescent="0.2">
      <c r="A252" s="8" t="s">
        <v>475</v>
      </c>
      <c r="B252" s="8" t="s">
        <v>205</v>
      </c>
      <c r="C252" s="8" t="s">
        <v>204</v>
      </c>
      <c r="D252" s="10">
        <v>17615.061000000002</v>
      </c>
      <c r="E252" s="10">
        <v>32411.923999999999</v>
      </c>
      <c r="F252" s="8">
        <v>1</v>
      </c>
      <c r="G252" s="8" t="s">
        <v>83</v>
      </c>
      <c r="H252" s="8">
        <v>0</v>
      </c>
      <c r="I252" s="10"/>
      <c r="J252" s="8">
        <v>0</v>
      </c>
      <c r="K252" s="10">
        <v>2568.0030000000002</v>
      </c>
      <c r="L252" s="11">
        <f>IF(AND(ISNUMBER(K252),ISNUMBER(D252)),IF(D252&lt;&gt;0,K252/ABS(D252),""),"")</f>
        <v>0.14578450792761943</v>
      </c>
      <c r="M252" s="8" t="str">
        <f>IF(L252="","FCF yok",IF(L252&lt;0.01,"%1 altı",IF(L252&lt;0.05,"%1–5",IF(L252&lt;0.1,"%5–10",IF(L252&lt;0.25,"%10–25","%25 üstü")))))</f>
        <v>%10–25</v>
      </c>
      <c r="N252" s="8" t="str">
        <f>IF(OR(C252="NULL",C252="KOŞULLU"),C252,IF(OR(F252=1,H252=1),"KOŞULLU",C252))</f>
        <v>KOŞULLU</v>
      </c>
      <c r="O252" s="8" t="str">
        <f>IF(OR(C252="NULL",C252="KOŞULLU"),C252,IF(H252=1,"KOŞULLU",C252))</f>
        <v>KESİN</v>
      </c>
      <c r="P252" s="8">
        <f>IF(N252&lt;&gt;C252,1,0)</f>
        <v>1</v>
      </c>
      <c r="Q252" s="8">
        <f>IF(O252&lt;&gt;C252,1,0)</f>
        <v>0</v>
      </c>
    </row>
    <row r="253" spans="1:17" x14ac:dyDescent="0.2">
      <c r="A253" s="8" t="s">
        <v>475</v>
      </c>
      <c r="B253" s="8" t="s">
        <v>215</v>
      </c>
      <c r="C253" s="8" t="s">
        <v>204</v>
      </c>
      <c r="D253" s="10">
        <v>23220.942999999999</v>
      </c>
      <c r="E253" s="10">
        <v>42215.069000000003</v>
      </c>
      <c r="F253" s="8">
        <v>1</v>
      </c>
      <c r="G253" s="8" t="s">
        <v>83</v>
      </c>
      <c r="H253" s="8">
        <v>0</v>
      </c>
      <c r="I253" s="10"/>
      <c r="J253" s="8">
        <v>1</v>
      </c>
      <c r="K253" s="10">
        <v>2568.0030000000002</v>
      </c>
      <c r="L253" s="11">
        <f>IF(AND(ISNUMBER(K253),ISNUMBER(D253)),IF(D253&lt;&gt;0,K253/ABS(D253),""),"")</f>
        <v>0.1105899532159396</v>
      </c>
      <c r="M253" s="8" t="str">
        <f>IF(L253="","FCF yok",IF(L253&lt;0.01,"%1 altı",IF(L253&lt;0.05,"%1–5",IF(L253&lt;0.1,"%5–10",IF(L253&lt;0.25,"%10–25","%25 üstü")))))</f>
        <v>%10–25</v>
      </c>
      <c r="N253" s="8" t="str">
        <f>IF(OR(C253="NULL",C253="KOŞULLU"),C253,IF(OR(F253=1,H253=1),"KOŞULLU",C253))</f>
        <v>KOŞULLU</v>
      </c>
      <c r="O253" s="8" t="str">
        <f>IF(OR(C253="NULL",C253="KOŞULLU"),C253,IF(H253=1,"KOŞULLU",C253))</f>
        <v>KESİN</v>
      </c>
      <c r="P253" s="8">
        <f>IF(N253&lt;&gt;C253,1,0)</f>
        <v>1</v>
      </c>
      <c r="Q253" s="8">
        <f>IF(O253&lt;&gt;C253,1,0)</f>
        <v>0</v>
      </c>
    </row>
    <row r="254" spans="1:17" x14ac:dyDescent="0.2">
      <c r="A254" s="8" t="s">
        <v>475</v>
      </c>
      <c r="B254" s="8" t="s">
        <v>208</v>
      </c>
      <c r="C254" s="8" t="s">
        <v>212</v>
      </c>
      <c r="D254" s="10">
        <v>11073.451999999999</v>
      </c>
      <c r="E254" s="10">
        <v>34156.625999999997</v>
      </c>
      <c r="F254" s="8">
        <v>1</v>
      </c>
      <c r="G254" s="8" t="s">
        <v>83</v>
      </c>
      <c r="H254" s="8">
        <v>0</v>
      </c>
      <c r="I254" s="10"/>
      <c r="J254" s="8">
        <v>1</v>
      </c>
      <c r="K254" s="10">
        <v>462.69600000000003</v>
      </c>
      <c r="L254" s="11">
        <f>IF(AND(ISNUMBER(K254),ISNUMBER(D254)),IF(D254&lt;&gt;0,K254/ABS(D254),""),"")</f>
        <v>4.1784260228878947E-2</v>
      </c>
      <c r="M254" s="8" t="str">
        <f>IF(L254="","FCF yok",IF(L254&lt;0.01,"%1 altı",IF(L254&lt;0.05,"%1–5",IF(L254&lt;0.1,"%5–10",IF(L254&lt;0.25,"%10–25","%25 üstü")))))</f>
        <v>%1–5</v>
      </c>
      <c r="N254" s="8" t="str">
        <f>IF(OR(C254="NULL",C254="KOŞULLU"),C254,IF(OR(F254=1,H254=1),"KOŞULLU",C254))</f>
        <v>KOŞULLU</v>
      </c>
      <c r="O254" s="8" t="str">
        <f>IF(OR(C254="NULL",C254="KOŞULLU"),C254,IF(H254=1,"KOŞULLU",C254))</f>
        <v>KOŞULLU</v>
      </c>
      <c r="P254" s="8">
        <f>IF(N254&lt;&gt;C254,1,0)</f>
        <v>0</v>
      </c>
      <c r="Q254" s="8">
        <f>IF(O254&lt;&gt;C254,1,0)</f>
        <v>0</v>
      </c>
    </row>
    <row r="255" spans="1:17" x14ac:dyDescent="0.2">
      <c r="A255" s="8" t="s">
        <v>480</v>
      </c>
      <c r="B255" s="8" t="s">
        <v>215</v>
      </c>
      <c r="C255" s="8" t="s">
        <v>204</v>
      </c>
      <c r="D255" s="10">
        <v>237.28100000000001</v>
      </c>
      <c r="E255" s="10">
        <v>464.65100000000001</v>
      </c>
      <c r="F255" s="8">
        <v>0</v>
      </c>
      <c r="G255" s="10"/>
      <c r="H255" s="8">
        <v>1</v>
      </c>
      <c r="I255" s="8" t="s">
        <v>82</v>
      </c>
      <c r="J255" s="8">
        <v>0</v>
      </c>
      <c r="K255" s="10">
        <v>147.649</v>
      </c>
      <c r="L255" s="11">
        <f>IF(AND(ISNUMBER(K255),ISNUMBER(D255)),IF(D255&lt;&gt;0,K255/ABS(D255),""),"")</f>
        <v>0.62225378348877491</v>
      </c>
      <c r="M255" s="8" t="str">
        <f>IF(L255="","FCF yok",IF(L255&lt;0.01,"%1 altı",IF(L255&lt;0.05,"%1–5",IF(L255&lt;0.1,"%5–10",IF(L255&lt;0.25,"%10–25","%25 üstü")))))</f>
        <v>%25 üstü</v>
      </c>
      <c r="N255" s="8" t="str">
        <f>IF(OR(C255="NULL",C255="KOŞULLU"),C255,IF(OR(F255=1,H255=1),"KOŞULLU",C255))</f>
        <v>KOŞULLU</v>
      </c>
      <c r="O255" s="8" t="str">
        <f>IF(OR(C255="NULL",C255="KOŞULLU"),C255,IF(H255=1,"KOŞULLU",C255))</f>
        <v>KOŞULLU</v>
      </c>
      <c r="P255" s="8">
        <f>IF(N255&lt;&gt;C255,1,0)</f>
        <v>1</v>
      </c>
      <c r="Q255" s="8">
        <f>IF(O255&lt;&gt;C255,1,0)</f>
        <v>1</v>
      </c>
    </row>
    <row r="256" spans="1:17" x14ac:dyDescent="0.2">
      <c r="A256" s="8" t="s">
        <v>482</v>
      </c>
      <c r="B256" s="8" t="s">
        <v>203</v>
      </c>
      <c r="C256" s="8" t="s">
        <v>207</v>
      </c>
      <c r="D256" s="10"/>
      <c r="E256" s="10">
        <v>147.91399999999999</v>
      </c>
      <c r="F256" s="8">
        <v>0</v>
      </c>
      <c r="G256" s="10"/>
      <c r="H256" s="8">
        <v>1</v>
      </c>
      <c r="I256" s="8" t="s">
        <v>83</v>
      </c>
      <c r="J256" s="8">
        <v>0</v>
      </c>
      <c r="K256" s="10">
        <v>23.100999999999999</v>
      </c>
      <c r="L256" s="11" t="str">
        <f>IF(AND(ISNUMBER(K256),ISNUMBER(D256)),IF(D256&lt;&gt;0,K256/ABS(D256),""),"")</f>
        <v/>
      </c>
      <c r="M256" s="8" t="str">
        <f>IF(L256="","FCF yok",IF(L256&lt;0.01,"%1 altı",IF(L256&lt;0.05,"%1–5",IF(L256&lt;0.1,"%5–10",IF(L256&lt;0.25,"%10–25","%25 üstü")))))</f>
        <v>FCF yok</v>
      </c>
      <c r="N256" s="8" t="str">
        <f>IF(OR(C256="NULL",C256="KOŞULLU"),C256,IF(OR(F256=1,H256=1),"KOŞULLU",C256))</f>
        <v>NULL</v>
      </c>
      <c r="O256" s="8" t="str">
        <f>IF(OR(C256="NULL",C256="KOŞULLU"),C256,IF(H256=1,"KOŞULLU",C256))</f>
        <v>NULL</v>
      </c>
      <c r="P256" s="8">
        <f>IF(N256&lt;&gt;C256,1,0)</f>
        <v>0</v>
      </c>
      <c r="Q256" s="8">
        <f>IF(O256&lt;&gt;C256,1,0)</f>
        <v>0</v>
      </c>
    </row>
    <row r="257" spans="1:17" x14ac:dyDescent="0.2">
      <c r="A257" s="8" t="s">
        <v>482</v>
      </c>
      <c r="B257" s="8" t="s">
        <v>215</v>
      </c>
      <c r="C257" s="8" t="s">
        <v>207</v>
      </c>
      <c r="D257" s="10"/>
      <c r="E257" s="10">
        <v>5.5659999999999696</v>
      </c>
      <c r="F257" s="8">
        <v>0</v>
      </c>
      <c r="G257" s="10"/>
      <c r="H257" s="8">
        <v>1</v>
      </c>
      <c r="I257" s="8" t="s">
        <v>83</v>
      </c>
      <c r="J257" s="8">
        <v>0</v>
      </c>
      <c r="K257" s="10">
        <v>360.81200000000001</v>
      </c>
      <c r="L257" s="11" t="str">
        <f>IF(AND(ISNUMBER(K257),ISNUMBER(D257)),IF(D257&lt;&gt;0,K257/ABS(D257),""),"")</f>
        <v/>
      </c>
      <c r="M257" s="8" t="str">
        <f>IF(L257="","FCF yok",IF(L257&lt;0.01,"%1 altı",IF(L257&lt;0.05,"%1–5",IF(L257&lt;0.1,"%5–10",IF(L257&lt;0.25,"%10–25","%25 üstü")))))</f>
        <v>FCF yok</v>
      </c>
      <c r="N257" s="8" t="str">
        <f>IF(OR(C257="NULL",C257="KOŞULLU"),C257,IF(OR(F257=1,H257=1),"KOŞULLU",C257))</f>
        <v>NULL</v>
      </c>
      <c r="O257" s="8" t="str">
        <f>IF(OR(C257="NULL",C257="KOŞULLU"),C257,IF(H257=1,"KOŞULLU",C257))</f>
        <v>NULL</v>
      </c>
      <c r="P257" s="8">
        <f>IF(N257&lt;&gt;C257,1,0)</f>
        <v>0</v>
      </c>
      <c r="Q257" s="8">
        <f>IF(O257&lt;&gt;C257,1,0)</f>
        <v>0</v>
      </c>
    </row>
    <row r="258" spans="1:17" x14ac:dyDescent="0.2">
      <c r="A258" s="8" t="s">
        <v>482</v>
      </c>
      <c r="B258" s="8" t="s">
        <v>208</v>
      </c>
      <c r="C258" s="8" t="s">
        <v>204</v>
      </c>
      <c r="D258" s="10">
        <v>1722.1949999999999</v>
      </c>
      <c r="E258" s="10">
        <v>1956.491</v>
      </c>
      <c r="F258" s="8">
        <v>0</v>
      </c>
      <c r="G258" s="10"/>
      <c r="H258" s="8">
        <v>1</v>
      </c>
      <c r="I258" s="8" t="s">
        <v>83</v>
      </c>
      <c r="J258" s="8">
        <v>0</v>
      </c>
      <c r="K258" s="10">
        <v>228.04599999999999</v>
      </c>
      <c r="L258" s="11">
        <f>IF(AND(ISNUMBER(K258),ISNUMBER(D258)),IF(D258&lt;&gt;0,K258/ABS(D258),""),"")</f>
        <v>0.13241589947712076</v>
      </c>
      <c r="M258" s="8" t="str">
        <f>IF(L258="","FCF yok",IF(L258&lt;0.01,"%1 altı",IF(L258&lt;0.05,"%1–5",IF(L258&lt;0.1,"%5–10",IF(L258&lt;0.25,"%10–25","%25 üstü")))))</f>
        <v>%10–25</v>
      </c>
      <c r="N258" s="8" t="str">
        <f>IF(OR(C258="NULL",C258="KOŞULLU"),C258,IF(OR(F258=1,H258=1),"KOŞULLU",C258))</f>
        <v>KOŞULLU</v>
      </c>
      <c r="O258" s="8" t="str">
        <f>IF(OR(C258="NULL",C258="KOŞULLU"),C258,IF(H258=1,"KOŞULLU",C258))</f>
        <v>KOŞULLU</v>
      </c>
      <c r="P258" s="8">
        <f>IF(N258&lt;&gt;C258,1,0)</f>
        <v>1</v>
      </c>
      <c r="Q258" s="8">
        <f>IF(O258&lt;&gt;C258,1,0)</f>
        <v>1</v>
      </c>
    </row>
    <row r="259" spans="1:17" x14ac:dyDescent="0.2">
      <c r="A259" s="8" t="s">
        <v>482</v>
      </c>
      <c r="B259" s="8" t="s">
        <v>210</v>
      </c>
      <c r="C259" s="8" t="s">
        <v>204</v>
      </c>
      <c r="D259" s="10">
        <v>2147.8270000000002</v>
      </c>
      <c r="E259" s="10">
        <v>2386.482</v>
      </c>
      <c r="F259" s="8">
        <v>0</v>
      </c>
      <c r="G259" s="10"/>
      <c r="H259" s="8">
        <v>1</v>
      </c>
      <c r="I259" s="8" t="s">
        <v>83</v>
      </c>
      <c r="J259" s="8">
        <v>0</v>
      </c>
      <c r="K259" s="10">
        <v>719.95699999999999</v>
      </c>
      <c r="L259" s="11">
        <f>IF(AND(ISNUMBER(K259),ISNUMBER(D259)),IF(D259&lt;&gt;0,K259/ABS(D259),""),"")</f>
        <v>0.33520250932686846</v>
      </c>
      <c r="M259" s="8" t="str">
        <f>IF(L259="","FCF yok",IF(L259&lt;0.01,"%1 altı",IF(L259&lt;0.05,"%1–5",IF(L259&lt;0.1,"%5–10",IF(L259&lt;0.25,"%10–25","%25 üstü")))))</f>
        <v>%25 üstü</v>
      </c>
      <c r="N259" s="8" t="str">
        <f>IF(OR(C259="NULL",C259="KOŞULLU"),C259,IF(OR(F259=1,H259=1),"KOŞULLU",C259))</f>
        <v>KOŞULLU</v>
      </c>
      <c r="O259" s="8" t="str">
        <f>IF(OR(C259="NULL",C259="KOŞULLU"),C259,IF(H259=1,"KOŞULLU",C259))</f>
        <v>KOŞULLU</v>
      </c>
      <c r="P259" s="8">
        <f>IF(N259&lt;&gt;C259,1,0)</f>
        <v>1</v>
      </c>
      <c r="Q259" s="8">
        <f>IF(O259&lt;&gt;C259,1,0)</f>
        <v>1</v>
      </c>
    </row>
    <row r="260" spans="1:17" x14ac:dyDescent="0.2">
      <c r="A260" s="8" t="s">
        <v>483</v>
      </c>
      <c r="B260" s="8" t="s">
        <v>210</v>
      </c>
      <c r="C260" s="8" t="s">
        <v>212</v>
      </c>
      <c r="D260" s="10">
        <v>-110.14700000000001</v>
      </c>
      <c r="E260" s="10">
        <v>-49.832999999999998</v>
      </c>
      <c r="F260" s="8">
        <v>0</v>
      </c>
      <c r="G260" s="10"/>
      <c r="H260" s="8">
        <v>1</v>
      </c>
      <c r="I260" s="8" t="s">
        <v>83</v>
      </c>
      <c r="J260" s="8">
        <v>0</v>
      </c>
      <c r="K260" s="10">
        <v>48.101999999999997</v>
      </c>
      <c r="L260" s="11">
        <f>IF(AND(ISNUMBER(K260),ISNUMBER(D260)),IF(D260&lt;&gt;0,K260/ABS(D260),""),"")</f>
        <v>0.43670730932299556</v>
      </c>
      <c r="M260" s="8" t="str">
        <f>IF(L260="","FCF yok",IF(L260&lt;0.01,"%1 altı",IF(L260&lt;0.05,"%1–5",IF(L260&lt;0.1,"%5–10",IF(L260&lt;0.25,"%10–25","%25 üstü")))))</f>
        <v>%25 üstü</v>
      </c>
      <c r="N260" s="8" t="str">
        <f>IF(OR(C260="NULL",C260="KOŞULLU"),C260,IF(OR(F260=1,H260=1),"KOŞULLU",C260))</f>
        <v>KOŞULLU</v>
      </c>
      <c r="O260" s="8" t="str">
        <f>IF(OR(C260="NULL",C260="KOŞULLU"),C260,IF(H260=1,"KOŞULLU",C260))</f>
        <v>KOŞULLU</v>
      </c>
      <c r="P260" s="8">
        <f>IF(N260&lt;&gt;C260,1,0)</f>
        <v>0</v>
      </c>
      <c r="Q260" s="8">
        <f>IF(O260&lt;&gt;C260,1,0)</f>
        <v>0</v>
      </c>
    </row>
    <row r="261" spans="1:17" x14ac:dyDescent="0.2">
      <c r="A261" s="8" t="s">
        <v>484</v>
      </c>
      <c r="B261" s="8" t="s">
        <v>208</v>
      </c>
      <c r="C261" s="8" t="s">
        <v>204</v>
      </c>
      <c r="D261" s="10">
        <v>91.822000000000102</v>
      </c>
      <c r="E261" s="10">
        <v>760.52</v>
      </c>
      <c r="F261" s="8">
        <v>1</v>
      </c>
      <c r="G261" s="8" t="s">
        <v>82</v>
      </c>
      <c r="H261" s="8">
        <v>0</v>
      </c>
      <c r="I261" s="10"/>
      <c r="J261" s="8">
        <v>1</v>
      </c>
      <c r="K261" s="10">
        <v>23.835000000000001</v>
      </c>
      <c r="L261" s="11">
        <f>IF(AND(ISNUMBER(K261),ISNUMBER(D261)),IF(D261&lt;&gt;0,K261/ABS(D261),""),"")</f>
        <v>0.25957831456513664</v>
      </c>
      <c r="M261" s="8" t="str">
        <f>IF(L261="","FCF yok",IF(L261&lt;0.01,"%1 altı",IF(L261&lt;0.05,"%1–5",IF(L261&lt;0.1,"%5–10",IF(L261&lt;0.25,"%10–25","%25 üstü")))))</f>
        <v>%25 üstü</v>
      </c>
      <c r="N261" s="8" t="str">
        <f>IF(OR(C261="NULL",C261="KOŞULLU"),C261,IF(OR(F261=1,H261=1),"KOŞULLU",C261))</f>
        <v>KOŞULLU</v>
      </c>
      <c r="O261" s="8" t="str">
        <f>IF(OR(C261="NULL",C261="KOŞULLU"),C261,IF(H261=1,"KOŞULLU",C261))</f>
        <v>KESİN</v>
      </c>
      <c r="P261" s="8">
        <f>IF(N261&lt;&gt;C261,1,0)</f>
        <v>1</v>
      </c>
      <c r="Q261" s="8">
        <f>IF(O261&lt;&gt;C261,1,0)</f>
        <v>0</v>
      </c>
    </row>
    <row r="262" spans="1:17" x14ac:dyDescent="0.2">
      <c r="A262" s="8" t="s">
        <v>486</v>
      </c>
      <c r="B262" s="8" t="s">
        <v>215</v>
      </c>
      <c r="C262" s="8" t="s">
        <v>204</v>
      </c>
      <c r="D262" s="10">
        <v>-111.003</v>
      </c>
      <c r="E262" s="10">
        <v>1112.327</v>
      </c>
      <c r="F262" s="8">
        <v>0</v>
      </c>
      <c r="G262" s="10"/>
      <c r="H262" s="8">
        <v>1</v>
      </c>
      <c r="I262" s="8" t="s">
        <v>82</v>
      </c>
      <c r="J262" s="8">
        <v>0</v>
      </c>
      <c r="K262" s="10">
        <v>56.704999999999998</v>
      </c>
      <c r="L262" s="11">
        <f>IF(AND(ISNUMBER(K262),ISNUMBER(D262)),IF(D262&lt;&gt;0,K262/ABS(D262),""),"")</f>
        <v>0.51084204931398247</v>
      </c>
      <c r="M262" s="8" t="str">
        <f>IF(L262="","FCF yok",IF(L262&lt;0.01,"%1 altı",IF(L262&lt;0.05,"%1–5",IF(L262&lt;0.1,"%5–10",IF(L262&lt;0.25,"%10–25","%25 üstü")))))</f>
        <v>%25 üstü</v>
      </c>
      <c r="N262" s="8" t="str">
        <f>IF(OR(C262="NULL",C262="KOŞULLU"),C262,IF(OR(F262=1,H262=1),"KOŞULLU",C262))</f>
        <v>KOŞULLU</v>
      </c>
      <c r="O262" s="8" t="str">
        <f>IF(OR(C262="NULL",C262="KOŞULLU"),C262,IF(H262=1,"KOŞULLU",C262))</f>
        <v>KOŞULLU</v>
      </c>
      <c r="P262" s="8">
        <f>IF(N262&lt;&gt;C262,1,0)</f>
        <v>1</v>
      </c>
      <c r="Q262" s="8">
        <f>IF(O262&lt;&gt;C262,1,0)</f>
        <v>1</v>
      </c>
    </row>
    <row r="263" spans="1:17" x14ac:dyDescent="0.2">
      <c r="A263" s="8" t="s">
        <v>487</v>
      </c>
      <c r="B263" s="8" t="s">
        <v>203</v>
      </c>
      <c r="C263" s="8" t="s">
        <v>204</v>
      </c>
      <c r="D263" s="10">
        <v>-1532.8720000000001</v>
      </c>
      <c r="E263" s="10">
        <v>-1281.6980000000001</v>
      </c>
      <c r="F263" s="8">
        <v>1</v>
      </c>
      <c r="G263" s="8" t="s">
        <v>748</v>
      </c>
      <c r="H263" s="8">
        <v>0</v>
      </c>
      <c r="I263" s="10"/>
      <c r="J263" s="8">
        <v>1</v>
      </c>
      <c r="K263" s="10">
        <v>62.771000000000001</v>
      </c>
      <c r="L263" s="11">
        <f>IF(AND(ISNUMBER(K263),ISNUMBER(D263)),IF(D263&lt;&gt;0,K263/ABS(D263),""),"")</f>
        <v>4.094992928307125E-2</v>
      </c>
      <c r="M263" s="8" t="str">
        <f>IF(L263="","FCF yok",IF(L263&lt;0.01,"%1 altı",IF(L263&lt;0.05,"%1–5",IF(L263&lt;0.1,"%5–10",IF(L263&lt;0.25,"%10–25","%25 üstü")))))</f>
        <v>%1–5</v>
      </c>
      <c r="N263" s="8" t="str">
        <f>IF(OR(C263="NULL",C263="KOŞULLU"),C263,IF(OR(F263=1,H263=1),"KOŞULLU",C263))</f>
        <v>KOŞULLU</v>
      </c>
      <c r="O263" s="8" t="str">
        <f>IF(OR(C263="NULL",C263="KOŞULLU"),C263,IF(H263=1,"KOŞULLU",C263))</f>
        <v>KESİN</v>
      </c>
      <c r="P263" s="8">
        <f>IF(N263&lt;&gt;C263,1,0)</f>
        <v>1</v>
      </c>
      <c r="Q263" s="8">
        <f>IF(O263&lt;&gt;C263,1,0)</f>
        <v>0</v>
      </c>
    </row>
    <row r="264" spans="1:17" x14ac:dyDescent="0.2">
      <c r="A264" s="8" t="s">
        <v>487</v>
      </c>
      <c r="B264" s="8" t="s">
        <v>208</v>
      </c>
      <c r="C264" s="8" t="s">
        <v>212</v>
      </c>
      <c r="D264" s="10">
        <v>-114.381</v>
      </c>
      <c r="E264" s="10">
        <v>11.140999999999901</v>
      </c>
      <c r="F264" s="8">
        <v>1</v>
      </c>
      <c r="G264" s="8" t="s">
        <v>82</v>
      </c>
      <c r="H264" s="8">
        <v>0</v>
      </c>
      <c r="I264" s="10"/>
      <c r="J264" s="8">
        <v>1</v>
      </c>
      <c r="K264" s="10">
        <v>10.553000000000001</v>
      </c>
      <c r="L264" s="11">
        <f>IF(AND(ISNUMBER(K264),ISNUMBER(D264)),IF(D264&lt;&gt;0,K264/ABS(D264),""),"")</f>
        <v>9.2261826701987223E-2</v>
      </c>
      <c r="M264" s="8" t="str">
        <f>IF(L264="","FCF yok",IF(L264&lt;0.01,"%1 altı",IF(L264&lt;0.05,"%1–5",IF(L264&lt;0.1,"%5–10",IF(L264&lt;0.25,"%10–25","%25 üstü")))))</f>
        <v>%5–10</v>
      </c>
      <c r="N264" s="8" t="str">
        <f>IF(OR(C264="NULL",C264="KOŞULLU"),C264,IF(OR(F264=1,H264=1),"KOŞULLU",C264))</f>
        <v>KOŞULLU</v>
      </c>
      <c r="O264" s="8" t="str">
        <f>IF(OR(C264="NULL",C264="KOŞULLU"),C264,IF(H264=1,"KOŞULLU",C264))</f>
        <v>KOŞULLU</v>
      </c>
      <c r="P264" s="8">
        <f>IF(N264&lt;&gt;C264,1,0)</f>
        <v>0</v>
      </c>
      <c r="Q264" s="8">
        <f>IF(O264&lt;&gt;C264,1,0)</f>
        <v>0</v>
      </c>
    </row>
    <row r="265" spans="1:17" x14ac:dyDescent="0.2">
      <c r="A265" s="8" t="s">
        <v>492</v>
      </c>
      <c r="B265" s="8" t="s">
        <v>215</v>
      </c>
      <c r="C265" s="8" t="s">
        <v>212</v>
      </c>
      <c r="D265" s="10">
        <v>3544.1370000000002</v>
      </c>
      <c r="E265" s="10">
        <v>3619.953</v>
      </c>
      <c r="F265" s="8">
        <v>0</v>
      </c>
      <c r="G265" s="10"/>
      <c r="H265" s="8">
        <v>1</v>
      </c>
      <c r="I265" s="8" t="s">
        <v>748</v>
      </c>
      <c r="J265" s="8">
        <v>0</v>
      </c>
      <c r="K265" s="10">
        <v>311.34899999999999</v>
      </c>
      <c r="L265" s="11">
        <f>IF(AND(ISNUMBER(K265),ISNUMBER(D265)),IF(D265&lt;&gt;0,K265/ABS(D265),""),"")</f>
        <v>8.7849030666703909E-2</v>
      </c>
      <c r="M265" s="8" t="str">
        <f>IF(L265="","FCF yok",IF(L265&lt;0.01,"%1 altı",IF(L265&lt;0.05,"%1–5",IF(L265&lt;0.1,"%5–10",IF(L265&lt;0.25,"%10–25","%25 üstü")))))</f>
        <v>%5–10</v>
      </c>
      <c r="N265" s="8" t="str">
        <f>IF(OR(C265="NULL",C265="KOŞULLU"),C265,IF(OR(F265=1,H265=1),"KOŞULLU",C265))</f>
        <v>KOŞULLU</v>
      </c>
      <c r="O265" s="8" t="str">
        <f>IF(OR(C265="NULL",C265="KOŞULLU"),C265,IF(H265=1,"KOŞULLU",C265))</f>
        <v>KOŞULLU</v>
      </c>
      <c r="P265" s="8">
        <f>IF(N265&lt;&gt;C265,1,0)</f>
        <v>0</v>
      </c>
      <c r="Q265" s="8">
        <f>IF(O265&lt;&gt;C265,1,0)</f>
        <v>0</v>
      </c>
    </row>
    <row r="266" spans="1:17" x14ac:dyDescent="0.2">
      <c r="A266" s="8" t="s">
        <v>494</v>
      </c>
      <c r="B266" s="8" t="s">
        <v>210</v>
      </c>
      <c r="C266" s="8" t="s">
        <v>204</v>
      </c>
      <c r="D266" s="10">
        <v>-6.2880000000000003</v>
      </c>
      <c r="E266" s="10">
        <v>25.66</v>
      </c>
      <c r="F266" s="8">
        <v>0</v>
      </c>
      <c r="G266" s="10"/>
      <c r="H266" s="8">
        <v>1</v>
      </c>
      <c r="I266" s="8" t="s">
        <v>82</v>
      </c>
      <c r="J266" s="8">
        <v>0</v>
      </c>
      <c r="K266" s="10">
        <v>11.27</v>
      </c>
      <c r="L266" s="11">
        <f>IF(AND(ISNUMBER(K266),ISNUMBER(D266)),IF(D266&lt;&gt;0,K266/ABS(D266),""),"")</f>
        <v>1.7923027989821882</v>
      </c>
      <c r="M266" s="8" t="str">
        <f>IF(L266="","FCF yok",IF(L266&lt;0.01,"%1 altı",IF(L266&lt;0.05,"%1–5",IF(L266&lt;0.1,"%5–10",IF(L266&lt;0.25,"%10–25","%25 üstü")))))</f>
        <v>%25 üstü</v>
      </c>
      <c r="N266" s="8" t="str">
        <f>IF(OR(C266="NULL",C266="KOŞULLU"),C266,IF(OR(F266=1,H266=1),"KOŞULLU",C266))</f>
        <v>KOŞULLU</v>
      </c>
      <c r="O266" s="8" t="str">
        <f>IF(OR(C266="NULL",C266="KOŞULLU"),C266,IF(H266=1,"KOŞULLU",C266))</f>
        <v>KOŞULLU</v>
      </c>
      <c r="P266" s="8">
        <f>IF(N266&lt;&gt;C266,1,0)</f>
        <v>1</v>
      </c>
      <c r="Q266" s="8">
        <f>IF(O266&lt;&gt;C266,1,0)</f>
        <v>1</v>
      </c>
    </row>
    <row r="267" spans="1:17" x14ac:dyDescent="0.2">
      <c r="A267" s="8" t="s">
        <v>498</v>
      </c>
      <c r="B267" s="8" t="s">
        <v>208</v>
      </c>
      <c r="C267" s="8" t="s">
        <v>207</v>
      </c>
      <c r="D267" s="10"/>
      <c r="E267" s="10"/>
      <c r="F267" s="8">
        <v>0</v>
      </c>
      <c r="G267" s="10"/>
      <c r="H267" s="8">
        <v>1</v>
      </c>
      <c r="I267" s="8" t="s">
        <v>83</v>
      </c>
      <c r="J267" s="8">
        <v>0</v>
      </c>
      <c r="K267" s="10">
        <v>186.471</v>
      </c>
      <c r="L267" s="11" t="str">
        <f>IF(AND(ISNUMBER(K267),ISNUMBER(D267)),IF(D267&lt;&gt;0,K267/ABS(D267),""),"")</f>
        <v/>
      </c>
      <c r="M267" s="8" t="str">
        <f>IF(L267="","FCF yok",IF(L267&lt;0.01,"%1 altı",IF(L267&lt;0.05,"%1–5",IF(L267&lt;0.1,"%5–10",IF(L267&lt;0.25,"%10–25","%25 üstü")))))</f>
        <v>FCF yok</v>
      </c>
      <c r="N267" s="8" t="str">
        <f>IF(OR(C267="NULL",C267="KOŞULLU"),C267,IF(OR(F267=1,H267=1),"KOŞULLU",C267))</f>
        <v>NULL</v>
      </c>
      <c r="O267" s="8" t="str">
        <f>IF(OR(C267="NULL",C267="KOŞULLU"),C267,IF(H267=1,"KOŞULLU",C267))</f>
        <v>NULL</v>
      </c>
      <c r="P267" s="8">
        <f>IF(N267&lt;&gt;C267,1,0)</f>
        <v>0</v>
      </c>
      <c r="Q267" s="8">
        <f>IF(O267&lt;&gt;C267,1,0)</f>
        <v>0</v>
      </c>
    </row>
    <row r="268" spans="1:17" x14ac:dyDescent="0.2">
      <c r="A268" s="8" t="s">
        <v>498</v>
      </c>
      <c r="B268" s="8" t="s">
        <v>210</v>
      </c>
      <c r="C268" s="8" t="s">
        <v>207</v>
      </c>
      <c r="D268" s="10"/>
      <c r="E268" s="10"/>
      <c r="F268" s="8">
        <v>0</v>
      </c>
      <c r="G268" s="10"/>
      <c r="H268" s="8">
        <v>1</v>
      </c>
      <c r="I268" s="8" t="s">
        <v>83</v>
      </c>
      <c r="J268" s="8">
        <v>0</v>
      </c>
      <c r="K268" s="10">
        <v>51.463999999999999</v>
      </c>
      <c r="L268" s="11" t="str">
        <f>IF(AND(ISNUMBER(K268),ISNUMBER(D268)),IF(D268&lt;&gt;0,K268/ABS(D268),""),"")</f>
        <v/>
      </c>
      <c r="M268" s="8" t="str">
        <f>IF(L268="","FCF yok",IF(L268&lt;0.01,"%1 altı",IF(L268&lt;0.05,"%1–5",IF(L268&lt;0.1,"%5–10",IF(L268&lt;0.25,"%10–25","%25 üstü")))))</f>
        <v>FCF yok</v>
      </c>
      <c r="N268" s="8" t="str">
        <f>IF(OR(C268="NULL",C268="KOŞULLU"),C268,IF(OR(F268=1,H268=1),"KOŞULLU",C268))</f>
        <v>NULL</v>
      </c>
      <c r="O268" s="8" t="str">
        <f>IF(OR(C268="NULL",C268="KOŞULLU"),C268,IF(H268=1,"KOŞULLU",C268))</f>
        <v>NULL</v>
      </c>
      <c r="P268" s="8">
        <f>IF(N268&lt;&gt;C268,1,0)</f>
        <v>0</v>
      </c>
      <c r="Q268" s="8">
        <f>IF(O268&lt;&gt;C268,1,0)</f>
        <v>0</v>
      </c>
    </row>
    <row r="269" spans="1:17" x14ac:dyDescent="0.2">
      <c r="A269" s="8" t="s">
        <v>499</v>
      </c>
      <c r="B269" s="8" t="s">
        <v>215</v>
      </c>
      <c r="C269" s="8" t="s">
        <v>204</v>
      </c>
      <c r="D269" s="10">
        <v>8.7309999999999999</v>
      </c>
      <c r="E269" s="10">
        <v>458.65</v>
      </c>
      <c r="F269" s="8">
        <v>0</v>
      </c>
      <c r="G269" s="10"/>
      <c r="H269" s="8">
        <v>1</v>
      </c>
      <c r="I269" s="8" t="s">
        <v>83</v>
      </c>
      <c r="J269" s="8">
        <v>0</v>
      </c>
      <c r="K269" s="10">
        <v>134.994</v>
      </c>
      <c r="L269" s="11">
        <f>IF(AND(ISNUMBER(K269),ISNUMBER(D269)),IF(D269&lt;&gt;0,K269/ABS(D269),""),"")</f>
        <v>15.461459168480129</v>
      </c>
      <c r="M269" s="8" t="str">
        <f>IF(L269="","FCF yok",IF(L269&lt;0.01,"%1 altı",IF(L269&lt;0.05,"%1–5",IF(L269&lt;0.1,"%5–10",IF(L269&lt;0.25,"%10–25","%25 üstü")))))</f>
        <v>%25 üstü</v>
      </c>
      <c r="N269" s="8" t="str">
        <f>IF(OR(C269="NULL",C269="KOŞULLU"),C269,IF(OR(F269=1,H269=1),"KOŞULLU",C269))</f>
        <v>KOŞULLU</v>
      </c>
      <c r="O269" s="8" t="str">
        <f>IF(OR(C269="NULL",C269="KOŞULLU"),C269,IF(H269=1,"KOŞULLU",C269))</f>
        <v>KOŞULLU</v>
      </c>
      <c r="P269" s="8">
        <f>IF(N269&lt;&gt;C269,1,0)</f>
        <v>1</v>
      </c>
      <c r="Q269" s="8">
        <f>IF(O269&lt;&gt;C269,1,0)</f>
        <v>1</v>
      </c>
    </row>
    <row r="270" spans="1:17" x14ac:dyDescent="0.2">
      <c r="A270" s="8" t="s">
        <v>499</v>
      </c>
      <c r="B270" s="8" t="s">
        <v>210</v>
      </c>
      <c r="C270" s="8" t="s">
        <v>204</v>
      </c>
      <c r="D270" s="10">
        <v>-997.93600000000004</v>
      </c>
      <c r="E270" s="10">
        <v>-994.21600000000001</v>
      </c>
      <c r="F270" s="8">
        <v>0</v>
      </c>
      <c r="G270" s="10"/>
      <c r="H270" s="8">
        <v>1</v>
      </c>
      <c r="I270" s="8" t="s">
        <v>748</v>
      </c>
      <c r="J270" s="8">
        <v>0</v>
      </c>
      <c r="K270" s="10">
        <v>189.69</v>
      </c>
      <c r="L270" s="11">
        <f>IF(AND(ISNUMBER(K270),ISNUMBER(D270)),IF(D270&lt;&gt;0,K270/ABS(D270),""),"")</f>
        <v>0.19008232992897339</v>
      </c>
      <c r="M270" s="8" t="str">
        <f>IF(L270="","FCF yok",IF(L270&lt;0.01,"%1 altı",IF(L270&lt;0.05,"%1–5",IF(L270&lt;0.1,"%5–10",IF(L270&lt;0.25,"%10–25","%25 üstü")))))</f>
        <v>%10–25</v>
      </c>
      <c r="N270" s="8" t="str">
        <f>IF(OR(C270="NULL",C270="KOŞULLU"),C270,IF(OR(F270=1,H270=1),"KOŞULLU",C270))</f>
        <v>KOŞULLU</v>
      </c>
      <c r="O270" s="8" t="str">
        <f>IF(OR(C270="NULL",C270="KOŞULLU"),C270,IF(H270=1,"KOŞULLU",C270))</f>
        <v>KOŞULLU</v>
      </c>
      <c r="P270" s="8">
        <f>IF(N270&lt;&gt;C270,1,0)</f>
        <v>1</v>
      </c>
      <c r="Q270" s="8">
        <f>IF(O270&lt;&gt;C270,1,0)</f>
        <v>1</v>
      </c>
    </row>
    <row r="271" spans="1:17" x14ac:dyDescent="0.2">
      <c r="A271" s="8" t="s">
        <v>500</v>
      </c>
      <c r="B271" s="8" t="s">
        <v>205</v>
      </c>
      <c r="C271" s="8" t="s">
        <v>204</v>
      </c>
      <c r="D271" s="10">
        <v>-140.69399999999999</v>
      </c>
      <c r="E271" s="10">
        <v>-140.69399999999999</v>
      </c>
      <c r="F271" s="8">
        <v>0</v>
      </c>
      <c r="G271" s="10"/>
      <c r="H271" s="8">
        <v>1</v>
      </c>
      <c r="I271" s="8" t="s">
        <v>83</v>
      </c>
      <c r="J271" s="8">
        <v>0</v>
      </c>
      <c r="K271" s="10">
        <v>4.2220000000000004</v>
      </c>
      <c r="L271" s="11">
        <f>IF(AND(ISNUMBER(K271),ISNUMBER(D271)),IF(D271&lt;&gt;0,K271/ABS(D271),""),"")</f>
        <v>3.0008386995891798E-2</v>
      </c>
      <c r="M271" s="8" t="str">
        <f>IF(L271="","FCF yok",IF(L271&lt;0.01,"%1 altı",IF(L271&lt;0.05,"%1–5",IF(L271&lt;0.1,"%5–10",IF(L271&lt;0.25,"%10–25","%25 üstü")))))</f>
        <v>%1–5</v>
      </c>
      <c r="N271" s="8" t="str">
        <f>IF(OR(C271="NULL",C271="KOŞULLU"),C271,IF(OR(F271=1,H271=1),"KOŞULLU",C271))</f>
        <v>KOŞULLU</v>
      </c>
      <c r="O271" s="8" t="str">
        <f>IF(OR(C271="NULL",C271="KOŞULLU"),C271,IF(H271=1,"KOŞULLU",C271))</f>
        <v>KOŞULLU</v>
      </c>
      <c r="P271" s="8">
        <f>IF(N271&lt;&gt;C271,1,0)</f>
        <v>1</v>
      </c>
      <c r="Q271" s="8">
        <f>IF(O271&lt;&gt;C271,1,0)</f>
        <v>1</v>
      </c>
    </row>
    <row r="272" spans="1:17" x14ac:dyDescent="0.2">
      <c r="A272" s="8" t="s">
        <v>501</v>
      </c>
      <c r="B272" s="8" t="s">
        <v>203</v>
      </c>
      <c r="C272" s="8" t="s">
        <v>204</v>
      </c>
      <c r="D272" s="10">
        <v>-1.2209999999999901</v>
      </c>
      <c r="E272" s="10">
        <v>115.42700000000001</v>
      </c>
      <c r="F272" s="8">
        <v>1</v>
      </c>
      <c r="G272" s="8" t="s">
        <v>82</v>
      </c>
      <c r="H272" s="8">
        <v>0</v>
      </c>
      <c r="I272" s="10"/>
      <c r="J272" s="8">
        <v>0</v>
      </c>
      <c r="K272" s="10">
        <v>53.296999999999997</v>
      </c>
      <c r="L272" s="11">
        <f>IF(AND(ISNUMBER(K272),ISNUMBER(D272)),IF(D272&lt;&gt;0,K272/ABS(D272),""),"")</f>
        <v>43.650286650287001</v>
      </c>
      <c r="M272" s="8" t="str">
        <f>IF(L272="","FCF yok",IF(L272&lt;0.01,"%1 altı",IF(L272&lt;0.05,"%1–5",IF(L272&lt;0.1,"%5–10",IF(L272&lt;0.25,"%10–25","%25 üstü")))))</f>
        <v>%25 üstü</v>
      </c>
      <c r="N272" s="8" t="str">
        <f>IF(OR(C272="NULL",C272="KOŞULLU"),C272,IF(OR(F272=1,H272=1),"KOŞULLU",C272))</f>
        <v>KOŞULLU</v>
      </c>
      <c r="O272" s="8" t="str">
        <f>IF(OR(C272="NULL",C272="KOŞULLU"),C272,IF(H272=1,"KOŞULLU",C272))</f>
        <v>KESİN</v>
      </c>
      <c r="P272" s="8">
        <f>IF(N272&lt;&gt;C272,1,0)</f>
        <v>1</v>
      </c>
      <c r="Q272" s="8">
        <f>IF(O272&lt;&gt;C272,1,0)</f>
        <v>0</v>
      </c>
    </row>
    <row r="273" spans="1:17" x14ac:dyDescent="0.2">
      <c r="A273" s="8" t="s">
        <v>501</v>
      </c>
      <c r="B273" s="8" t="s">
        <v>205</v>
      </c>
      <c r="C273" s="8" t="s">
        <v>204</v>
      </c>
      <c r="D273" s="10">
        <v>48.494999999999997</v>
      </c>
      <c r="E273" s="10">
        <v>145.78800000000001</v>
      </c>
      <c r="F273" s="8">
        <v>1</v>
      </c>
      <c r="G273" s="8" t="s">
        <v>82</v>
      </c>
      <c r="H273" s="8">
        <v>0</v>
      </c>
      <c r="I273" s="10"/>
      <c r="J273" s="8">
        <v>0</v>
      </c>
      <c r="K273" s="10">
        <v>53.296999999999997</v>
      </c>
      <c r="L273" s="11">
        <f>IF(AND(ISNUMBER(K273),ISNUMBER(D273)),IF(D273&lt;&gt;0,K273/ABS(D273),""),"")</f>
        <v>1.0990205175791319</v>
      </c>
      <c r="M273" s="8" t="str">
        <f>IF(L273="","FCF yok",IF(L273&lt;0.01,"%1 altı",IF(L273&lt;0.05,"%1–5",IF(L273&lt;0.1,"%5–10",IF(L273&lt;0.25,"%10–25","%25 üstü")))))</f>
        <v>%25 üstü</v>
      </c>
      <c r="N273" s="8" t="str">
        <f>IF(OR(C273="NULL",C273="KOŞULLU"),C273,IF(OR(F273=1,H273=1),"KOŞULLU",C273))</f>
        <v>KOŞULLU</v>
      </c>
      <c r="O273" s="8" t="str">
        <f>IF(OR(C273="NULL",C273="KOŞULLU"),C273,IF(H273=1,"KOŞULLU",C273))</f>
        <v>KESİN</v>
      </c>
      <c r="P273" s="8">
        <f>IF(N273&lt;&gt;C273,1,0)</f>
        <v>1</v>
      </c>
      <c r="Q273" s="8">
        <f>IF(O273&lt;&gt;C273,1,0)</f>
        <v>0</v>
      </c>
    </row>
    <row r="274" spans="1:17" x14ac:dyDescent="0.2">
      <c r="A274" s="8" t="s">
        <v>501</v>
      </c>
      <c r="B274" s="8" t="s">
        <v>215</v>
      </c>
      <c r="C274" s="8" t="s">
        <v>204</v>
      </c>
      <c r="D274" s="10">
        <v>-68.75</v>
      </c>
      <c r="E274" s="10">
        <v>-54.854999999999997</v>
      </c>
      <c r="F274" s="8">
        <v>1</v>
      </c>
      <c r="G274" s="8" t="s">
        <v>82</v>
      </c>
      <c r="H274" s="8">
        <v>1</v>
      </c>
      <c r="I274" s="8" t="s">
        <v>83</v>
      </c>
      <c r="J274" s="8">
        <v>1</v>
      </c>
      <c r="K274" s="10">
        <v>53.298000000000002</v>
      </c>
      <c r="L274" s="11">
        <f>IF(AND(ISNUMBER(K274),ISNUMBER(D274)),IF(D274&lt;&gt;0,K274/ABS(D274),""),"")</f>
        <v>0.77524363636363636</v>
      </c>
      <c r="M274" s="8" t="str">
        <f>IF(L274="","FCF yok",IF(L274&lt;0.01,"%1 altı",IF(L274&lt;0.05,"%1–5",IF(L274&lt;0.1,"%5–10",IF(L274&lt;0.25,"%10–25","%25 üstü")))))</f>
        <v>%25 üstü</v>
      </c>
      <c r="N274" s="8" t="str">
        <f>IF(OR(C274="NULL",C274="KOŞULLU"),C274,IF(OR(F274=1,H274=1),"KOŞULLU",C274))</f>
        <v>KOŞULLU</v>
      </c>
      <c r="O274" s="8" t="str">
        <f>IF(OR(C274="NULL",C274="KOŞULLU"),C274,IF(H274=1,"KOŞULLU",C274))</f>
        <v>KOŞULLU</v>
      </c>
      <c r="P274" s="8">
        <f>IF(N274&lt;&gt;C274,1,0)</f>
        <v>1</v>
      </c>
      <c r="Q274" s="8">
        <f>IF(O274&lt;&gt;C274,1,0)</f>
        <v>1</v>
      </c>
    </row>
    <row r="275" spans="1:17" x14ac:dyDescent="0.2">
      <c r="A275" s="8" t="s">
        <v>501</v>
      </c>
      <c r="B275" s="8" t="s">
        <v>208</v>
      </c>
      <c r="C275" s="8" t="s">
        <v>204</v>
      </c>
      <c r="D275" s="10">
        <v>179.982</v>
      </c>
      <c r="E275" s="10">
        <v>285.07799999999997</v>
      </c>
      <c r="F275" s="8">
        <v>0</v>
      </c>
      <c r="G275" s="10"/>
      <c r="H275" s="8">
        <v>1</v>
      </c>
      <c r="I275" s="8" t="s">
        <v>82</v>
      </c>
      <c r="J275" s="8">
        <v>0</v>
      </c>
      <c r="K275" s="10">
        <v>2.3140000000000001</v>
      </c>
      <c r="L275" s="11">
        <f>IF(AND(ISNUMBER(K275),ISNUMBER(D275)),IF(D275&lt;&gt;0,K275/ABS(D275),""),"")</f>
        <v>1.2856841239679524E-2</v>
      </c>
      <c r="M275" s="8" t="str">
        <f>IF(L275="","FCF yok",IF(L275&lt;0.01,"%1 altı",IF(L275&lt;0.05,"%1–5",IF(L275&lt;0.1,"%5–10",IF(L275&lt;0.25,"%10–25","%25 üstü")))))</f>
        <v>%1–5</v>
      </c>
      <c r="N275" s="8" t="str">
        <f>IF(OR(C275="NULL",C275="KOŞULLU"),C275,IF(OR(F275=1,H275=1),"KOŞULLU",C275))</f>
        <v>KOŞULLU</v>
      </c>
      <c r="O275" s="8" t="str">
        <f>IF(OR(C275="NULL",C275="KOŞULLU"),C275,IF(H275=1,"KOŞULLU",C275))</f>
        <v>KOŞULLU</v>
      </c>
      <c r="P275" s="8">
        <f>IF(N275&lt;&gt;C275,1,0)</f>
        <v>1</v>
      </c>
      <c r="Q275" s="8">
        <f>IF(O275&lt;&gt;C275,1,0)</f>
        <v>1</v>
      </c>
    </row>
    <row r="276" spans="1:17" x14ac:dyDescent="0.2">
      <c r="A276" s="8" t="s">
        <v>501</v>
      </c>
      <c r="B276" s="8" t="s">
        <v>210</v>
      </c>
      <c r="C276" s="8" t="s">
        <v>204</v>
      </c>
      <c r="D276" s="10">
        <v>85.194000000000003</v>
      </c>
      <c r="E276" s="10">
        <v>149.727</v>
      </c>
      <c r="F276" s="8">
        <v>1</v>
      </c>
      <c r="G276" s="8" t="s">
        <v>82</v>
      </c>
      <c r="H276" s="8">
        <v>0</v>
      </c>
      <c r="I276" s="10"/>
      <c r="J276" s="8">
        <v>1</v>
      </c>
      <c r="K276" s="10">
        <v>29.318000000000001</v>
      </c>
      <c r="L276" s="11">
        <f>IF(AND(ISNUMBER(K276),ISNUMBER(D276)),IF(D276&lt;&gt;0,K276/ABS(D276),""),"")</f>
        <v>0.34413221588374771</v>
      </c>
      <c r="M276" s="8" t="str">
        <f>IF(L276="","FCF yok",IF(L276&lt;0.01,"%1 altı",IF(L276&lt;0.05,"%1–5",IF(L276&lt;0.1,"%5–10",IF(L276&lt;0.25,"%10–25","%25 üstü")))))</f>
        <v>%25 üstü</v>
      </c>
      <c r="N276" s="8" t="str">
        <f>IF(OR(C276="NULL",C276="KOŞULLU"),C276,IF(OR(F276=1,H276=1),"KOŞULLU",C276))</f>
        <v>KOŞULLU</v>
      </c>
      <c r="O276" s="8" t="str">
        <f>IF(OR(C276="NULL",C276="KOŞULLU"),C276,IF(H276=1,"KOŞULLU",C276))</f>
        <v>KESİN</v>
      </c>
      <c r="P276" s="8">
        <f>IF(N276&lt;&gt;C276,1,0)</f>
        <v>1</v>
      </c>
      <c r="Q276" s="8">
        <f>IF(O276&lt;&gt;C276,1,0)</f>
        <v>0</v>
      </c>
    </row>
    <row r="277" spans="1:17" x14ac:dyDescent="0.2">
      <c r="A277" s="8" t="s">
        <v>506</v>
      </c>
      <c r="B277" s="8" t="s">
        <v>215</v>
      </c>
      <c r="C277" s="8" t="s">
        <v>204</v>
      </c>
      <c r="D277" s="10">
        <v>-671.00900000000001</v>
      </c>
      <c r="E277" s="10">
        <v>-529.39200000000005</v>
      </c>
      <c r="F277" s="8">
        <v>0</v>
      </c>
      <c r="G277" s="10"/>
      <c r="H277" s="8">
        <v>1</v>
      </c>
      <c r="I277" s="8" t="s">
        <v>83</v>
      </c>
      <c r="J277" s="8">
        <v>0</v>
      </c>
      <c r="K277" s="10">
        <v>10.919</v>
      </c>
      <c r="L277" s="11">
        <f>IF(AND(ISNUMBER(K277),ISNUMBER(D277)),IF(D277&lt;&gt;0,K277/ABS(D277),""),"")</f>
        <v>1.6272509012546777E-2</v>
      </c>
      <c r="M277" s="8" t="str">
        <f>IF(L277="","FCF yok",IF(L277&lt;0.01,"%1 altı",IF(L277&lt;0.05,"%1–5",IF(L277&lt;0.1,"%5–10",IF(L277&lt;0.25,"%10–25","%25 üstü")))))</f>
        <v>%1–5</v>
      </c>
      <c r="N277" s="8" t="str">
        <f>IF(OR(C277="NULL",C277="KOŞULLU"),C277,IF(OR(F277=1,H277=1),"KOŞULLU",C277))</f>
        <v>KOŞULLU</v>
      </c>
      <c r="O277" s="8" t="str">
        <f>IF(OR(C277="NULL",C277="KOŞULLU"),C277,IF(H277=1,"KOŞULLU",C277))</f>
        <v>KOŞULLU</v>
      </c>
      <c r="P277" s="8">
        <f>IF(N277&lt;&gt;C277,1,0)</f>
        <v>1</v>
      </c>
      <c r="Q277" s="8">
        <f>IF(O277&lt;&gt;C277,1,0)</f>
        <v>1</v>
      </c>
    </row>
    <row r="278" spans="1:17" x14ac:dyDescent="0.2">
      <c r="A278" s="8" t="s">
        <v>507</v>
      </c>
      <c r="B278" s="8" t="s">
        <v>203</v>
      </c>
      <c r="C278" s="8" t="s">
        <v>204</v>
      </c>
      <c r="D278" s="10">
        <v>-705.50900000000001</v>
      </c>
      <c r="E278" s="10">
        <v>3460.2719999999999</v>
      </c>
      <c r="F278" s="8">
        <v>0</v>
      </c>
      <c r="G278" s="10"/>
      <c r="H278" s="8">
        <v>1</v>
      </c>
      <c r="I278" s="8" t="s">
        <v>82</v>
      </c>
      <c r="J278" s="8">
        <v>0</v>
      </c>
      <c r="K278" s="10">
        <v>2.9510000000000001</v>
      </c>
      <c r="L278" s="11">
        <f>IF(AND(ISNUMBER(K278),ISNUMBER(D278)),IF(D278&lt;&gt;0,K278/ABS(D278),""),"")</f>
        <v>4.1827956836836952E-3</v>
      </c>
      <c r="M278" s="8" t="str">
        <f>IF(L278="","FCF yok",IF(L278&lt;0.01,"%1 altı",IF(L278&lt;0.05,"%1–5",IF(L278&lt;0.1,"%5–10",IF(L278&lt;0.25,"%10–25","%25 üstü")))))</f>
        <v>%1 altı</v>
      </c>
      <c r="N278" s="8" t="str">
        <f>IF(OR(C278="NULL",C278="KOŞULLU"),C278,IF(OR(F278=1,H278=1),"KOŞULLU",C278))</f>
        <v>KOŞULLU</v>
      </c>
      <c r="O278" s="8" t="str">
        <f>IF(OR(C278="NULL",C278="KOŞULLU"),C278,IF(H278=1,"KOŞULLU",C278))</f>
        <v>KOŞULLU</v>
      </c>
      <c r="P278" s="8">
        <f>IF(N278&lt;&gt;C278,1,0)</f>
        <v>1</v>
      </c>
      <c r="Q278" s="8">
        <f>IF(O278&lt;&gt;C278,1,0)</f>
        <v>1</v>
      </c>
    </row>
    <row r="279" spans="1:17" x14ac:dyDescent="0.2">
      <c r="A279" s="8" t="s">
        <v>508</v>
      </c>
      <c r="B279" s="8" t="s">
        <v>205</v>
      </c>
      <c r="C279" s="8" t="s">
        <v>204</v>
      </c>
      <c r="D279" s="10">
        <v>910.38199999999995</v>
      </c>
      <c r="E279" s="10">
        <v>950.91499999999996</v>
      </c>
      <c r="F279" s="8">
        <v>0</v>
      </c>
      <c r="G279" s="10"/>
      <c r="H279" s="8">
        <v>1</v>
      </c>
      <c r="I279" s="8" t="s">
        <v>83</v>
      </c>
      <c r="J279" s="8">
        <v>0</v>
      </c>
      <c r="K279" s="10">
        <v>28.238</v>
      </c>
      <c r="L279" s="11">
        <f>IF(AND(ISNUMBER(K279),ISNUMBER(D279)),IF(D279&lt;&gt;0,K279/ABS(D279),""),"")</f>
        <v>3.1017748593447587E-2</v>
      </c>
      <c r="M279" s="8" t="str">
        <f>IF(L279="","FCF yok",IF(L279&lt;0.01,"%1 altı",IF(L279&lt;0.05,"%1–5",IF(L279&lt;0.1,"%5–10",IF(L279&lt;0.25,"%10–25","%25 üstü")))))</f>
        <v>%1–5</v>
      </c>
      <c r="N279" s="8" t="str">
        <f>IF(OR(C279="NULL",C279="KOŞULLU"),C279,IF(OR(F279=1,H279=1),"KOŞULLU",C279))</f>
        <v>KOŞULLU</v>
      </c>
      <c r="O279" s="8" t="str">
        <f>IF(OR(C279="NULL",C279="KOŞULLU"),C279,IF(H279=1,"KOŞULLU",C279))</f>
        <v>KOŞULLU</v>
      </c>
      <c r="P279" s="8">
        <f>IF(N279&lt;&gt;C279,1,0)</f>
        <v>1</v>
      </c>
      <c r="Q279" s="8">
        <f>IF(O279&lt;&gt;C279,1,0)</f>
        <v>1</v>
      </c>
    </row>
    <row r="280" spans="1:17" x14ac:dyDescent="0.2">
      <c r="A280" s="8" t="s">
        <v>508</v>
      </c>
      <c r="B280" s="8" t="s">
        <v>215</v>
      </c>
      <c r="C280" s="8" t="s">
        <v>204</v>
      </c>
      <c r="D280" s="10">
        <v>839.56299999999999</v>
      </c>
      <c r="E280" s="10">
        <v>935.68700000000001</v>
      </c>
      <c r="F280" s="8">
        <v>0</v>
      </c>
      <c r="G280" s="10"/>
      <c r="H280" s="8">
        <v>1</v>
      </c>
      <c r="I280" s="8" t="s">
        <v>83</v>
      </c>
      <c r="J280" s="8">
        <v>0</v>
      </c>
      <c r="K280" s="10">
        <v>51.578000000000003</v>
      </c>
      <c r="L280" s="11">
        <f>IF(AND(ISNUMBER(K280),ISNUMBER(D280)),IF(D280&lt;&gt;0,K280/ABS(D280),""),"")</f>
        <v>6.1434341437152429E-2</v>
      </c>
      <c r="M280" s="8" t="str">
        <f>IF(L280="","FCF yok",IF(L280&lt;0.01,"%1 altı",IF(L280&lt;0.05,"%1–5",IF(L280&lt;0.1,"%5–10",IF(L280&lt;0.25,"%10–25","%25 üstü")))))</f>
        <v>%5–10</v>
      </c>
      <c r="N280" s="8" t="str">
        <f>IF(OR(C280="NULL",C280="KOŞULLU"),C280,IF(OR(F280=1,H280=1),"KOŞULLU",C280))</f>
        <v>KOŞULLU</v>
      </c>
      <c r="O280" s="8" t="str">
        <f>IF(OR(C280="NULL",C280="KOŞULLU"),C280,IF(H280=1,"KOŞULLU",C280))</f>
        <v>KOŞULLU</v>
      </c>
      <c r="P280" s="8">
        <f>IF(N280&lt;&gt;C280,1,0)</f>
        <v>1</v>
      </c>
      <c r="Q280" s="8">
        <f>IF(O280&lt;&gt;C280,1,0)</f>
        <v>1</v>
      </c>
    </row>
    <row r="281" spans="1:17" x14ac:dyDescent="0.2">
      <c r="A281" s="8" t="s">
        <v>509</v>
      </c>
      <c r="B281" s="8" t="s">
        <v>215</v>
      </c>
      <c r="C281" s="8" t="s">
        <v>204</v>
      </c>
      <c r="D281" s="10">
        <v>226.94</v>
      </c>
      <c r="E281" s="10">
        <v>303.15899999999999</v>
      </c>
      <c r="F281" s="8">
        <v>0</v>
      </c>
      <c r="G281" s="10"/>
      <c r="H281" s="8">
        <v>1</v>
      </c>
      <c r="I281" s="8" t="s">
        <v>83</v>
      </c>
      <c r="J281" s="8">
        <v>0</v>
      </c>
      <c r="K281" s="10">
        <v>18</v>
      </c>
      <c r="L281" s="11">
        <f>IF(AND(ISNUMBER(K281),ISNUMBER(D281)),IF(D281&lt;&gt;0,K281/ABS(D281),""),"")</f>
        <v>7.9316118797920152E-2</v>
      </c>
      <c r="M281" s="8" t="str">
        <f>IF(L281="","FCF yok",IF(L281&lt;0.01,"%1 altı",IF(L281&lt;0.05,"%1–5",IF(L281&lt;0.1,"%5–10",IF(L281&lt;0.25,"%10–25","%25 üstü")))))</f>
        <v>%5–10</v>
      </c>
      <c r="N281" s="8" t="str">
        <f>IF(OR(C281="NULL",C281="KOŞULLU"),C281,IF(OR(F281=1,H281=1),"KOŞULLU",C281))</f>
        <v>KOŞULLU</v>
      </c>
      <c r="O281" s="8" t="str">
        <f>IF(OR(C281="NULL",C281="KOŞULLU"),C281,IF(H281=1,"KOŞULLU",C281))</f>
        <v>KOŞULLU</v>
      </c>
      <c r="P281" s="8">
        <f>IF(N281&lt;&gt;C281,1,0)</f>
        <v>1</v>
      </c>
      <c r="Q281" s="8">
        <f>IF(O281&lt;&gt;C281,1,0)</f>
        <v>1</v>
      </c>
    </row>
    <row r="282" spans="1:17" x14ac:dyDescent="0.2">
      <c r="A282" s="8" t="s">
        <v>510</v>
      </c>
      <c r="B282" s="8" t="s">
        <v>210</v>
      </c>
      <c r="C282" s="8" t="s">
        <v>207</v>
      </c>
      <c r="D282" s="10"/>
      <c r="E282" s="10"/>
      <c r="F282" s="8">
        <v>0</v>
      </c>
      <c r="G282" s="10"/>
      <c r="H282" s="8">
        <v>1</v>
      </c>
      <c r="I282" s="8" t="s">
        <v>83</v>
      </c>
      <c r="J282" s="8">
        <v>0</v>
      </c>
      <c r="K282" s="10">
        <v>1.2849999999999999</v>
      </c>
      <c r="L282" s="11" t="str">
        <f>IF(AND(ISNUMBER(K282),ISNUMBER(D282)),IF(D282&lt;&gt;0,K282/ABS(D282),""),"")</f>
        <v/>
      </c>
      <c r="M282" s="8" t="str">
        <f>IF(L282="","FCF yok",IF(L282&lt;0.01,"%1 altı",IF(L282&lt;0.05,"%1–5",IF(L282&lt;0.1,"%5–10",IF(L282&lt;0.25,"%10–25","%25 üstü")))))</f>
        <v>FCF yok</v>
      </c>
      <c r="N282" s="8" t="str">
        <f>IF(OR(C282="NULL",C282="KOŞULLU"),C282,IF(OR(F282=1,H282=1),"KOŞULLU",C282))</f>
        <v>NULL</v>
      </c>
      <c r="O282" s="8" t="str">
        <f>IF(OR(C282="NULL",C282="KOŞULLU"),C282,IF(H282=1,"KOŞULLU",C282))</f>
        <v>NULL</v>
      </c>
      <c r="P282" s="8">
        <f>IF(N282&lt;&gt;C282,1,0)</f>
        <v>0</v>
      </c>
      <c r="Q282" s="8">
        <f>IF(O282&lt;&gt;C282,1,0)</f>
        <v>0</v>
      </c>
    </row>
    <row r="283" spans="1:17" x14ac:dyDescent="0.2">
      <c r="A283" s="8" t="s">
        <v>515</v>
      </c>
      <c r="B283" s="8" t="s">
        <v>203</v>
      </c>
      <c r="C283" s="8" t="s">
        <v>204</v>
      </c>
      <c r="D283" s="10">
        <v>3703.6190000000001</v>
      </c>
      <c r="E283" s="10">
        <v>8599.0869999999995</v>
      </c>
      <c r="F283" s="8">
        <v>0</v>
      </c>
      <c r="G283" s="10"/>
      <c r="H283" s="8">
        <v>1</v>
      </c>
      <c r="I283" s="8" t="s">
        <v>82</v>
      </c>
      <c r="J283" s="8">
        <v>0</v>
      </c>
      <c r="K283" s="10">
        <v>316.20699999999999</v>
      </c>
      <c r="L283" s="11">
        <f>IF(AND(ISNUMBER(K283),ISNUMBER(D283)),IF(D283&lt;&gt;0,K283/ABS(D283),""),"")</f>
        <v>8.537784259126005E-2</v>
      </c>
      <c r="M283" s="8" t="str">
        <f>IF(L283="","FCF yok",IF(L283&lt;0.01,"%1 altı",IF(L283&lt;0.05,"%1–5",IF(L283&lt;0.1,"%5–10",IF(L283&lt;0.25,"%10–25","%25 üstü")))))</f>
        <v>%5–10</v>
      </c>
      <c r="N283" s="8" t="str">
        <f>IF(OR(C283="NULL",C283="KOŞULLU"),C283,IF(OR(F283=1,H283=1),"KOŞULLU",C283))</f>
        <v>KOŞULLU</v>
      </c>
      <c r="O283" s="8" t="str">
        <f>IF(OR(C283="NULL",C283="KOŞULLU"),C283,IF(H283=1,"KOŞULLU",C283))</f>
        <v>KOŞULLU</v>
      </c>
      <c r="P283" s="8">
        <f>IF(N283&lt;&gt;C283,1,0)</f>
        <v>1</v>
      </c>
      <c r="Q283" s="8">
        <f>IF(O283&lt;&gt;C283,1,0)</f>
        <v>1</v>
      </c>
    </row>
    <row r="284" spans="1:17" x14ac:dyDescent="0.2">
      <c r="A284" s="8" t="s">
        <v>515</v>
      </c>
      <c r="B284" s="8" t="s">
        <v>205</v>
      </c>
      <c r="C284" s="8" t="s">
        <v>204</v>
      </c>
      <c r="D284" s="10">
        <v>3468.6660000000002</v>
      </c>
      <c r="E284" s="10">
        <v>8635.7070000000003</v>
      </c>
      <c r="F284" s="8">
        <v>0</v>
      </c>
      <c r="G284" s="10"/>
      <c r="H284" s="8">
        <v>1</v>
      </c>
      <c r="I284" s="8" t="s">
        <v>82</v>
      </c>
      <c r="J284" s="8">
        <v>0</v>
      </c>
      <c r="K284" s="10">
        <v>206.31</v>
      </c>
      <c r="L284" s="11">
        <f>IF(AND(ISNUMBER(K284),ISNUMBER(D284)),IF(D284&lt;&gt;0,K284/ABS(D284),""),"")</f>
        <v>5.9478197093637726E-2</v>
      </c>
      <c r="M284" s="8" t="str">
        <f>IF(L284="","FCF yok",IF(L284&lt;0.01,"%1 altı",IF(L284&lt;0.05,"%1–5",IF(L284&lt;0.1,"%5–10",IF(L284&lt;0.25,"%10–25","%25 üstü")))))</f>
        <v>%5–10</v>
      </c>
      <c r="N284" s="8" t="str">
        <f>IF(OR(C284="NULL",C284="KOŞULLU"),C284,IF(OR(F284=1,H284=1),"KOŞULLU",C284))</f>
        <v>KOŞULLU</v>
      </c>
      <c r="O284" s="8" t="str">
        <f>IF(OR(C284="NULL",C284="KOŞULLU"),C284,IF(H284=1,"KOŞULLU",C284))</f>
        <v>KOŞULLU</v>
      </c>
      <c r="P284" s="8">
        <f>IF(N284&lt;&gt;C284,1,0)</f>
        <v>1</v>
      </c>
      <c r="Q284" s="8">
        <f>IF(O284&lt;&gt;C284,1,0)</f>
        <v>1</v>
      </c>
    </row>
    <row r="285" spans="1:17" x14ac:dyDescent="0.2">
      <c r="A285" s="8" t="s">
        <v>515</v>
      </c>
      <c r="B285" s="8" t="s">
        <v>215</v>
      </c>
      <c r="C285" s="8" t="s">
        <v>204</v>
      </c>
      <c r="D285" s="10">
        <v>-2596.7939999999999</v>
      </c>
      <c r="E285" s="10">
        <v>2333.6660000000002</v>
      </c>
      <c r="F285" s="8">
        <v>0</v>
      </c>
      <c r="G285" s="10"/>
      <c r="H285" s="8">
        <v>1</v>
      </c>
      <c r="I285" s="8" t="s">
        <v>82</v>
      </c>
      <c r="J285" s="8">
        <v>0</v>
      </c>
      <c r="K285" s="10">
        <v>147.47499999999999</v>
      </c>
      <c r="L285" s="11">
        <f>IF(AND(ISNUMBER(K285),ISNUMBER(D285)),IF(D285&lt;&gt;0,K285/ABS(D285),""),"")</f>
        <v>5.6791181741793921E-2</v>
      </c>
      <c r="M285" s="8" t="str">
        <f>IF(L285="","FCF yok",IF(L285&lt;0.01,"%1 altı",IF(L285&lt;0.05,"%1–5",IF(L285&lt;0.1,"%5–10",IF(L285&lt;0.25,"%10–25","%25 üstü")))))</f>
        <v>%5–10</v>
      </c>
      <c r="N285" s="8" t="str">
        <f>IF(OR(C285="NULL",C285="KOŞULLU"),C285,IF(OR(F285=1,H285=1),"KOŞULLU",C285))</f>
        <v>KOŞULLU</v>
      </c>
      <c r="O285" s="8" t="str">
        <f>IF(OR(C285="NULL",C285="KOŞULLU"),C285,IF(H285=1,"KOŞULLU",C285))</f>
        <v>KOŞULLU</v>
      </c>
      <c r="P285" s="8">
        <f>IF(N285&lt;&gt;C285,1,0)</f>
        <v>1</v>
      </c>
      <c r="Q285" s="8">
        <f>IF(O285&lt;&gt;C285,1,0)</f>
        <v>1</v>
      </c>
    </row>
    <row r="286" spans="1:17" x14ac:dyDescent="0.2">
      <c r="A286" s="8" t="s">
        <v>516</v>
      </c>
      <c r="B286" s="8" t="s">
        <v>208</v>
      </c>
      <c r="C286" s="8" t="s">
        <v>204</v>
      </c>
      <c r="D286" s="10">
        <v>-301.13600000000002</v>
      </c>
      <c r="E286" s="10">
        <v>1041.2190000000001</v>
      </c>
      <c r="F286" s="8">
        <v>0</v>
      </c>
      <c r="G286" s="10"/>
      <c r="H286" s="8">
        <v>1</v>
      </c>
      <c r="I286" s="8" t="s">
        <v>82</v>
      </c>
      <c r="J286" s="8">
        <v>0</v>
      </c>
      <c r="K286" s="10">
        <v>31.896000000000001</v>
      </c>
      <c r="L286" s="11">
        <f>IF(AND(ISNUMBER(K286),ISNUMBER(D286)),IF(D286&lt;&gt;0,K286/ABS(D286),""),"")</f>
        <v>0.10591892035492269</v>
      </c>
      <c r="M286" s="8" t="str">
        <f>IF(L286="","FCF yok",IF(L286&lt;0.01,"%1 altı",IF(L286&lt;0.05,"%1–5",IF(L286&lt;0.1,"%5–10",IF(L286&lt;0.25,"%10–25","%25 üstü")))))</f>
        <v>%10–25</v>
      </c>
      <c r="N286" s="8" t="str">
        <f>IF(OR(C286="NULL",C286="KOŞULLU"),C286,IF(OR(F286=1,H286=1),"KOŞULLU",C286))</f>
        <v>KOŞULLU</v>
      </c>
      <c r="O286" s="8" t="str">
        <f>IF(OR(C286="NULL",C286="KOŞULLU"),C286,IF(H286=1,"KOŞULLU",C286))</f>
        <v>KOŞULLU</v>
      </c>
      <c r="P286" s="8">
        <f>IF(N286&lt;&gt;C286,1,0)</f>
        <v>1</v>
      </c>
      <c r="Q286" s="8">
        <f>IF(O286&lt;&gt;C286,1,0)</f>
        <v>1</v>
      </c>
    </row>
    <row r="287" spans="1:17" x14ac:dyDescent="0.2">
      <c r="A287" s="8" t="s">
        <v>517</v>
      </c>
      <c r="B287" s="8" t="s">
        <v>203</v>
      </c>
      <c r="C287" s="8" t="s">
        <v>204</v>
      </c>
      <c r="D287" s="10">
        <v>-156.363</v>
      </c>
      <c r="E287" s="10">
        <v>231.05799999999999</v>
      </c>
      <c r="F287" s="8">
        <v>1</v>
      </c>
      <c r="G287" s="8" t="s">
        <v>82</v>
      </c>
      <c r="H287" s="8">
        <v>0</v>
      </c>
      <c r="I287" s="10"/>
      <c r="J287" s="8">
        <v>0</v>
      </c>
      <c r="K287" s="10">
        <v>113.036</v>
      </c>
      <c r="L287" s="11">
        <f>IF(AND(ISNUMBER(K287),ISNUMBER(D287)),IF(D287&lt;&gt;0,K287/ABS(D287),""),"")</f>
        <v>0.72290759322857712</v>
      </c>
      <c r="M287" s="8" t="str">
        <f>IF(L287="","FCF yok",IF(L287&lt;0.01,"%1 altı",IF(L287&lt;0.05,"%1–5",IF(L287&lt;0.1,"%5–10",IF(L287&lt;0.25,"%10–25","%25 üstü")))))</f>
        <v>%25 üstü</v>
      </c>
      <c r="N287" s="8" t="str">
        <f>IF(OR(C287="NULL",C287="KOŞULLU"),C287,IF(OR(F287=1,H287=1),"KOŞULLU",C287))</f>
        <v>KOŞULLU</v>
      </c>
      <c r="O287" s="8" t="str">
        <f>IF(OR(C287="NULL",C287="KOŞULLU"),C287,IF(H287=1,"KOŞULLU",C287))</f>
        <v>KESİN</v>
      </c>
      <c r="P287" s="8">
        <f>IF(N287&lt;&gt;C287,1,0)</f>
        <v>1</v>
      </c>
      <c r="Q287" s="8">
        <f>IF(O287&lt;&gt;C287,1,0)</f>
        <v>0</v>
      </c>
    </row>
    <row r="288" spans="1:17" x14ac:dyDescent="0.2">
      <c r="A288" s="8" t="s">
        <v>517</v>
      </c>
      <c r="B288" s="8" t="s">
        <v>205</v>
      </c>
      <c r="C288" s="8" t="s">
        <v>204</v>
      </c>
      <c r="D288" s="10">
        <v>-82.891000000000005</v>
      </c>
      <c r="E288" s="10">
        <v>309.274</v>
      </c>
      <c r="F288" s="8">
        <v>1</v>
      </c>
      <c r="G288" s="8" t="s">
        <v>82</v>
      </c>
      <c r="H288" s="8">
        <v>0</v>
      </c>
      <c r="I288" s="10"/>
      <c r="J288" s="8">
        <v>0</v>
      </c>
      <c r="K288" s="10">
        <v>113.036</v>
      </c>
      <c r="L288" s="11">
        <f>IF(AND(ISNUMBER(K288),ISNUMBER(D288)),IF(D288&lt;&gt;0,K288/ABS(D288),""),"")</f>
        <v>1.363670362282998</v>
      </c>
      <c r="M288" s="8" t="str">
        <f>IF(L288="","FCF yok",IF(L288&lt;0.01,"%1 altı",IF(L288&lt;0.05,"%1–5",IF(L288&lt;0.1,"%5–10",IF(L288&lt;0.25,"%10–25","%25 üstü")))))</f>
        <v>%25 üstü</v>
      </c>
      <c r="N288" s="8" t="str">
        <f>IF(OR(C288="NULL",C288="KOŞULLU"),C288,IF(OR(F288=1,H288=1),"KOŞULLU",C288))</f>
        <v>KOŞULLU</v>
      </c>
      <c r="O288" s="8" t="str">
        <f>IF(OR(C288="NULL",C288="KOŞULLU"),C288,IF(H288=1,"KOŞULLU",C288))</f>
        <v>KESİN</v>
      </c>
      <c r="P288" s="8">
        <f>IF(N288&lt;&gt;C288,1,0)</f>
        <v>1</v>
      </c>
      <c r="Q288" s="8">
        <f>IF(O288&lt;&gt;C288,1,0)</f>
        <v>0</v>
      </c>
    </row>
    <row r="289" spans="1:17" x14ac:dyDescent="0.2">
      <c r="A289" s="8" t="s">
        <v>517</v>
      </c>
      <c r="B289" s="8" t="s">
        <v>215</v>
      </c>
      <c r="C289" s="8" t="s">
        <v>204</v>
      </c>
      <c r="D289" s="10">
        <v>-2598.2159999999999</v>
      </c>
      <c r="E289" s="10">
        <v>507.928</v>
      </c>
      <c r="F289" s="8">
        <v>1</v>
      </c>
      <c r="G289" s="8" t="s">
        <v>82</v>
      </c>
      <c r="H289" s="8">
        <v>0</v>
      </c>
      <c r="I289" s="10"/>
      <c r="J289" s="8">
        <v>1</v>
      </c>
      <c r="K289" s="10">
        <v>247.28399999999999</v>
      </c>
      <c r="L289" s="11">
        <f>IF(AND(ISNUMBER(K289),ISNUMBER(D289)),IF(D289&lt;&gt;0,K289/ABS(D289),""),"")</f>
        <v>9.5174535142574748E-2</v>
      </c>
      <c r="M289" s="8" t="str">
        <f>IF(L289="","FCF yok",IF(L289&lt;0.01,"%1 altı",IF(L289&lt;0.05,"%1–5",IF(L289&lt;0.1,"%5–10",IF(L289&lt;0.25,"%10–25","%25 üstü")))))</f>
        <v>%5–10</v>
      </c>
      <c r="N289" s="8" t="str">
        <f>IF(OR(C289="NULL",C289="KOŞULLU"),C289,IF(OR(F289=1,H289=1),"KOŞULLU",C289))</f>
        <v>KOŞULLU</v>
      </c>
      <c r="O289" s="8" t="str">
        <f>IF(OR(C289="NULL",C289="KOŞULLU"),C289,IF(H289=1,"KOŞULLU",C289))</f>
        <v>KESİN</v>
      </c>
      <c r="P289" s="8">
        <f>IF(N289&lt;&gt;C289,1,0)</f>
        <v>1</v>
      </c>
      <c r="Q289" s="8">
        <f>IF(O289&lt;&gt;C289,1,0)</f>
        <v>0</v>
      </c>
    </row>
    <row r="290" spans="1:17" x14ac:dyDescent="0.2">
      <c r="A290" s="8" t="s">
        <v>517</v>
      </c>
      <c r="B290" s="8" t="s">
        <v>208</v>
      </c>
      <c r="C290" s="8" t="s">
        <v>207</v>
      </c>
      <c r="D290" s="10"/>
      <c r="E290" s="10">
        <v>3961.1869999999999</v>
      </c>
      <c r="F290" s="8">
        <v>0</v>
      </c>
      <c r="G290" s="10"/>
      <c r="H290" s="8">
        <v>1</v>
      </c>
      <c r="I290" s="8" t="s">
        <v>82</v>
      </c>
      <c r="J290" s="8">
        <v>0</v>
      </c>
      <c r="K290" s="10">
        <v>36.048999999999999</v>
      </c>
      <c r="L290" s="11" t="str">
        <f>IF(AND(ISNUMBER(K290),ISNUMBER(D290)),IF(D290&lt;&gt;0,K290/ABS(D290),""),"")</f>
        <v/>
      </c>
      <c r="M290" s="8" t="str">
        <f>IF(L290="","FCF yok",IF(L290&lt;0.01,"%1 altı",IF(L290&lt;0.05,"%1–5",IF(L290&lt;0.1,"%5–10",IF(L290&lt;0.25,"%10–25","%25 üstü")))))</f>
        <v>FCF yok</v>
      </c>
      <c r="N290" s="8" t="str">
        <f>IF(OR(C290="NULL",C290="KOŞULLU"),C290,IF(OR(F290=1,H290=1),"KOŞULLU",C290))</f>
        <v>NULL</v>
      </c>
      <c r="O290" s="8" t="str">
        <f>IF(OR(C290="NULL",C290="KOŞULLU"),C290,IF(H290=1,"KOŞULLU",C290))</f>
        <v>NULL</v>
      </c>
      <c r="P290" s="8">
        <f>IF(N290&lt;&gt;C290,1,0)</f>
        <v>0</v>
      </c>
      <c r="Q290" s="8">
        <f>IF(O290&lt;&gt;C290,1,0)</f>
        <v>0</v>
      </c>
    </row>
    <row r="291" spans="1:17" x14ac:dyDescent="0.2">
      <c r="A291" s="8" t="s">
        <v>517</v>
      </c>
      <c r="B291" s="8" t="s">
        <v>210</v>
      </c>
      <c r="C291" s="8" t="s">
        <v>207</v>
      </c>
      <c r="D291" s="10"/>
      <c r="E291" s="10">
        <v>5492.4179999999997</v>
      </c>
      <c r="F291" s="8">
        <v>0</v>
      </c>
      <c r="G291" s="10"/>
      <c r="H291" s="8">
        <v>1</v>
      </c>
      <c r="I291" s="8" t="s">
        <v>82</v>
      </c>
      <c r="J291" s="8">
        <v>0</v>
      </c>
      <c r="K291" s="10">
        <v>155.56100000000001</v>
      </c>
      <c r="L291" s="11" t="str">
        <f>IF(AND(ISNUMBER(K291),ISNUMBER(D291)),IF(D291&lt;&gt;0,K291/ABS(D291),""),"")</f>
        <v/>
      </c>
      <c r="M291" s="8" t="str">
        <f>IF(L291="","FCF yok",IF(L291&lt;0.01,"%1 altı",IF(L291&lt;0.05,"%1–5",IF(L291&lt;0.1,"%5–10",IF(L291&lt;0.25,"%10–25","%25 üstü")))))</f>
        <v>FCF yok</v>
      </c>
      <c r="N291" s="8" t="str">
        <f>IF(OR(C291="NULL",C291="KOŞULLU"),C291,IF(OR(F291=1,H291=1),"KOŞULLU",C291))</f>
        <v>NULL</v>
      </c>
      <c r="O291" s="8" t="str">
        <f>IF(OR(C291="NULL",C291="KOŞULLU"),C291,IF(H291=1,"KOŞULLU",C291))</f>
        <v>NULL</v>
      </c>
      <c r="P291" s="8">
        <f>IF(N291&lt;&gt;C291,1,0)</f>
        <v>0</v>
      </c>
      <c r="Q291" s="8">
        <f>IF(O291&lt;&gt;C291,1,0)</f>
        <v>0</v>
      </c>
    </row>
    <row r="292" spans="1:17" x14ac:dyDescent="0.2">
      <c r="A292" s="8" t="s">
        <v>520</v>
      </c>
      <c r="B292" s="8" t="s">
        <v>205</v>
      </c>
      <c r="C292" s="8" t="s">
        <v>204</v>
      </c>
      <c r="D292" s="10">
        <v>-21.954000000000001</v>
      </c>
      <c r="E292" s="10">
        <v>-4.82</v>
      </c>
      <c r="F292" s="8">
        <v>0</v>
      </c>
      <c r="G292" s="10"/>
      <c r="H292" s="8">
        <v>1</v>
      </c>
      <c r="I292" s="8" t="s">
        <v>83</v>
      </c>
      <c r="J292" s="8">
        <v>0</v>
      </c>
      <c r="K292" s="10">
        <v>1.052</v>
      </c>
      <c r="L292" s="11">
        <f>IF(AND(ISNUMBER(K292),ISNUMBER(D292)),IF(D292&lt;&gt;0,K292/ABS(D292),""),"")</f>
        <v>4.7918374783638515E-2</v>
      </c>
      <c r="M292" s="8" t="str">
        <f>IF(L292="","FCF yok",IF(L292&lt;0.01,"%1 altı",IF(L292&lt;0.05,"%1–5",IF(L292&lt;0.1,"%5–10",IF(L292&lt;0.25,"%10–25","%25 üstü")))))</f>
        <v>%1–5</v>
      </c>
      <c r="N292" s="8" t="str">
        <f>IF(OR(C292="NULL",C292="KOŞULLU"),C292,IF(OR(F292=1,H292=1),"KOŞULLU",C292))</f>
        <v>KOŞULLU</v>
      </c>
      <c r="O292" s="8" t="str">
        <f>IF(OR(C292="NULL",C292="KOŞULLU"),C292,IF(H292=1,"KOŞULLU",C292))</f>
        <v>KOŞULLU</v>
      </c>
      <c r="P292" s="8">
        <f>IF(N292&lt;&gt;C292,1,0)</f>
        <v>1</v>
      </c>
      <c r="Q292" s="8">
        <f>IF(O292&lt;&gt;C292,1,0)</f>
        <v>1</v>
      </c>
    </row>
    <row r="293" spans="1:17" x14ac:dyDescent="0.2">
      <c r="A293" s="8" t="s">
        <v>520</v>
      </c>
      <c r="B293" s="8" t="s">
        <v>215</v>
      </c>
      <c r="C293" s="8" t="s">
        <v>204</v>
      </c>
      <c r="D293" s="10">
        <v>0.14600000000000099</v>
      </c>
      <c r="E293" s="10">
        <v>19.646000000000001</v>
      </c>
      <c r="F293" s="8">
        <v>0</v>
      </c>
      <c r="G293" s="10"/>
      <c r="H293" s="8">
        <v>1</v>
      </c>
      <c r="I293" s="8" t="s">
        <v>83</v>
      </c>
      <c r="J293" s="8">
        <v>0</v>
      </c>
      <c r="K293" s="10">
        <v>2.3969999999999998</v>
      </c>
      <c r="L293" s="11">
        <f>IF(AND(ISNUMBER(K293),ISNUMBER(D293)),IF(D293&lt;&gt;0,K293/ABS(D293),""),"")</f>
        <v>16.417808219177971</v>
      </c>
      <c r="M293" s="8" t="str">
        <f>IF(L293="","FCF yok",IF(L293&lt;0.01,"%1 altı",IF(L293&lt;0.05,"%1–5",IF(L293&lt;0.1,"%5–10",IF(L293&lt;0.25,"%10–25","%25 üstü")))))</f>
        <v>%25 üstü</v>
      </c>
      <c r="N293" s="8" t="str">
        <f>IF(OR(C293="NULL",C293="KOŞULLU"),C293,IF(OR(F293=1,H293=1),"KOŞULLU",C293))</f>
        <v>KOŞULLU</v>
      </c>
      <c r="O293" s="8" t="str">
        <f>IF(OR(C293="NULL",C293="KOŞULLU"),C293,IF(H293=1,"KOŞULLU",C293))</f>
        <v>KOŞULLU</v>
      </c>
      <c r="P293" s="8">
        <f>IF(N293&lt;&gt;C293,1,0)</f>
        <v>1</v>
      </c>
      <c r="Q293" s="8">
        <f>IF(O293&lt;&gt;C293,1,0)</f>
        <v>1</v>
      </c>
    </row>
    <row r="294" spans="1:17" x14ac:dyDescent="0.2">
      <c r="A294" s="8" t="s">
        <v>521</v>
      </c>
      <c r="B294" s="8" t="s">
        <v>208</v>
      </c>
      <c r="C294" s="8" t="s">
        <v>212</v>
      </c>
      <c r="D294" s="10">
        <v>711.38300000000004</v>
      </c>
      <c r="E294" s="10">
        <v>798.726</v>
      </c>
      <c r="F294" s="8">
        <v>0</v>
      </c>
      <c r="G294" s="10"/>
      <c r="H294" s="8">
        <v>1</v>
      </c>
      <c r="I294" s="8" t="s">
        <v>82</v>
      </c>
      <c r="J294" s="8">
        <v>0</v>
      </c>
      <c r="K294" s="10">
        <v>2.6</v>
      </c>
      <c r="L294" s="11">
        <f>IF(AND(ISNUMBER(K294),ISNUMBER(D294)),IF(D294&lt;&gt;0,K294/ABS(D294),""),"")</f>
        <v>3.6548525899550593E-3</v>
      </c>
      <c r="M294" s="8" t="str">
        <f>IF(L294="","FCF yok",IF(L294&lt;0.01,"%1 altı",IF(L294&lt;0.05,"%1–5",IF(L294&lt;0.1,"%5–10",IF(L294&lt;0.25,"%10–25","%25 üstü")))))</f>
        <v>%1 altı</v>
      </c>
      <c r="N294" s="8" t="str">
        <f>IF(OR(C294="NULL",C294="KOŞULLU"),C294,IF(OR(F294=1,H294=1),"KOŞULLU",C294))</f>
        <v>KOŞULLU</v>
      </c>
      <c r="O294" s="8" t="str">
        <f>IF(OR(C294="NULL",C294="KOŞULLU"),C294,IF(H294=1,"KOŞULLU",C294))</f>
        <v>KOŞULLU</v>
      </c>
      <c r="P294" s="8">
        <f>IF(N294&lt;&gt;C294,1,0)</f>
        <v>0</v>
      </c>
      <c r="Q294" s="8">
        <f>IF(O294&lt;&gt;C294,1,0)</f>
        <v>0</v>
      </c>
    </row>
    <row r="295" spans="1:17" x14ac:dyDescent="0.2">
      <c r="A295" s="8" t="s">
        <v>521</v>
      </c>
      <c r="B295" s="8" t="s">
        <v>210</v>
      </c>
      <c r="C295" s="8" t="s">
        <v>212</v>
      </c>
      <c r="D295" s="10">
        <v>183.92699999999999</v>
      </c>
      <c r="E295" s="10">
        <v>319.96300000000002</v>
      </c>
      <c r="F295" s="8">
        <v>0</v>
      </c>
      <c r="G295" s="10"/>
      <c r="H295" s="8">
        <v>1</v>
      </c>
      <c r="I295" s="8" t="s">
        <v>82</v>
      </c>
      <c r="J295" s="8">
        <v>0</v>
      </c>
      <c r="K295" s="10">
        <v>5.6310000000000002</v>
      </c>
      <c r="L295" s="11">
        <f>IF(AND(ISNUMBER(K295),ISNUMBER(D295)),IF(D295&lt;&gt;0,K295/ABS(D295),""),"")</f>
        <v>3.0615407199595494E-2</v>
      </c>
      <c r="M295" s="8" t="str">
        <f>IF(L295="","FCF yok",IF(L295&lt;0.01,"%1 altı",IF(L295&lt;0.05,"%1–5",IF(L295&lt;0.1,"%5–10",IF(L295&lt;0.25,"%10–25","%25 üstü")))))</f>
        <v>%1–5</v>
      </c>
      <c r="N295" s="8" t="str">
        <f>IF(OR(C295="NULL",C295="KOŞULLU"),C295,IF(OR(F295=1,H295=1),"KOŞULLU",C295))</f>
        <v>KOŞULLU</v>
      </c>
      <c r="O295" s="8" t="str">
        <f>IF(OR(C295="NULL",C295="KOŞULLU"),C295,IF(H295=1,"KOŞULLU",C295))</f>
        <v>KOŞULLU</v>
      </c>
      <c r="P295" s="8">
        <f>IF(N295&lt;&gt;C295,1,0)</f>
        <v>0</v>
      </c>
      <c r="Q295" s="8">
        <f>IF(O295&lt;&gt;C295,1,0)</f>
        <v>0</v>
      </c>
    </row>
    <row r="296" spans="1:17" x14ac:dyDescent="0.2">
      <c r="A296" s="8" t="s">
        <v>522</v>
      </c>
      <c r="B296" s="8" t="s">
        <v>203</v>
      </c>
      <c r="C296" s="8" t="s">
        <v>207</v>
      </c>
      <c r="D296" s="10"/>
      <c r="E296" s="10">
        <v>183.98599999999999</v>
      </c>
      <c r="F296" s="8">
        <v>0</v>
      </c>
      <c r="G296" s="10"/>
      <c r="H296" s="8">
        <v>1</v>
      </c>
      <c r="I296" s="8" t="s">
        <v>83</v>
      </c>
      <c r="J296" s="8">
        <v>0</v>
      </c>
      <c r="K296" s="10">
        <v>10.922000000000001</v>
      </c>
      <c r="L296" s="11" t="str">
        <f>IF(AND(ISNUMBER(K296),ISNUMBER(D296)),IF(D296&lt;&gt;0,K296/ABS(D296),""),"")</f>
        <v/>
      </c>
      <c r="M296" s="8" t="str">
        <f>IF(L296="","FCF yok",IF(L296&lt;0.01,"%1 altı",IF(L296&lt;0.05,"%1–5",IF(L296&lt;0.1,"%5–10",IF(L296&lt;0.25,"%10–25","%25 üstü")))))</f>
        <v>FCF yok</v>
      </c>
      <c r="N296" s="8" t="str">
        <f>IF(OR(C296="NULL",C296="KOŞULLU"),C296,IF(OR(F296=1,H296=1),"KOŞULLU",C296))</f>
        <v>NULL</v>
      </c>
      <c r="O296" s="8" t="str">
        <f>IF(OR(C296="NULL",C296="KOŞULLU"),C296,IF(H296=1,"KOŞULLU",C296))</f>
        <v>NULL</v>
      </c>
      <c r="P296" s="8">
        <f>IF(N296&lt;&gt;C296,1,0)</f>
        <v>0</v>
      </c>
      <c r="Q296" s="8">
        <f>IF(O296&lt;&gt;C296,1,0)</f>
        <v>0</v>
      </c>
    </row>
    <row r="297" spans="1:17" x14ac:dyDescent="0.2">
      <c r="A297" s="8" t="s">
        <v>525</v>
      </c>
      <c r="B297" s="8" t="s">
        <v>210</v>
      </c>
      <c r="C297" s="8" t="s">
        <v>204</v>
      </c>
      <c r="D297" s="10">
        <v>-30816.057000000001</v>
      </c>
      <c r="E297" s="10">
        <v>-21170.148000000001</v>
      </c>
      <c r="F297" s="8">
        <v>0</v>
      </c>
      <c r="G297" s="10"/>
      <c r="H297" s="8">
        <v>1</v>
      </c>
      <c r="I297" s="8" t="s">
        <v>82</v>
      </c>
      <c r="J297" s="8">
        <v>0</v>
      </c>
      <c r="K297" s="10">
        <v>10.834</v>
      </c>
      <c r="L297" s="11">
        <f>IF(AND(ISNUMBER(K297),ISNUMBER(D297)),IF(D297&lt;&gt;0,K297/ABS(D297),""),"")</f>
        <v>3.5156996237383647E-4</v>
      </c>
      <c r="M297" s="8" t="str">
        <f>IF(L297="","FCF yok",IF(L297&lt;0.01,"%1 altı",IF(L297&lt;0.05,"%1–5",IF(L297&lt;0.1,"%5–10",IF(L297&lt;0.25,"%10–25","%25 üstü")))))</f>
        <v>%1 altı</v>
      </c>
      <c r="N297" s="8" t="str">
        <f>IF(OR(C297="NULL",C297="KOŞULLU"),C297,IF(OR(F297=1,H297=1),"KOŞULLU",C297))</f>
        <v>KOŞULLU</v>
      </c>
      <c r="O297" s="8" t="str">
        <f>IF(OR(C297="NULL",C297="KOŞULLU"),C297,IF(H297=1,"KOŞULLU",C297))</f>
        <v>KOŞULLU</v>
      </c>
      <c r="P297" s="8">
        <f>IF(N297&lt;&gt;C297,1,0)</f>
        <v>1</v>
      </c>
      <c r="Q297" s="8">
        <f>IF(O297&lt;&gt;C297,1,0)</f>
        <v>1</v>
      </c>
    </row>
    <row r="298" spans="1:17" x14ac:dyDescent="0.2">
      <c r="A298" s="8" t="s">
        <v>526</v>
      </c>
      <c r="B298" s="8" t="s">
        <v>203</v>
      </c>
      <c r="C298" s="8" t="s">
        <v>207</v>
      </c>
      <c r="D298" s="10"/>
      <c r="E298" s="10">
        <v>-1558.49</v>
      </c>
      <c r="F298" s="8">
        <v>0</v>
      </c>
      <c r="G298" s="10"/>
      <c r="H298" s="8">
        <v>1</v>
      </c>
      <c r="I298" s="8" t="s">
        <v>82</v>
      </c>
      <c r="J298" s="8">
        <v>0</v>
      </c>
      <c r="K298" s="10">
        <v>5.4630000000000001</v>
      </c>
      <c r="L298" s="11" t="str">
        <f>IF(AND(ISNUMBER(K298),ISNUMBER(D298)),IF(D298&lt;&gt;0,K298/ABS(D298),""),"")</f>
        <v/>
      </c>
      <c r="M298" s="8" t="str">
        <f>IF(L298="","FCF yok",IF(L298&lt;0.01,"%1 altı",IF(L298&lt;0.05,"%1–5",IF(L298&lt;0.1,"%5–10",IF(L298&lt;0.25,"%10–25","%25 üstü")))))</f>
        <v>FCF yok</v>
      </c>
      <c r="N298" s="8" t="str">
        <f>IF(OR(C298="NULL",C298="KOŞULLU"),C298,IF(OR(F298=1,H298=1),"KOŞULLU",C298))</f>
        <v>NULL</v>
      </c>
      <c r="O298" s="8" t="str">
        <f>IF(OR(C298="NULL",C298="KOŞULLU"),C298,IF(H298=1,"KOŞULLU",C298))</f>
        <v>NULL</v>
      </c>
      <c r="P298" s="8">
        <f>IF(N298&lt;&gt;C298,1,0)</f>
        <v>0</v>
      </c>
      <c r="Q298" s="8">
        <f>IF(O298&lt;&gt;C298,1,0)</f>
        <v>0</v>
      </c>
    </row>
    <row r="299" spans="1:17" x14ac:dyDescent="0.2">
      <c r="A299" s="8" t="s">
        <v>526</v>
      </c>
      <c r="B299" s="8" t="s">
        <v>215</v>
      </c>
      <c r="C299" s="8" t="s">
        <v>207</v>
      </c>
      <c r="D299" s="10"/>
      <c r="E299" s="10">
        <v>8175.3429999999998</v>
      </c>
      <c r="F299" s="8">
        <v>0</v>
      </c>
      <c r="G299" s="10"/>
      <c r="H299" s="8">
        <v>1</v>
      </c>
      <c r="I299" s="8" t="s">
        <v>82</v>
      </c>
      <c r="J299" s="8">
        <v>0</v>
      </c>
      <c r="K299" s="10">
        <v>3.73</v>
      </c>
      <c r="L299" s="11" t="str">
        <f>IF(AND(ISNUMBER(K299),ISNUMBER(D299)),IF(D299&lt;&gt;0,K299/ABS(D299),""),"")</f>
        <v/>
      </c>
      <c r="M299" s="8" t="str">
        <f>IF(L299="","FCF yok",IF(L299&lt;0.01,"%1 altı",IF(L299&lt;0.05,"%1–5",IF(L299&lt;0.1,"%5–10",IF(L299&lt;0.25,"%10–25","%25 üstü")))))</f>
        <v>FCF yok</v>
      </c>
      <c r="N299" s="8" t="str">
        <f>IF(OR(C299="NULL",C299="KOŞULLU"),C299,IF(OR(F299=1,H299=1),"KOŞULLU",C299))</f>
        <v>NULL</v>
      </c>
      <c r="O299" s="8" t="str">
        <f>IF(OR(C299="NULL",C299="KOŞULLU"),C299,IF(H299=1,"KOŞULLU",C299))</f>
        <v>NULL</v>
      </c>
      <c r="P299" s="8">
        <f>IF(N299&lt;&gt;C299,1,0)</f>
        <v>0</v>
      </c>
      <c r="Q299" s="8">
        <f>IF(O299&lt;&gt;C299,1,0)</f>
        <v>0</v>
      </c>
    </row>
    <row r="300" spans="1:17" x14ac:dyDescent="0.2">
      <c r="A300" s="8" t="s">
        <v>527</v>
      </c>
      <c r="B300" s="8" t="s">
        <v>205</v>
      </c>
      <c r="C300" s="8" t="s">
        <v>204</v>
      </c>
      <c r="D300" s="10">
        <v>153.27199999999999</v>
      </c>
      <c r="E300" s="10">
        <v>155.376</v>
      </c>
      <c r="F300" s="8">
        <v>1</v>
      </c>
      <c r="G300" s="8" t="s">
        <v>82</v>
      </c>
      <c r="H300" s="8">
        <v>0</v>
      </c>
      <c r="I300" s="10"/>
      <c r="J300" s="8">
        <v>0</v>
      </c>
      <c r="K300" s="10">
        <v>3.048</v>
      </c>
      <c r="L300" s="11">
        <f>IF(AND(ISNUMBER(K300),ISNUMBER(D300)),IF(D300&lt;&gt;0,K300/ABS(D300),""),"")</f>
        <v>1.98862153557075E-2</v>
      </c>
      <c r="M300" s="8" t="str">
        <f>IF(L300="","FCF yok",IF(L300&lt;0.01,"%1 altı",IF(L300&lt;0.05,"%1–5",IF(L300&lt;0.1,"%5–10",IF(L300&lt;0.25,"%10–25","%25 üstü")))))</f>
        <v>%1–5</v>
      </c>
      <c r="N300" s="8" t="str">
        <f>IF(OR(C300="NULL",C300="KOŞULLU"),C300,IF(OR(F300=1,H300=1),"KOŞULLU",C300))</f>
        <v>KOŞULLU</v>
      </c>
      <c r="O300" s="8" t="str">
        <f>IF(OR(C300="NULL",C300="KOŞULLU"),C300,IF(H300=1,"KOŞULLU",C300))</f>
        <v>KESİN</v>
      </c>
      <c r="P300" s="8">
        <f>IF(N300&lt;&gt;C300,1,0)</f>
        <v>1</v>
      </c>
      <c r="Q300" s="8">
        <f>IF(O300&lt;&gt;C300,1,0)</f>
        <v>0</v>
      </c>
    </row>
    <row r="301" spans="1:17" x14ac:dyDescent="0.2">
      <c r="A301" s="8" t="s">
        <v>527</v>
      </c>
      <c r="B301" s="8" t="s">
        <v>210</v>
      </c>
      <c r="C301" s="8" t="s">
        <v>207</v>
      </c>
      <c r="D301" s="10"/>
      <c r="E301" s="10">
        <v>307.23899999999998</v>
      </c>
      <c r="F301" s="8">
        <v>1</v>
      </c>
      <c r="G301" s="8" t="s">
        <v>82</v>
      </c>
      <c r="H301" s="8">
        <v>0</v>
      </c>
      <c r="I301" s="10"/>
      <c r="J301" s="8">
        <v>0</v>
      </c>
      <c r="K301" s="10">
        <v>3.048</v>
      </c>
      <c r="L301" s="11" t="str">
        <f>IF(AND(ISNUMBER(K301),ISNUMBER(D301)),IF(D301&lt;&gt;0,K301/ABS(D301),""),"")</f>
        <v/>
      </c>
      <c r="M301" s="8" t="str">
        <f>IF(L301="","FCF yok",IF(L301&lt;0.01,"%1 altı",IF(L301&lt;0.05,"%1–5",IF(L301&lt;0.1,"%5–10",IF(L301&lt;0.25,"%10–25","%25 üstü")))))</f>
        <v>FCF yok</v>
      </c>
      <c r="N301" s="8" t="str">
        <f>IF(OR(C301="NULL",C301="KOŞULLU"),C301,IF(OR(F301=1,H301=1),"KOŞULLU",C301))</f>
        <v>NULL</v>
      </c>
      <c r="O301" s="8" t="str">
        <f>IF(OR(C301="NULL",C301="KOŞULLU"),C301,IF(H301=1,"KOŞULLU",C301))</f>
        <v>NULL</v>
      </c>
      <c r="P301" s="8">
        <f>IF(N301&lt;&gt;C301,1,0)</f>
        <v>0</v>
      </c>
      <c r="Q301" s="8">
        <f>IF(O301&lt;&gt;C301,1,0)</f>
        <v>0</v>
      </c>
    </row>
    <row r="302" spans="1:17" x14ac:dyDescent="0.2">
      <c r="A302" s="8" t="s">
        <v>529</v>
      </c>
      <c r="B302" s="8" t="s">
        <v>208</v>
      </c>
      <c r="C302" s="8" t="s">
        <v>209</v>
      </c>
      <c r="D302" s="10">
        <v>-336.25900000000001</v>
      </c>
      <c r="E302" s="10">
        <v>781.529</v>
      </c>
      <c r="F302" s="8">
        <v>1</v>
      </c>
      <c r="G302" s="8" t="s">
        <v>82</v>
      </c>
      <c r="H302" s="8">
        <v>0</v>
      </c>
      <c r="I302" s="10"/>
      <c r="J302" s="8">
        <v>0</v>
      </c>
      <c r="K302" s="10">
        <v>88.804000000000002</v>
      </c>
      <c r="L302" s="11">
        <f>IF(AND(ISNUMBER(K302),ISNUMBER(D302)),IF(D302&lt;&gt;0,K302/ABS(D302),""),"")</f>
        <v>0.2640940465534008</v>
      </c>
      <c r="M302" s="8" t="str">
        <f>IF(L302="","FCF yok",IF(L302&lt;0.01,"%1 altı",IF(L302&lt;0.05,"%1–5",IF(L302&lt;0.1,"%5–10",IF(L302&lt;0.25,"%10–25","%25 üstü")))))</f>
        <v>%25 üstü</v>
      </c>
      <c r="N302" s="8" t="str">
        <f>IF(OR(C302="NULL",C302="KOŞULLU"),C302,IF(OR(F302=1,H302=1),"KOŞULLU",C302))</f>
        <v>KOŞULLU</v>
      </c>
      <c r="O302" s="8" t="str">
        <f>IF(OR(C302="NULL",C302="KOŞULLU"),C302,IF(H302=1,"KOŞULLU",C302))</f>
        <v>TÜRETİLMİŞ</v>
      </c>
      <c r="P302" s="8">
        <f>IF(N302&lt;&gt;C302,1,0)</f>
        <v>1</v>
      </c>
      <c r="Q302" s="8">
        <f>IF(O302&lt;&gt;C302,1,0)</f>
        <v>0</v>
      </c>
    </row>
    <row r="303" spans="1:17" x14ac:dyDescent="0.2">
      <c r="A303" s="8" t="s">
        <v>531</v>
      </c>
      <c r="B303" s="8" t="s">
        <v>205</v>
      </c>
      <c r="C303" s="8" t="s">
        <v>207</v>
      </c>
      <c r="D303" s="10"/>
      <c r="E303" s="10">
        <v>4359.1629999999996</v>
      </c>
      <c r="F303" s="8">
        <v>1</v>
      </c>
      <c r="G303" s="8" t="s">
        <v>84</v>
      </c>
      <c r="H303" s="8">
        <v>0</v>
      </c>
      <c r="I303" s="10"/>
      <c r="J303" s="8">
        <v>0</v>
      </c>
      <c r="K303" s="10">
        <v>2077.0770000000002</v>
      </c>
      <c r="L303" s="11" t="str">
        <f>IF(AND(ISNUMBER(K303),ISNUMBER(D303)),IF(D303&lt;&gt;0,K303/ABS(D303),""),"")</f>
        <v/>
      </c>
      <c r="M303" s="8" t="str">
        <f>IF(L303="","FCF yok",IF(L303&lt;0.01,"%1 altı",IF(L303&lt;0.05,"%1–5",IF(L303&lt;0.1,"%5–10",IF(L303&lt;0.25,"%10–25","%25 üstü")))))</f>
        <v>FCF yok</v>
      </c>
      <c r="N303" s="8" t="str">
        <f>IF(OR(C303="NULL",C303="KOŞULLU"),C303,IF(OR(F303=1,H303=1),"KOŞULLU",C303))</f>
        <v>NULL</v>
      </c>
      <c r="O303" s="8" t="str">
        <f>IF(OR(C303="NULL",C303="KOŞULLU"),C303,IF(H303=1,"KOŞULLU",C303))</f>
        <v>NULL</v>
      </c>
      <c r="P303" s="8">
        <f>IF(N303&lt;&gt;C303,1,0)</f>
        <v>0</v>
      </c>
      <c r="Q303" s="8">
        <f>IF(O303&lt;&gt;C303,1,0)</f>
        <v>0</v>
      </c>
    </row>
    <row r="304" spans="1:17" x14ac:dyDescent="0.2">
      <c r="A304" s="8" t="s">
        <v>531</v>
      </c>
      <c r="B304" s="8" t="s">
        <v>210</v>
      </c>
      <c r="C304" s="8" t="s">
        <v>207</v>
      </c>
      <c r="D304" s="10"/>
      <c r="E304" s="10">
        <v>11333.391</v>
      </c>
      <c r="F304" s="8">
        <v>1</v>
      </c>
      <c r="G304" s="8" t="s">
        <v>84</v>
      </c>
      <c r="H304" s="8">
        <v>0</v>
      </c>
      <c r="I304" s="10"/>
      <c r="J304" s="8">
        <v>0</v>
      </c>
      <c r="K304" s="10">
        <v>2077.0770000000002</v>
      </c>
      <c r="L304" s="11" t="str">
        <f>IF(AND(ISNUMBER(K304),ISNUMBER(D304)),IF(D304&lt;&gt;0,K304/ABS(D304),""),"")</f>
        <v/>
      </c>
      <c r="M304" s="8" t="str">
        <f>IF(L304="","FCF yok",IF(L304&lt;0.01,"%1 altı",IF(L304&lt;0.05,"%1–5",IF(L304&lt;0.1,"%5–10",IF(L304&lt;0.25,"%10–25","%25 üstü")))))</f>
        <v>FCF yok</v>
      </c>
      <c r="N304" s="8" t="str">
        <f>IF(OR(C304="NULL",C304="KOŞULLU"),C304,IF(OR(F304=1,H304=1),"KOŞULLU",C304))</f>
        <v>NULL</v>
      </c>
      <c r="O304" s="8" t="str">
        <f>IF(OR(C304="NULL",C304="KOŞULLU"),C304,IF(H304=1,"KOŞULLU",C304))</f>
        <v>NULL</v>
      </c>
      <c r="P304" s="8">
        <f>IF(N304&lt;&gt;C304,1,0)</f>
        <v>0</v>
      </c>
      <c r="Q304" s="8">
        <f>IF(O304&lt;&gt;C304,1,0)</f>
        <v>0</v>
      </c>
    </row>
    <row r="305" spans="1:17" x14ac:dyDescent="0.2">
      <c r="A305" s="8" t="s">
        <v>642</v>
      </c>
      <c r="B305" s="8" t="s">
        <v>203</v>
      </c>
      <c r="C305" s="8" t="s">
        <v>207</v>
      </c>
      <c r="D305" s="10"/>
      <c r="E305" s="10"/>
      <c r="F305" s="8">
        <v>1</v>
      </c>
      <c r="G305" s="8" t="s">
        <v>82</v>
      </c>
      <c r="H305" s="8">
        <v>0</v>
      </c>
      <c r="I305" s="10"/>
      <c r="J305" s="8">
        <v>0</v>
      </c>
      <c r="K305" s="10">
        <v>37.795000000000002</v>
      </c>
      <c r="L305" s="11" t="str">
        <f>IF(AND(ISNUMBER(K305),ISNUMBER(D305)),IF(D305&lt;&gt;0,K305/ABS(D305),""),"")</f>
        <v/>
      </c>
      <c r="M305" s="8" t="str">
        <f>IF(L305="","FCF yok",IF(L305&lt;0.01,"%1 altı",IF(L305&lt;0.05,"%1–5",IF(L305&lt;0.1,"%5–10",IF(L305&lt;0.25,"%10–25","%25 üstü")))))</f>
        <v>FCF yok</v>
      </c>
      <c r="N305" s="8" t="str">
        <f>IF(OR(C305="NULL",C305="KOŞULLU"),C305,IF(OR(F305=1,H305=1),"KOŞULLU",C305))</f>
        <v>NULL</v>
      </c>
      <c r="O305" s="8" t="str">
        <f>IF(OR(C305="NULL",C305="KOŞULLU"),C305,IF(H305=1,"KOŞULLU",C305))</f>
        <v>NULL</v>
      </c>
      <c r="P305" s="8">
        <f>IF(N305&lt;&gt;C305,1,0)</f>
        <v>0</v>
      </c>
      <c r="Q305" s="8">
        <f>IF(O305&lt;&gt;C305,1,0)</f>
        <v>0</v>
      </c>
    </row>
    <row r="306" spans="1:17" x14ac:dyDescent="0.2">
      <c r="A306" s="8" t="s">
        <v>642</v>
      </c>
      <c r="B306" s="8" t="s">
        <v>205</v>
      </c>
      <c r="C306" s="8" t="s">
        <v>207</v>
      </c>
      <c r="D306" s="10"/>
      <c r="E306" s="10"/>
      <c r="F306" s="8">
        <v>1</v>
      </c>
      <c r="G306" s="8" t="s">
        <v>82</v>
      </c>
      <c r="H306" s="8">
        <v>0</v>
      </c>
      <c r="I306" s="10"/>
      <c r="J306" s="8">
        <v>0</v>
      </c>
      <c r="K306" s="10">
        <v>37.795000000000002</v>
      </c>
      <c r="L306" s="11" t="str">
        <f>IF(AND(ISNUMBER(K306),ISNUMBER(D306)),IF(D306&lt;&gt;0,K306/ABS(D306),""),"")</f>
        <v/>
      </c>
      <c r="M306" s="8" t="str">
        <f>IF(L306="","FCF yok",IF(L306&lt;0.01,"%1 altı",IF(L306&lt;0.05,"%1–5",IF(L306&lt;0.1,"%5–10",IF(L306&lt;0.25,"%10–25","%25 üstü")))))</f>
        <v>FCF yok</v>
      </c>
      <c r="N306" s="8" t="str">
        <f>IF(OR(C306="NULL",C306="KOŞULLU"),C306,IF(OR(F306=1,H306=1),"KOŞULLU",C306))</f>
        <v>NULL</v>
      </c>
      <c r="O306" s="8" t="str">
        <f>IF(OR(C306="NULL",C306="KOŞULLU"),C306,IF(H306=1,"KOŞULLU",C306))</f>
        <v>NULL</v>
      </c>
      <c r="P306" s="8">
        <f>IF(N306&lt;&gt;C306,1,0)</f>
        <v>0</v>
      </c>
      <c r="Q306" s="8">
        <f>IF(O306&lt;&gt;C306,1,0)</f>
        <v>0</v>
      </c>
    </row>
    <row r="307" spans="1:17" x14ac:dyDescent="0.2">
      <c r="A307" s="8" t="s">
        <v>642</v>
      </c>
      <c r="B307" s="8" t="s">
        <v>215</v>
      </c>
      <c r="C307" s="8" t="s">
        <v>207</v>
      </c>
      <c r="D307" s="10"/>
      <c r="E307" s="10"/>
      <c r="F307" s="8">
        <v>1</v>
      </c>
      <c r="G307" s="8" t="s">
        <v>82</v>
      </c>
      <c r="H307" s="8">
        <v>0</v>
      </c>
      <c r="I307" s="10"/>
      <c r="J307" s="8">
        <v>0</v>
      </c>
      <c r="K307" s="10">
        <v>37.795000000000002</v>
      </c>
      <c r="L307" s="11" t="str">
        <f>IF(AND(ISNUMBER(K307),ISNUMBER(D307)),IF(D307&lt;&gt;0,K307/ABS(D307),""),"")</f>
        <v/>
      </c>
      <c r="M307" s="8" t="str">
        <f>IF(L307="","FCF yok",IF(L307&lt;0.01,"%1 altı",IF(L307&lt;0.05,"%1–5",IF(L307&lt;0.1,"%5–10",IF(L307&lt;0.25,"%10–25","%25 üstü")))))</f>
        <v>FCF yok</v>
      </c>
      <c r="N307" s="8" t="str">
        <f>IF(OR(C307="NULL",C307="KOŞULLU"),C307,IF(OR(F307=1,H307=1),"KOŞULLU",C307))</f>
        <v>NULL</v>
      </c>
      <c r="O307" s="8" t="str">
        <f>IF(OR(C307="NULL",C307="KOŞULLU"),C307,IF(H307=1,"KOŞULLU",C307))</f>
        <v>NULL</v>
      </c>
      <c r="P307" s="8">
        <f>IF(N307&lt;&gt;C307,1,0)</f>
        <v>0</v>
      </c>
      <c r="Q307" s="8">
        <f>IF(O307&lt;&gt;C307,1,0)</f>
        <v>0</v>
      </c>
    </row>
    <row r="308" spans="1:17" x14ac:dyDescent="0.2">
      <c r="A308" s="8" t="s">
        <v>533</v>
      </c>
      <c r="B308" s="8" t="s">
        <v>205</v>
      </c>
      <c r="C308" s="8" t="s">
        <v>204</v>
      </c>
      <c r="D308" s="10">
        <v>-1373.7349999999999</v>
      </c>
      <c r="E308" s="10">
        <v>3463.0909999999999</v>
      </c>
      <c r="F308" s="8">
        <v>0</v>
      </c>
      <c r="G308" s="10"/>
      <c r="H308" s="8">
        <v>1</v>
      </c>
      <c r="I308" s="8" t="s">
        <v>82</v>
      </c>
      <c r="J308" s="8">
        <v>0</v>
      </c>
      <c r="K308" s="10">
        <v>78.965000000000003</v>
      </c>
      <c r="L308" s="11">
        <f>IF(AND(ISNUMBER(K308),ISNUMBER(D308)),IF(D308&lt;&gt;0,K308/ABS(D308),""),"")</f>
        <v>5.748197432547035E-2</v>
      </c>
      <c r="M308" s="8" t="str">
        <f>IF(L308="","FCF yok",IF(L308&lt;0.01,"%1 altı",IF(L308&lt;0.05,"%1–5",IF(L308&lt;0.1,"%5–10",IF(L308&lt;0.25,"%10–25","%25 üstü")))))</f>
        <v>%5–10</v>
      </c>
      <c r="N308" s="8" t="str">
        <f>IF(OR(C308="NULL",C308="KOŞULLU"),C308,IF(OR(F308=1,H308=1),"KOŞULLU",C308))</f>
        <v>KOŞULLU</v>
      </c>
      <c r="O308" s="8" t="str">
        <f>IF(OR(C308="NULL",C308="KOŞULLU"),C308,IF(H308=1,"KOŞULLU",C308))</f>
        <v>KOŞULLU</v>
      </c>
      <c r="P308" s="8">
        <f>IF(N308&lt;&gt;C308,1,0)</f>
        <v>1</v>
      </c>
      <c r="Q308" s="8">
        <f>IF(O308&lt;&gt;C308,1,0)</f>
        <v>1</v>
      </c>
    </row>
    <row r="309" spans="1:17" x14ac:dyDescent="0.2">
      <c r="A309" s="8" t="s">
        <v>533</v>
      </c>
      <c r="B309" s="8" t="s">
        <v>215</v>
      </c>
      <c r="C309" s="8" t="s">
        <v>204</v>
      </c>
      <c r="D309" s="10">
        <v>-5124.3370000000004</v>
      </c>
      <c r="E309" s="10">
        <v>-212.360999999999</v>
      </c>
      <c r="F309" s="8">
        <v>0</v>
      </c>
      <c r="G309" s="10"/>
      <c r="H309" s="8">
        <v>1</v>
      </c>
      <c r="I309" s="8" t="s">
        <v>82</v>
      </c>
      <c r="J309" s="8">
        <v>0</v>
      </c>
      <c r="K309" s="10">
        <v>63.104999999999997</v>
      </c>
      <c r="L309" s="11">
        <f>IF(AND(ISNUMBER(K309),ISNUMBER(D309)),IF(D309&lt;&gt;0,K309/ABS(D309),""),"")</f>
        <v>1.2314763841644294E-2</v>
      </c>
      <c r="M309" s="8" t="str">
        <f>IF(L309="","FCF yok",IF(L309&lt;0.01,"%1 altı",IF(L309&lt;0.05,"%1–5",IF(L309&lt;0.1,"%5–10",IF(L309&lt;0.25,"%10–25","%25 üstü")))))</f>
        <v>%1–5</v>
      </c>
      <c r="N309" s="8" t="str">
        <f>IF(OR(C309="NULL",C309="KOŞULLU"),C309,IF(OR(F309=1,H309=1),"KOŞULLU",C309))</f>
        <v>KOŞULLU</v>
      </c>
      <c r="O309" s="8" t="str">
        <f>IF(OR(C309="NULL",C309="KOŞULLU"),C309,IF(H309=1,"KOŞULLU",C309))</f>
        <v>KOŞULLU</v>
      </c>
      <c r="P309" s="8">
        <f>IF(N309&lt;&gt;C309,1,0)</f>
        <v>1</v>
      </c>
      <c r="Q309" s="8">
        <f>IF(O309&lt;&gt;C309,1,0)</f>
        <v>1</v>
      </c>
    </row>
    <row r="310" spans="1:17" x14ac:dyDescent="0.2">
      <c r="A310" s="8" t="s">
        <v>534</v>
      </c>
      <c r="B310" s="8" t="s">
        <v>203</v>
      </c>
      <c r="C310" s="8" t="s">
        <v>209</v>
      </c>
      <c r="D310" s="10">
        <v>-672.57299999999998</v>
      </c>
      <c r="E310" s="10">
        <v>1082.5840000000001</v>
      </c>
      <c r="F310" s="8">
        <v>1</v>
      </c>
      <c r="G310" s="8" t="s">
        <v>82</v>
      </c>
      <c r="H310" s="8">
        <v>0</v>
      </c>
      <c r="I310" s="10"/>
      <c r="J310" s="8">
        <v>1</v>
      </c>
      <c r="K310" s="10">
        <v>32.56</v>
      </c>
      <c r="L310" s="11">
        <f>IF(AND(ISNUMBER(K310),ISNUMBER(D310)),IF(D310&lt;&gt;0,K310/ABS(D310),""),"")</f>
        <v>4.8411101843219999E-2</v>
      </c>
      <c r="M310" s="8" t="str">
        <f>IF(L310="","FCF yok",IF(L310&lt;0.01,"%1 altı",IF(L310&lt;0.05,"%1–5",IF(L310&lt;0.1,"%5–10",IF(L310&lt;0.25,"%10–25","%25 üstü")))))</f>
        <v>%1–5</v>
      </c>
      <c r="N310" s="8" t="str">
        <f>IF(OR(C310="NULL",C310="KOŞULLU"),C310,IF(OR(F310=1,H310=1),"KOŞULLU",C310))</f>
        <v>KOŞULLU</v>
      </c>
      <c r="O310" s="8" t="str">
        <f>IF(OR(C310="NULL",C310="KOŞULLU"),C310,IF(H310=1,"KOŞULLU",C310))</f>
        <v>TÜRETİLMİŞ</v>
      </c>
      <c r="P310" s="8">
        <f>IF(N310&lt;&gt;C310,1,0)</f>
        <v>1</v>
      </c>
      <c r="Q310" s="8">
        <f>IF(O310&lt;&gt;C310,1,0)</f>
        <v>0</v>
      </c>
    </row>
    <row r="311" spans="1:17" x14ac:dyDescent="0.2">
      <c r="A311" s="8" t="s">
        <v>534</v>
      </c>
      <c r="B311" s="8" t="s">
        <v>205</v>
      </c>
      <c r="C311" s="8" t="s">
        <v>204</v>
      </c>
      <c r="D311" s="10">
        <v>-737.25800000000004</v>
      </c>
      <c r="E311" s="10">
        <v>953.78200000000004</v>
      </c>
      <c r="F311" s="8">
        <v>1</v>
      </c>
      <c r="G311" s="8" t="s">
        <v>82</v>
      </c>
      <c r="H311" s="8">
        <v>0</v>
      </c>
      <c r="I311" s="10"/>
      <c r="J311" s="8">
        <v>0</v>
      </c>
      <c r="K311" s="10">
        <v>20.178999999999998</v>
      </c>
      <c r="L311" s="11">
        <f>IF(AND(ISNUMBER(K311),ISNUMBER(D311)),IF(D311&lt;&gt;0,K311/ABS(D311),""),"")</f>
        <v>2.7370337114008932E-2</v>
      </c>
      <c r="M311" s="8" t="str">
        <f>IF(L311="","FCF yok",IF(L311&lt;0.01,"%1 altı",IF(L311&lt;0.05,"%1–5",IF(L311&lt;0.1,"%5–10",IF(L311&lt;0.25,"%10–25","%25 üstü")))))</f>
        <v>%1–5</v>
      </c>
      <c r="N311" s="8" t="str">
        <f>IF(OR(C311="NULL",C311="KOŞULLU"),C311,IF(OR(F311=1,H311=1),"KOŞULLU",C311))</f>
        <v>KOŞULLU</v>
      </c>
      <c r="O311" s="8" t="str">
        <f>IF(OR(C311="NULL",C311="KOŞULLU"),C311,IF(H311=1,"KOŞULLU",C311))</f>
        <v>KESİN</v>
      </c>
      <c r="P311" s="8">
        <f>IF(N311&lt;&gt;C311,1,0)</f>
        <v>1</v>
      </c>
      <c r="Q311" s="8">
        <f>IF(O311&lt;&gt;C311,1,0)</f>
        <v>0</v>
      </c>
    </row>
    <row r="312" spans="1:17" x14ac:dyDescent="0.2">
      <c r="A312" s="8" t="s">
        <v>534</v>
      </c>
      <c r="B312" s="8" t="s">
        <v>215</v>
      </c>
      <c r="C312" s="8" t="s">
        <v>204</v>
      </c>
      <c r="D312" s="10">
        <v>-343.63900000000001</v>
      </c>
      <c r="E312" s="10">
        <v>1652.5360000000001</v>
      </c>
      <c r="F312" s="8">
        <v>1</v>
      </c>
      <c r="G312" s="8" t="s">
        <v>82</v>
      </c>
      <c r="H312" s="8">
        <v>0</v>
      </c>
      <c r="I312" s="10"/>
      <c r="J312" s="8">
        <v>0</v>
      </c>
      <c r="K312" s="10">
        <v>20.178999999999998</v>
      </c>
      <c r="L312" s="11">
        <f>IF(AND(ISNUMBER(K312),ISNUMBER(D312)),IF(D312&lt;&gt;0,K312/ABS(D312),""),"")</f>
        <v>5.8721507163040275E-2</v>
      </c>
      <c r="M312" s="8" t="str">
        <f>IF(L312="","FCF yok",IF(L312&lt;0.01,"%1 altı",IF(L312&lt;0.05,"%1–5",IF(L312&lt;0.1,"%5–10",IF(L312&lt;0.25,"%10–25","%25 üstü")))))</f>
        <v>%5–10</v>
      </c>
      <c r="N312" s="8" t="str">
        <f>IF(OR(C312="NULL",C312="KOŞULLU"),C312,IF(OR(F312=1,H312=1),"KOŞULLU",C312))</f>
        <v>KOŞULLU</v>
      </c>
      <c r="O312" s="8" t="str">
        <f>IF(OR(C312="NULL",C312="KOŞULLU"),C312,IF(H312=1,"KOŞULLU",C312))</f>
        <v>KESİN</v>
      </c>
      <c r="P312" s="8">
        <f>IF(N312&lt;&gt;C312,1,0)</f>
        <v>1</v>
      </c>
      <c r="Q312" s="8">
        <f>IF(O312&lt;&gt;C312,1,0)</f>
        <v>0</v>
      </c>
    </row>
    <row r="313" spans="1:17" x14ac:dyDescent="0.2">
      <c r="A313" s="8" t="s">
        <v>534</v>
      </c>
      <c r="B313" s="8" t="s">
        <v>290</v>
      </c>
      <c r="C313" s="8" t="s">
        <v>204</v>
      </c>
      <c r="D313" s="10">
        <v>248.83</v>
      </c>
      <c r="E313" s="10">
        <v>1985.2</v>
      </c>
      <c r="F313" s="8">
        <v>1</v>
      </c>
      <c r="G313" s="8" t="s">
        <v>82</v>
      </c>
      <c r="H313" s="8">
        <v>0</v>
      </c>
      <c r="I313" s="10"/>
      <c r="J313" s="8">
        <v>0</v>
      </c>
      <c r="K313" s="10">
        <v>95.224999999999994</v>
      </c>
      <c r="L313" s="11">
        <f>IF(AND(ISNUMBER(K313),ISNUMBER(D313)),IF(D313&lt;&gt;0,K313/ABS(D313),""),"")</f>
        <v>0.38269099385122368</v>
      </c>
      <c r="M313" s="8" t="str">
        <f>IF(L313="","FCF yok",IF(L313&lt;0.01,"%1 altı",IF(L313&lt;0.05,"%1–5",IF(L313&lt;0.1,"%5–10",IF(L313&lt;0.25,"%10–25","%25 üstü")))))</f>
        <v>%25 üstü</v>
      </c>
      <c r="N313" s="8" t="str">
        <f>IF(OR(C313="NULL",C313="KOŞULLU"),C313,IF(OR(F313=1,H313=1),"KOŞULLU",C313))</f>
        <v>KOŞULLU</v>
      </c>
      <c r="O313" s="8" t="str">
        <f>IF(OR(C313="NULL",C313="KOŞULLU"),C313,IF(H313=1,"KOŞULLU",C313))</f>
        <v>KESİN</v>
      </c>
      <c r="P313" s="8">
        <f>IF(N313&lt;&gt;C313,1,0)</f>
        <v>1</v>
      </c>
      <c r="Q313" s="8">
        <f>IF(O313&lt;&gt;C313,1,0)</f>
        <v>0</v>
      </c>
    </row>
    <row r="314" spans="1:17" x14ac:dyDescent="0.2">
      <c r="A314" s="8" t="s">
        <v>534</v>
      </c>
      <c r="B314" s="8" t="s">
        <v>208</v>
      </c>
      <c r="C314" s="8" t="s">
        <v>204</v>
      </c>
      <c r="D314" s="10">
        <v>48.505000000000102</v>
      </c>
      <c r="E314" s="10">
        <v>1977.665</v>
      </c>
      <c r="F314" s="8">
        <v>1</v>
      </c>
      <c r="G314" s="8" t="s">
        <v>82</v>
      </c>
      <c r="H314" s="8">
        <v>0</v>
      </c>
      <c r="I314" s="10"/>
      <c r="J314" s="8">
        <v>0</v>
      </c>
      <c r="K314" s="10">
        <v>95.224999999999994</v>
      </c>
      <c r="L314" s="11">
        <f>IF(AND(ISNUMBER(K314),ISNUMBER(D314)),IF(D314&lt;&gt;0,K314/ABS(D314),""),"")</f>
        <v>1.9631996701370951</v>
      </c>
      <c r="M314" s="8" t="str">
        <f>IF(L314="","FCF yok",IF(L314&lt;0.01,"%1 altı",IF(L314&lt;0.05,"%1–5",IF(L314&lt;0.1,"%5–10",IF(L314&lt;0.25,"%10–25","%25 üstü")))))</f>
        <v>%25 üstü</v>
      </c>
      <c r="N314" s="8" t="str">
        <f>IF(OR(C314="NULL",C314="KOŞULLU"),C314,IF(OR(F314=1,H314=1),"KOŞULLU",C314))</f>
        <v>KOŞULLU</v>
      </c>
      <c r="O314" s="8" t="str">
        <f>IF(OR(C314="NULL",C314="KOŞULLU"),C314,IF(H314=1,"KOŞULLU",C314))</f>
        <v>KESİN</v>
      </c>
      <c r="P314" s="8">
        <f>IF(N314&lt;&gt;C314,1,0)</f>
        <v>1</v>
      </c>
      <c r="Q314" s="8">
        <f>IF(O314&lt;&gt;C314,1,0)</f>
        <v>0</v>
      </c>
    </row>
    <row r="315" spans="1:17" x14ac:dyDescent="0.2">
      <c r="A315" s="8" t="s">
        <v>534</v>
      </c>
      <c r="B315" s="8" t="s">
        <v>210</v>
      </c>
      <c r="C315" s="8" t="s">
        <v>204</v>
      </c>
      <c r="D315" s="10">
        <v>675.00900000000001</v>
      </c>
      <c r="E315" s="10">
        <v>2323.6559999999999</v>
      </c>
      <c r="F315" s="8">
        <v>1</v>
      </c>
      <c r="G315" s="8" t="s">
        <v>82</v>
      </c>
      <c r="H315" s="8">
        <v>0</v>
      </c>
      <c r="I315" s="10"/>
      <c r="J315" s="8">
        <v>0</v>
      </c>
      <c r="K315" s="10">
        <v>95.224999999999994</v>
      </c>
      <c r="L315" s="11">
        <f>IF(AND(ISNUMBER(K315),ISNUMBER(D315)),IF(D315&lt;&gt;0,K315/ABS(D315),""),"")</f>
        <v>0.14107219311149924</v>
      </c>
      <c r="M315" s="8" t="str">
        <f>IF(L315="","FCF yok",IF(L315&lt;0.01,"%1 altı",IF(L315&lt;0.05,"%1–5",IF(L315&lt;0.1,"%5–10",IF(L315&lt;0.25,"%10–25","%25 üstü")))))</f>
        <v>%10–25</v>
      </c>
      <c r="N315" s="8" t="str">
        <f>IF(OR(C315="NULL",C315="KOŞULLU"),C315,IF(OR(F315=1,H315=1),"KOŞULLU",C315))</f>
        <v>KOŞULLU</v>
      </c>
      <c r="O315" s="8" t="str">
        <f>IF(OR(C315="NULL",C315="KOŞULLU"),C315,IF(H315=1,"KOŞULLU",C315))</f>
        <v>KESİN</v>
      </c>
      <c r="P315" s="8">
        <f>IF(N315&lt;&gt;C315,1,0)</f>
        <v>1</v>
      </c>
      <c r="Q315" s="8">
        <f>IF(O315&lt;&gt;C315,1,0)</f>
        <v>0</v>
      </c>
    </row>
    <row r="316" spans="1:17" x14ac:dyDescent="0.2">
      <c r="A316" s="8" t="s">
        <v>539</v>
      </c>
      <c r="B316" s="8" t="s">
        <v>208</v>
      </c>
      <c r="C316" s="8" t="s">
        <v>207</v>
      </c>
      <c r="D316" s="10"/>
      <c r="E316" s="10">
        <v>-225.102</v>
      </c>
      <c r="F316" s="8">
        <v>0</v>
      </c>
      <c r="G316" s="10"/>
      <c r="H316" s="8">
        <v>1</v>
      </c>
      <c r="I316" s="8" t="s">
        <v>84</v>
      </c>
      <c r="J316" s="8">
        <v>0</v>
      </c>
      <c r="K316" s="10">
        <v>6.4850000000000003</v>
      </c>
      <c r="L316" s="11" t="str">
        <f>IF(AND(ISNUMBER(K316),ISNUMBER(D316)),IF(D316&lt;&gt;0,K316/ABS(D316),""),"")</f>
        <v/>
      </c>
      <c r="M316" s="8" t="str">
        <f>IF(L316="","FCF yok",IF(L316&lt;0.01,"%1 altı",IF(L316&lt;0.05,"%1–5",IF(L316&lt;0.1,"%5–10",IF(L316&lt;0.25,"%10–25","%25 üstü")))))</f>
        <v>FCF yok</v>
      </c>
      <c r="N316" s="8" t="str">
        <f>IF(OR(C316="NULL",C316="KOŞULLU"),C316,IF(OR(F316=1,H316=1),"KOŞULLU",C316))</f>
        <v>NULL</v>
      </c>
      <c r="O316" s="8" t="str">
        <f>IF(OR(C316="NULL",C316="KOŞULLU"),C316,IF(H316=1,"KOŞULLU",C316))</f>
        <v>NULL</v>
      </c>
      <c r="P316" s="8">
        <f>IF(N316&lt;&gt;C316,1,0)</f>
        <v>0</v>
      </c>
      <c r="Q316" s="8">
        <f>IF(O316&lt;&gt;C316,1,0)</f>
        <v>0</v>
      </c>
    </row>
    <row r="317" spans="1:17" x14ac:dyDescent="0.2">
      <c r="A317" s="8" t="s">
        <v>539</v>
      </c>
      <c r="B317" s="8" t="s">
        <v>210</v>
      </c>
      <c r="C317" s="8" t="s">
        <v>207</v>
      </c>
      <c r="D317" s="10"/>
      <c r="E317" s="10">
        <v>-525.11099999999999</v>
      </c>
      <c r="F317" s="8">
        <v>0</v>
      </c>
      <c r="G317" s="10"/>
      <c r="H317" s="8">
        <v>1</v>
      </c>
      <c r="I317" s="8" t="s">
        <v>84</v>
      </c>
      <c r="J317" s="8">
        <v>0</v>
      </c>
      <c r="K317" s="10">
        <v>8.4139999999999997</v>
      </c>
      <c r="L317" s="11" t="str">
        <f>IF(AND(ISNUMBER(K317),ISNUMBER(D317)),IF(D317&lt;&gt;0,K317/ABS(D317),""),"")</f>
        <v/>
      </c>
      <c r="M317" s="8" t="str">
        <f>IF(L317="","FCF yok",IF(L317&lt;0.01,"%1 altı",IF(L317&lt;0.05,"%1–5",IF(L317&lt;0.1,"%5–10",IF(L317&lt;0.25,"%10–25","%25 üstü")))))</f>
        <v>FCF yok</v>
      </c>
      <c r="N317" s="8" t="str">
        <f>IF(OR(C317="NULL",C317="KOŞULLU"),C317,IF(OR(F317=1,H317=1),"KOŞULLU",C317))</f>
        <v>NULL</v>
      </c>
      <c r="O317" s="8" t="str">
        <f>IF(OR(C317="NULL",C317="KOŞULLU"),C317,IF(H317=1,"KOŞULLU",C317))</f>
        <v>NULL</v>
      </c>
      <c r="P317" s="8">
        <f>IF(N317&lt;&gt;C317,1,0)</f>
        <v>0</v>
      </c>
      <c r="Q317" s="8">
        <f>IF(O317&lt;&gt;C317,1,0)</f>
        <v>0</v>
      </c>
    </row>
    <row r="318" spans="1:17" x14ac:dyDescent="0.2">
      <c r="A318" s="8" t="s">
        <v>540</v>
      </c>
      <c r="B318" s="8" t="s">
        <v>203</v>
      </c>
      <c r="C318" s="8" t="s">
        <v>204</v>
      </c>
      <c r="D318" s="10">
        <v>-217.304</v>
      </c>
      <c r="E318" s="10">
        <v>-159.99199999999999</v>
      </c>
      <c r="F318" s="8">
        <v>0</v>
      </c>
      <c r="G318" s="10"/>
      <c r="H318" s="8">
        <v>1</v>
      </c>
      <c r="I318" s="8" t="s">
        <v>82</v>
      </c>
      <c r="J318" s="8">
        <v>0</v>
      </c>
      <c r="K318" s="10">
        <v>25.376999999999999</v>
      </c>
      <c r="L318" s="11">
        <f>IF(AND(ISNUMBER(K318),ISNUMBER(D318)),IF(D318&lt;&gt;0,K318/ABS(D318),""),"")</f>
        <v>0.11678109928947465</v>
      </c>
      <c r="M318" s="8" t="str">
        <f>IF(L318="","FCF yok",IF(L318&lt;0.01,"%1 altı",IF(L318&lt;0.05,"%1–5",IF(L318&lt;0.1,"%5–10",IF(L318&lt;0.25,"%10–25","%25 üstü")))))</f>
        <v>%10–25</v>
      </c>
      <c r="N318" s="8" t="str">
        <f>IF(OR(C318="NULL",C318="KOŞULLU"),C318,IF(OR(F318=1,H318=1),"KOŞULLU",C318))</f>
        <v>KOŞULLU</v>
      </c>
      <c r="O318" s="8" t="str">
        <f>IF(OR(C318="NULL",C318="KOŞULLU"),C318,IF(H318=1,"KOŞULLU",C318))</f>
        <v>KOŞULLU</v>
      </c>
      <c r="P318" s="8">
        <f>IF(N318&lt;&gt;C318,1,0)</f>
        <v>1</v>
      </c>
      <c r="Q318" s="8">
        <f>IF(O318&lt;&gt;C318,1,0)</f>
        <v>1</v>
      </c>
    </row>
    <row r="319" spans="1:17" x14ac:dyDescent="0.2">
      <c r="A319" s="8" t="s">
        <v>540</v>
      </c>
      <c r="B319" s="8" t="s">
        <v>205</v>
      </c>
      <c r="C319" s="8" t="s">
        <v>204</v>
      </c>
      <c r="D319" s="10">
        <v>-754.81399999999996</v>
      </c>
      <c r="E319" s="10">
        <v>-650.56700000000001</v>
      </c>
      <c r="F319" s="8">
        <v>0</v>
      </c>
      <c r="G319" s="10"/>
      <c r="H319" s="8">
        <v>1</v>
      </c>
      <c r="I319" s="8" t="s">
        <v>82</v>
      </c>
      <c r="J319" s="8">
        <v>0</v>
      </c>
      <c r="K319" s="10">
        <v>25.376999999999999</v>
      </c>
      <c r="L319" s="11">
        <f>IF(AND(ISNUMBER(K319),ISNUMBER(D319)),IF(D319&lt;&gt;0,K319/ABS(D319),""),"")</f>
        <v>3.3620203122888555E-2</v>
      </c>
      <c r="M319" s="8" t="str">
        <f>IF(L319="","FCF yok",IF(L319&lt;0.01,"%1 altı",IF(L319&lt;0.05,"%1–5",IF(L319&lt;0.1,"%5–10",IF(L319&lt;0.25,"%10–25","%25 üstü")))))</f>
        <v>%1–5</v>
      </c>
      <c r="N319" s="8" t="str">
        <f>IF(OR(C319="NULL",C319="KOŞULLU"),C319,IF(OR(F319=1,H319=1),"KOŞULLU",C319))</f>
        <v>KOŞULLU</v>
      </c>
      <c r="O319" s="8" t="str">
        <f>IF(OR(C319="NULL",C319="KOŞULLU"),C319,IF(H319=1,"KOŞULLU",C319))</f>
        <v>KOŞULLU</v>
      </c>
      <c r="P319" s="8">
        <f>IF(N319&lt;&gt;C319,1,0)</f>
        <v>1</v>
      </c>
      <c r="Q319" s="8">
        <f>IF(O319&lt;&gt;C319,1,0)</f>
        <v>1</v>
      </c>
    </row>
    <row r="320" spans="1:17" x14ac:dyDescent="0.2">
      <c r="A320" s="8" t="s">
        <v>540</v>
      </c>
      <c r="B320" s="8" t="s">
        <v>215</v>
      </c>
      <c r="C320" s="8" t="s">
        <v>204</v>
      </c>
      <c r="D320" s="10">
        <v>99.658000000000001</v>
      </c>
      <c r="E320" s="10">
        <v>240.77099999999999</v>
      </c>
      <c r="F320" s="8">
        <v>0</v>
      </c>
      <c r="G320" s="10"/>
      <c r="H320" s="8">
        <v>1</v>
      </c>
      <c r="I320" s="8" t="s">
        <v>82</v>
      </c>
      <c r="J320" s="8">
        <v>0</v>
      </c>
      <c r="K320" s="10">
        <v>11.782999999999999</v>
      </c>
      <c r="L320" s="11">
        <f>IF(AND(ISNUMBER(K320),ISNUMBER(D320)),IF(D320&lt;&gt;0,K320/ABS(D320),""),"")</f>
        <v>0.11823436151638603</v>
      </c>
      <c r="M320" s="8" t="str">
        <f>IF(L320="","FCF yok",IF(L320&lt;0.01,"%1 altı",IF(L320&lt;0.05,"%1–5",IF(L320&lt;0.1,"%5–10",IF(L320&lt;0.25,"%10–25","%25 üstü")))))</f>
        <v>%10–25</v>
      </c>
      <c r="N320" s="8" t="str">
        <f>IF(OR(C320="NULL",C320="KOŞULLU"),C320,IF(OR(F320=1,H320=1),"KOŞULLU",C320))</f>
        <v>KOŞULLU</v>
      </c>
      <c r="O320" s="8" t="str">
        <f>IF(OR(C320="NULL",C320="KOŞULLU"),C320,IF(H320=1,"KOŞULLU",C320))</f>
        <v>KOŞULLU</v>
      </c>
      <c r="P320" s="8">
        <f>IF(N320&lt;&gt;C320,1,0)</f>
        <v>1</v>
      </c>
      <c r="Q320" s="8">
        <f>IF(O320&lt;&gt;C320,1,0)</f>
        <v>1</v>
      </c>
    </row>
    <row r="321" spans="1:17" x14ac:dyDescent="0.2">
      <c r="A321" s="8" t="s">
        <v>541</v>
      </c>
      <c r="B321" s="8" t="s">
        <v>203</v>
      </c>
      <c r="C321" s="8" t="s">
        <v>212</v>
      </c>
      <c r="D321" s="10">
        <v>183.99799999999999</v>
      </c>
      <c r="E321" s="10">
        <v>204.839</v>
      </c>
      <c r="F321" s="8">
        <v>1</v>
      </c>
      <c r="G321" s="8" t="s">
        <v>82</v>
      </c>
      <c r="H321" s="8">
        <v>0</v>
      </c>
      <c r="I321" s="10"/>
      <c r="J321" s="8">
        <v>0</v>
      </c>
      <c r="K321" s="10">
        <v>2.4529999999999998</v>
      </c>
      <c r="L321" s="11">
        <f>IF(AND(ISNUMBER(K321),ISNUMBER(D321)),IF(D321&lt;&gt;0,K321/ABS(D321),""),"")</f>
        <v>1.3331666648550528E-2</v>
      </c>
      <c r="M321" s="8" t="str">
        <f>IF(L321="","FCF yok",IF(L321&lt;0.01,"%1 altı",IF(L321&lt;0.05,"%1–5",IF(L321&lt;0.1,"%5–10",IF(L321&lt;0.25,"%10–25","%25 üstü")))))</f>
        <v>%1–5</v>
      </c>
      <c r="N321" s="8" t="str">
        <f>IF(OR(C321="NULL",C321="KOŞULLU"),C321,IF(OR(F321=1,H321=1),"KOŞULLU",C321))</f>
        <v>KOŞULLU</v>
      </c>
      <c r="O321" s="8" t="str">
        <f>IF(OR(C321="NULL",C321="KOŞULLU"),C321,IF(H321=1,"KOŞULLU",C321))</f>
        <v>KOŞULLU</v>
      </c>
      <c r="P321" s="8">
        <f>IF(N321&lt;&gt;C321,1,0)</f>
        <v>0</v>
      </c>
      <c r="Q321" s="8">
        <f>IF(O321&lt;&gt;C321,1,0)</f>
        <v>0</v>
      </c>
    </row>
    <row r="322" spans="1:17" x14ac:dyDescent="0.2">
      <c r="A322" s="8" t="s">
        <v>541</v>
      </c>
      <c r="B322" s="8" t="s">
        <v>208</v>
      </c>
      <c r="C322" s="8" t="s">
        <v>204</v>
      </c>
      <c r="D322" s="10">
        <v>-1282.404</v>
      </c>
      <c r="E322" s="10">
        <v>-1241.462</v>
      </c>
      <c r="F322" s="8">
        <v>1</v>
      </c>
      <c r="G322" s="8" t="s">
        <v>82</v>
      </c>
      <c r="H322" s="8">
        <v>0</v>
      </c>
      <c r="I322" s="10"/>
      <c r="J322" s="8">
        <v>1</v>
      </c>
      <c r="K322" s="10">
        <v>2.4529999999999998</v>
      </c>
      <c r="L322" s="11">
        <f>IF(AND(ISNUMBER(K322),ISNUMBER(D322)),IF(D322&lt;&gt;0,K322/ABS(D322),""),"")</f>
        <v>1.9128137466820126E-3</v>
      </c>
      <c r="M322" s="8" t="str">
        <f>IF(L322="","FCF yok",IF(L322&lt;0.01,"%1 altı",IF(L322&lt;0.05,"%1–5",IF(L322&lt;0.1,"%5–10",IF(L322&lt;0.25,"%10–25","%25 üstü")))))</f>
        <v>%1 altı</v>
      </c>
      <c r="N322" s="8" t="str">
        <f>IF(OR(C322="NULL",C322="KOŞULLU"),C322,IF(OR(F322=1,H322=1),"KOŞULLU",C322))</f>
        <v>KOŞULLU</v>
      </c>
      <c r="O322" s="8" t="str">
        <f>IF(OR(C322="NULL",C322="KOŞULLU"),C322,IF(H322=1,"KOŞULLU",C322))</f>
        <v>KESİN</v>
      </c>
      <c r="P322" s="8">
        <f>IF(N322&lt;&gt;C322,1,0)</f>
        <v>1</v>
      </c>
      <c r="Q322" s="8">
        <f>IF(O322&lt;&gt;C322,1,0)</f>
        <v>0</v>
      </c>
    </row>
    <row r="323" spans="1:17" x14ac:dyDescent="0.2">
      <c r="A323" s="8" t="s">
        <v>542</v>
      </c>
      <c r="B323" s="8" t="s">
        <v>205</v>
      </c>
      <c r="C323" s="8" t="s">
        <v>204</v>
      </c>
      <c r="D323" s="10">
        <v>-1345.2850000000001</v>
      </c>
      <c r="E323" s="10">
        <v>-845.49</v>
      </c>
      <c r="F323" s="8">
        <v>1</v>
      </c>
      <c r="G323" s="8" t="s">
        <v>82</v>
      </c>
      <c r="H323" s="8">
        <v>0</v>
      </c>
      <c r="I323" s="10"/>
      <c r="J323" s="8">
        <v>0</v>
      </c>
      <c r="K323" s="10">
        <v>39.039000000000001</v>
      </c>
      <c r="L323" s="11">
        <f>IF(AND(ISNUMBER(K323),ISNUMBER(D323)),IF(D323&lt;&gt;0,K323/ABS(D323),""),"")</f>
        <v>2.9019129775475085E-2</v>
      </c>
      <c r="M323" s="8" t="str">
        <f>IF(L323="","FCF yok",IF(L323&lt;0.01,"%1 altı",IF(L323&lt;0.05,"%1–5",IF(L323&lt;0.1,"%5–10",IF(L323&lt;0.25,"%10–25","%25 üstü")))))</f>
        <v>%1–5</v>
      </c>
      <c r="N323" s="8" t="str">
        <f>IF(OR(C323="NULL",C323="KOŞULLU"),C323,IF(OR(F323=1,H323=1),"KOŞULLU",C323))</f>
        <v>KOŞULLU</v>
      </c>
      <c r="O323" s="8" t="str">
        <f>IF(OR(C323="NULL",C323="KOŞULLU"),C323,IF(H323=1,"KOŞULLU",C323))</f>
        <v>KESİN</v>
      </c>
      <c r="P323" s="8">
        <f>IF(N323&lt;&gt;C323,1,0)</f>
        <v>1</v>
      </c>
      <c r="Q323" s="8">
        <f>IF(O323&lt;&gt;C323,1,0)</f>
        <v>0</v>
      </c>
    </row>
    <row r="324" spans="1:17" x14ac:dyDescent="0.2">
      <c r="A324" s="8" t="s">
        <v>542</v>
      </c>
      <c r="B324" s="8" t="s">
        <v>215</v>
      </c>
      <c r="C324" s="8" t="s">
        <v>204</v>
      </c>
      <c r="D324" s="10">
        <v>-1184.326</v>
      </c>
      <c r="E324" s="10">
        <v>-625.85299999999995</v>
      </c>
      <c r="F324" s="8">
        <v>1</v>
      </c>
      <c r="G324" s="8" t="s">
        <v>82</v>
      </c>
      <c r="H324" s="8">
        <v>0</v>
      </c>
      <c r="I324" s="10"/>
      <c r="J324" s="8">
        <v>0</v>
      </c>
      <c r="K324" s="10">
        <v>17.402000000000001</v>
      </c>
      <c r="L324" s="11">
        <f>IF(AND(ISNUMBER(K324),ISNUMBER(D324)),IF(D324&lt;&gt;0,K324/ABS(D324),""),"")</f>
        <v>1.4693589433990304E-2</v>
      </c>
      <c r="M324" s="8" t="str">
        <f>IF(L324="","FCF yok",IF(L324&lt;0.01,"%1 altı",IF(L324&lt;0.05,"%1–5",IF(L324&lt;0.1,"%5–10",IF(L324&lt;0.25,"%10–25","%25 üstü")))))</f>
        <v>%1–5</v>
      </c>
      <c r="N324" s="8" t="str">
        <f>IF(OR(C324="NULL",C324="KOŞULLU"),C324,IF(OR(F324=1,H324=1),"KOŞULLU",C324))</f>
        <v>KOŞULLU</v>
      </c>
      <c r="O324" s="8" t="str">
        <f>IF(OR(C324="NULL",C324="KOŞULLU"),C324,IF(H324=1,"KOŞULLU",C324))</f>
        <v>KESİN</v>
      </c>
      <c r="P324" s="8">
        <f>IF(N324&lt;&gt;C324,1,0)</f>
        <v>1</v>
      </c>
      <c r="Q324" s="8">
        <f>IF(O324&lt;&gt;C324,1,0)</f>
        <v>0</v>
      </c>
    </row>
    <row r="325" spans="1:17" x14ac:dyDescent="0.2">
      <c r="A325" s="8" t="s">
        <v>542</v>
      </c>
      <c r="B325" s="8" t="s">
        <v>208</v>
      </c>
      <c r="C325" s="8" t="s">
        <v>204</v>
      </c>
      <c r="D325" s="10">
        <v>-1949.7650000000001</v>
      </c>
      <c r="E325" s="10">
        <v>-592.78300000000002</v>
      </c>
      <c r="F325" s="8">
        <v>0</v>
      </c>
      <c r="G325" s="10"/>
      <c r="H325" s="8">
        <v>1</v>
      </c>
      <c r="I325" s="8" t="s">
        <v>82</v>
      </c>
      <c r="J325" s="8">
        <v>0</v>
      </c>
      <c r="K325" s="10">
        <v>5.2389999999999999</v>
      </c>
      <c r="L325" s="11">
        <f>IF(AND(ISNUMBER(K325),ISNUMBER(D325)),IF(D325&lt;&gt;0,K325/ABS(D325),""),"")</f>
        <v>2.6869904834685202E-3</v>
      </c>
      <c r="M325" s="8" t="str">
        <f>IF(L325="","FCF yok",IF(L325&lt;0.01,"%1 altı",IF(L325&lt;0.05,"%1–5",IF(L325&lt;0.1,"%5–10",IF(L325&lt;0.25,"%10–25","%25 üstü")))))</f>
        <v>%1 altı</v>
      </c>
      <c r="N325" s="8" t="str">
        <f>IF(OR(C325="NULL",C325="KOŞULLU"),C325,IF(OR(F325=1,H325=1),"KOŞULLU",C325))</f>
        <v>KOŞULLU</v>
      </c>
      <c r="O325" s="8" t="str">
        <f>IF(OR(C325="NULL",C325="KOŞULLU"),C325,IF(H325=1,"KOŞULLU",C325))</f>
        <v>KOŞULLU</v>
      </c>
      <c r="P325" s="8">
        <f>IF(N325&lt;&gt;C325,1,0)</f>
        <v>1</v>
      </c>
      <c r="Q325" s="8">
        <f>IF(O325&lt;&gt;C325,1,0)</f>
        <v>1</v>
      </c>
    </row>
    <row r="326" spans="1:17" x14ac:dyDescent="0.2">
      <c r="A326" s="8" t="s">
        <v>542</v>
      </c>
      <c r="B326" s="8" t="s">
        <v>210</v>
      </c>
      <c r="C326" s="8" t="s">
        <v>204</v>
      </c>
      <c r="D326" s="10">
        <v>-2456.8209999999999</v>
      </c>
      <c r="E326" s="10">
        <v>-1056.501</v>
      </c>
      <c r="F326" s="8">
        <v>1</v>
      </c>
      <c r="G326" s="8" t="s">
        <v>82</v>
      </c>
      <c r="H326" s="8">
        <v>0</v>
      </c>
      <c r="I326" s="10"/>
      <c r="J326" s="8">
        <v>1</v>
      </c>
      <c r="K326" s="10">
        <v>39.039000000000001</v>
      </c>
      <c r="L326" s="11">
        <f>IF(AND(ISNUMBER(K326),ISNUMBER(D326)),IF(D326&lt;&gt;0,K326/ABS(D326),""),"")</f>
        <v>1.5890046527606203E-2</v>
      </c>
      <c r="M326" s="8" t="str">
        <f>IF(L326="","FCF yok",IF(L326&lt;0.01,"%1 altı",IF(L326&lt;0.05,"%1–5",IF(L326&lt;0.1,"%5–10",IF(L326&lt;0.25,"%10–25","%25 üstü")))))</f>
        <v>%1–5</v>
      </c>
      <c r="N326" s="8" t="str">
        <f>IF(OR(C326="NULL",C326="KOŞULLU"),C326,IF(OR(F326=1,H326=1),"KOŞULLU",C326))</f>
        <v>KOŞULLU</v>
      </c>
      <c r="O326" s="8" t="str">
        <f>IF(OR(C326="NULL",C326="KOŞULLU"),C326,IF(H326=1,"KOŞULLU",C326))</f>
        <v>KESİN</v>
      </c>
      <c r="P326" s="8">
        <f>IF(N326&lt;&gt;C326,1,0)</f>
        <v>1</v>
      </c>
      <c r="Q326" s="8">
        <f>IF(O326&lt;&gt;C326,1,0)</f>
        <v>0</v>
      </c>
    </row>
    <row r="327" spans="1:17" x14ac:dyDescent="0.2">
      <c r="A327" s="8" t="s">
        <v>546</v>
      </c>
      <c r="B327" s="8" t="s">
        <v>215</v>
      </c>
      <c r="C327" s="8" t="s">
        <v>204</v>
      </c>
      <c r="D327" s="10">
        <v>-7.6440000000000001</v>
      </c>
      <c r="E327" s="10">
        <v>-7.6440000000000001</v>
      </c>
      <c r="F327" s="8">
        <v>0</v>
      </c>
      <c r="G327" s="10"/>
      <c r="H327" s="8">
        <v>1</v>
      </c>
      <c r="I327" s="8" t="s">
        <v>83</v>
      </c>
      <c r="J327" s="8">
        <v>0</v>
      </c>
      <c r="K327" s="10">
        <v>6.3250000000000002</v>
      </c>
      <c r="L327" s="11">
        <f>IF(AND(ISNUMBER(K327),ISNUMBER(D327)),IF(D327&lt;&gt;0,K327/ABS(D327),""),"")</f>
        <v>0.8274463631606489</v>
      </c>
      <c r="M327" s="8" t="str">
        <f>IF(L327="","FCF yok",IF(L327&lt;0.01,"%1 altı",IF(L327&lt;0.05,"%1–5",IF(L327&lt;0.1,"%5–10",IF(L327&lt;0.25,"%10–25","%25 üstü")))))</f>
        <v>%25 üstü</v>
      </c>
      <c r="N327" s="8" t="str">
        <f>IF(OR(C327="NULL",C327="KOŞULLU"),C327,IF(OR(F327=1,H327=1),"KOŞULLU",C327))</f>
        <v>KOŞULLU</v>
      </c>
      <c r="O327" s="8" t="str">
        <f>IF(OR(C327="NULL",C327="KOŞULLU"),C327,IF(H327=1,"KOŞULLU",C327))</f>
        <v>KOŞULLU</v>
      </c>
      <c r="P327" s="8">
        <f>IF(N327&lt;&gt;C327,1,0)</f>
        <v>1</v>
      </c>
      <c r="Q327" s="8">
        <f>IF(O327&lt;&gt;C327,1,0)</f>
        <v>1</v>
      </c>
    </row>
    <row r="328" spans="1:17" x14ac:dyDescent="0.2">
      <c r="A328" s="8" t="s">
        <v>546</v>
      </c>
      <c r="B328" s="8" t="s">
        <v>208</v>
      </c>
      <c r="C328" s="8" t="s">
        <v>204</v>
      </c>
      <c r="D328" s="10">
        <v>-20.437000000000001</v>
      </c>
      <c r="E328" s="10">
        <v>-20.437000000000001</v>
      </c>
      <c r="F328" s="8">
        <v>0</v>
      </c>
      <c r="G328" s="10"/>
      <c r="H328" s="8">
        <v>1</v>
      </c>
      <c r="I328" s="8" t="s">
        <v>83</v>
      </c>
      <c r="J328" s="8">
        <v>0</v>
      </c>
      <c r="K328" s="10">
        <v>17.654</v>
      </c>
      <c r="L328" s="11">
        <f>IF(AND(ISNUMBER(K328),ISNUMBER(D328)),IF(D328&lt;&gt;0,K328/ABS(D328),""),"")</f>
        <v>0.86382541468904428</v>
      </c>
      <c r="M328" s="8" t="str">
        <f>IF(L328="","FCF yok",IF(L328&lt;0.01,"%1 altı",IF(L328&lt;0.05,"%1–5",IF(L328&lt;0.1,"%5–10",IF(L328&lt;0.25,"%10–25","%25 üstü")))))</f>
        <v>%25 üstü</v>
      </c>
      <c r="N328" s="8" t="str">
        <f>IF(OR(C328="NULL",C328="KOŞULLU"),C328,IF(OR(F328=1,H328=1),"KOŞULLU",C328))</f>
        <v>KOŞULLU</v>
      </c>
      <c r="O328" s="8" t="str">
        <f>IF(OR(C328="NULL",C328="KOŞULLU"),C328,IF(H328=1,"KOŞULLU",C328))</f>
        <v>KOŞULLU</v>
      </c>
      <c r="P328" s="8">
        <f>IF(N328&lt;&gt;C328,1,0)</f>
        <v>1</v>
      </c>
      <c r="Q328" s="8">
        <f>IF(O328&lt;&gt;C328,1,0)</f>
        <v>1</v>
      </c>
    </row>
    <row r="329" spans="1:17" x14ac:dyDescent="0.2">
      <c r="A329" s="8" t="s">
        <v>549</v>
      </c>
      <c r="B329" s="8" t="s">
        <v>203</v>
      </c>
      <c r="C329" s="8" t="s">
        <v>204</v>
      </c>
      <c r="D329" s="10">
        <v>4165.6279999999997</v>
      </c>
      <c r="E329" s="10">
        <v>10274.726000000001</v>
      </c>
      <c r="F329" s="8">
        <v>1</v>
      </c>
      <c r="G329" s="8" t="s">
        <v>82</v>
      </c>
      <c r="H329" s="8">
        <v>0</v>
      </c>
      <c r="I329" s="10"/>
      <c r="J329" s="8">
        <v>1</v>
      </c>
      <c r="K329" s="10">
        <v>106.479</v>
      </c>
      <c r="L329" s="11">
        <f>IF(AND(ISNUMBER(K329),ISNUMBER(D329)),IF(D329&lt;&gt;0,K329/ABS(D329),""),"")</f>
        <v>2.5561331928823219E-2</v>
      </c>
      <c r="M329" s="8" t="str">
        <f>IF(L329="","FCF yok",IF(L329&lt;0.01,"%1 altı",IF(L329&lt;0.05,"%1–5",IF(L329&lt;0.1,"%5–10",IF(L329&lt;0.25,"%10–25","%25 üstü")))))</f>
        <v>%1–5</v>
      </c>
      <c r="N329" s="8" t="str">
        <f>IF(OR(C329="NULL",C329="KOŞULLU"),C329,IF(OR(F329=1,H329=1),"KOŞULLU",C329))</f>
        <v>KOŞULLU</v>
      </c>
      <c r="O329" s="8" t="str">
        <f>IF(OR(C329="NULL",C329="KOŞULLU"),C329,IF(H329=1,"KOŞULLU",C329))</f>
        <v>KESİN</v>
      </c>
      <c r="P329" s="8">
        <f>IF(N329&lt;&gt;C329,1,0)</f>
        <v>1</v>
      </c>
      <c r="Q329" s="8">
        <f>IF(O329&lt;&gt;C329,1,0)</f>
        <v>0</v>
      </c>
    </row>
    <row r="330" spans="1:17" x14ac:dyDescent="0.2">
      <c r="A330" s="8" t="s">
        <v>549</v>
      </c>
      <c r="B330" s="8" t="s">
        <v>205</v>
      </c>
      <c r="C330" s="8" t="s">
        <v>204</v>
      </c>
      <c r="D330" s="10">
        <v>6912.741</v>
      </c>
      <c r="E330" s="10">
        <v>12520.393</v>
      </c>
      <c r="F330" s="8">
        <v>1</v>
      </c>
      <c r="G330" s="8" t="s">
        <v>82</v>
      </c>
      <c r="H330" s="8">
        <v>0</v>
      </c>
      <c r="I330" s="10"/>
      <c r="J330" s="8">
        <v>1</v>
      </c>
      <c r="K330" s="10">
        <v>72.290000000000006</v>
      </c>
      <c r="L330" s="11">
        <f>IF(AND(ISNUMBER(K330),ISNUMBER(D330)),IF(D330&lt;&gt;0,K330/ABS(D330),""),"")</f>
        <v>1.0457501590179642E-2</v>
      </c>
      <c r="M330" s="8" t="str">
        <f>IF(L330="","FCF yok",IF(L330&lt;0.01,"%1 altı",IF(L330&lt;0.05,"%1–5",IF(L330&lt;0.1,"%5–10",IF(L330&lt;0.25,"%10–25","%25 üstü")))))</f>
        <v>%1–5</v>
      </c>
      <c r="N330" s="8" t="str">
        <f>IF(OR(C330="NULL",C330="KOŞULLU"),C330,IF(OR(F330=1,H330=1),"KOŞULLU",C330))</f>
        <v>KOŞULLU</v>
      </c>
      <c r="O330" s="8" t="str">
        <f>IF(OR(C330="NULL",C330="KOŞULLU"),C330,IF(H330=1,"KOŞULLU",C330))</f>
        <v>KESİN</v>
      </c>
      <c r="P330" s="8">
        <f>IF(N330&lt;&gt;C330,1,0)</f>
        <v>1</v>
      </c>
      <c r="Q330" s="8">
        <f>IF(O330&lt;&gt;C330,1,0)</f>
        <v>0</v>
      </c>
    </row>
    <row r="331" spans="1:17" x14ac:dyDescent="0.2">
      <c r="A331" s="8" t="s">
        <v>552</v>
      </c>
      <c r="B331" s="8" t="s">
        <v>203</v>
      </c>
      <c r="C331" s="8" t="s">
        <v>204</v>
      </c>
      <c r="D331" s="10">
        <v>-677.96100000000001</v>
      </c>
      <c r="E331" s="10">
        <v>-627.51900000000001</v>
      </c>
      <c r="F331" s="8">
        <v>1</v>
      </c>
      <c r="G331" s="8" t="s">
        <v>82</v>
      </c>
      <c r="H331" s="8">
        <v>0</v>
      </c>
      <c r="I331" s="10"/>
      <c r="J331" s="8">
        <v>1</v>
      </c>
      <c r="K331" s="10">
        <v>4.1459999999999999</v>
      </c>
      <c r="L331" s="11">
        <f>IF(AND(ISNUMBER(K331),ISNUMBER(D331)),IF(D331&lt;&gt;0,K331/ABS(D331),""),"")</f>
        <v>6.1153960183550375E-3</v>
      </c>
      <c r="M331" s="8" t="str">
        <f>IF(L331="","FCF yok",IF(L331&lt;0.01,"%1 altı",IF(L331&lt;0.05,"%1–5",IF(L331&lt;0.1,"%5–10",IF(L331&lt;0.25,"%10–25","%25 üstü")))))</f>
        <v>%1 altı</v>
      </c>
      <c r="N331" s="8" t="str">
        <f>IF(OR(C331="NULL",C331="KOŞULLU"),C331,IF(OR(F331=1,H331=1),"KOŞULLU",C331))</f>
        <v>KOŞULLU</v>
      </c>
      <c r="O331" s="8" t="str">
        <f>IF(OR(C331="NULL",C331="KOŞULLU"),C331,IF(H331=1,"KOŞULLU",C331))</f>
        <v>KESİN</v>
      </c>
      <c r="P331" s="8">
        <f>IF(N331&lt;&gt;C331,1,0)</f>
        <v>1</v>
      </c>
      <c r="Q331" s="8">
        <f>IF(O331&lt;&gt;C331,1,0)</f>
        <v>0</v>
      </c>
    </row>
    <row r="332" spans="1:17" x14ac:dyDescent="0.2">
      <c r="A332" s="8" t="s">
        <v>552</v>
      </c>
      <c r="B332" s="8" t="s">
        <v>205</v>
      </c>
      <c r="C332" s="8" t="s">
        <v>204</v>
      </c>
      <c r="D332" s="10">
        <v>-521.37800000000004</v>
      </c>
      <c r="E332" s="10">
        <v>-458.62200000000001</v>
      </c>
      <c r="F332" s="8">
        <v>0</v>
      </c>
      <c r="G332" s="10"/>
      <c r="H332" s="8">
        <v>1</v>
      </c>
      <c r="I332" s="8" t="s">
        <v>82</v>
      </c>
      <c r="J332" s="8">
        <v>0</v>
      </c>
      <c r="K332" s="10">
        <v>14.048</v>
      </c>
      <c r="L332" s="11">
        <f>IF(AND(ISNUMBER(K332),ISNUMBER(D332)),IF(D332&lt;&gt;0,K332/ABS(D332),""),"")</f>
        <v>2.6943983060274884E-2</v>
      </c>
      <c r="M332" s="8" t="str">
        <f>IF(L332="","FCF yok",IF(L332&lt;0.01,"%1 altı",IF(L332&lt;0.05,"%1–5",IF(L332&lt;0.1,"%5–10",IF(L332&lt;0.25,"%10–25","%25 üstü")))))</f>
        <v>%1–5</v>
      </c>
      <c r="N332" s="8" t="str">
        <f>IF(OR(C332="NULL",C332="KOŞULLU"),C332,IF(OR(F332=1,H332=1),"KOŞULLU",C332))</f>
        <v>KOŞULLU</v>
      </c>
      <c r="O332" s="8" t="str">
        <f>IF(OR(C332="NULL",C332="KOŞULLU"),C332,IF(H332=1,"KOŞULLU",C332))</f>
        <v>KOŞULLU</v>
      </c>
      <c r="P332" s="8">
        <f>IF(N332&lt;&gt;C332,1,0)</f>
        <v>1</v>
      </c>
      <c r="Q332" s="8">
        <f>IF(O332&lt;&gt;C332,1,0)</f>
        <v>1</v>
      </c>
    </row>
    <row r="333" spans="1:17" x14ac:dyDescent="0.2">
      <c r="A333" s="8" t="s">
        <v>552</v>
      </c>
      <c r="B333" s="8" t="s">
        <v>215</v>
      </c>
      <c r="C333" s="8" t="s">
        <v>204</v>
      </c>
      <c r="D333" s="10">
        <v>-485.76600000000002</v>
      </c>
      <c r="E333" s="10">
        <v>-431.089</v>
      </c>
      <c r="F333" s="8">
        <v>0</v>
      </c>
      <c r="G333" s="10"/>
      <c r="H333" s="8">
        <v>1</v>
      </c>
      <c r="I333" s="8" t="s">
        <v>82</v>
      </c>
      <c r="J333" s="8">
        <v>0</v>
      </c>
      <c r="K333" s="10">
        <v>16.614999999999998</v>
      </c>
      <c r="L333" s="11">
        <f>IF(AND(ISNUMBER(K333),ISNUMBER(D333)),IF(D333&lt;&gt;0,K333/ABS(D333),""),"")</f>
        <v>3.4203711251919643E-2</v>
      </c>
      <c r="M333" s="8" t="str">
        <f>IF(L333="","FCF yok",IF(L333&lt;0.01,"%1 altı",IF(L333&lt;0.05,"%1–5",IF(L333&lt;0.1,"%5–10",IF(L333&lt;0.25,"%10–25","%25 üstü")))))</f>
        <v>%1–5</v>
      </c>
      <c r="N333" s="8" t="str">
        <f>IF(OR(C333="NULL",C333="KOŞULLU"),C333,IF(OR(F333=1,H333=1),"KOŞULLU",C333))</f>
        <v>KOŞULLU</v>
      </c>
      <c r="O333" s="8" t="str">
        <f>IF(OR(C333="NULL",C333="KOŞULLU"),C333,IF(H333=1,"KOŞULLU",C333))</f>
        <v>KOŞULLU</v>
      </c>
      <c r="P333" s="8">
        <f>IF(N333&lt;&gt;C333,1,0)</f>
        <v>1</v>
      </c>
      <c r="Q333" s="8">
        <f>IF(O333&lt;&gt;C333,1,0)</f>
        <v>1</v>
      </c>
    </row>
    <row r="334" spans="1:17" x14ac:dyDescent="0.2">
      <c r="A334" s="8" t="s">
        <v>648</v>
      </c>
      <c r="B334" s="8" t="s">
        <v>205</v>
      </c>
      <c r="C334" s="8" t="s">
        <v>207</v>
      </c>
      <c r="D334" s="10"/>
      <c r="E334" s="10">
        <v>1444.289</v>
      </c>
      <c r="F334" s="8">
        <v>0</v>
      </c>
      <c r="G334" s="10"/>
      <c r="H334" s="8">
        <v>1</v>
      </c>
      <c r="I334" s="8" t="s">
        <v>82</v>
      </c>
      <c r="J334" s="8">
        <v>0</v>
      </c>
      <c r="K334" s="10">
        <v>2.3109999999999999</v>
      </c>
      <c r="L334" s="11" t="str">
        <f>IF(AND(ISNUMBER(K334),ISNUMBER(D334)),IF(D334&lt;&gt;0,K334/ABS(D334),""),"")</f>
        <v/>
      </c>
      <c r="M334" s="8" t="str">
        <f>IF(L334="","FCF yok",IF(L334&lt;0.01,"%1 altı",IF(L334&lt;0.05,"%1–5",IF(L334&lt;0.1,"%5–10",IF(L334&lt;0.25,"%10–25","%25 üstü")))))</f>
        <v>FCF yok</v>
      </c>
      <c r="N334" s="8" t="str">
        <f>IF(OR(C334="NULL",C334="KOŞULLU"),C334,IF(OR(F334=1,H334=1),"KOŞULLU",C334))</f>
        <v>NULL</v>
      </c>
      <c r="O334" s="8" t="str">
        <f>IF(OR(C334="NULL",C334="KOŞULLU"),C334,IF(H334=1,"KOŞULLU",C334))</f>
        <v>NULL</v>
      </c>
      <c r="P334" s="8">
        <f>IF(N334&lt;&gt;C334,1,0)</f>
        <v>0</v>
      </c>
      <c r="Q334" s="8">
        <f>IF(O334&lt;&gt;C334,1,0)</f>
        <v>0</v>
      </c>
    </row>
    <row r="335" spans="1:17" x14ac:dyDescent="0.2">
      <c r="A335" s="8" t="s">
        <v>556</v>
      </c>
      <c r="B335" s="8" t="s">
        <v>208</v>
      </c>
      <c r="C335" s="8" t="s">
        <v>204</v>
      </c>
      <c r="D335" s="10">
        <v>173.42400000000001</v>
      </c>
      <c r="E335" s="10">
        <v>275.05</v>
      </c>
      <c r="F335" s="8">
        <v>0</v>
      </c>
      <c r="G335" s="10"/>
      <c r="H335" s="8">
        <v>1</v>
      </c>
      <c r="I335" s="8" t="s">
        <v>82</v>
      </c>
      <c r="J335" s="8">
        <v>0</v>
      </c>
      <c r="K335" s="10">
        <v>63.875</v>
      </c>
      <c r="L335" s="11">
        <f>IF(AND(ISNUMBER(K335),ISNUMBER(D335)),IF(D335&lt;&gt;0,K335/ABS(D335),""),"")</f>
        <v>0.36831695728388225</v>
      </c>
      <c r="M335" s="8" t="str">
        <f>IF(L335="","FCF yok",IF(L335&lt;0.01,"%1 altı",IF(L335&lt;0.05,"%1–5",IF(L335&lt;0.1,"%5–10",IF(L335&lt;0.25,"%10–25","%25 üstü")))))</f>
        <v>%25 üstü</v>
      </c>
      <c r="N335" s="8" t="str">
        <f>IF(OR(C335="NULL",C335="KOŞULLU"),C335,IF(OR(F335=1,H335=1),"KOŞULLU",C335))</f>
        <v>KOŞULLU</v>
      </c>
      <c r="O335" s="8" t="str">
        <f>IF(OR(C335="NULL",C335="KOŞULLU"),C335,IF(H335=1,"KOŞULLU",C335))</f>
        <v>KOŞULLU</v>
      </c>
      <c r="P335" s="8">
        <f>IF(N335&lt;&gt;C335,1,0)</f>
        <v>1</v>
      </c>
      <c r="Q335" s="8">
        <f>IF(O335&lt;&gt;C335,1,0)</f>
        <v>1</v>
      </c>
    </row>
    <row r="336" spans="1:17" x14ac:dyDescent="0.2">
      <c r="A336" s="8" t="s">
        <v>557</v>
      </c>
      <c r="B336" s="8" t="s">
        <v>205</v>
      </c>
      <c r="C336" s="8" t="s">
        <v>204</v>
      </c>
      <c r="D336" s="10">
        <v>68.527999999999906</v>
      </c>
      <c r="E336" s="10">
        <v>236.23500000000001</v>
      </c>
      <c r="F336" s="8">
        <v>0</v>
      </c>
      <c r="G336" s="10"/>
      <c r="H336" s="8">
        <v>1</v>
      </c>
      <c r="I336" s="8" t="s">
        <v>82</v>
      </c>
      <c r="J336" s="8">
        <v>0</v>
      </c>
      <c r="K336" s="10">
        <v>3.3980000000000001</v>
      </c>
      <c r="L336" s="11">
        <f>IF(AND(ISNUMBER(K336),ISNUMBER(D336)),IF(D336&lt;&gt;0,K336/ABS(D336),""),"")</f>
        <v>4.9585570861545712E-2</v>
      </c>
      <c r="M336" s="8" t="str">
        <f>IF(L336="","FCF yok",IF(L336&lt;0.01,"%1 altı",IF(L336&lt;0.05,"%1–5",IF(L336&lt;0.1,"%5–10",IF(L336&lt;0.25,"%10–25","%25 üstü")))))</f>
        <v>%1–5</v>
      </c>
      <c r="N336" s="8" t="str">
        <f>IF(OR(C336="NULL",C336="KOŞULLU"),C336,IF(OR(F336=1,H336=1),"KOŞULLU",C336))</f>
        <v>KOŞULLU</v>
      </c>
      <c r="O336" s="8" t="str">
        <f>IF(OR(C336="NULL",C336="KOŞULLU"),C336,IF(H336=1,"KOŞULLU",C336))</f>
        <v>KOŞULLU</v>
      </c>
      <c r="P336" s="8">
        <f>IF(N336&lt;&gt;C336,1,0)</f>
        <v>1</v>
      </c>
      <c r="Q336" s="8">
        <f>IF(O336&lt;&gt;C336,1,0)</f>
        <v>1</v>
      </c>
    </row>
    <row r="337" spans="1:17" x14ac:dyDescent="0.2">
      <c r="A337" s="8" t="s">
        <v>558</v>
      </c>
      <c r="B337" s="8" t="s">
        <v>215</v>
      </c>
      <c r="C337" s="8" t="s">
        <v>204</v>
      </c>
      <c r="D337" s="10">
        <v>-7154.1490000000003</v>
      </c>
      <c r="E337" s="10">
        <v>-5142.8890000000001</v>
      </c>
      <c r="F337" s="8">
        <v>1</v>
      </c>
      <c r="G337" s="8" t="s">
        <v>82</v>
      </c>
      <c r="H337" s="8">
        <v>0</v>
      </c>
      <c r="I337" s="10"/>
      <c r="J337" s="8">
        <v>0</v>
      </c>
      <c r="K337" s="10">
        <v>69.009</v>
      </c>
      <c r="L337" s="11">
        <f>IF(AND(ISNUMBER(K337),ISNUMBER(D337)),IF(D337&lt;&gt;0,K337/ABS(D337),""),"")</f>
        <v>9.6460110070394119E-3</v>
      </c>
      <c r="M337" s="8" t="str">
        <f>IF(L337="","FCF yok",IF(L337&lt;0.01,"%1 altı",IF(L337&lt;0.05,"%1–5",IF(L337&lt;0.1,"%5–10",IF(L337&lt;0.25,"%10–25","%25 üstü")))))</f>
        <v>%1 altı</v>
      </c>
      <c r="N337" s="8" t="str">
        <f>IF(OR(C337="NULL",C337="KOŞULLU"),C337,IF(OR(F337=1,H337=1),"KOŞULLU",C337))</f>
        <v>KOŞULLU</v>
      </c>
      <c r="O337" s="8" t="str">
        <f>IF(OR(C337="NULL",C337="KOŞULLU"),C337,IF(H337=1,"KOŞULLU",C337))</f>
        <v>KESİN</v>
      </c>
      <c r="P337" s="8">
        <f>IF(N337&lt;&gt;C337,1,0)</f>
        <v>1</v>
      </c>
      <c r="Q337" s="8">
        <f>IF(O337&lt;&gt;C337,1,0)</f>
        <v>0</v>
      </c>
    </row>
    <row r="338" spans="1:17" x14ac:dyDescent="0.2">
      <c r="A338" s="8" t="s">
        <v>558</v>
      </c>
      <c r="B338" s="8" t="s">
        <v>290</v>
      </c>
      <c r="C338" s="8" t="s">
        <v>204</v>
      </c>
      <c r="D338" s="10">
        <v>-765.82899999999995</v>
      </c>
      <c r="E338" s="10">
        <v>979.89800000000002</v>
      </c>
      <c r="F338" s="8">
        <v>1</v>
      </c>
      <c r="G338" s="8" t="s">
        <v>82</v>
      </c>
      <c r="H338" s="8">
        <v>0</v>
      </c>
      <c r="I338" s="10"/>
      <c r="J338" s="8">
        <v>0</v>
      </c>
      <c r="K338" s="10">
        <v>14.795999999999999</v>
      </c>
      <c r="L338" s="11">
        <f>IF(AND(ISNUMBER(K338),ISNUMBER(D338)),IF(D338&lt;&gt;0,K338/ABS(D338),""),"")</f>
        <v>1.9320239896896043E-2</v>
      </c>
      <c r="M338" s="8" t="str">
        <f>IF(L338="","FCF yok",IF(L338&lt;0.01,"%1 altı",IF(L338&lt;0.05,"%1–5",IF(L338&lt;0.1,"%5–10",IF(L338&lt;0.25,"%10–25","%25 üstü")))))</f>
        <v>%1–5</v>
      </c>
      <c r="N338" s="8" t="str">
        <f>IF(OR(C338="NULL",C338="KOŞULLU"),C338,IF(OR(F338=1,H338=1),"KOŞULLU",C338))</f>
        <v>KOŞULLU</v>
      </c>
      <c r="O338" s="8" t="str">
        <f>IF(OR(C338="NULL",C338="KOŞULLU"),C338,IF(H338=1,"KOŞULLU",C338))</f>
        <v>KESİN</v>
      </c>
      <c r="P338" s="8">
        <f>IF(N338&lt;&gt;C338,1,0)</f>
        <v>1</v>
      </c>
      <c r="Q338" s="8">
        <f>IF(O338&lt;&gt;C338,1,0)</f>
        <v>0</v>
      </c>
    </row>
    <row r="339" spans="1:17" x14ac:dyDescent="0.2">
      <c r="A339" s="8" t="s">
        <v>558</v>
      </c>
      <c r="B339" s="8" t="s">
        <v>208</v>
      </c>
      <c r="C339" s="8" t="s">
        <v>204</v>
      </c>
      <c r="D339" s="10">
        <v>-2508.3290000000002</v>
      </c>
      <c r="E339" s="10">
        <v>-595.11</v>
      </c>
      <c r="F339" s="8">
        <v>1</v>
      </c>
      <c r="G339" s="8" t="s">
        <v>82</v>
      </c>
      <c r="H339" s="8">
        <v>0</v>
      </c>
      <c r="I339" s="10"/>
      <c r="J339" s="8">
        <v>0</v>
      </c>
      <c r="K339" s="10">
        <v>14.795999999999999</v>
      </c>
      <c r="L339" s="11">
        <f>IF(AND(ISNUMBER(K339),ISNUMBER(D339)),IF(D339&lt;&gt;0,K339/ABS(D339),""),"")</f>
        <v>5.8987477320558823E-3</v>
      </c>
      <c r="M339" s="8" t="str">
        <f>IF(L339="","FCF yok",IF(L339&lt;0.01,"%1 altı",IF(L339&lt;0.05,"%1–5",IF(L339&lt;0.1,"%5–10",IF(L339&lt;0.25,"%10–25","%25 üstü")))))</f>
        <v>%1 altı</v>
      </c>
      <c r="N339" s="8" t="str">
        <f>IF(OR(C339="NULL",C339="KOŞULLU"),C339,IF(OR(F339=1,H339=1),"KOŞULLU",C339))</f>
        <v>KOŞULLU</v>
      </c>
      <c r="O339" s="8" t="str">
        <f>IF(OR(C339="NULL",C339="KOŞULLU"),C339,IF(H339=1,"KOŞULLU",C339))</f>
        <v>KESİN</v>
      </c>
      <c r="P339" s="8">
        <f>IF(N339&lt;&gt;C339,1,0)</f>
        <v>1</v>
      </c>
      <c r="Q339" s="8">
        <f>IF(O339&lt;&gt;C339,1,0)</f>
        <v>0</v>
      </c>
    </row>
    <row r="340" spans="1:17" x14ac:dyDescent="0.2">
      <c r="A340" s="8" t="s">
        <v>558</v>
      </c>
      <c r="B340" s="8" t="s">
        <v>210</v>
      </c>
      <c r="C340" s="8" t="s">
        <v>204</v>
      </c>
      <c r="D340" s="10">
        <v>-3589.2089999999998</v>
      </c>
      <c r="E340" s="10">
        <v>-2001.5229999999999</v>
      </c>
      <c r="F340" s="8">
        <v>1</v>
      </c>
      <c r="G340" s="8" t="s">
        <v>82</v>
      </c>
      <c r="H340" s="8">
        <v>0</v>
      </c>
      <c r="I340" s="10"/>
      <c r="J340" s="8">
        <v>1</v>
      </c>
      <c r="K340" s="10">
        <v>113.008</v>
      </c>
      <c r="L340" s="11">
        <f>IF(AND(ISNUMBER(K340),ISNUMBER(D340)),IF(D340&lt;&gt;0,K340/ABS(D340),""),"")</f>
        <v>3.1485488863980893E-2</v>
      </c>
      <c r="M340" s="8" t="str">
        <f>IF(L340="","FCF yok",IF(L340&lt;0.01,"%1 altı",IF(L340&lt;0.05,"%1–5",IF(L340&lt;0.1,"%5–10",IF(L340&lt;0.25,"%10–25","%25 üstü")))))</f>
        <v>%1–5</v>
      </c>
      <c r="N340" s="8" t="str">
        <f>IF(OR(C340="NULL",C340="KOŞULLU"),C340,IF(OR(F340=1,H340=1),"KOŞULLU",C340))</f>
        <v>KOŞULLU</v>
      </c>
      <c r="O340" s="8" t="str">
        <f>IF(OR(C340="NULL",C340="KOŞULLU"),C340,IF(H340=1,"KOŞULLU",C340))</f>
        <v>KESİN</v>
      </c>
      <c r="P340" s="8">
        <f>IF(N340&lt;&gt;C340,1,0)</f>
        <v>1</v>
      </c>
      <c r="Q340" s="8">
        <f>IF(O340&lt;&gt;C340,1,0)</f>
        <v>0</v>
      </c>
    </row>
  </sheetData>
  <autoFilter ref="A1:Q340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6"/>
  <sheetViews>
    <sheetView zoomScaleNormal="100" workbookViewId="0">
      <pane xSplit="4" ySplit="1" topLeftCell="E2" activePane="bottomRight" state="frozen"/>
      <selection pane="bottomLeft" activeCell="A2" sqref="A2"/>
      <selection pane="topRight" activeCell="E1" sqref="E1"/>
      <selection pane="bottomRight"/>
    </sheetView>
  </sheetViews>
  <sheetFormatPr defaultColWidth="8.7421875" defaultRowHeight="15" x14ac:dyDescent="0.2"/>
  <cols>
    <col min="1" max="1" width="14.9296875" customWidth="1"/>
    <col min="2" max="2" width="13.046875" customWidth="1"/>
    <col min="3" max="3" width="16.0078125" customWidth="1"/>
    <col min="4" max="10" width="13.046875" customWidth="1"/>
    <col min="11" max="11" width="11.02734375" customWidth="1"/>
    <col min="12" max="12" width="34.03125" customWidth="1"/>
    <col min="13" max="13" width="89.99609375" customWidth="1"/>
    <col min="14" max="14" width="18.0234375" customWidth="1"/>
    <col min="15" max="17" width="13.046875" customWidth="1"/>
    <col min="18" max="18" width="18.0234375" customWidth="1"/>
    <col min="19" max="20" width="20.04296875" customWidth="1"/>
  </cols>
  <sheetData>
    <row r="1" spans="1:20" ht="66" customHeight="1" x14ac:dyDescent="0.2">
      <c r="A1" s="6" t="s">
        <v>750</v>
      </c>
      <c r="B1" s="6" t="s">
        <v>156</v>
      </c>
      <c r="C1" s="6" t="s">
        <v>157</v>
      </c>
      <c r="D1" s="6" t="s">
        <v>158</v>
      </c>
      <c r="E1" s="6" t="s">
        <v>751</v>
      </c>
      <c r="F1" s="6" t="s">
        <v>194</v>
      </c>
      <c r="G1" s="6" t="s">
        <v>195</v>
      </c>
      <c r="H1" s="6" t="s">
        <v>752</v>
      </c>
      <c r="I1" s="6" t="s">
        <v>737</v>
      </c>
      <c r="J1" s="6" t="s">
        <v>739</v>
      </c>
      <c r="K1" s="6" t="s">
        <v>94</v>
      </c>
      <c r="L1" s="6" t="s">
        <v>753</v>
      </c>
      <c r="M1" s="6" t="s">
        <v>754</v>
      </c>
      <c r="N1" s="6" t="s">
        <v>755</v>
      </c>
      <c r="O1" s="6" t="s">
        <v>756</v>
      </c>
      <c r="P1" s="6" t="s">
        <v>757</v>
      </c>
      <c r="Q1" s="6" t="s">
        <v>758</v>
      </c>
      <c r="R1" s="6" t="s">
        <v>759</v>
      </c>
      <c r="S1" s="6" t="s">
        <v>760</v>
      </c>
      <c r="T1" s="6" t="s">
        <v>761</v>
      </c>
    </row>
    <row r="2" spans="1:20" x14ac:dyDescent="0.2">
      <c r="A2" s="8" t="s">
        <v>762</v>
      </c>
      <c r="B2" s="8" t="s">
        <v>525</v>
      </c>
      <c r="C2" s="8" t="s">
        <v>82</v>
      </c>
      <c r="D2" s="8" t="s">
        <v>203</v>
      </c>
      <c r="E2" s="10">
        <v>9.2899999999999991</v>
      </c>
      <c r="F2" s="10">
        <v>-13136.802</v>
      </c>
      <c r="G2" s="8" t="s">
        <v>204</v>
      </c>
      <c r="H2" s="8">
        <v>0</v>
      </c>
      <c r="I2" s="8">
        <v>0</v>
      </c>
      <c r="J2" s="8">
        <v>0</v>
      </c>
      <c r="K2" s="8" t="s">
        <v>100</v>
      </c>
      <c r="L2" s="5" t="s">
        <v>763</v>
      </c>
      <c r="M2" s="5" t="s">
        <v>764</v>
      </c>
      <c r="N2" s="10"/>
      <c r="O2" s="8" t="str">
        <f>G2</f>
        <v>KESİN</v>
      </c>
      <c r="P2" s="8" t="str">
        <f>IF(OR(G2="NULL",G2="KOŞULLU"),G2,IF(OR(I2=1,J2=1),"KOŞULLU",G2))</f>
        <v>KESİN</v>
      </c>
      <c r="Q2" s="8" t="str">
        <f>IF(OR(G2="NULL",G2="KOŞULLU"),G2,IF(J2=1,"KOŞULLU",G2))</f>
        <v>KESİN</v>
      </c>
      <c r="R2" s="8" t="str">
        <f>IF(OR($G2="NULL",$G2="KOŞULLU"),"V7 zaten "&amp;$G2,IF($K2="HATA",IF(O2="KOŞULLU","YAKALANDI","SESSİZ HATA"),IF(OR($K2="TEMİZ",$K2="ÖNEMSİZ"),IF(O2="KOŞULLU","YANLIŞ ALARM","DOĞRU SESSİZ"),IF(O2="KOŞULLU","BELİRSİZ — işaretlendi","BELİRSİZ — işaretlenmedi"))))</f>
        <v>DOĞRU SESSİZ</v>
      </c>
      <c r="S2" s="8" t="str">
        <f>IF(OR($G2="NULL",$G2="KOŞULLU"),"V7 zaten "&amp;$G2,IF($K2="HATA",IF(P2="KOŞULLU","YAKALANDI","SESSİZ HATA"),IF(OR($K2="TEMİZ",$K2="ÖNEMSİZ"),IF(P2="KOŞULLU","YANLIŞ ALARM","DOĞRU SESSİZ"),IF(P2="KOŞULLU","BELİRSİZ — işaretlendi","BELİRSİZ — işaretlenmedi"))))</f>
        <v>DOĞRU SESSİZ</v>
      </c>
      <c r="T2" s="8" t="str">
        <f>IF(OR($G2="NULL",$G2="KOŞULLU"),"V7 zaten "&amp;$G2,IF($K2="HATA",IF(Q2="KOŞULLU","YAKALANDI","SESSİZ HATA"),IF(OR($K2="TEMİZ",$K2="ÖNEMSİZ"),IF(Q2="KOŞULLU","YANLIŞ ALARM","DOĞRU SESSİZ"),IF(Q2="KOŞULLU","BELİRSİZ — işaretlendi","BELİRSİZ — işaretlenmedi"))))</f>
        <v>DOĞRU SESSİZ</v>
      </c>
    </row>
    <row r="3" spans="1:20" x14ac:dyDescent="0.2">
      <c r="A3" s="8" t="s">
        <v>762</v>
      </c>
      <c r="B3" s="8" t="s">
        <v>525</v>
      </c>
      <c r="C3" s="8" t="s">
        <v>82</v>
      </c>
      <c r="D3" s="8" t="s">
        <v>205</v>
      </c>
      <c r="E3" s="10">
        <v>45.521000000000001</v>
      </c>
      <c r="F3" s="10">
        <v>-6870.1180000000004</v>
      </c>
      <c r="G3" s="8" t="s">
        <v>204</v>
      </c>
      <c r="H3" s="8">
        <v>0</v>
      </c>
      <c r="I3" s="8">
        <v>0</v>
      </c>
      <c r="J3" s="8">
        <v>0</v>
      </c>
      <c r="K3" s="8" t="s">
        <v>100</v>
      </c>
      <c r="L3" s="5" t="s">
        <v>763</v>
      </c>
      <c r="M3" s="5" t="s">
        <v>764</v>
      </c>
      <c r="N3" s="10"/>
      <c r="O3" s="8" t="str">
        <f>G3</f>
        <v>KESİN</v>
      </c>
      <c r="P3" s="8" t="str">
        <f>IF(OR(G3="NULL",G3="KOŞULLU"),G3,IF(OR(I3=1,J3=1),"KOŞULLU",G3))</f>
        <v>KESİN</v>
      </c>
      <c r="Q3" s="8" t="str">
        <f>IF(OR(G3="NULL",G3="KOŞULLU"),G3,IF(J3=1,"KOŞULLU",G3))</f>
        <v>KESİN</v>
      </c>
      <c r="R3" s="8" t="str">
        <f>IF(OR($G3="NULL",$G3="KOŞULLU"),"V7 zaten "&amp;$G3,IF($K3="HATA",IF(O3="KOŞULLU","YAKALANDI","SESSİZ HATA"),IF(OR($K3="TEMİZ",$K3="ÖNEMSİZ"),IF(O3="KOŞULLU","YANLIŞ ALARM","DOĞRU SESSİZ"),IF(O3="KOŞULLU","BELİRSİZ — işaretlendi","BELİRSİZ — işaretlenmedi"))))</f>
        <v>DOĞRU SESSİZ</v>
      </c>
      <c r="S3" s="8" t="str">
        <f>IF(OR($G3="NULL",$G3="KOŞULLU"),"V7 zaten "&amp;$G3,IF($K3="HATA",IF(P3="KOŞULLU","YAKALANDI","SESSİZ HATA"),IF(OR($K3="TEMİZ",$K3="ÖNEMSİZ"),IF(P3="KOŞULLU","YANLIŞ ALARM","DOĞRU SESSİZ"),IF(P3="KOŞULLU","BELİRSİZ — işaretlendi","BELİRSİZ — işaretlenmedi"))))</f>
        <v>DOĞRU SESSİZ</v>
      </c>
      <c r="T3" s="8" t="str">
        <f>IF(OR($G3="NULL",$G3="KOŞULLU"),"V7 zaten "&amp;$G3,IF($K3="HATA",IF(Q3="KOŞULLU","YAKALANDI","SESSİZ HATA"),IF(OR($K3="TEMİZ",$K3="ÖNEMSİZ"),IF(Q3="KOŞULLU","YANLIŞ ALARM","DOĞRU SESSİZ"),IF(Q3="KOŞULLU","BELİRSİZ — işaretlendi","BELİRSİZ — işaretlenmedi"))))</f>
        <v>DOĞRU SESSİZ</v>
      </c>
    </row>
    <row r="4" spans="1:20" x14ac:dyDescent="0.2">
      <c r="A4" s="8" t="s">
        <v>762</v>
      </c>
      <c r="B4" s="8" t="s">
        <v>525</v>
      </c>
      <c r="C4" s="8" t="s">
        <v>82</v>
      </c>
      <c r="D4" s="8" t="s">
        <v>215</v>
      </c>
      <c r="E4" s="10">
        <v>42.046999999999997</v>
      </c>
      <c r="F4" s="10">
        <v>-3958.047</v>
      </c>
      <c r="G4" s="8" t="s">
        <v>204</v>
      </c>
      <c r="H4" s="8">
        <v>0</v>
      </c>
      <c r="I4" s="8">
        <v>0</v>
      </c>
      <c r="J4" s="8">
        <v>0</v>
      </c>
      <c r="K4" s="8" t="s">
        <v>100</v>
      </c>
      <c r="L4" s="5" t="s">
        <v>763</v>
      </c>
      <c r="M4" s="5" t="s">
        <v>764</v>
      </c>
      <c r="N4" s="10"/>
      <c r="O4" s="8" t="str">
        <f>G4</f>
        <v>KESİN</v>
      </c>
      <c r="P4" s="8" t="str">
        <f>IF(OR(G4="NULL",G4="KOŞULLU"),G4,IF(OR(I4=1,J4=1),"KOŞULLU",G4))</f>
        <v>KESİN</v>
      </c>
      <c r="Q4" s="8" t="str">
        <f>IF(OR(G4="NULL",G4="KOŞULLU"),G4,IF(J4=1,"KOŞULLU",G4))</f>
        <v>KESİN</v>
      </c>
      <c r="R4" s="8" t="str">
        <f>IF(OR($G4="NULL",$G4="KOŞULLU"),"V7 zaten "&amp;$G4,IF($K4="HATA",IF(O4="KOŞULLU","YAKALANDI","SESSİZ HATA"),IF(OR($K4="TEMİZ",$K4="ÖNEMSİZ"),IF(O4="KOŞULLU","YANLIŞ ALARM","DOĞRU SESSİZ"),IF(O4="KOŞULLU","BELİRSİZ — işaretlendi","BELİRSİZ — işaretlenmedi"))))</f>
        <v>DOĞRU SESSİZ</v>
      </c>
      <c r="S4" s="8" t="str">
        <f>IF(OR($G4="NULL",$G4="KOŞULLU"),"V7 zaten "&amp;$G4,IF($K4="HATA",IF(P4="KOŞULLU","YAKALANDI","SESSİZ HATA"),IF(OR($K4="TEMİZ",$K4="ÖNEMSİZ"),IF(P4="KOŞULLU","YANLIŞ ALARM","DOĞRU SESSİZ"),IF(P4="KOŞULLU","BELİRSİZ — işaretlendi","BELİRSİZ — işaretlenmedi"))))</f>
        <v>DOĞRU SESSİZ</v>
      </c>
      <c r="T4" s="8" t="str">
        <f>IF(OR($G4="NULL",$G4="KOŞULLU"),"V7 zaten "&amp;$G4,IF($K4="HATA",IF(Q4="KOŞULLU","YAKALANDI","SESSİZ HATA"),IF(OR($K4="TEMİZ",$K4="ÖNEMSİZ"),IF(Q4="KOŞULLU","YANLIŞ ALARM","DOĞRU SESSİZ"),IF(Q4="KOŞULLU","BELİRSİZ — işaretlendi","BELİRSİZ — işaretlenmedi"))))</f>
        <v>DOĞRU SESSİZ</v>
      </c>
    </row>
    <row r="5" spans="1:20" x14ac:dyDescent="0.2">
      <c r="A5" s="8" t="s">
        <v>762</v>
      </c>
      <c r="B5" s="8" t="s">
        <v>525</v>
      </c>
      <c r="C5" s="8" t="s">
        <v>82</v>
      </c>
      <c r="D5" s="8" t="s">
        <v>290</v>
      </c>
      <c r="E5" s="10">
        <v>27.5</v>
      </c>
      <c r="F5" s="10">
        <v>-7173.424</v>
      </c>
      <c r="G5" s="8" t="s">
        <v>204</v>
      </c>
      <c r="H5" s="8">
        <v>0</v>
      </c>
      <c r="I5" s="8">
        <v>0</v>
      </c>
      <c r="J5" s="8">
        <v>0</v>
      </c>
      <c r="K5" s="8" t="s">
        <v>100</v>
      </c>
      <c r="L5" s="5" t="s">
        <v>763</v>
      </c>
      <c r="M5" s="5" t="s">
        <v>764</v>
      </c>
      <c r="N5" s="10"/>
      <c r="O5" s="8" t="str">
        <f>G5</f>
        <v>KESİN</v>
      </c>
      <c r="P5" s="8" t="str">
        <f>IF(OR(G5="NULL",G5="KOŞULLU"),G5,IF(OR(I5=1,J5=1),"KOŞULLU",G5))</f>
        <v>KESİN</v>
      </c>
      <c r="Q5" s="8" t="str">
        <f>IF(OR(G5="NULL",G5="KOŞULLU"),G5,IF(J5=1,"KOŞULLU",G5))</f>
        <v>KESİN</v>
      </c>
      <c r="R5" s="8" t="str">
        <f>IF(OR($G5="NULL",$G5="KOŞULLU"),"V7 zaten "&amp;$G5,IF($K5="HATA",IF(O5="KOŞULLU","YAKALANDI","SESSİZ HATA"),IF(OR($K5="TEMİZ",$K5="ÖNEMSİZ"),IF(O5="KOŞULLU","YANLIŞ ALARM","DOĞRU SESSİZ"),IF(O5="KOŞULLU","BELİRSİZ — işaretlendi","BELİRSİZ — işaretlenmedi"))))</f>
        <v>DOĞRU SESSİZ</v>
      </c>
      <c r="S5" s="8" t="str">
        <f>IF(OR($G5="NULL",$G5="KOŞULLU"),"V7 zaten "&amp;$G5,IF($K5="HATA",IF(P5="KOŞULLU","YAKALANDI","SESSİZ HATA"),IF(OR($K5="TEMİZ",$K5="ÖNEMSİZ"),IF(P5="KOŞULLU","YANLIŞ ALARM","DOĞRU SESSİZ"),IF(P5="KOŞULLU","BELİRSİZ — işaretlendi","BELİRSİZ — işaretlenmedi"))))</f>
        <v>DOĞRU SESSİZ</v>
      </c>
      <c r="T5" s="8" t="str">
        <f>IF(OR($G5="NULL",$G5="KOŞULLU"),"V7 zaten "&amp;$G5,IF($K5="HATA",IF(Q5="KOŞULLU","YAKALANDI","SESSİZ HATA"),IF(OR($K5="TEMİZ",$K5="ÖNEMSİZ"),IF(Q5="KOŞULLU","YANLIŞ ALARM","DOĞRU SESSİZ"),IF(Q5="KOŞULLU","BELİRSİZ — işaretlendi","BELİRSİZ — işaretlenmedi"))))</f>
        <v>DOĞRU SESSİZ</v>
      </c>
    </row>
    <row r="6" spans="1:20" x14ac:dyDescent="0.2">
      <c r="A6" s="8" t="s">
        <v>762</v>
      </c>
      <c r="B6" s="8" t="s">
        <v>525</v>
      </c>
      <c r="C6" s="8" t="s">
        <v>82</v>
      </c>
      <c r="D6" s="8" t="s">
        <v>208</v>
      </c>
      <c r="E6" s="10">
        <v>25.815999999999999</v>
      </c>
      <c r="F6" s="10">
        <v>-16113.521000000001</v>
      </c>
      <c r="G6" s="8" t="s">
        <v>204</v>
      </c>
      <c r="H6" s="8">
        <v>0</v>
      </c>
      <c r="I6" s="8">
        <v>0</v>
      </c>
      <c r="J6" s="8">
        <v>0</v>
      </c>
      <c r="K6" s="8" t="s">
        <v>100</v>
      </c>
      <c r="L6" s="5" t="s">
        <v>763</v>
      </c>
      <c r="M6" s="5" t="s">
        <v>764</v>
      </c>
      <c r="N6" s="10"/>
      <c r="O6" s="8" t="str">
        <f>G6</f>
        <v>KESİN</v>
      </c>
      <c r="P6" s="8" t="str">
        <f>IF(OR(G6="NULL",G6="KOŞULLU"),G6,IF(OR(I6=1,J6=1),"KOŞULLU",G6))</f>
        <v>KESİN</v>
      </c>
      <c r="Q6" s="8" t="str">
        <f>IF(OR(G6="NULL",G6="KOŞULLU"),G6,IF(J6=1,"KOŞULLU",G6))</f>
        <v>KESİN</v>
      </c>
      <c r="R6" s="8" t="str">
        <f>IF(OR($G6="NULL",$G6="KOŞULLU"),"V7 zaten "&amp;$G6,IF($K6="HATA",IF(O6="KOŞULLU","YAKALANDI","SESSİZ HATA"),IF(OR($K6="TEMİZ",$K6="ÖNEMSİZ"),IF(O6="KOŞULLU","YANLIŞ ALARM","DOĞRU SESSİZ"),IF(O6="KOŞULLU","BELİRSİZ — işaretlendi","BELİRSİZ — işaretlenmedi"))))</f>
        <v>DOĞRU SESSİZ</v>
      </c>
      <c r="S6" s="8" t="str">
        <f>IF(OR($G6="NULL",$G6="KOŞULLU"),"V7 zaten "&amp;$G6,IF($K6="HATA",IF(P6="KOŞULLU","YAKALANDI","SESSİZ HATA"),IF(OR($K6="TEMİZ",$K6="ÖNEMSİZ"),IF(P6="KOŞULLU","YANLIŞ ALARM","DOĞRU SESSİZ"),IF(P6="KOŞULLU","BELİRSİZ — işaretlendi","BELİRSİZ — işaretlenmedi"))))</f>
        <v>DOĞRU SESSİZ</v>
      </c>
      <c r="T6" s="8" t="str">
        <f>IF(OR($G6="NULL",$G6="KOŞULLU"),"V7 zaten "&amp;$G6,IF($K6="HATA",IF(Q6="KOŞULLU","YAKALANDI","SESSİZ HATA"),IF(OR($K6="TEMİZ",$K6="ÖNEMSİZ"),IF(Q6="KOŞULLU","YANLIŞ ALARM","DOĞRU SESSİZ"),IF(Q6="KOŞULLU","BELİRSİZ — işaretlendi","BELİRSİZ — işaretlenmedi"))))</f>
        <v>DOĞRU SESSİZ</v>
      </c>
    </row>
    <row r="7" spans="1:20" x14ac:dyDescent="0.2">
      <c r="A7" s="8" t="s">
        <v>762</v>
      </c>
      <c r="B7" s="8" t="s">
        <v>525</v>
      </c>
      <c r="C7" s="8" t="s">
        <v>82</v>
      </c>
      <c r="D7" s="8" t="s">
        <v>210</v>
      </c>
      <c r="E7" s="10">
        <v>0</v>
      </c>
      <c r="F7" s="10">
        <v>-30816.057000000001</v>
      </c>
      <c r="G7" s="8" t="s">
        <v>204</v>
      </c>
      <c r="H7" s="8">
        <v>1</v>
      </c>
      <c r="I7" s="8">
        <v>0</v>
      </c>
      <c r="J7" s="8">
        <v>1</v>
      </c>
      <c r="K7" s="8" t="s">
        <v>98</v>
      </c>
      <c r="L7" s="5" t="s">
        <v>765</v>
      </c>
      <c r="M7" s="5" t="s">
        <v>766</v>
      </c>
      <c r="N7" s="10"/>
      <c r="O7" s="8" t="str">
        <f>G7</f>
        <v>KESİN</v>
      </c>
      <c r="P7" s="8" t="str">
        <f>IF(OR(G7="NULL",G7="KOŞULLU"),G7,IF(OR(I7=1,J7=1),"KOŞULLU",G7))</f>
        <v>KOŞULLU</v>
      </c>
      <c r="Q7" s="8" t="str">
        <f>IF(OR(G7="NULL",G7="KOŞULLU"),G7,IF(J7=1,"KOŞULLU",G7))</f>
        <v>KOŞULLU</v>
      </c>
      <c r="R7" s="8" t="str">
        <f>IF(OR($G7="NULL",$G7="KOŞULLU"),"V7 zaten "&amp;$G7,IF($K7="HATA",IF(O7="KOŞULLU","YAKALANDI","SESSİZ HATA"),IF(OR($K7="TEMİZ",$K7="ÖNEMSİZ"),IF(O7="KOŞULLU","YANLIŞ ALARM","DOĞRU SESSİZ"),IF(O7="KOŞULLU","BELİRSİZ — işaretlendi","BELİRSİZ — işaretlenmedi"))))</f>
        <v>SESSİZ HATA</v>
      </c>
      <c r="S7" s="8" t="str">
        <f>IF(OR($G7="NULL",$G7="KOŞULLU"),"V7 zaten "&amp;$G7,IF($K7="HATA",IF(P7="KOŞULLU","YAKALANDI","SESSİZ HATA"),IF(OR($K7="TEMİZ",$K7="ÖNEMSİZ"),IF(P7="KOŞULLU","YANLIŞ ALARM","DOĞRU SESSİZ"),IF(P7="KOŞULLU","BELİRSİZ — işaretlendi","BELİRSİZ — işaretlenmedi"))))</f>
        <v>YAKALANDI</v>
      </c>
      <c r="T7" s="8" t="str">
        <f>IF(OR($G7="NULL",$G7="KOŞULLU"),"V7 zaten "&amp;$G7,IF($K7="HATA",IF(Q7="KOŞULLU","YAKALANDI","SESSİZ HATA"),IF(OR($K7="TEMİZ",$K7="ÖNEMSİZ"),IF(Q7="KOŞULLU","YANLIŞ ALARM","DOĞRU SESSİZ"),IF(Q7="KOŞULLU","BELİRSİZ — işaretlendi","BELİRSİZ — işaretlenmedi"))))</f>
        <v>YAKALANDI</v>
      </c>
    </row>
    <row r="8" spans="1:20" x14ac:dyDescent="0.2">
      <c r="A8" s="8" t="s">
        <v>762</v>
      </c>
      <c r="B8" s="8" t="s">
        <v>525</v>
      </c>
      <c r="C8" s="8" t="s">
        <v>83</v>
      </c>
      <c r="D8" s="8" t="s">
        <v>203</v>
      </c>
      <c r="E8" s="10">
        <v>12224.22</v>
      </c>
      <c r="F8" s="10">
        <v>-13136.802</v>
      </c>
      <c r="G8" s="8" t="s">
        <v>204</v>
      </c>
      <c r="H8" s="8">
        <v>0</v>
      </c>
      <c r="I8" s="8">
        <v>0</v>
      </c>
      <c r="J8" s="8">
        <v>0</v>
      </c>
      <c r="K8" s="8" t="s">
        <v>100</v>
      </c>
      <c r="L8" s="5" t="s">
        <v>763</v>
      </c>
      <c r="M8" s="5" t="s">
        <v>767</v>
      </c>
      <c r="N8" s="10"/>
      <c r="O8" s="8" t="str">
        <f>G8</f>
        <v>KESİN</v>
      </c>
      <c r="P8" s="8" t="str">
        <f>IF(OR(G8="NULL",G8="KOŞULLU"),G8,IF(OR(I8=1,J8=1),"KOŞULLU",G8))</f>
        <v>KESİN</v>
      </c>
      <c r="Q8" s="8" t="str">
        <f>IF(OR(G8="NULL",G8="KOŞULLU"),G8,IF(J8=1,"KOŞULLU",G8))</f>
        <v>KESİN</v>
      </c>
      <c r="R8" s="8" t="str">
        <f>IF(OR($G8="NULL",$G8="KOŞULLU"),"V7 zaten "&amp;$G8,IF($K8="HATA",IF(O8="KOŞULLU","YAKALANDI","SESSİZ HATA"),IF(OR($K8="TEMİZ",$K8="ÖNEMSİZ"),IF(O8="KOŞULLU","YANLIŞ ALARM","DOĞRU SESSİZ"),IF(O8="KOŞULLU","BELİRSİZ — işaretlendi","BELİRSİZ — işaretlenmedi"))))</f>
        <v>DOĞRU SESSİZ</v>
      </c>
      <c r="S8" s="8" t="str">
        <f>IF(OR($G8="NULL",$G8="KOŞULLU"),"V7 zaten "&amp;$G8,IF($K8="HATA",IF(P8="KOŞULLU","YAKALANDI","SESSİZ HATA"),IF(OR($K8="TEMİZ",$K8="ÖNEMSİZ"),IF(P8="KOŞULLU","YANLIŞ ALARM","DOĞRU SESSİZ"),IF(P8="KOŞULLU","BELİRSİZ — işaretlendi","BELİRSİZ — işaretlenmedi"))))</f>
        <v>DOĞRU SESSİZ</v>
      </c>
      <c r="T8" s="8" t="str">
        <f>IF(OR($G8="NULL",$G8="KOŞULLU"),"V7 zaten "&amp;$G8,IF($K8="HATA",IF(Q8="KOŞULLU","YAKALANDI","SESSİZ HATA"),IF(OR($K8="TEMİZ",$K8="ÖNEMSİZ"),IF(Q8="KOŞULLU","YANLIŞ ALARM","DOĞRU SESSİZ"),IF(Q8="KOŞULLU","BELİRSİZ — işaretlendi","BELİRSİZ — işaretlenmedi"))))</f>
        <v>DOĞRU SESSİZ</v>
      </c>
    </row>
    <row r="9" spans="1:20" x14ac:dyDescent="0.2">
      <c r="A9" s="8" t="s">
        <v>762</v>
      </c>
      <c r="B9" s="8" t="s">
        <v>525</v>
      </c>
      <c r="C9" s="8" t="s">
        <v>83</v>
      </c>
      <c r="D9" s="8" t="s">
        <v>205</v>
      </c>
      <c r="E9" s="10">
        <v>12578.317999999999</v>
      </c>
      <c r="F9" s="10">
        <v>-6870.1180000000004</v>
      </c>
      <c r="G9" s="8" t="s">
        <v>204</v>
      </c>
      <c r="H9" s="8">
        <v>0</v>
      </c>
      <c r="I9" s="8">
        <v>0</v>
      </c>
      <c r="J9" s="8">
        <v>0</v>
      </c>
      <c r="K9" s="8" t="s">
        <v>100</v>
      </c>
      <c r="L9" s="5" t="s">
        <v>763</v>
      </c>
      <c r="M9" s="5" t="s">
        <v>767</v>
      </c>
      <c r="N9" s="10"/>
      <c r="O9" s="8" t="str">
        <f>G9</f>
        <v>KESİN</v>
      </c>
      <c r="P9" s="8" t="str">
        <f>IF(OR(G9="NULL",G9="KOŞULLU"),G9,IF(OR(I9=1,J9=1),"KOŞULLU",G9))</f>
        <v>KESİN</v>
      </c>
      <c r="Q9" s="8" t="str">
        <f>IF(OR(G9="NULL",G9="KOŞULLU"),G9,IF(J9=1,"KOŞULLU",G9))</f>
        <v>KESİN</v>
      </c>
      <c r="R9" s="8" t="str">
        <f>IF(OR($G9="NULL",$G9="KOŞULLU"),"V7 zaten "&amp;$G9,IF($K9="HATA",IF(O9="KOŞULLU","YAKALANDI","SESSİZ HATA"),IF(OR($K9="TEMİZ",$K9="ÖNEMSİZ"),IF(O9="KOŞULLU","YANLIŞ ALARM","DOĞRU SESSİZ"),IF(O9="KOŞULLU","BELİRSİZ — işaretlendi","BELİRSİZ — işaretlenmedi"))))</f>
        <v>DOĞRU SESSİZ</v>
      </c>
      <c r="S9" s="8" t="str">
        <f>IF(OR($G9="NULL",$G9="KOŞULLU"),"V7 zaten "&amp;$G9,IF($K9="HATA",IF(P9="KOŞULLU","YAKALANDI","SESSİZ HATA"),IF(OR($K9="TEMİZ",$K9="ÖNEMSİZ"),IF(P9="KOŞULLU","YANLIŞ ALARM","DOĞRU SESSİZ"),IF(P9="KOŞULLU","BELİRSİZ — işaretlendi","BELİRSİZ — işaretlenmedi"))))</f>
        <v>DOĞRU SESSİZ</v>
      </c>
      <c r="T9" s="8" t="str">
        <f>IF(OR($G9="NULL",$G9="KOŞULLU"),"V7 zaten "&amp;$G9,IF($K9="HATA",IF(Q9="KOŞULLU","YAKALANDI","SESSİZ HATA"),IF(OR($K9="TEMİZ",$K9="ÖNEMSİZ"),IF(Q9="KOŞULLU","YANLIŞ ALARM","DOĞRU SESSİZ"),IF(Q9="KOŞULLU","BELİRSİZ — işaretlendi","BELİRSİZ — işaretlenmedi"))))</f>
        <v>DOĞRU SESSİZ</v>
      </c>
    </row>
    <row r="10" spans="1:20" x14ac:dyDescent="0.2">
      <c r="A10" s="8" t="s">
        <v>762</v>
      </c>
      <c r="B10" s="8" t="s">
        <v>525</v>
      </c>
      <c r="C10" s="8" t="s">
        <v>83</v>
      </c>
      <c r="D10" s="8" t="s">
        <v>215</v>
      </c>
      <c r="E10" s="10">
        <v>10978.366</v>
      </c>
      <c r="F10" s="10">
        <v>-3958.047</v>
      </c>
      <c r="G10" s="8" t="s">
        <v>204</v>
      </c>
      <c r="H10" s="8">
        <v>0</v>
      </c>
      <c r="I10" s="8">
        <v>0</v>
      </c>
      <c r="J10" s="8">
        <v>0</v>
      </c>
      <c r="K10" s="8" t="s">
        <v>100</v>
      </c>
      <c r="L10" s="5" t="s">
        <v>763</v>
      </c>
      <c r="M10" s="5" t="s">
        <v>767</v>
      </c>
      <c r="N10" s="10"/>
      <c r="O10" s="8" t="str">
        <f>G10</f>
        <v>KESİN</v>
      </c>
      <c r="P10" s="8" t="str">
        <f>IF(OR(G10="NULL",G10="KOŞULLU"),G10,IF(OR(I10=1,J10=1),"KOŞULLU",G10))</f>
        <v>KESİN</v>
      </c>
      <c r="Q10" s="8" t="str">
        <f>IF(OR(G10="NULL",G10="KOŞULLU"),G10,IF(J10=1,"KOŞULLU",G10))</f>
        <v>KESİN</v>
      </c>
      <c r="R10" s="8" t="str">
        <f>IF(OR($G10="NULL",$G10="KOŞULLU"),"V7 zaten "&amp;$G10,IF($K10="HATA",IF(O10="KOŞULLU","YAKALANDI","SESSİZ HATA"),IF(OR($K10="TEMİZ",$K10="ÖNEMSİZ"),IF(O10="KOŞULLU","YANLIŞ ALARM","DOĞRU SESSİZ"),IF(O10="KOŞULLU","BELİRSİZ — işaretlendi","BELİRSİZ — işaretlenmedi"))))</f>
        <v>DOĞRU SESSİZ</v>
      </c>
      <c r="S10" s="8" t="str">
        <f>IF(OR($G10="NULL",$G10="KOŞULLU"),"V7 zaten "&amp;$G10,IF($K10="HATA",IF(P10="KOŞULLU","YAKALANDI","SESSİZ HATA"),IF(OR($K10="TEMİZ",$K10="ÖNEMSİZ"),IF(P10="KOŞULLU","YANLIŞ ALARM","DOĞRU SESSİZ"),IF(P10="KOŞULLU","BELİRSİZ — işaretlendi","BELİRSİZ — işaretlenmedi"))))</f>
        <v>DOĞRU SESSİZ</v>
      </c>
      <c r="T10" s="8" t="str">
        <f>IF(OR($G10="NULL",$G10="KOŞULLU"),"V7 zaten "&amp;$G10,IF($K10="HATA",IF(Q10="KOŞULLU","YAKALANDI","SESSİZ HATA"),IF(OR($K10="TEMİZ",$K10="ÖNEMSİZ"),IF(Q10="KOŞULLU","YANLIŞ ALARM","DOĞRU SESSİZ"),IF(Q10="KOŞULLU","BELİRSİZ — işaretlendi","BELİRSİZ — işaretlenmedi"))))</f>
        <v>DOĞRU SESSİZ</v>
      </c>
    </row>
    <row r="11" spans="1:20" x14ac:dyDescent="0.2">
      <c r="A11" s="8" t="s">
        <v>762</v>
      </c>
      <c r="B11" s="8" t="s">
        <v>525</v>
      </c>
      <c r="C11" s="8" t="s">
        <v>83</v>
      </c>
      <c r="D11" s="8" t="s">
        <v>290</v>
      </c>
      <c r="E11" s="10">
        <v>10272.89</v>
      </c>
      <c r="F11" s="10">
        <v>-7173.424</v>
      </c>
      <c r="G11" s="8" t="s">
        <v>204</v>
      </c>
      <c r="H11" s="8">
        <v>0</v>
      </c>
      <c r="I11" s="8">
        <v>0</v>
      </c>
      <c r="J11" s="8">
        <v>0</v>
      </c>
      <c r="K11" s="8" t="s">
        <v>100</v>
      </c>
      <c r="L11" s="5" t="s">
        <v>763</v>
      </c>
      <c r="M11" s="5" t="s">
        <v>767</v>
      </c>
      <c r="N11" s="10"/>
      <c r="O11" s="8" t="str">
        <f>G11</f>
        <v>KESİN</v>
      </c>
      <c r="P11" s="8" t="str">
        <f>IF(OR(G11="NULL",G11="KOŞULLU"),G11,IF(OR(I11=1,J11=1),"KOŞULLU",G11))</f>
        <v>KESİN</v>
      </c>
      <c r="Q11" s="8" t="str">
        <f>IF(OR(G11="NULL",G11="KOŞULLU"),G11,IF(J11=1,"KOŞULLU",G11))</f>
        <v>KESİN</v>
      </c>
      <c r="R11" s="8" t="str">
        <f>IF(OR($G11="NULL",$G11="KOŞULLU"),"V7 zaten "&amp;$G11,IF($K11="HATA",IF(O11="KOŞULLU","YAKALANDI","SESSİZ HATA"),IF(OR($K11="TEMİZ",$K11="ÖNEMSİZ"),IF(O11="KOŞULLU","YANLIŞ ALARM","DOĞRU SESSİZ"),IF(O11="KOŞULLU","BELİRSİZ — işaretlendi","BELİRSİZ — işaretlenmedi"))))</f>
        <v>DOĞRU SESSİZ</v>
      </c>
      <c r="S11" s="8" t="str">
        <f>IF(OR($G11="NULL",$G11="KOŞULLU"),"V7 zaten "&amp;$G11,IF($K11="HATA",IF(P11="KOŞULLU","YAKALANDI","SESSİZ HATA"),IF(OR($K11="TEMİZ",$K11="ÖNEMSİZ"),IF(P11="KOŞULLU","YANLIŞ ALARM","DOĞRU SESSİZ"),IF(P11="KOŞULLU","BELİRSİZ — işaretlendi","BELİRSİZ — işaretlenmedi"))))</f>
        <v>DOĞRU SESSİZ</v>
      </c>
      <c r="T11" s="8" t="str">
        <f>IF(OR($G11="NULL",$G11="KOŞULLU"),"V7 zaten "&amp;$G11,IF($K11="HATA",IF(Q11="KOŞULLU","YAKALANDI","SESSİZ HATA"),IF(OR($K11="TEMİZ",$K11="ÖNEMSİZ"),IF(Q11="KOŞULLU","YANLIŞ ALARM","DOĞRU SESSİZ"),IF(Q11="KOŞULLU","BELİRSİZ — işaretlendi","BELİRSİZ — işaretlenmedi"))))</f>
        <v>DOĞRU SESSİZ</v>
      </c>
    </row>
    <row r="12" spans="1:20" x14ac:dyDescent="0.2">
      <c r="A12" s="8" t="s">
        <v>762</v>
      </c>
      <c r="B12" s="8" t="s">
        <v>525</v>
      </c>
      <c r="C12" s="8" t="s">
        <v>83</v>
      </c>
      <c r="D12" s="8" t="s">
        <v>208</v>
      </c>
      <c r="E12" s="10">
        <v>10329.85</v>
      </c>
      <c r="F12" s="10">
        <v>-16113.521000000001</v>
      </c>
      <c r="G12" s="8" t="s">
        <v>204</v>
      </c>
      <c r="H12" s="8">
        <v>0</v>
      </c>
      <c r="I12" s="8">
        <v>0</v>
      </c>
      <c r="J12" s="8">
        <v>0</v>
      </c>
      <c r="K12" s="8" t="s">
        <v>100</v>
      </c>
      <c r="L12" s="5" t="s">
        <v>763</v>
      </c>
      <c r="M12" s="5" t="s">
        <v>767</v>
      </c>
      <c r="N12" s="10"/>
      <c r="O12" s="8" t="str">
        <f>G12</f>
        <v>KESİN</v>
      </c>
      <c r="P12" s="8" t="str">
        <f>IF(OR(G12="NULL",G12="KOŞULLU"),G12,IF(OR(I12=1,J12=1),"KOŞULLU",G12))</f>
        <v>KESİN</v>
      </c>
      <c r="Q12" s="8" t="str">
        <f>IF(OR(G12="NULL",G12="KOŞULLU"),G12,IF(J12=1,"KOŞULLU",G12))</f>
        <v>KESİN</v>
      </c>
      <c r="R12" s="8" t="str">
        <f>IF(OR($G12="NULL",$G12="KOŞULLU"),"V7 zaten "&amp;$G12,IF($K12="HATA",IF(O12="KOŞULLU","YAKALANDI","SESSİZ HATA"),IF(OR($K12="TEMİZ",$K12="ÖNEMSİZ"),IF(O12="KOŞULLU","YANLIŞ ALARM","DOĞRU SESSİZ"),IF(O12="KOŞULLU","BELİRSİZ — işaretlendi","BELİRSİZ — işaretlenmedi"))))</f>
        <v>DOĞRU SESSİZ</v>
      </c>
      <c r="S12" s="8" t="str">
        <f>IF(OR($G12="NULL",$G12="KOŞULLU"),"V7 zaten "&amp;$G12,IF($K12="HATA",IF(P12="KOŞULLU","YAKALANDI","SESSİZ HATA"),IF(OR($K12="TEMİZ",$K12="ÖNEMSİZ"),IF(P12="KOŞULLU","YANLIŞ ALARM","DOĞRU SESSİZ"),IF(P12="KOŞULLU","BELİRSİZ — işaretlendi","BELİRSİZ — işaretlenmedi"))))</f>
        <v>DOĞRU SESSİZ</v>
      </c>
      <c r="T12" s="8" t="str">
        <f>IF(OR($G12="NULL",$G12="KOŞULLU"),"V7 zaten "&amp;$G12,IF($K12="HATA",IF(Q12="KOŞULLU","YAKALANDI","SESSİZ HATA"),IF(OR($K12="TEMİZ",$K12="ÖNEMSİZ"),IF(Q12="KOŞULLU","YANLIŞ ALARM","DOĞRU SESSİZ"),IF(Q12="KOŞULLU","BELİRSİZ — işaretlendi","BELİRSİZ — işaretlenmedi"))))</f>
        <v>DOĞRU SESSİZ</v>
      </c>
    </row>
    <row r="13" spans="1:20" x14ac:dyDescent="0.2">
      <c r="A13" s="8" t="s">
        <v>762</v>
      </c>
      <c r="B13" s="8" t="s">
        <v>525</v>
      </c>
      <c r="C13" s="8" t="s">
        <v>83</v>
      </c>
      <c r="D13" s="8" t="s">
        <v>210</v>
      </c>
      <c r="E13" s="10">
        <v>9645.9089999999997</v>
      </c>
      <c r="F13" s="10">
        <v>-30816.057000000001</v>
      </c>
      <c r="G13" s="8" t="s">
        <v>204</v>
      </c>
      <c r="H13" s="8">
        <v>0</v>
      </c>
      <c r="I13" s="8">
        <v>0</v>
      </c>
      <c r="J13" s="8">
        <v>0</v>
      </c>
      <c r="K13" s="8" t="s">
        <v>100</v>
      </c>
      <c r="L13" s="5" t="s">
        <v>763</v>
      </c>
      <c r="M13" s="5" t="s">
        <v>767</v>
      </c>
      <c r="N13" s="10"/>
      <c r="O13" s="8" t="str">
        <f>G13</f>
        <v>KESİN</v>
      </c>
      <c r="P13" s="8" t="str">
        <f>IF(OR(G13="NULL",G13="KOŞULLU"),G13,IF(OR(I13=1,J13=1),"KOŞULLU",G13))</f>
        <v>KESİN</v>
      </c>
      <c r="Q13" s="8" t="str">
        <f>IF(OR(G13="NULL",G13="KOŞULLU"),G13,IF(J13=1,"KOŞULLU",G13))</f>
        <v>KESİN</v>
      </c>
      <c r="R13" s="8" t="str">
        <f>IF(OR($G13="NULL",$G13="KOŞULLU"),"V7 zaten "&amp;$G13,IF($K13="HATA",IF(O13="KOŞULLU","YAKALANDI","SESSİZ HATA"),IF(OR($K13="TEMİZ",$K13="ÖNEMSİZ"),IF(O13="KOŞULLU","YANLIŞ ALARM","DOĞRU SESSİZ"),IF(O13="KOŞULLU","BELİRSİZ — işaretlendi","BELİRSİZ — işaretlenmedi"))))</f>
        <v>DOĞRU SESSİZ</v>
      </c>
      <c r="S13" s="8" t="str">
        <f>IF(OR($G13="NULL",$G13="KOŞULLU"),"V7 zaten "&amp;$G13,IF($K13="HATA",IF(P13="KOŞULLU","YAKALANDI","SESSİZ HATA"),IF(OR($K13="TEMİZ",$K13="ÖNEMSİZ"),IF(P13="KOŞULLU","YANLIŞ ALARM","DOĞRU SESSİZ"),IF(P13="KOŞULLU","BELİRSİZ — işaretlendi","BELİRSİZ — işaretlenmedi"))))</f>
        <v>DOĞRU SESSİZ</v>
      </c>
      <c r="T13" s="8" t="str">
        <f>IF(OR($G13="NULL",$G13="KOŞULLU"),"V7 zaten "&amp;$G13,IF($K13="HATA",IF(Q13="KOŞULLU","YAKALANDI","SESSİZ HATA"),IF(OR($K13="TEMİZ",$K13="ÖNEMSİZ"),IF(Q13="KOŞULLU","YANLIŞ ALARM","DOĞRU SESSİZ"),IF(Q13="KOŞULLU","BELİRSİZ — işaretlendi","BELİRSİZ — işaretlenmedi"))))</f>
        <v>DOĞRU SESSİZ</v>
      </c>
    </row>
    <row r="14" spans="1:20" x14ac:dyDescent="0.2">
      <c r="A14" s="8" t="s">
        <v>762</v>
      </c>
      <c r="B14" s="8" t="s">
        <v>494</v>
      </c>
      <c r="C14" s="8" t="s">
        <v>82</v>
      </c>
      <c r="D14" s="8" t="s">
        <v>203</v>
      </c>
      <c r="E14" s="10">
        <v>10.598000000000001</v>
      </c>
      <c r="F14" s="10">
        <v>-382.30900000000003</v>
      </c>
      <c r="G14" s="8" t="s">
        <v>204</v>
      </c>
      <c r="H14" s="8">
        <v>0</v>
      </c>
      <c r="I14" s="8">
        <v>0</v>
      </c>
      <c r="J14" s="8">
        <v>0</v>
      </c>
      <c r="K14" s="8" t="s">
        <v>100</v>
      </c>
      <c r="L14" s="5" t="s">
        <v>763</v>
      </c>
      <c r="M14" s="5" t="s">
        <v>764</v>
      </c>
      <c r="N14" s="10"/>
      <c r="O14" s="8" t="str">
        <f>G14</f>
        <v>KESİN</v>
      </c>
      <c r="P14" s="8" t="str">
        <f>IF(OR(G14="NULL",G14="KOŞULLU"),G14,IF(OR(I14=1,J14=1),"KOŞULLU",G14))</f>
        <v>KESİN</v>
      </c>
      <c r="Q14" s="8" t="str">
        <f>IF(OR(G14="NULL",G14="KOŞULLU"),G14,IF(J14=1,"KOŞULLU",G14))</f>
        <v>KESİN</v>
      </c>
      <c r="R14" s="8" t="str">
        <f>IF(OR($G14="NULL",$G14="KOŞULLU"),"V7 zaten "&amp;$G14,IF($K14="HATA",IF(O14="KOŞULLU","YAKALANDI","SESSİZ HATA"),IF(OR($K14="TEMİZ",$K14="ÖNEMSİZ"),IF(O14="KOŞULLU","YANLIŞ ALARM","DOĞRU SESSİZ"),IF(O14="KOŞULLU","BELİRSİZ — işaretlendi","BELİRSİZ — işaretlenmedi"))))</f>
        <v>DOĞRU SESSİZ</v>
      </c>
      <c r="S14" s="8" t="str">
        <f>IF(OR($G14="NULL",$G14="KOŞULLU"),"V7 zaten "&amp;$G14,IF($K14="HATA",IF(P14="KOŞULLU","YAKALANDI","SESSİZ HATA"),IF(OR($K14="TEMİZ",$K14="ÖNEMSİZ"),IF(P14="KOŞULLU","YANLIŞ ALARM","DOĞRU SESSİZ"),IF(P14="KOŞULLU","BELİRSİZ — işaretlendi","BELİRSİZ — işaretlenmedi"))))</f>
        <v>DOĞRU SESSİZ</v>
      </c>
      <c r="T14" s="8" t="str">
        <f>IF(OR($G14="NULL",$G14="KOŞULLU"),"V7 zaten "&amp;$G14,IF($K14="HATA",IF(Q14="KOŞULLU","YAKALANDI","SESSİZ HATA"),IF(OR($K14="TEMİZ",$K14="ÖNEMSİZ"),IF(Q14="KOŞULLU","YANLIŞ ALARM","DOĞRU SESSİZ"),IF(Q14="KOŞULLU","BELİRSİZ — işaretlendi","BELİRSİZ — işaretlenmedi"))))</f>
        <v>DOĞRU SESSİZ</v>
      </c>
    </row>
    <row r="15" spans="1:20" x14ac:dyDescent="0.2">
      <c r="A15" s="8" t="s">
        <v>762</v>
      </c>
      <c r="B15" s="8" t="s">
        <v>494</v>
      </c>
      <c r="C15" s="8" t="s">
        <v>82</v>
      </c>
      <c r="D15" s="8" t="s">
        <v>205</v>
      </c>
      <c r="E15" s="10">
        <v>21.85</v>
      </c>
      <c r="F15" s="10">
        <v>-380.238</v>
      </c>
      <c r="G15" s="8" t="s">
        <v>204</v>
      </c>
      <c r="H15" s="8">
        <v>0</v>
      </c>
      <c r="I15" s="8">
        <v>0</v>
      </c>
      <c r="J15" s="8">
        <v>0</v>
      </c>
      <c r="K15" s="8" t="s">
        <v>100</v>
      </c>
      <c r="L15" s="5" t="s">
        <v>763</v>
      </c>
      <c r="M15" s="5" t="s">
        <v>768</v>
      </c>
      <c r="N15" s="10"/>
      <c r="O15" s="8" t="str">
        <f>G15</f>
        <v>KESİN</v>
      </c>
      <c r="P15" s="8" t="str">
        <f>IF(OR(G15="NULL",G15="KOŞULLU"),G15,IF(OR(I15=1,J15=1),"KOŞULLU",G15))</f>
        <v>KESİN</v>
      </c>
      <c r="Q15" s="8" t="str">
        <f>IF(OR(G15="NULL",G15="KOŞULLU"),G15,IF(J15=1,"KOŞULLU",G15))</f>
        <v>KESİN</v>
      </c>
      <c r="R15" s="8" t="str">
        <f>IF(OR($G15="NULL",$G15="KOŞULLU"),"V7 zaten "&amp;$G15,IF($K15="HATA",IF(O15="KOŞULLU","YAKALANDI","SESSİZ HATA"),IF(OR($K15="TEMİZ",$K15="ÖNEMSİZ"),IF(O15="KOŞULLU","YANLIŞ ALARM","DOĞRU SESSİZ"),IF(O15="KOŞULLU","BELİRSİZ — işaretlendi","BELİRSİZ — işaretlenmedi"))))</f>
        <v>DOĞRU SESSİZ</v>
      </c>
      <c r="S15" s="8" t="str">
        <f>IF(OR($G15="NULL",$G15="KOŞULLU"),"V7 zaten "&amp;$G15,IF($K15="HATA",IF(P15="KOŞULLU","YAKALANDI","SESSİZ HATA"),IF(OR($K15="TEMİZ",$K15="ÖNEMSİZ"),IF(P15="KOŞULLU","YANLIŞ ALARM","DOĞRU SESSİZ"),IF(P15="KOŞULLU","BELİRSİZ — işaretlendi","BELİRSİZ — işaretlenmedi"))))</f>
        <v>DOĞRU SESSİZ</v>
      </c>
      <c r="T15" s="8" t="str">
        <f>IF(OR($G15="NULL",$G15="KOŞULLU"),"V7 zaten "&amp;$G15,IF($K15="HATA",IF(Q15="KOŞULLU","YAKALANDI","SESSİZ HATA"),IF(OR($K15="TEMİZ",$K15="ÖNEMSİZ"),IF(Q15="KOŞULLU","YANLIŞ ALARM","DOĞRU SESSİZ"),IF(Q15="KOŞULLU","BELİRSİZ — işaretlendi","BELİRSİZ — işaretlenmedi"))))</f>
        <v>DOĞRU SESSİZ</v>
      </c>
    </row>
    <row r="16" spans="1:20" x14ac:dyDescent="0.2">
      <c r="A16" s="8" t="s">
        <v>762</v>
      </c>
      <c r="B16" s="8" t="s">
        <v>494</v>
      </c>
      <c r="C16" s="8" t="s">
        <v>82</v>
      </c>
      <c r="D16" s="8" t="s">
        <v>215</v>
      </c>
      <c r="E16" s="10">
        <v>9.3620000000000001</v>
      </c>
      <c r="F16" s="10">
        <v>148.70400000000001</v>
      </c>
      <c r="G16" s="8" t="s">
        <v>204</v>
      </c>
      <c r="H16" s="8">
        <v>0</v>
      </c>
      <c r="I16" s="8">
        <v>0</v>
      </c>
      <c r="J16" s="8">
        <v>0</v>
      </c>
      <c r="K16" s="8" t="s">
        <v>100</v>
      </c>
      <c r="L16" s="5" t="s">
        <v>763</v>
      </c>
      <c r="M16" s="5" t="s">
        <v>764</v>
      </c>
      <c r="N16" s="10"/>
      <c r="O16" s="8" t="str">
        <f>G16</f>
        <v>KESİN</v>
      </c>
      <c r="P16" s="8" t="str">
        <f>IF(OR(G16="NULL",G16="KOŞULLU"),G16,IF(OR(I16=1,J16=1),"KOŞULLU",G16))</f>
        <v>KESİN</v>
      </c>
      <c r="Q16" s="8" t="str">
        <f>IF(OR(G16="NULL",G16="KOŞULLU"),G16,IF(J16=1,"KOŞULLU",G16))</f>
        <v>KESİN</v>
      </c>
      <c r="R16" s="8" t="str">
        <f>IF(OR($G16="NULL",$G16="KOŞULLU"),"V7 zaten "&amp;$G16,IF($K16="HATA",IF(O16="KOŞULLU","YAKALANDI","SESSİZ HATA"),IF(OR($K16="TEMİZ",$K16="ÖNEMSİZ"),IF(O16="KOŞULLU","YANLIŞ ALARM","DOĞRU SESSİZ"),IF(O16="KOŞULLU","BELİRSİZ — işaretlendi","BELİRSİZ — işaretlenmedi"))))</f>
        <v>DOĞRU SESSİZ</v>
      </c>
      <c r="S16" s="8" t="str">
        <f>IF(OR($G16="NULL",$G16="KOŞULLU"),"V7 zaten "&amp;$G16,IF($K16="HATA",IF(P16="KOŞULLU","YAKALANDI","SESSİZ HATA"),IF(OR($K16="TEMİZ",$K16="ÖNEMSİZ"),IF(P16="KOŞULLU","YANLIŞ ALARM","DOĞRU SESSİZ"),IF(P16="KOŞULLU","BELİRSİZ — işaretlendi","BELİRSİZ — işaretlenmedi"))))</f>
        <v>DOĞRU SESSİZ</v>
      </c>
      <c r="T16" s="8" t="str">
        <f>IF(OR($G16="NULL",$G16="KOŞULLU"),"V7 zaten "&amp;$G16,IF($K16="HATA",IF(Q16="KOŞULLU","YAKALANDI","SESSİZ HATA"),IF(OR($K16="TEMİZ",$K16="ÖNEMSİZ"),IF(Q16="KOŞULLU","YANLIŞ ALARM","DOĞRU SESSİZ"),IF(Q16="KOŞULLU","BELİRSİZ — işaretlendi","BELİRSİZ — işaretlenmedi"))))</f>
        <v>DOĞRU SESSİZ</v>
      </c>
    </row>
    <row r="17" spans="1:20" x14ac:dyDescent="0.2">
      <c r="A17" s="8" t="s">
        <v>762</v>
      </c>
      <c r="B17" s="8" t="s">
        <v>494</v>
      </c>
      <c r="C17" s="8" t="s">
        <v>82</v>
      </c>
      <c r="D17" s="8" t="s">
        <v>290</v>
      </c>
      <c r="E17" s="10">
        <v>5.657</v>
      </c>
      <c r="F17" s="10">
        <v>136.79400000000001</v>
      </c>
      <c r="G17" s="8" t="s">
        <v>204</v>
      </c>
      <c r="H17" s="8">
        <v>0</v>
      </c>
      <c r="I17" s="8">
        <v>0</v>
      </c>
      <c r="J17" s="8">
        <v>0</v>
      </c>
      <c r="K17" s="8" t="s">
        <v>100</v>
      </c>
      <c r="L17" s="5" t="s">
        <v>763</v>
      </c>
      <c r="M17" s="5" t="s">
        <v>764</v>
      </c>
      <c r="N17" s="10"/>
      <c r="O17" s="8" t="str">
        <f>G17</f>
        <v>KESİN</v>
      </c>
      <c r="P17" s="8" t="str">
        <f>IF(OR(G17="NULL",G17="KOŞULLU"),G17,IF(OR(I17=1,J17=1),"KOŞULLU",G17))</f>
        <v>KESİN</v>
      </c>
      <c r="Q17" s="8" t="str">
        <f>IF(OR(G17="NULL",G17="KOŞULLU"),G17,IF(J17=1,"KOŞULLU",G17))</f>
        <v>KESİN</v>
      </c>
      <c r="R17" s="8" t="str">
        <f>IF(OR($G17="NULL",$G17="KOŞULLU"),"V7 zaten "&amp;$G17,IF($K17="HATA",IF(O17="KOŞULLU","YAKALANDI","SESSİZ HATA"),IF(OR($K17="TEMİZ",$K17="ÖNEMSİZ"),IF(O17="KOŞULLU","YANLIŞ ALARM","DOĞRU SESSİZ"),IF(O17="KOŞULLU","BELİRSİZ — işaretlendi","BELİRSİZ — işaretlenmedi"))))</f>
        <v>DOĞRU SESSİZ</v>
      </c>
      <c r="S17" s="8" t="str">
        <f>IF(OR($G17="NULL",$G17="KOŞULLU"),"V7 zaten "&amp;$G17,IF($K17="HATA",IF(P17="KOŞULLU","YAKALANDI","SESSİZ HATA"),IF(OR($K17="TEMİZ",$K17="ÖNEMSİZ"),IF(P17="KOŞULLU","YANLIŞ ALARM","DOĞRU SESSİZ"),IF(P17="KOŞULLU","BELİRSİZ — işaretlendi","BELİRSİZ — işaretlenmedi"))))</f>
        <v>DOĞRU SESSİZ</v>
      </c>
      <c r="T17" s="8" t="str">
        <f>IF(OR($G17="NULL",$G17="KOŞULLU"),"V7 zaten "&amp;$G17,IF($K17="HATA",IF(Q17="KOŞULLU","YAKALANDI","SESSİZ HATA"),IF(OR($K17="TEMİZ",$K17="ÖNEMSİZ"),IF(Q17="KOŞULLU","YANLIŞ ALARM","DOĞRU SESSİZ"),IF(Q17="KOŞULLU","BELİRSİZ — işaretlendi","BELİRSİZ — işaretlenmedi"))))</f>
        <v>DOĞRU SESSİZ</v>
      </c>
    </row>
    <row r="18" spans="1:20" x14ac:dyDescent="0.2">
      <c r="A18" s="8" t="s">
        <v>762</v>
      </c>
      <c r="B18" s="8" t="s">
        <v>494</v>
      </c>
      <c r="C18" s="8" t="s">
        <v>82</v>
      </c>
      <c r="D18" s="8" t="s">
        <v>208</v>
      </c>
      <c r="E18" s="10">
        <v>6.2850000000000001</v>
      </c>
      <c r="F18" s="10">
        <v>105.51300000000001</v>
      </c>
      <c r="G18" s="8" t="s">
        <v>204</v>
      </c>
      <c r="H18" s="8">
        <v>0</v>
      </c>
      <c r="I18" s="8">
        <v>0</v>
      </c>
      <c r="J18" s="8">
        <v>0</v>
      </c>
      <c r="K18" s="8" t="s">
        <v>100</v>
      </c>
      <c r="L18" s="5" t="s">
        <v>763</v>
      </c>
      <c r="M18" s="5" t="s">
        <v>764</v>
      </c>
      <c r="N18" s="10"/>
      <c r="O18" s="8" t="str">
        <f>G18</f>
        <v>KESİN</v>
      </c>
      <c r="P18" s="8" t="str">
        <f>IF(OR(G18="NULL",G18="KOŞULLU"),G18,IF(OR(I18=1,J18=1),"KOŞULLU",G18))</f>
        <v>KESİN</v>
      </c>
      <c r="Q18" s="8" t="str">
        <f>IF(OR(G18="NULL",G18="KOŞULLU"),G18,IF(J18=1,"KOŞULLU",G18))</f>
        <v>KESİN</v>
      </c>
      <c r="R18" s="8" t="str">
        <f>IF(OR($G18="NULL",$G18="KOŞULLU"),"V7 zaten "&amp;$G18,IF($K18="HATA",IF(O18="KOŞULLU","YAKALANDI","SESSİZ HATA"),IF(OR($K18="TEMİZ",$K18="ÖNEMSİZ"),IF(O18="KOŞULLU","YANLIŞ ALARM","DOĞRU SESSİZ"),IF(O18="KOŞULLU","BELİRSİZ — işaretlendi","BELİRSİZ — işaretlenmedi"))))</f>
        <v>DOĞRU SESSİZ</v>
      </c>
      <c r="S18" s="8" t="str">
        <f>IF(OR($G18="NULL",$G18="KOŞULLU"),"V7 zaten "&amp;$G18,IF($K18="HATA",IF(P18="KOŞULLU","YAKALANDI","SESSİZ HATA"),IF(OR($K18="TEMİZ",$K18="ÖNEMSİZ"),IF(P18="KOŞULLU","YANLIŞ ALARM","DOĞRU SESSİZ"),IF(P18="KOŞULLU","BELİRSİZ — işaretlendi","BELİRSİZ — işaretlenmedi"))))</f>
        <v>DOĞRU SESSİZ</v>
      </c>
      <c r="T18" s="8" t="str">
        <f>IF(OR($G18="NULL",$G18="KOŞULLU"),"V7 zaten "&amp;$G18,IF($K18="HATA",IF(Q18="KOŞULLU","YAKALANDI","SESSİZ HATA"),IF(OR($K18="TEMİZ",$K18="ÖNEMSİZ"),IF(Q18="KOŞULLU","YANLIŞ ALARM","DOĞRU SESSİZ"),IF(Q18="KOŞULLU","BELİRSİZ — işaretlendi","BELİRSİZ — işaretlenmedi"))))</f>
        <v>DOĞRU SESSİZ</v>
      </c>
    </row>
    <row r="19" spans="1:20" x14ac:dyDescent="0.2">
      <c r="A19" s="8" t="s">
        <v>762</v>
      </c>
      <c r="B19" s="8" t="s">
        <v>494</v>
      </c>
      <c r="C19" s="8" t="s">
        <v>82</v>
      </c>
      <c r="D19" s="8" t="s">
        <v>210</v>
      </c>
      <c r="E19" s="10">
        <v>0</v>
      </c>
      <c r="F19" s="10">
        <v>-6.2880000000000003</v>
      </c>
      <c r="G19" s="8" t="s">
        <v>204</v>
      </c>
      <c r="H19" s="8">
        <v>1</v>
      </c>
      <c r="I19" s="8">
        <v>0</v>
      </c>
      <c r="J19" s="8">
        <v>1</v>
      </c>
      <c r="K19" s="8" t="s">
        <v>98</v>
      </c>
      <c r="L19" s="5" t="s">
        <v>769</v>
      </c>
      <c r="M19" s="5" t="s">
        <v>766</v>
      </c>
      <c r="N19" s="10"/>
      <c r="O19" s="8" t="str">
        <f>G19</f>
        <v>KESİN</v>
      </c>
      <c r="P19" s="8" t="str">
        <f>IF(OR(G19="NULL",G19="KOŞULLU"),G19,IF(OR(I19=1,J19=1),"KOŞULLU",G19))</f>
        <v>KOŞULLU</v>
      </c>
      <c r="Q19" s="8" t="str">
        <f>IF(OR(G19="NULL",G19="KOŞULLU"),G19,IF(J19=1,"KOŞULLU",G19))</f>
        <v>KOŞULLU</v>
      </c>
      <c r="R19" s="8" t="str">
        <f>IF(OR($G19="NULL",$G19="KOŞULLU"),"V7 zaten "&amp;$G19,IF($K19="HATA",IF(O19="KOŞULLU","YAKALANDI","SESSİZ HATA"),IF(OR($K19="TEMİZ",$K19="ÖNEMSİZ"),IF(O19="KOŞULLU","YANLIŞ ALARM","DOĞRU SESSİZ"),IF(O19="KOŞULLU","BELİRSİZ — işaretlendi","BELİRSİZ — işaretlenmedi"))))</f>
        <v>SESSİZ HATA</v>
      </c>
      <c r="S19" s="8" t="str">
        <f>IF(OR($G19="NULL",$G19="KOŞULLU"),"V7 zaten "&amp;$G19,IF($K19="HATA",IF(P19="KOŞULLU","YAKALANDI","SESSİZ HATA"),IF(OR($K19="TEMİZ",$K19="ÖNEMSİZ"),IF(P19="KOŞULLU","YANLIŞ ALARM","DOĞRU SESSİZ"),IF(P19="KOŞULLU","BELİRSİZ — işaretlendi","BELİRSİZ — işaretlenmedi"))))</f>
        <v>YAKALANDI</v>
      </c>
      <c r="T19" s="8" t="str">
        <f>IF(OR($G19="NULL",$G19="KOŞULLU"),"V7 zaten "&amp;$G19,IF($K19="HATA",IF(Q19="KOŞULLU","YAKALANDI","SESSİZ HATA"),IF(OR($K19="TEMİZ",$K19="ÖNEMSİZ"),IF(Q19="KOŞULLU","YANLIŞ ALARM","DOĞRU SESSİZ"),IF(Q19="KOŞULLU","BELİRSİZ — işaretlendi","BELİRSİZ — işaretlenmedi"))))</f>
        <v>YAKALANDI</v>
      </c>
    </row>
    <row r="20" spans="1:20" x14ac:dyDescent="0.2">
      <c r="A20" s="8" t="s">
        <v>762</v>
      </c>
      <c r="B20" s="8" t="s">
        <v>494</v>
      </c>
      <c r="C20" s="8" t="s">
        <v>83</v>
      </c>
      <c r="D20" s="8" t="s">
        <v>203</v>
      </c>
      <c r="E20" s="10">
        <v>150.435</v>
      </c>
      <c r="F20" s="10">
        <v>-382.30900000000003</v>
      </c>
      <c r="G20" s="8" t="s">
        <v>204</v>
      </c>
      <c r="H20" s="8">
        <v>0</v>
      </c>
      <c r="I20" s="8">
        <v>0</v>
      </c>
      <c r="J20" s="8">
        <v>0</v>
      </c>
      <c r="K20" s="8" t="s">
        <v>100</v>
      </c>
      <c r="L20" s="5" t="s">
        <v>763</v>
      </c>
      <c r="M20" s="5" t="s">
        <v>767</v>
      </c>
      <c r="N20" s="10"/>
      <c r="O20" s="8" t="str">
        <f>G20</f>
        <v>KESİN</v>
      </c>
      <c r="P20" s="8" t="str">
        <f>IF(OR(G20="NULL",G20="KOŞULLU"),G20,IF(OR(I20=1,J20=1),"KOŞULLU",G20))</f>
        <v>KESİN</v>
      </c>
      <c r="Q20" s="8" t="str">
        <f>IF(OR(G20="NULL",G20="KOŞULLU"),G20,IF(J20=1,"KOŞULLU",G20))</f>
        <v>KESİN</v>
      </c>
      <c r="R20" s="8" t="str">
        <f>IF(OR($G20="NULL",$G20="KOŞULLU"),"V7 zaten "&amp;$G20,IF($K20="HATA",IF(O20="KOŞULLU","YAKALANDI","SESSİZ HATA"),IF(OR($K20="TEMİZ",$K20="ÖNEMSİZ"),IF(O20="KOŞULLU","YANLIŞ ALARM","DOĞRU SESSİZ"),IF(O20="KOŞULLU","BELİRSİZ — işaretlendi","BELİRSİZ — işaretlenmedi"))))</f>
        <v>DOĞRU SESSİZ</v>
      </c>
      <c r="S20" s="8" t="str">
        <f>IF(OR($G20="NULL",$G20="KOŞULLU"),"V7 zaten "&amp;$G20,IF($K20="HATA",IF(P20="KOŞULLU","YAKALANDI","SESSİZ HATA"),IF(OR($K20="TEMİZ",$K20="ÖNEMSİZ"),IF(P20="KOŞULLU","YANLIŞ ALARM","DOĞRU SESSİZ"),IF(P20="KOŞULLU","BELİRSİZ — işaretlendi","BELİRSİZ — işaretlenmedi"))))</f>
        <v>DOĞRU SESSİZ</v>
      </c>
      <c r="T20" s="8" t="str">
        <f>IF(OR($G20="NULL",$G20="KOŞULLU"),"V7 zaten "&amp;$G20,IF($K20="HATA",IF(Q20="KOŞULLU","YAKALANDI","SESSİZ HATA"),IF(OR($K20="TEMİZ",$K20="ÖNEMSİZ"),IF(Q20="KOŞULLU","YANLIŞ ALARM","DOĞRU SESSİZ"),IF(Q20="KOŞULLU","BELİRSİZ — işaretlendi","BELİRSİZ — işaretlenmedi"))))</f>
        <v>DOĞRU SESSİZ</v>
      </c>
    </row>
    <row r="21" spans="1:20" x14ac:dyDescent="0.2">
      <c r="A21" s="8" t="s">
        <v>762</v>
      </c>
      <c r="B21" s="8" t="s">
        <v>494</v>
      </c>
      <c r="C21" s="8" t="s">
        <v>83</v>
      </c>
      <c r="D21" s="8" t="s">
        <v>205</v>
      </c>
      <c r="E21" s="10">
        <v>152.64099999999999</v>
      </c>
      <c r="F21" s="10">
        <v>-380.238</v>
      </c>
      <c r="G21" s="8" t="s">
        <v>204</v>
      </c>
      <c r="H21" s="8">
        <v>0</v>
      </c>
      <c r="I21" s="8">
        <v>0</v>
      </c>
      <c r="J21" s="8">
        <v>0</v>
      </c>
      <c r="K21" s="8" t="s">
        <v>100</v>
      </c>
      <c r="L21" s="5" t="s">
        <v>763</v>
      </c>
      <c r="M21" s="5" t="s">
        <v>767</v>
      </c>
      <c r="N21" s="10"/>
      <c r="O21" s="8" t="str">
        <f>G21</f>
        <v>KESİN</v>
      </c>
      <c r="P21" s="8" t="str">
        <f>IF(OR(G21="NULL",G21="KOŞULLU"),G21,IF(OR(I21=1,J21=1),"KOŞULLU",G21))</f>
        <v>KESİN</v>
      </c>
      <c r="Q21" s="8" t="str">
        <f>IF(OR(G21="NULL",G21="KOŞULLU"),G21,IF(J21=1,"KOŞULLU",G21))</f>
        <v>KESİN</v>
      </c>
      <c r="R21" s="8" t="str">
        <f>IF(OR($G21="NULL",$G21="KOŞULLU"),"V7 zaten "&amp;$G21,IF($K21="HATA",IF(O21="KOŞULLU","YAKALANDI","SESSİZ HATA"),IF(OR($K21="TEMİZ",$K21="ÖNEMSİZ"),IF(O21="KOŞULLU","YANLIŞ ALARM","DOĞRU SESSİZ"),IF(O21="KOŞULLU","BELİRSİZ — işaretlendi","BELİRSİZ — işaretlenmedi"))))</f>
        <v>DOĞRU SESSİZ</v>
      </c>
      <c r="S21" s="8" t="str">
        <f>IF(OR($G21="NULL",$G21="KOŞULLU"),"V7 zaten "&amp;$G21,IF($K21="HATA",IF(P21="KOŞULLU","YAKALANDI","SESSİZ HATA"),IF(OR($K21="TEMİZ",$K21="ÖNEMSİZ"),IF(P21="KOŞULLU","YANLIŞ ALARM","DOĞRU SESSİZ"),IF(P21="KOŞULLU","BELİRSİZ — işaretlendi","BELİRSİZ — işaretlenmedi"))))</f>
        <v>DOĞRU SESSİZ</v>
      </c>
      <c r="T21" s="8" t="str">
        <f>IF(OR($G21="NULL",$G21="KOŞULLU"),"V7 zaten "&amp;$G21,IF($K21="HATA",IF(Q21="KOŞULLU","YAKALANDI","SESSİZ HATA"),IF(OR($K21="TEMİZ",$K21="ÖNEMSİZ"),IF(Q21="KOŞULLU","YANLIŞ ALARM","DOĞRU SESSİZ"),IF(Q21="KOŞULLU","BELİRSİZ — işaretlendi","BELİRSİZ — işaretlenmedi"))))</f>
        <v>DOĞRU SESSİZ</v>
      </c>
    </row>
    <row r="22" spans="1:20" x14ac:dyDescent="0.2">
      <c r="A22" s="8" t="s">
        <v>762</v>
      </c>
      <c r="B22" s="8" t="s">
        <v>494</v>
      </c>
      <c r="C22" s="8" t="s">
        <v>83</v>
      </c>
      <c r="D22" s="8" t="s">
        <v>215</v>
      </c>
      <c r="E22" s="10">
        <v>147.86600000000001</v>
      </c>
      <c r="F22" s="10">
        <v>148.70400000000001</v>
      </c>
      <c r="G22" s="8" t="s">
        <v>204</v>
      </c>
      <c r="H22" s="8">
        <v>0</v>
      </c>
      <c r="I22" s="8">
        <v>0</v>
      </c>
      <c r="J22" s="8">
        <v>0</v>
      </c>
      <c r="K22" s="8" t="s">
        <v>100</v>
      </c>
      <c r="L22" s="5" t="s">
        <v>763</v>
      </c>
      <c r="M22" s="5" t="s">
        <v>767</v>
      </c>
      <c r="N22" s="10"/>
      <c r="O22" s="8" t="str">
        <f>G22</f>
        <v>KESİN</v>
      </c>
      <c r="P22" s="8" t="str">
        <f>IF(OR(G22="NULL",G22="KOŞULLU"),G22,IF(OR(I22=1,J22=1),"KOŞULLU",G22))</f>
        <v>KESİN</v>
      </c>
      <c r="Q22" s="8" t="str">
        <f>IF(OR(G22="NULL",G22="KOŞULLU"),G22,IF(J22=1,"KOŞULLU",G22))</f>
        <v>KESİN</v>
      </c>
      <c r="R22" s="8" t="str">
        <f>IF(OR($G22="NULL",$G22="KOŞULLU"),"V7 zaten "&amp;$G22,IF($K22="HATA",IF(O22="KOŞULLU","YAKALANDI","SESSİZ HATA"),IF(OR($K22="TEMİZ",$K22="ÖNEMSİZ"),IF(O22="KOŞULLU","YANLIŞ ALARM","DOĞRU SESSİZ"),IF(O22="KOŞULLU","BELİRSİZ — işaretlendi","BELİRSİZ — işaretlenmedi"))))</f>
        <v>DOĞRU SESSİZ</v>
      </c>
      <c r="S22" s="8" t="str">
        <f>IF(OR($G22="NULL",$G22="KOŞULLU"),"V7 zaten "&amp;$G22,IF($K22="HATA",IF(P22="KOŞULLU","YAKALANDI","SESSİZ HATA"),IF(OR($K22="TEMİZ",$K22="ÖNEMSİZ"),IF(P22="KOŞULLU","YANLIŞ ALARM","DOĞRU SESSİZ"),IF(P22="KOŞULLU","BELİRSİZ — işaretlendi","BELİRSİZ — işaretlenmedi"))))</f>
        <v>DOĞRU SESSİZ</v>
      </c>
      <c r="T22" s="8" t="str">
        <f>IF(OR($G22="NULL",$G22="KOŞULLU"),"V7 zaten "&amp;$G22,IF($K22="HATA",IF(Q22="KOŞULLU","YAKALANDI","SESSİZ HATA"),IF(OR($K22="TEMİZ",$K22="ÖNEMSİZ"),IF(Q22="KOŞULLU","YANLIŞ ALARM","DOĞRU SESSİZ"),IF(Q22="KOŞULLU","BELİRSİZ — işaretlendi","BELİRSİZ — işaretlenmedi"))))</f>
        <v>DOĞRU SESSİZ</v>
      </c>
    </row>
    <row r="23" spans="1:20" x14ac:dyDescent="0.2">
      <c r="A23" s="8" t="s">
        <v>762</v>
      </c>
      <c r="B23" s="8" t="s">
        <v>494</v>
      </c>
      <c r="C23" s="8" t="s">
        <v>83</v>
      </c>
      <c r="D23" s="8" t="s">
        <v>290</v>
      </c>
      <c r="E23" s="10">
        <v>39.356000000000002</v>
      </c>
      <c r="F23" s="10">
        <v>136.79400000000001</v>
      </c>
      <c r="G23" s="8" t="s">
        <v>204</v>
      </c>
      <c r="H23" s="8">
        <v>0</v>
      </c>
      <c r="I23" s="8">
        <v>0</v>
      </c>
      <c r="J23" s="8">
        <v>0</v>
      </c>
      <c r="K23" s="8" t="s">
        <v>100</v>
      </c>
      <c r="L23" s="5" t="s">
        <v>763</v>
      </c>
      <c r="M23" s="5" t="s">
        <v>767</v>
      </c>
      <c r="N23" s="10"/>
      <c r="O23" s="8" t="str">
        <f>G23</f>
        <v>KESİN</v>
      </c>
      <c r="P23" s="8" t="str">
        <f>IF(OR(G23="NULL",G23="KOŞULLU"),G23,IF(OR(I23=1,J23=1),"KOŞULLU",G23))</f>
        <v>KESİN</v>
      </c>
      <c r="Q23" s="8" t="str">
        <f>IF(OR(G23="NULL",G23="KOŞULLU"),G23,IF(J23=1,"KOŞULLU",G23))</f>
        <v>KESİN</v>
      </c>
      <c r="R23" s="8" t="str">
        <f>IF(OR($G23="NULL",$G23="KOŞULLU"),"V7 zaten "&amp;$G23,IF($K23="HATA",IF(O23="KOŞULLU","YAKALANDI","SESSİZ HATA"),IF(OR($K23="TEMİZ",$K23="ÖNEMSİZ"),IF(O23="KOŞULLU","YANLIŞ ALARM","DOĞRU SESSİZ"),IF(O23="KOŞULLU","BELİRSİZ — işaretlendi","BELİRSİZ — işaretlenmedi"))))</f>
        <v>DOĞRU SESSİZ</v>
      </c>
      <c r="S23" s="8" t="str">
        <f>IF(OR($G23="NULL",$G23="KOŞULLU"),"V7 zaten "&amp;$G23,IF($K23="HATA",IF(P23="KOŞULLU","YAKALANDI","SESSİZ HATA"),IF(OR($K23="TEMİZ",$K23="ÖNEMSİZ"),IF(P23="KOŞULLU","YANLIŞ ALARM","DOĞRU SESSİZ"),IF(P23="KOŞULLU","BELİRSİZ — işaretlendi","BELİRSİZ — işaretlenmedi"))))</f>
        <v>DOĞRU SESSİZ</v>
      </c>
      <c r="T23" s="8" t="str">
        <f>IF(OR($G23="NULL",$G23="KOŞULLU"),"V7 zaten "&amp;$G23,IF($K23="HATA",IF(Q23="KOŞULLU","YAKALANDI","SESSİZ HATA"),IF(OR($K23="TEMİZ",$K23="ÖNEMSİZ"),IF(Q23="KOŞULLU","YANLIŞ ALARM","DOĞRU SESSİZ"),IF(Q23="KOŞULLU","BELİRSİZ — işaretlendi","BELİRSİZ — işaretlenmedi"))))</f>
        <v>DOĞRU SESSİZ</v>
      </c>
    </row>
    <row r="24" spans="1:20" x14ac:dyDescent="0.2">
      <c r="A24" s="8" t="s">
        <v>762</v>
      </c>
      <c r="B24" s="8" t="s">
        <v>494</v>
      </c>
      <c r="C24" s="8" t="s">
        <v>83</v>
      </c>
      <c r="D24" s="8" t="s">
        <v>208</v>
      </c>
      <c r="E24" s="10">
        <v>35</v>
      </c>
      <c r="F24" s="10">
        <v>105.51300000000001</v>
      </c>
      <c r="G24" s="8" t="s">
        <v>204</v>
      </c>
      <c r="H24" s="8">
        <v>0</v>
      </c>
      <c r="I24" s="8">
        <v>0</v>
      </c>
      <c r="J24" s="8">
        <v>0</v>
      </c>
      <c r="K24" s="8" t="s">
        <v>100</v>
      </c>
      <c r="L24" s="5" t="s">
        <v>763</v>
      </c>
      <c r="M24" s="5" t="s">
        <v>767</v>
      </c>
      <c r="N24" s="10"/>
      <c r="O24" s="8" t="str">
        <f>G24</f>
        <v>KESİN</v>
      </c>
      <c r="P24" s="8" t="str">
        <f>IF(OR(G24="NULL",G24="KOŞULLU"),G24,IF(OR(I24=1,J24=1),"KOŞULLU",G24))</f>
        <v>KESİN</v>
      </c>
      <c r="Q24" s="8" t="str">
        <f>IF(OR(G24="NULL",G24="KOŞULLU"),G24,IF(J24=1,"KOŞULLU",G24))</f>
        <v>KESİN</v>
      </c>
      <c r="R24" s="8" t="str">
        <f>IF(OR($G24="NULL",$G24="KOŞULLU"),"V7 zaten "&amp;$G24,IF($K24="HATA",IF(O24="KOŞULLU","YAKALANDI","SESSİZ HATA"),IF(OR($K24="TEMİZ",$K24="ÖNEMSİZ"),IF(O24="KOŞULLU","YANLIŞ ALARM","DOĞRU SESSİZ"),IF(O24="KOŞULLU","BELİRSİZ — işaretlendi","BELİRSİZ — işaretlenmedi"))))</f>
        <v>DOĞRU SESSİZ</v>
      </c>
      <c r="S24" s="8" t="str">
        <f>IF(OR($G24="NULL",$G24="KOŞULLU"),"V7 zaten "&amp;$G24,IF($K24="HATA",IF(P24="KOŞULLU","YAKALANDI","SESSİZ HATA"),IF(OR($K24="TEMİZ",$K24="ÖNEMSİZ"),IF(P24="KOŞULLU","YANLIŞ ALARM","DOĞRU SESSİZ"),IF(P24="KOŞULLU","BELİRSİZ — işaretlendi","BELİRSİZ — işaretlenmedi"))))</f>
        <v>DOĞRU SESSİZ</v>
      </c>
      <c r="T24" s="8" t="str">
        <f>IF(OR($G24="NULL",$G24="KOŞULLU"),"V7 zaten "&amp;$G24,IF($K24="HATA",IF(Q24="KOŞULLU","YAKALANDI","SESSİZ HATA"),IF(OR($K24="TEMİZ",$K24="ÖNEMSİZ"),IF(Q24="KOŞULLU","YANLIŞ ALARM","DOĞRU SESSİZ"),IF(Q24="KOŞULLU","BELİRSİZ — işaretlendi","BELİRSİZ — işaretlenmedi"))))</f>
        <v>DOĞRU SESSİZ</v>
      </c>
    </row>
    <row r="25" spans="1:20" x14ac:dyDescent="0.2">
      <c r="A25" s="8" t="s">
        <v>762</v>
      </c>
      <c r="B25" s="8" t="s">
        <v>494</v>
      </c>
      <c r="C25" s="8" t="s">
        <v>83</v>
      </c>
      <c r="D25" s="8" t="s">
        <v>210</v>
      </c>
      <c r="E25" s="10">
        <v>31.948</v>
      </c>
      <c r="F25" s="10">
        <v>-6.2880000000000003</v>
      </c>
      <c r="G25" s="8" t="s">
        <v>204</v>
      </c>
      <c r="H25" s="8">
        <v>0</v>
      </c>
      <c r="I25" s="8">
        <v>0</v>
      </c>
      <c r="J25" s="8">
        <v>0</v>
      </c>
      <c r="K25" s="8" t="s">
        <v>100</v>
      </c>
      <c r="L25" s="5" t="s">
        <v>763</v>
      </c>
      <c r="M25" s="5" t="s">
        <v>767</v>
      </c>
      <c r="N25" s="10"/>
      <c r="O25" s="8" t="str">
        <f>G25</f>
        <v>KESİN</v>
      </c>
      <c r="P25" s="8" t="str">
        <f>IF(OR(G25="NULL",G25="KOŞULLU"),G25,IF(OR(I25=1,J25=1),"KOŞULLU",G25))</f>
        <v>KESİN</v>
      </c>
      <c r="Q25" s="8" t="str">
        <f>IF(OR(G25="NULL",G25="KOŞULLU"),G25,IF(J25=1,"KOŞULLU",G25))</f>
        <v>KESİN</v>
      </c>
      <c r="R25" s="8" t="str">
        <f>IF(OR($G25="NULL",$G25="KOŞULLU"),"V7 zaten "&amp;$G25,IF($K25="HATA",IF(O25="KOŞULLU","YAKALANDI","SESSİZ HATA"),IF(OR($K25="TEMİZ",$K25="ÖNEMSİZ"),IF(O25="KOŞULLU","YANLIŞ ALARM","DOĞRU SESSİZ"),IF(O25="KOŞULLU","BELİRSİZ — işaretlendi","BELİRSİZ — işaretlenmedi"))))</f>
        <v>DOĞRU SESSİZ</v>
      </c>
      <c r="S25" s="8" t="str">
        <f>IF(OR($G25="NULL",$G25="KOŞULLU"),"V7 zaten "&amp;$G25,IF($K25="HATA",IF(P25="KOŞULLU","YAKALANDI","SESSİZ HATA"),IF(OR($K25="TEMİZ",$K25="ÖNEMSİZ"),IF(P25="KOŞULLU","YANLIŞ ALARM","DOĞRU SESSİZ"),IF(P25="KOŞULLU","BELİRSİZ — işaretlendi","BELİRSİZ — işaretlenmedi"))))</f>
        <v>DOĞRU SESSİZ</v>
      </c>
      <c r="T25" s="8" t="str">
        <f>IF(OR($G25="NULL",$G25="KOŞULLU"),"V7 zaten "&amp;$G25,IF($K25="HATA",IF(Q25="KOŞULLU","YAKALANDI","SESSİZ HATA"),IF(OR($K25="TEMİZ",$K25="ÖNEMSİZ"),IF(Q25="KOŞULLU","YANLIŞ ALARM","DOĞRU SESSİZ"),IF(Q25="KOŞULLU","BELİRSİZ — işaretlendi","BELİRSİZ — işaretlenmedi"))))</f>
        <v>DOĞRU SESSİZ</v>
      </c>
    </row>
    <row r="26" spans="1:20" x14ac:dyDescent="0.2">
      <c r="A26" s="8" t="s">
        <v>762</v>
      </c>
      <c r="B26" s="8" t="s">
        <v>515</v>
      </c>
      <c r="C26" s="8" t="s">
        <v>82</v>
      </c>
      <c r="D26" s="8" t="s">
        <v>203</v>
      </c>
      <c r="E26" s="10">
        <v>0</v>
      </c>
      <c r="F26" s="10">
        <v>3703.6190000000001</v>
      </c>
      <c r="G26" s="8" t="s">
        <v>204</v>
      </c>
      <c r="H26" s="8">
        <v>1</v>
      </c>
      <c r="I26" s="8">
        <v>0</v>
      </c>
      <c r="J26" s="8">
        <v>1</v>
      </c>
      <c r="K26" s="8" t="s">
        <v>98</v>
      </c>
      <c r="L26" s="5" t="s">
        <v>769</v>
      </c>
      <c r="M26" s="5" t="s">
        <v>766</v>
      </c>
      <c r="N26" s="10"/>
      <c r="O26" s="8" t="str">
        <f>G26</f>
        <v>KESİN</v>
      </c>
      <c r="P26" s="8" t="str">
        <f>IF(OR(G26="NULL",G26="KOŞULLU"),G26,IF(OR(I26=1,J26=1),"KOŞULLU",G26))</f>
        <v>KOŞULLU</v>
      </c>
      <c r="Q26" s="8" t="str">
        <f>IF(OR(G26="NULL",G26="KOŞULLU"),G26,IF(J26=1,"KOŞULLU",G26))</f>
        <v>KOŞULLU</v>
      </c>
      <c r="R26" s="8" t="str">
        <f>IF(OR($G26="NULL",$G26="KOŞULLU"),"V7 zaten "&amp;$G26,IF($K26="HATA",IF(O26="KOŞULLU","YAKALANDI","SESSİZ HATA"),IF(OR($K26="TEMİZ",$K26="ÖNEMSİZ"),IF(O26="KOŞULLU","YANLIŞ ALARM","DOĞRU SESSİZ"),IF(O26="KOŞULLU","BELİRSİZ — işaretlendi","BELİRSİZ — işaretlenmedi"))))</f>
        <v>SESSİZ HATA</v>
      </c>
      <c r="S26" s="8" t="str">
        <f>IF(OR($G26="NULL",$G26="KOŞULLU"),"V7 zaten "&amp;$G26,IF($K26="HATA",IF(P26="KOŞULLU","YAKALANDI","SESSİZ HATA"),IF(OR($K26="TEMİZ",$K26="ÖNEMSİZ"),IF(P26="KOŞULLU","YANLIŞ ALARM","DOĞRU SESSİZ"),IF(P26="KOŞULLU","BELİRSİZ — işaretlendi","BELİRSİZ — işaretlenmedi"))))</f>
        <v>YAKALANDI</v>
      </c>
      <c r="T26" s="8" t="str">
        <f>IF(OR($G26="NULL",$G26="KOŞULLU"),"V7 zaten "&amp;$G26,IF($K26="HATA",IF(Q26="KOŞULLU","YAKALANDI","SESSİZ HATA"),IF(OR($K26="TEMİZ",$K26="ÖNEMSİZ"),IF(Q26="KOŞULLU","YANLIŞ ALARM","DOĞRU SESSİZ"),IF(Q26="KOŞULLU","BELİRSİZ — işaretlendi","BELİRSİZ — işaretlenmedi"))))</f>
        <v>YAKALANDI</v>
      </c>
    </row>
    <row r="27" spans="1:20" x14ac:dyDescent="0.2">
      <c r="A27" s="8" t="s">
        <v>762</v>
      </c>
      <c r="B27" s="8" t="s">
        <v>515</v>
      </c>
      <c r="C27" s="8" t="s">
        <v>82</v>
      </c>
      <c r="D27" s="8" t="s">
        <v>205</v>
      </c>
      <c r="E27" s="10">
        <v>0</v>
      </c>
      <c r="F27" s="10">
        <v>3468.6660000000002</v>
      </c>
      <c r="G27" s="8" t="s">
        <v>204</v>
      </c>
      <c r="H27" s="8">
        <v>1</v>
      </c>
      <c r="I27" s="8">
        <v>0</v>
      </c>
      <c r="J27" s="8">
        <v>1</v>
      </c>
      <c r="K27" s="8" t="s">
        <v>98</v>
      </c>
      <c r="L27" s="5" t="s">
        <v>769</v>
      </c>
      <c r="M27" s="5" t="s">
        <v>766</v>
      </c>
      <c r="N27" s="10"/>
      <c r="O27" s="8" t="str">
        <f>G27</f>
        <v>KESİN</v>
      </c>
      <c r="P27" s="8" t="str">
        <f>IF(OR(G27="NULL",G27="KOŞULLU"),G27,IF(OR(I27=1,J27=1),"KOŞULLU",G27))</f>
        <v>KOŞULLU</v>
      </c>
      <c r="Q27" s="8" t="str">
        <f>IF(OR(G27="NULL",G27="KOŞULLU"),G27,IF(J27=1,"KOŞULLU",G27))</f>
        <v>KOŞULLU</v>
      </c>
      <c r="R27" s="8" t="str">
        <f>IF(OR($G27="NULL",$G27="KOŞULLU"),"V7 zaten "&amp;$G27,IF($K27="HATA",IF(O27="KOŞULLU","YAKALANDI","SESSİZ HATA"),IF(OR($K27="TEMİZ",$K27="ÖNEMSİZ"),IF(O27="KOŞULLU","YANLIŞ ALARM","DOĞRU SESSİZ"),IF(O27="KOŞULLU","BELİRSİZ — işaretlendi","BELİRSİZ — işaretlenmedi"))))</f>
        <v>SESSİZ HATA</v>
      </c>
      <c r="S27" s="8" t="str">
        <f>IF(OR($G27="NULL",$G27="KOŞULLU"),"V7 zaten "&amp;$G27,IF($K27="HATA",IF(P27="KOŞULLU","YAKALANDI","SESSİZ HATA"),IF(OR($K27="TEMİZ",$K27="ÖNEMSİZ"),IF(P27="KOŞULLU","YANLIŞ ALARM","DOĞRU SESSİZ"),IF(P27="KOŞULLU","BELİRSİZ — işaretlendi","BELİRSİZ — işaretlenmedi"))))</f>
        <v>YAKALANDI</v>
      </c>
      <c r="T27" s="8" t="str">
        <f>IF(OR($G27="NULL",$G27="KOŞULLU"),"V7 zaten "&amp;$G27,IF($K27="HATA",IF(Q27="KOŞULLU","YAKALANDI","SESSİZ HATA"),IF(OR($K27="TEMİZ",$K27="ÖNEMSİZ"),IF(Q27="KOŞULLU","YANLIŞ ALARM","DOĞRU SESSİZ"),IF(Q27="KOŞULLU","BELİRSİZ — işaretlendi","BELİRSİZ — işaretlenmedi"))))</f>
        <v>YAKALANDI</v>
      </c>
    </row>
    <row r="28" spans="1:20" x14ac:dyDescent="0.2">
      <c r="A28" s="8" t="s">
        <v>762</v>
      </c>
      <c r="B28" s="8" t="s">
        <v>515</v>
      </c>
      <c r="C28" s="8" t="s">
        <v>82</v>
      </c>
      <c r="D28" s="8" t="s">
        <v>215</v>
      </c>
      <c r="E28" s="10">
        <v>90.228999999999999</v>
      </c>
      <c r="F28" s="10">
        <v>-2596.7939999999999</v>
      </c>
      <c r="G28" s="8" t="s">
        <v>204</v>
      </c>
      <c r="H28" s="8">
        <v>0</v>
      </c>
      <c r="I28" s="8">
        <v>0</v>
      </c>
      <c r="J28" s="8">
        <v>1</v>
      </c>
      <c r="K28" s="8" t="s">
        <v>98</v>
      </c>
      <c r="L28" s="5" t="s">
        <v>769</v>
      </c>
      <c r="M28" s="5" t="s">
        <v>770</v>
      </c>
      <c r="N28" s="10"/>
      <c r="O28" s="8" t="str">
        <f>G28</f>
        <v>KESİN</v>
      </c>
      <c r="P28" s="8" t="str">
        <f>IF(OR(G28="NULL",G28="KOŞULLU"),G28,IF(OR(I28=1,J28=1),"KOŞULLU",G28))</f>
        <v>KOŞULLU</v>
      </c>
      <c r="Q28" s="8" t="str">
        <f>IF(OR(G28="NULL",G28="KOŞULLU"),G28,IF(J28=1,"KOŞULLU",G28))</f>
        <v>KOŞULLU</v>
      </c>
      <c r="R28" s="8" t="str">
        <f>IF(OR($G28="NULL",$G28="KOŞULLU"),"V7 zaten "&amp;$G28,IF($K28="HATA",IF(O28="KOŞULLU","YAKALANDI","SESSİZ HATA"),IF(OR($K28="TEMİZ",$K28="ÖNEMSİZ"),IF(O28="KOŞULLU","YANLIŞ ALARM","DOĞRU SESSİZ"),IF(O28="KOŞULLU","BELİRSİZ — işaretlendi","BELİRSİZ — işaretlenmedi"))))</f>
        <v>SESSİZ HATA</v>
      </c>
      <c r="S28" s="8" t="str">
        <f>IF(OR($G28="NULL",$G28="KOŞULLU"),"V7 zaten "&amp;$G28,IF($K28="HATA",IF(P28="KOŞULLU","YAKALANDI","SESSİZ HATA"),IF(OR($K28="TEMİZ",$K28="ÖNEMSİZ"),IF(P28="KOŞULLU","YANLIŞ ALARM","DOĞRU SESSİZ"),IF(P28="KOŞULLU","BELİRSİZ — işaretlendi","BELİRSİZ — işaretlenmedi"))))</f>
        <v>YAKALANDI</v>
      </c>
      <c r="T28" s="8" t="str">
        <f>IF(OR($G28="NULL",$G28="KOŞULLU"),"V7 zaten "&amp;$G28,IF($K28="HATA",IF(Q28="KOŞULLU","YAKALANDI","SESSİZ HATA"),IF(OR($K28="TEMİZ",$K28="ÖNEMSİZ"),IF(Q28="KOŞULLU","YANLIŞ ALARM","DOĞRU SESSİZ"),IF(Q28="KOŞULLU","BELİRSİZ — işaretlendi","BELİRSİZ — işaretlenmedi"))))</f>
        <v>YAKALANDI</v>
      </c>
    </row>
    <row r="29" spans="1:20" x14ac:dyDescent="0.2">
      <c r="A29" s="8" t="s">
        <v>762</v>
      </c>
      <c r="B29" s="8" t="s">
        <v>515</v>
      </c>
      <c r="C29" s="8" t="s">
        <v>82</v>
      </c>
      <c r="D29" s="8" t="s">
        <v>290</v>
      </c>
      <c r="E29" s="10">
        <v>325.791</v>
      </c>
      <c r="F29" s="10">
        <v>-759.45500000000004</v>
      </c>
      <c r="G29" s="8" t="s">
        <v>204</v>
      </c>
      <c r="H29" s="8">
        <v>0</v>
      </c>
      <c r="I29" s="8">
        <v>0</v>
      </c>
      <c r="J29" s="8">
        <v>0</v>
      </c>
      <c r="K29" s="8" t="s">
        <v>100</v>
      </c>
      <c r="L29" s="5" t="s">
        <v>763</v>
      </c>
      <c r="M29" s="5" t="s">
        <v>764</v>
      </c>
      <c r="N29" s="10"/>
      <c r="O29" s="8" t="str">
        <f>G29</f>
        <v>KESİN</v>
      </c>
      <c r="P29" s="8" t="str">
        <f>IF(OR(G29="NULL",G29="KOŞULLU"),G29,IF(OR(I29=1,J29=1),"KOŞULLU",G29))</f>
        <v>KESİN</v>
      </c>
      <c r="Q29" s="8" t="str">
        <f>IF(OR(G29="NULL",G29="KOŞULLU"),G29,IF(J29=1,"KOŞULLU",G29))</f>
        <v>KESİN</v>
      </c>
      <c r="R29" s="8" t="str">
        <f>IF(OR($G29="NULL",$G29="KOŞULLU"),"V7 zaten "&amp;$G29,IF($K29="HATA",IF(O29="KOŞULLU","YAKALANDI","SESSİZ HATA"),IF(OR($K29="TEMİZ",$K29="ÖNEMSİZ"),IF(O29="KOŞULLU","YANLIŞ ALARM","DOĞRU SESSİZ"),IF(O29="KOŞULLU","BELİRSİZ — işaretlendi","BELİRSİZ — işaretlenmedi"))))</f>
        <v>DOĞRU SESSİZ</v>
      </c>
      <c r="S29" s="8" t="str">
        <f>IF(OR($G29="NULL",$G29="KOŞULLU"),"V7 zaten "&amp;$G29,IF($K29="HATA",IF(P29="KOŞULLU","YAKALANDI","SESSİZ HATA"),IF(OR($K29="TEMİZ",$K29="ÖNEMSİZ"),IF(P29="KOŞULLU","YANLIŞ ALARM","DOĞRU SESSİZ"),IF(P29="KOŞULLU","BELİRSİZ — işaretlendi","BELİRSİZ — işaretlenmedi"))))</f>
        <v>DOĞRU SESSİZ</v>
      </c>
      <c r="T29" s="8" t="str">
        <f>IF(OR($G29="NULL",$G29="KOŞULLU"),"V7 zaten "&amp;$G29,IF($K29="HATA",IF(Q29="KOŞULLU","YAKALANDI","SESSİZ HATA"),IF(OR($K29="TEMİZ",$K29="ÖNEMSİZ"),IF(Q29="KOŞULLU","YANLIŞ ALARM","DOĞRU SESSİZ"),IF(Q29="KOŞULLU","BELİRSİZ — işaretlendi","BELİRSİZ — işaretlenmedi"))))</f>
        <v>DOĞRU SESSİZ</v>
      </c>
    </row>
    <row r="30" spans="1:20" x14ac:dyDescent="0.2">
      <c r="A30" s="8" t="s">
        <v>762</v>
      </c>
      <c r="B30" s="8" t="s">
        <v>515</v>
      </c>
      <c r="C30" s="8" t="s">
        <v>82</v>
      </c>
      <c r="D30" s="8" t="s">
        <v>208</v>
      </c>
      <c r="E30" s="10">
        <v>344.41199999999998</v>
      </c>
      <c r="F30" s="10">
        <v>1559.5989999999999</v>
      </c>
      <c r="G30" s="8" t="s">
        <v>204</v>
      </c>
      <c r="H30" s="8">
        <v>0</v>
      </c>
      <c r="I30" s="8">
        <v>0</v>
      </c>
      <c r="J30" s="8">
        <v>0</v>
      </c>
      <c r="K30" s="8" t="s">
        <v>100</v>
      </c>
      <c r="L30" s="5" t="s">
        <v>763</v>
      </c>
      <c r="M30" s="5" t="s">
        <v>764</v>
      </c>
      <c r="N30" s="10"/>
      <c r="O30" s="8" t="str">
        <f>G30</f>
        <v>KESİN</v>
      </c>
      <c r="P30" s="8" t="str">
        <f>IF(OR(G30="NULL",G30="KOŞULLU"),G30,IF(OR(I30=1,J30=1),"KOŞULLU",G30))</f>
        <v>KESİN</v>
      </c>
      <c r="Q30" s="8" t="str">
        <f>IF(OR(G30="NULL",G30="KOŞULLU"),G30,IF(J30=1,"KOŞULLU",G30))</f>
        <v>KESİN</v>
      </c>
      <c r="R30" s="8" t="str">
        <f>IF(OR($G30="NULL",$G30="KOŞULLU"),"V7 zaten "&amp;$G30,IF($K30="HATA",IF(O30="KOŞULLU","YAKALANDI","SESSİZ HATA"),IF(OR($K30="TEMİZ",$K30="ÖNEMSİZ"),IF(O30="KOŞULLU","YANLIŞ ALARM","DOĞRU SESSİZ"),IF(O30="KOŞULLU","BELİRSİZ — işaretlendi","BELİRSİZ — işaretlenmedi"))))</f>
        <v>DOĞRU SESSİZ</v>
      </c>
      <c r="S30" s="8" t="str">
        <f>IF(OR($G30="NULL",$G30="KOŞULLU"),"V7 zaten "&amp;$G30,IF($K30="HATA",IF(P30="KOŞULLU","YAKALANDI","SESSİZ HATA"),IF(OR($K30="TEMİZ",$K30="ÖNEMSİZ"),IF(P30="KOŞULLU","YANLIŞ ALARM","DOĞRU SESSİZ"),IF(P30="KOŞULLU","BELİRSİZ — işaretlendi","BELİRSİZ — işaretlenmedi"))))</f>
        <v>DOĞRU SESSİZ</v>
      </c>
      <c r="T30" s="8" t="str">
        <f>IF(OR($G30="NULL",$G30="KOŞULLU"),"V7 zaten "&amp;$G30,IF($K30="HATA",IF(Q30="KOŞULLU","YAKALANDI","SESSİZ HATA"),IF(OR($K30="TEMİZ",$K30="ÖNEMSİZ"),IF(Q30="KOŞULLU","YANLIŞ ALARM","DOĞRU SESSİZ"),IF(Q30="KOŞULLU","BELİRSİZ — işaretlendi","BELİRSİZ — işaretlenmedi"))))</f>
        <v>DOĞRU SESSİZ</v>
      </c>
    </row>
    <row r="31" spans="1:20" x14ac:dyDescent="0.2">
      <c r="A31" s="8" t="s">
        <v>762</v>
      </c>
      <c r="B31" s="8" t="s">
        <v>515</v>
      </c>
      <c r="C31" s="8" t="s">
        <v>82</v>
      </c>
      <c r="D31" s="8" t="s">
        <v>210</v>
      </c>
      <c r="E31" s="10">
        <v>353.82100000000003</v>
      </c>
      <c r="F31" s="10">
        <v>-124.327</v>
      </c>
      <c r="G31" s="8" t="s">
        <v>204</v>
      </c>
      <c r="H31" s="8">
        <v>0</v>
      </c>
      <c r="I31" s="8">
        <v>0</v>
      </c>
      <c r="J31" s="8">
        <v>0</v>
      </c>
      <c r="K31" s="8" t="s">
        <v>100</v>
      </c>
      <c r="L31" s="5" t="s">
        <v>763</v>
      </c>
      <c r="M31" s="5" t="s">
        <v>764</v>
      </c>
      <c r="N31" s="10"/>
      <c r="O31" s="8" t="str">
        <f>G31</f>
        <v>KESİN</v>
      </c>
      <c r="P31" s="8" t="str">
        <f>IF(OR(G31="NULL",G31="KOŞULLU"),G31,IF(OR(I31=1,J31=1),"KOŞULLU",G31))</f>
        <v>KESİN</v>
      </c>
      <c r="Q31" s="8" t="str">
        <f>IF(OR(G31="NULL",G31="KOŞULLU"),G31,IF(J31=1,"KOŞULLU",G31))</f>
        <v>KESİN</v>
      </c>
      <c r="R31" s="8" t="str">
        <f>IF(OR($G31="NULL",$G31="KOŞULLU"),"V7 zaten "&amp;$G31,IF($K31="HATA",IF(O31="KOŞULLU","YAKALANDI","SESSİZ HATA"),IF(OR($K31="TEMİZ",$K31="ÖNEMSİZ"),IF(O31="KOŞULLU","YANLIŞ ALARM","DOĞRU SESSİZ"),IF(O31="KOŞULLU","BELİRSİZ — işaretlendi","BELİRSİZ — işaretlenmedi"))))</f>
        <v>DOĞRU SESSİZ</v>
      </c>
      <c r="S31" s="8" t="str">
        <f>IF(OR($G31="NULL",$G31="KOŞULLU"),"V7 zaten "&amp;$G31,IF($K31="HATA",IF(P31="KOŞULLU","YAKALANDI","SESSİZ HATA"),IF(OR($K31="TEMİZ",$K31="ÖNEMSİZ"),IF(P31="KOŞULLU","YANLIŞ ALARM","DOĞRU SESSİZ"),IF(P31="KOŞULLU","BELİRSİZ — işaretlendi","BELİRSİZ — işaretlenmedi"))))</f>
        <v>DOĞRU SESSİZ</v>
      </c>
      <c r="T31" s="8" t="str">
        <f>IF(OR($G31="NULL",$G31="KOŞULLU"),"V7 zaten "&amp;$G31,IF($K31="HATA",IF(Q31="KOŞULLU","YAKALANDI","SESSİZ HATA"),IF(OR($K31="TEMİZ",$K31="ÖNEMSİZ"),IF(Q31="KOŞULLU","YANLIŞ ALARM","DOĞRU SESSİZ"),IF(Q31="KOŞULLU","BELİRSİZ — işaretlendi","BELİRSİZ — işaretlenmedi"))))</f>
        <v>DOĞRU SESSİZ</v>
      </c>
    </row>
    <row r="32" spans="1:20" x14ac:dyDescent="0.2">
      <c r="A32" s="8" t="s">
        <v>762</v>
      </c>
      <c r="B32" s="8" t="s">
        <v>515</v>
      </c>
      <c r="C32" s="8" t="s">
        <v>83</v>
      </c>
      <c r="D32" s="8" t="s">
        <v>203</v>
      </c>
      <c r="E32" s="10">
        <v>4895.4679999999998</v>
      </c>
      <c r="F32" s="10">
        <v>3703.6190000000001</v>
      </c>
      <c r="G32" s="8" t="s">
        <v>204</v>
      </c>
      <c r="H32" s="8">
        <v>0</v>
      </c>
      <c r="I32" s="8">
        <v>0</v>
      </c>
      <c r="J32" s="8">
        <v>0</v>
      </c>
      <c r="K32" s="8" t="s">
        <v>100</v>
      </c>
      <c r="L32" s="5" t="s">
        <v>763</v>
      </c>
      <c r="M32" s="5" t="s">
        <v>767</v>
      </c>
      <c r="N32" s="10"/>
      <c r="O32" s="8" t="str">
        <f>G32</f>
        <v>KESİN</v>
      </c>
      <c r="P32" s="8" t="str">
        <f>IF(OR(G32="NULL",G32="KOŞULLU"),G32,IF(OR(I32=1,J32=1),"KOŞULLU",G32))</f>
        <v>KESİN</v>
      </c>
      <c r="Q32" s="8" t="str">
        <f>IF(OR(G32="NULL",G32="KOŞULLU"),G32,IF(J32=1,"KOŞULLU",G32))</f>
        <v>KESİN</v>
      </c>
      <c r="R32" s="8" t="str">
        <f>IF(OR($G32="NULL",$G32="KOŞULLU"),"V7 zaten "&amp;$G32,IF($K32="HATA",IF(O32="KOŞULLU","YAKALANDI","SESSİZ HATA"),IF(OR($K32="TEMİZ",$K32="ÖNEMSİZ"),IF(O32="KOŞULLU","YANLIŞ ALARM","DOĞRU SESSİZ"),IF(O32="KOŞULLU","BELİRSİZ — işaretlendi","BELİRSİZ — işaretlenmedi"))))</f>
        <v>DOĞRU SESSİZ</v>
      </c>
      <c r="S32" s="8" t="str">
        <f>IF(OR($G32="NULL",$G32="KOŞULLU"),"V7 zaten "&amp;$G32,IF($K32="HATA",IF(P32="KOŞULLU","YAKALANDI","SESSİZ HATA"),IF(OR($K32="TEMİZ",$K32="ÖNEMSİZ"),IF(P32="KOŞULLU","YANLIŞ ALARM","DOĞRU SESSİZ"),IF(P32="KOŞULLU","BELİRSİZ — işaretlendi","BELİRSİZ — işaretlenmedi"))))</f>
        <v>DOĞRU SESSİZ</v>
      </c>
      <c r="T32" s="8" t="str">
        <f>IF(OR($G32="NULL",$G32="KOŞULLU"),"V7 zaten "&amp;$G32,IF($K32="HATA",IF(Q32="KOŞULLU","YAKALANDI","SESSİZ HATA"),IF(OR($K32="TEMİZ",$K32="ÖNEMSİZ"),IF(Q32="KOŞULLU","YANLIŞ ALARM","DOĞRU SESSİZ"),IF(Q32="KOŞULLU","BELİRSİZ — işaretlendi","BELİRSİZ — işaretlenmedi"))))</f>
        <v>DOĞRU SESSİZ</v>
      </c>
    </row>
    <row r="33" spans="1:20" x14ac:dyDescent="0.2">
      <c r="A33" s="8" t="s">
        <v>762</v>
      </c>
      <c r="B33" s="8" t="s">
        <v>515</v>
      </c>
      <c r="C33" s="8" t="s">
        <v>83</v>
      </c>
      <c r="D33" s="8" t="s">
        <v>205</v>
      </c>
      <c r="E33" s="10">
        <v>5167.0410000000002</v>
      </c>
      <c r="F33" s="10">
        <v>3468.6660000000002</v>
      </c>
      <c r="G33" s="8" t="s">
        <v>204</v>
      </c>
      <c r="H33" s="8">
        <v>0</v>
      </c>
      <c r="I33" s="8">
        <v>0</v>
      </c>
      <c r="J33" s="8">
        <v>0</v>
      </c>
      <c r="K33" s="8" t="s">
        <v>100</v>
      </c>
      <c r="L33" s="5" t="s">
        <v>763</v>
      </c>
      <c r="M33" s="5" t="s">
        <v>767</v>
      </c>
      <c r="N33" s="10"/>
      <c r="O33" s="8" t="str">
        <f>G33</f>
        <v>KESİN</v>
      </c>
      <c r="P33" s="8" t="str">
        <f>IF(OR(G33="NULL",G33="KOŞULLU"),G33,IF(OR(I33=1,J33=1),"KOŞULLU",G33))</f>
        <v>KESİN</v>
      </c>
      <c r="Q33" s="8" t="str">
        <f>IF(OR(G33="NULL",G33="KOŞULLU"),G33,IF(J33=1,"KOŞULLU",G33))</f>
        <v>KESİN</v>
      </c>
      <c r="R33" s="8" t="str">
        <f>IF(OR($G33="NULL",$G33="KOŞULLU"),"V7 zaten "&amp;$G33,IF($K33="HATA",IF(O33="KOŞULLU","YAKALANDI","SESSİZ HATA"),IF(OR($K33="TEMİZ",$K33="ÖNEMSİZ"),IF(O33="KOŞULLU","YANLIŞ ALARM","DOĞRU SESSİZ"),IF(O33="KOŞULLU","BELİRSİZ — işaretlendi","BELİRSİZ — işaretlenmedi"))))</f>
        <v>DOĞRU SESSİZ</v>
      </c>
      <c r="S33" s="8" t="str">
        <f>IF(OR($G33="NULL",$G33="KOŞULLU"),"V7 zaten "&amp;$G33,IF($K33="HATA",IF(P33="KOŞULLU","YAKALANDI","SESSİZ HATA"),IF(OR($K33="TEMİZ",$K33="ÖNEMSİZ"),IF(P33="KOŞULLU","YANLIŞ ALARM","DOĞRU SESSİZ"),IF(P33="KOŞULLU","BELİRSİZ — işaretlendi","BELİRSİZ — işaretlenmedi"))))</f>
        <v>DOĞRU SESSİZ</v>
      </c>
      <c r="T33" s="8" t="str">
        <f>IF(OR($G33="NULL",$G33="KOŞULLU"),"V7 zaten "&amp;$G33,IF($K33="HATA",IF(Q33="KOŞULLU","YAKALANDI","SESSİZ HATA"),IF(OR($K33="TEMİZ",$K33="ÖNEMSİZ"),IF(Q33="KOŞULLU","YANLIŞ ALARM","DOĞRU SESSİZ"),IF(Q33="KOŞULLU","BELİRSİZ — işaretlendi","BELİRSİZ — işaretlenmedi"))))</f>
        <v>DOĞRU SESSİZ</v>
      </c>
    </row>
    <row r="34" spans="1:20" x14ac:dyDescent="0.2">
      <c r="A34" s="8" t="s">
        <v>762</v>
      </c>
      <c r="B34" s="8" t="s">
        <v>515</v>
      </c>
      <c r="C34" s="8" t="s">
        <v>83</v>
      </c>
      <c r="D34" s="8" t="s">
        <v>215</v>
      </c>
      <c r="E34" s="10">
        <v>4840.2309999999998</v>
      </c>
      <c r="F34" s="10">
        <v>-2596.7939999999999</v>
      </c>
      <c r="G34" s="8" t="s">
        <v>204</v>
      </c>
      <c r="H34" s="8">
        <v>0</v>
      </c>
      <c r="I34" s="8">
        <v>0</v>
      </c>
      <c r="J34" s="8">
        <v>0</v>
      </c>
      <c r="K34" s="8" t="s">
        <v>100</v>
      </c>
      <c r="L34" s="5" t="s">
        <v>763</v>
      </c>
      <c r="M34" s="5" t="s">
        <v>767</v>
      </c>
      <c r="N34" s="10"/>
      <c r="O34" s="8" t="str">
        <f>G34</f>
        <v>KESİN</v>
      </c>
      <c r="P34" s="8" t="str">
        <f>IF(OR(G34="NULL",G34="KOŞULLU"),G34,IF(OR(I34=1,J34=1),"KOŞULLU",G34))</f>
        <v>KESİN</v>
      </c>
      <c r="Q34" s="8" t="str">
        <f>IF(OR(G34="NULL",G34="KOŞULLU"),G34,IF(J34=1,"KOŞULLU",G34))</f>
        <v>KESİN</v>
      </c>
      <c r="R34" s="8" t="str">
        <f>IF(OR($G34="NULL",$G34="KOŞULLU"),"V7 zaten "&amp;$G34,IF($K34="HATA",IF(O34="KOŞULLU","YAKALANDI","SESSİZ HATA"),IF(OR($K34="TEMİZ",$K34="ÖNEMSİZ"),IF(O34="KOŞULLU","YANLIŞ ALARM","DOĞRU SESSİZ"),IF(O34="KOŞULLU","BELİRSİZ — işaretlendi","BELİRSİZ — işaretlenmedi"))))</f>
        <v>DOĞRU SESSİZ</v>
      </c>
      <c r="S34" s="8" t="str">
        <f>IF(OR($G34="NULL",$G34="KOŞULLU"),"V7 zaten "&amp;$G34,IF($K34="HATA",IF(P34="KOŞULLU","YAKALANDI","SESSİZ HATA"),IF(OR($K34="TEMİZ",$K34="ÖNEMSİZ"),IF(P34="KOŞULLU","YANLIŞ ALARM","DOĞRU SESSİZ"),IF(P34="KOŞULLU","BELİRSİZ — işaretlendi","BELİRSİZ — işaretlenmedi"))))</f>
        <v>DOĞRU SESSİZ</v>
      </c>
      <c r="T34" s="8" t="str">
        <f>IF(OR($G34="NULL",$G34="KOŞULLU"),"V7 zaten "&amp;$G34,IF($K34="HATA",IF(Q34="KOŞULLU","YAKALANDI","SESSİZ HATA"),IF(OR($K34="TEMİZ",$K34="ÖNEMSİZ"),IF(Q34="KOŞULLU","YANLIŞ ALARM","DOĞRU SESSİZ"),IF(Q34="KOŞULLU","BELİRSİZ — işaretlendi","BELİRSİZ — işaretlenmedi"))))</f>
        <v>DOĞRU SESSİZ</v>
      </c>
    </row>
    <row r="35" spans="1:20" x14ac:dyDescent="0.2">
      <c r="A35" s="8" t="s">
        <v>762</v>
      </c>
      <c r="B35" s="8" t="s">
        <v>515</v>
      </c>
      <c r="C35" s="8" t="s">
        <v>83</v>
      </c>
      <c r="D35" s="8" t="s">
        <v>290</v>
      </c>
      <c r="E35" s="10">
        <v>5191.1689999999999</v>
      </c>
      <c r="F35" s="10">
        <v>-759.45500000000004</v>
      </c>
      <c r="G35" s="8" t="s">
        <v>204</v>
      </c>
      <c r="H35" s="8">
        <v>0</v>
      </c>
      <c r="I35" s="8">
        <v>0</v>
      </c>
      <c r="J35" s="8">
        <v>0</v>
      </c>
      <c r="K35" s="8" t="s">
        <v>100</v>
      </c>
      <c r="L35" s="5" t="s">
        <v>763</v>
      </c>
      <c r="M35" s="5" t="s">
        <v>767</v>
      </c>
      <c r="N35" s="10"/>
      <c r="O35" s="8" t="str">
        <f>G35</f>
        <v>KESİN</v>
      </c>
      <c r="P35" s="8" t="str">
        <f>IF(OR(G35="NULL",G35="KOŞULLU"),G35,IF(OR(I35=1,J35=1),"KOŞULLU",G35))</f>
        <v>KESİN</v>
      </c>
      <c r="Q35" s="8" t="str">
        <f>IF(OR(G35="NULL",G35="KOŞULLU"),G35,IF(J35=1,"KOŞULLU",G35))</f>
        <v>KESİN</v>
      </c>
      <c r="R35" s="8" t="str">
        <f>IF(OR($G35="NULL",$G35="KOŞULLU"),"V7 zaten "&amp;$G35,IF($K35="HATA",IF(O35="KOŞULLU","YAKALANDI","SESSİZ HATA"),IF(OR($K35="TEMİZ",$K35="ÖNEMSİZ"),IF(O35="KOŞULLU","YANLIŞ ALARM","DOĞRU SESSİZ"),IF(O35="KOŞULLU","BELİRSİZ — işaretlendi","BELİRSİZ — işaretlenmedi"))))</f>
        <v>DOĞRU SESSİZ</v>
      </c>
      <c r="S35" s="8" t="str">
        <f>IF(OR($G35="NULL",$G35="KOŞULLU"),"V7 zaten "&amp;$G35,IF($K35="HATA",IF(P35="KOŞULLU","YAKALANDI","SESSİZ HATA"),IF(OR($K35="TEMİZ",$K35="ÖNEMSİZ"),IF(P35="KOŞULLU","YANLIŞ ALARM","DOĞRU SESSİZ"),IF(P35="KOŞULLU","BELİRSİZ — işaretlendi","BELİRSİZ — işaretlenmedi"))))</f>
        <v>DOĞRU SESSİZ</v>
      </c>
      <c r="T35" s="8" t="str">
        <f>IF(OR($G35="NULL",$G35="KOŞULLU"),"V7 zaten "&amp;$G35,IF($K35="HATA",IF(Q35="KOŞULLU","YAKALANDI","SESSİZ HATA"),IF(OR($K35="TEMİZ",$K35="ÖNEMSİZ"),IF(Q35="KOŞULLU","YANLIŞ ALARM","DOĞRU SESSİZ"),IF(Q35="KOŞULLU","BELİRSİZ — işaretlendi","BELİRSİZ — işaretlenmedi"))))</f>
        <v>DOĞRU SESSİZ</v>
      </c>
    </row>
    <row r="36" spans="1:20" x14ac:dyDescent="0.2">
      <c r="A36" s="8" t="s">
        <v>762</v>
      </c>
      <c r="B36" s="8" t="s">
        <v>515</v>
      </c>
      <c r="C36" s="8" t="s">
        <v>83</v>
      </c>
      <c r="D36" s="8" t="s">
        <v>208</v>
      </c>
      <c r="E36" s="10">
        <v>4717.8100000000004</v>
      </c>
      <c r="F36" s="10">
        <v>1559.5989999999999</v>
      </c>
      <c r="G36" s="8" t="s">
        <v>204</v>
      </c>
      <c r="H36" s="8">
        <v>0</v>
      </c>
      <c r="I36" s="8">
        <v>0</v>
      </c>
      <c r="J36" s="8">
        <v>0</v>
      </c>
      <c r="K36" s="8" t="s">
        <v>100</v>
      </c>
      <c r="L36" s="5" t="s">
        <v>763</v>
      </c>
      <c r="M36" s="5" t="s">
        <v>767</v>
      </c>
      <c r="N36" s="10"/>
      <c r="O36" s="8" t="str">
        <f>G36</f>
        <v>KESİN</v>
      </c>
      <c r="P36" s="8" t="str">
        <f>IF(OR(G36="NULL",G36="KOŞULLU"),G36,IF(OR(I36=1,J36=1),"KOŞULLU",G36))</f>
        <v>KESİN</v>
      </c>
      <c r="Q36" s="8" t="str">
        <f>IF(OR(G36="NULL",G36="KOŞULLU"),G36,IF(J36=1,"KOŞULLU",G36))</f>
        <v>KESİN</v>
      </c>
      <c r="R36" s="8" t="str">
        <f>IF(OR($G36="NULL",$G36="KOŞULLU"),"V7 zaten "&amp;$G36,IF($K36="HATA",IF(O36="KOŞULLU","YAKALANDI","SESSİZ HATA"),IF(OR($K36="TEMİZ",$K36="ÖNEMSİZ"),IF(O36="KOŞULLU","YANLIŞ ALARM","DOĞRU SESSİZ"),IF(O36="KOŞULLU","BELİRSİZ — işaretlendi","BELİRSİZ — işaretlenmedi"))))</f>
        <v>DOĞRU SESSİZ</v>
      </c>
      <c r="S36" s="8" t="str">
        <f>IF(OR($G36="NULL",$G36="KOŞULLU"),"V7 zaten "&amp;$G36,IF($K36="HATA",IF(P36="KOŞULLU","YAKALANDI","SESSİZ HATA"),IF(OR($K36="TEMİZ",$K36="ÖNEMSİZ"),IF(P36="KOŞULLU","YANLIŞ ALARM","DOĞRU SESSİZ"),IF(P36="KOŞULLU","BELİRSİZ — işaretlendi","BELİRSİZ — işaretlenmedi"))))</f>
        <v>DOĞRU SESSİZ</v>
      </c>
      <c r="T36" s="8" t="str">
        <f>IF(OR($G36="NULL",$G36="KOŞULLU"),"V7 zaten "&amp;$G36,IF($K36="HATA",IF(Q36="KOŞULLU","YAKALANDI","SESSİZ HATA"),IF(OR($K36="TEMİZ",$K36="ÖNEMSİZ"),IF(Q36="KOŞULLU","YANLIŞ ALARM","DOĞRU SESSİZ"),IF(Q36="KOŞULLU","BELİRSİZ — işaretlendi","BELİRSİZ — işaretlenmedi"))))</f>
        <v>DOĞRU SESSİZ</v>
      </c>
    </row>
    <row r="37" spans="1:20" x14ac:dyDescent="0.2">
      <c r="A37" s="8" t="s">
        <v>762</v>
      </c>
      <c r="B37" s="8" t="s">
        <v>515</v>
      </c>
      <c r="C37" s="8" t="s">
        <v>83</v>
      </c>
      <c r="D37" s="8" t="s">
        <v>210</v>
      </c>
      <c r="E37" s="10">
        <v>4032.99</v>
      </c>
      <c r="F37" s="10">
        <v>-124.327</v>
      </c>
      <c r="G37" s="8" t="s">
        <v>204</v>
      </c>
      <c r="H37" s="8">
        <v>0</v>
      </c>
      <c r="I37" s="8">
        <v>0</v>
      </c>
      <c r="J37" s="8">
        <v>0</v>
      </c>
      <c r="K37" s="8" t="s">
        <v>100</v>
      </c>
      <c r="L37" s="5" t="s">
        <v>763</v>
      </c>
      <c r="M37" s="5" t="s">
        <v>767</v>
      </c>
      <c r="N37" s="10"/>
      <c r="O37" s="8" t="str">
        <f>G37</f>
        <v>KESİN</v>
      </c>
      <c r="P37" s="8" t="str">
        <f>IF(OR(G37="NULL",G37="KOŞULLU"),G37,IF(OR(I37=1,J37=1),"KOŞULLU",G37))</f>
        <v>KESİN</v>
      </c>
      <c r="Q37" s="8" t="str">
        <f>IF(OR(G37="NULL",G37="KOŞULLU"),G37,IF(J37=1,"KOŞULLU",G37))</f>
        <v>KESİN</v>
      </c>
      <c r="R37" s="8" t="str">
        <f>IF(OR($G37="NULL",$G37="KOŞULLU"),"V7 zaten "&amp;$G37,IF($K37="HATA",IF(O37="KOŞULLU","YAKALANDI","SESSİZ HATA"),IF(OR($K37="TEMİZ",$K37="ÖNEMSİZ"),IF(O37="KOŞULLU","YANLIŞ ALARM","DOĞRU SESSİZ"),IF(O37="KOŞULLU","BELİRSİZ — işaretlendi","BELİRSİZ — işaretlenmedi"))))</f>
        <v>DOĞRU SESSİZ</v>
      </c>
      <c r="S37" s="8" t="str">
        <f>IF(OR($G37="NULL",$G37="KOŞULLU"),"V7 zaten "&amp;$G37,IF($K37="HATA",IF(P37="KOŞULLU","YAKALANDI","SESSİZ HATA"),IF(OR($K37="TEMİZ",$K37="ÖNEMSİZ"),IF(P37="KOŞULLU","YANLIŞ ALARM","DOĞRU SESSİZ"),IF(P37="KOŞULLU","BELİRSİZ — işaretlendi","BELİRSİZ — işaretlenmedi"))))</f>
        <v>DOĞRU SESSİZ</v>
      </c>
      <c r="T37" s="8" t="str">
        <f>IF(OR($G37="NULL",$G37="KOŞULLU"),"V7 zaten "&amp;$G37,IF($K37="HATA",IF(Q37="KOŞULLU","YAKALANDI","SESSİZ HATA"),IF(OR($K37="TEMİZ",$K37="ÖNEMSİZ"),IF(Q37="KOŞULLU","YANLIŞ ALARM","DOĞRU SESSİZ"),IF(Q37="KOŞULLU","BELİRSİZ — işaretlendi","BELİRSİZ — işaretlenmedi"))))</f>
        <v>DOĞRU SESSİZ</v>
      </c>
    </row>
    <row r="38" spans="1:20" ht="36" x14ac:dyDescent="0.2">
      <c r="A38" s="8" t="s">
        <v>762</v>
      </c>
      <c r="B38" s="8" t="s">
        <v>390</v>
      </c>
      <c r="C38" s="8" t="s">
        <v>82</v>
      </c>
      <c r="D38" s="8" t="s">
        <v>203</v>
      </c>
      <c r="E38" s="10">
        <v>0</v>
      </c>
      <c r="F38" s="10">
        <v>-1329.393</v>
      </c>
      <c r="G38" s="8" t="s">
        <v>204</v>
      </c>
      <c r="H38" s="8">
        <v>1</v>
      </c>
      <c r="I38" s="8">
        <v>1</v>
      </c>
      <c r="J38" s="8">
        <v>0</v>
      </c>
      <c r="K38" s="8" t="s">
        <v>99</v>
      </c>
      <c r="L38" s="5" t="s">
        <v>771</v>
      </c>
      <c r="M38" s="5" t="s">
        <v>772</v>
      </c>
      <c r="N38" s="10"/>
      <c r="O38" s="8" t="str">
        <f>G38</f>
        <v>KESİN</v>
      </c>
      <c r="P38" s="8" t="str">
        <f>IF(OR(G38="NULL",G38="KOŞULLU"),G38,IF(OR(I38=1,J38=1),"KOŞULLU",G38))</f>
        <v>KOŞULLU</v>
      </c>
      <c r="Q38" s="8" t="str">
        <f>IF(OR(G38="NULL",G38="KOŞULLU"),G38,IF(J38=1,"KOŞULLU",G38))</f>
        <v>KESİN</v>
      </c>
      <c r="R38" s="8" t="str">
        <f>IF(OR($G38="NULL",$G38="KOŞULLU"),"V7 zaten "&amp;$G38,IF($K38="HATA",IF(O38="KOŞULLU","YAKALANDI","SESSİZ HATA"),IF(OR($K38="TEMİZ",$K38="ÖNEMSİZ"),IF(O38="KOŞULLU","YANLIŞ ALARM","DOĞRU SESSİZ"),IF(O38="KOŞULLU","BELİRSİZ — işaretlendi","BELİRSİZ — işaretlenmedi"))))</f>
        <v>DOĞRU SESSİZ</v>
      </c>
      <c r="S38" s="8" t="str">
        <f>IF(OR($G38="NULL",$G38="KOŞULLU"),"V7 zaten "&amp;$G38,IF($K38="HATA",IF(P38="KOŞULLU","YAKALANDI","SESSİZ HATA"),IF(OR($K38="TEMİZ",$K38="ÖNEMSİZ"),IF(P38="KOŞULLU","YANLIŞ ALARM","DOĞRU SESSİZ"),IF(P38="KOŞULLU","BELİRSİZ — işaretlendi","BELİRSİZ — işaretlenmedi"))))</f>
        <v>YANLIŞ ALARM</v>
      </c>
      <c r="T38" s="8" t="str">
        <f>IF(OR($G38="NULL",$G38="KOŞULLU"),"V7 zaten "&amp;$G38,IF($K38="HATA",IF(Q38="KOŞULLU","YAKALANDI","SESSİZ HATA"),IF(OR($K38="TEMİZ",$K38="ÖNEMSİZ"),IF(Q38="KOŞULLU","YANLIŞ ALARM","DOĞRU SESSİZ"),IF(Q38="KOŞULLU","BELİRSİZ — işaretlendi","BELİRSİZ — işaretlenmedi"))))</f>
        <v>DOĞRU SESSİZ</v>
      </c>
    </row>
    <row r="39" spans="1:20" ht="36" x14ac:dyDescent="0.2">
      <c r="A39" s="8" t="s">
        <v>762</v>
      </c>
      <c r="B39" s="8" t="s">
        <v>390</v>
      </c>
      <c r="C39" s="8" t="s">
        <v>82</v>
      </c>
      <c r="D39" s="8" t="s">
        <v>205</v>
      </c>
      <c r="E39" s="10">
        <v>0</v>
      </c>
      <c r="F39" s="10">
        <v>-1126.4949999999999</v>
      </c>
      <c r="G39" s="8" t="s">
        <v>204</v>
      </c>
      <c r="H39" s="8">
        <v>1</v>
      </c>
      <c r="I39" s="8">
        <v>1</v>
      </c>
      <c r="J39" s="8">
        <v>0</v>
      </c>
      <c r="K39" s="8" t="s">
        <v>99</v>
      </c>
      <c r="L39" s="5" t="s">
        <v>771</v>
      </c>
      <c r="M39" s="5" t="s">
        <v>772</v>
      </c>
      <c r="N39" s="10"/>
      <c r="O39" s="8" t="str">
        <f>G39</f>
        <v>KESİN</v>
      </c>
      <c r="P39" s="8" t="str">
        <f>IF(OR(G39="NULL",G39="KOŞULLU"),G39,IF(OR(I39=1,J39=1),"KOŞULLU",G39))</f>
        <v>KOŞULLU</v>
      </c>
      <c r="Q39" s="8" t="str">
        <f>IF(OR(G39="NULL",G39="KOŞULLU"),G39,IF(J39=1,"KOŞULLU",G39))</f>
        <v>KESİN</v>
      </c>
      <c r="R39" s="8" t="str">
        <f>IF(OR($G39="NULL",$G39="KOŞULLU"),"V7 zaten "&amp;$G39,IF($K39="HATA",IF(O39="KOŞULLU","YAKALANDI","SESSİZ HATA"),IF(OR($K39="TEMİZ",$K39="ÖNEMSİZ"),IF(O39="KOŞULLU","YANLIŞ ALARM","DOĞRU SESSİZ"),IF(O39="KOŞULLU","BELİRSİZ — işaretlendi","BELİRSİZ — işaretlenmedi"))))</f>
        <v>DOĞRU SESSİZ</v>
      </c>
      <c r="S39" s="8" t="str">
        <f>IF(OR($G39="NULL",$G39="KOŞULLU"),"V7 zaten "&amp;$G39,IF($K39="HATA",IF(P39="KOŞULLU","YAKALANDI","SESSİZ HATA"),IF(OR($K39="TEMİZ",$K39="ÖNEMSİZ"),IF(P39="KOŞULLU","YANLIŞ ALARM","DOĞRU SESSİZ"),IF(P39="KOŞULLU","BELİRSİZ — işaretlendi","BELİRSİZ — işaretlenmedi"))))</f>
        <v>YANLIŞ ALARM</v>
      </c>
      <c r="T39" s="8" t="str">
        <f>IF(OR($G39="NULL",$G39="KOŞULLU"),"V7 zaten "&amp;$G39,IF($K39="HATA",IF(Q39="KOŞULLU","YAKALANDI","SESSİZ HATA"),IF(OR($K39="TEMİZ",$K39="ÖNEMSİZ"),IF(Q39="KOŞULLU","YANLIŞ ALARM","DOĞRU SESSİZ"),IF(Q39="KOŞULLU","BELİRSİZ — işaretlendi","BELİRSİZ — işaretlenmedi"))))</f>
        <v>DOĞRU SESSİZ</v>
      </c>
    </row>
    <row r="40" spans="1:20" ht="36" x14ac:dyDescent="0.2">
      <c r="A40" s="8" t="s">
        <v>762</v>
      </c>
      <c r="B40" s="8" t="s">
        <v>390</v>
      </c>
      <c r="C40" s="8" t="s">
        <v>82</v>
      </c>
      <c r="D40" s="8" t="s">
        <v>215</v>
      </c>
      <c r="E40" s="10">
        <v>0</v>
      </c>
      <c r="F40" s="10">
        <v>-1161.239</v>
      </c>
      <c r="G40" s="8" t="s">
        <v>204</v>
      </c>
      <c r="H40" s="8">
        <v>1</v>
      </c>
      <c r="I40" s="8">
        <v>1</v>
      </c>
      <c r="J40" s="8">
        <v>0</v>
      </c>
      <c r="K40" s="8" t="s">
        <v>99</v>
      </c>
      <c r="L40" s="5" t="s">
        <v>771</v>
      </c>
      <c r="M40" s="5" t="s">
        <v>772</v>
      </c>
      <c r="N40" s="10"/>
      <c r="O40" s="8" t="str">
        <f>G40</f>
        <v>KESİN</v>
      </c>
      <c r="P40" s="8" t="str">
        <f>IF(OR(G40="NULL",G40="KOŞULLU"),G40,IF(OR(I40=1,J40=1),"KOŞULLU",G40))</f>
        <v>KOŞULLU</v>
      </c>
      <c r="Q40" s="8" t="str">
        <f>IF(OR(G40="NULL",G40="KOŞULLU"),G40,IF(J40=1,"KOŞULLU",G40))</f>
        <v>KESİN</v>
      </c>
      <c r="R40" s="8" t="str">
        <f>IF(OR($G40="NULL",$G40="KOŞULLU"),"V7 zaten "&amp;$G40,IF($K40="HATA",IF(O40="KOŞULLU","YAKALANDI","SESSİZ HATA"),IF(OR($K40="TEMİZ",$K40="ÖNEMSİZ"),IF(O40="KOŞULLU","YANLIŞ ALARM","DOĞRU SESSİZ"),IF(O40="KOŞULLU","BELİRSİZ — işaretlendi","BELİRSİZ — işaretlenmedi"))))</f>
        <v>DOĞRU SESSİZ</v>
      </c>
      <c r="S40" s="8" t="str">
        <f>IF(OR($G40="NULL",$G40="KOŞULLU"),"V7 zaten "&amp;$G40,IF($K40="HATA",IF(P40="KOŞULLU","YAKALANDI","SESSİZ HATA"),IF(OR($K40="TEMİZ",$K40="ÖNEMSİZ"),IF(P40="KOŞULLU","YANLIŞ ALARM","DOĞRU SESSİZ"),IF(P40="KOŞULLU","BELİRSİZ — işaretlendi","BELİRSİZ — işaretlenmedi"))))</f>
        <v>YANLIŞ ALARM</v>
      </c>
      <c r="T40" s="8" t="str">
        <f>IF(OR($G40="NULL",$G40="KOŞULLU"),"V7 zaten "&amp;$G40,IF($K40="HATA",IF(Q40="KOŞULLU","YAKALANDI","SESSİZ HATA"),IF(OR($K40="TEMİZ",$K40="ÖNEMSİZ"),IF(Q40="KOŞULLU","YANLIŞ ALARM","DOĞRU SESSİZ"),IF(Q40="KOŞULLU","BELİRSİZ — işaretlendi","BELİRSİZ — işaretlenmedi"))))</f>
        <v>DOĞRU SESSİZ</v>
      </c>
    </row>
    <row r="41" spans="1:20" ht="36" x14ac:dyDescent="0.2">
      <c r="A41" s="8" t="s">
        <v>762</v>
      </c>
      <c r="B41" s="8" t="s">
        <v>390</v>
      </c>
      <c r="C41" s="8" t="s">
        <v>82</v>
      </c>
      <c r="D41" s="8" t="s">
        <v>290</v>
      </c>
      <c r="E41" s="10">
        <v>0</v>
      </c>
      <c r="F41" s="10">
        <v>-970.06799999999998</v>
      </c>
      <c r="G41" s="8" t="s">
        <v>204</v>
      </c>
      <c r="H41" s="8">
        <v>1</v>
      </c>
      <c r="I41" s="8">
        <v>1</v>
      </c>
      <c r="J41" s="8">
        <v>0</v>
      </c>
      <c r="K41" s="8" t="s">
        <v>99</v>
      </c>
      <c r="L41" s="5" t="s">
        <v>771</v>
      </c>
      <c r="M41" s="5" t="s">
        <v>772</v>
      </c>
      <c r="N41" s="10"/>
      <c r="O41" s="8" t="str">
        <f>G41</f>
        <v>KESİN</v>
      </c>
      <c r="P41" s="8" t="str">
        <f>IF(OR(G41="NULL",G41="KOŞULLU"),G41,IF(OR(I41=1,J41=1),"KOŞULLU",G41))</f>
        <v>KOŞULLU</v>
      </c>
      <c r="Q41" s="8" t="str">
        <f>IF(OR(G41="NULL",G41="KOŞULLU"),G41,IF(J41=1,"KOŞULLU",G41))</f>
        <v>KESİN</v>
      </c>
      <c r="R41" s="8" t="str">
        <f>IF(OR($G41="NULL",$G41="KOŞULLU"),"V7 zaten "&amp;$G41,IF($K41="HATA",IF(O41="KOŞULLU","YAKALANDI","SESSİZ HATA"),IF(OR($K41="TEMİZ",$K41="ÖNEMSİZ"),IF(O41="KOŞULLU","YANLIŞ ALARM","DOĞRU SESSİZ"),IF(O41="KOŞULLU","BELİRSİZ — işaretlendi","BELİRSİZ — işaretlenmedi"))))</f>
        <v>DOĞRU SESSİZ</v>
      </c>
      <c r="S41" s="8" t="str">
        <f>IF(OR($G41="NULL",$G41="KOŞULLU"),"V7 zaten "&amp;$G41,IF($K41="HATA",IF(P41="KOŞULLU","YAKALANDI","SESSİZ HATA"),IF(OR($K41="TEMİZ",$K41="ÖNEMSİZ"),IF(P41="KOŞULLU","YANLIŞ ALARM","DOĞRU SESSİZ"),IF(P41="KOŞULLU","BELİRSİZ — işaretlendi","BELİRSİZ — işaretlenmedi"))))</f>
        <v>YANLIŞ ALARM</v>
      </c>
      <c r="T41" s="8" t="str">
        <f>IF(OR($G41="NULL",$G41="KOŞULLU"),"V7 zaten "&amp;$G41,IF($K41="HATA",IF(Q41="KOŞULLU","YAKALANDI","SESSİZ HATA"),IF(OR($K41="TEMİZ",$K41="ÖNEMSİZ"),IF(Q41="KOŞULLU","YANLIŞ ALARM","DOĞRU SESSİZ"),IF(Q41="KOŞULLU","BELİRSİZ — işaretlendi","BELİRSİZ — işaretlenmedi"))))</f>
        <v>DOĞRU SESSİZ</v>
      </c>
    </row>
    <row r="42" spans="1:20" ht="36" x14ac:dyDescent="0.2">
      <c r="A42" s="8" t="s">
        <v>762</v>
      </c>
      <c r="B42" s="8" t="s">
        <v>390</v>
      </c>
      <c r="C42" s="8" t="s">
        <v>82</v>
      </c>
      <c r="D42" s="8" t="s">
        <v>208</v>
      </c>
      <c r="E42" s="10">
        <v>0</v>
      </c>
      <c r="F42" s="10">
        <v>-721.54700000000003</v>
      </c>
      <c r="G42" s="8" t="s">
        <v>204</v>
      </c>
      <c r="H42" s="8">
        <v>1</v>
      </c>
      <c r="I42" s="8">
        <v>1</v>
      </c>
      <c r="J42" s="8">
        <v>0</v>
      </c>
      <c r="K42" s="8" t="s">
        <v>99</v>
      </c>
      <c r="L42" s="5" t="s">
        <v>771</v>
      </c>
      <c r="M42" s="5" t="s">
        <v>772</v>
      </c>
      <c r="N42" s="10"/>
      <c r="O42" s="8" t="str">
        <f>G42</f>
        <v>KESİN</v>
      </c>
      <c r="P42" s="8" t="str">
        <f>IF(OR(G42="NULL",G42="KOŞULLU"),G42,IF(OR(I42=1,J42=1),"KOŞULLU",G42))</f>
        <v>KOŞULLU</v>
      </c>
      <c r="Q42" s="8" t="str">
        <f>IF(OR(G42="NULL",G42="KOŞULLU"),G42,IF(J42=1,"KOŞULLU",G42))</f>
        <v>KESİN</v>
      </c>
      <c r="R42" s="8" t="str">
        <f>IF(OR($G42="NULL",$G42="KOŞULLU"),"V7 zaten "&amp;$G42,IF($K42="HATA",IF(O42="KOŞULLU","YAKALANDI","SESSİZ HATA"),IF(OR($K42="TEMİZ",$K42="ÖNEMSİZ"),IF(O42="KOŞULLU","YANLIŞ ALARM","DOĞRU SESSİZ"),IF(O42="KOŞULLU","BELİRSİZ — işaretlendi","BELİRSİZ — işaretlenmedi"))))</f>
        <v>DOĞRU SESSİZ</v>
      </c>
      <c r="S42" s="8" t="str">
        <f>IF(OR($G42="NULL",$G42="KOŞULLU"),"V7 zaten "&amp;$G42,IF($K42="HATA",IF(P42="KOŞULLU","YAKALANDI","SESSİZ HATA"),IF(OR($K42="TEMİZ",$K42="ÖNEMSİZ"),IF(P42="KOŞULLU","YANLIŞ ALARM","DOĞRU SESSİZ"),IF(P42="KOŞULLU","BELİRSİZ — işaretlendi","BELİRSİZ — işaretlenmedi"))))</f>
        <v>YANLIŞ ALARM</v>
      </c>
      <c r="T42" s="8" t="str">
        <f>IF(OR($G42="NULL",$G42="KOŞULLU"),"V7 zaten "&amp;$G42,IF($K42="HATA",IF(Q42="KOŞULLU","YAKALANDI","SESSİZ HATA"),IF(OR($K42="TEMİZ",$K42="ÖNEMSİZ"),IF(Q42="KOŞULLU","YANLIŞ ALARM","DOĞRU SESSİZ"),IF(Q42="KOŞULLU","BELİRSİZ — işaretlendi","BELİRSİZ — işaretlenmedi"))))</f>
        <v>DOĞRU SESSİZ</v>
      </c>
    </row>
    <row r="43" spans="1:20" ht="36" x14ac:dyDescent="0.2">
      <c r="A43" s="8" t="s">
        <v>762</v>
      </c>
      <c r="B43" s="8" t="s">
        <v>390</v>
      </c>
      <c r="C43" s="8" t="s">
        <v>82</v>
      </c>
      <c r="D43" s="8" t="s">
        <v>210</v>
      </c>
      <c r="E43" s="10">
        <v>0</v>
      </c>
      <c r="F43" s="10">
        <v>-861.221</v>
      </c>
      <c r="G43" s="8" t="s">
        <v>204</v>
      </c>
      <c r="H43" s="8">
        <v>1</v>
      </c>
      <c r="I43" s="8">
        <v>1</v>
      </c>
      <c r="J43" s="8">
        <v>0</v>
      </c>
      <c r="K43" s="8" t="s">
        <v>99</v>
      </c>
      <c r="L43" s="5" t="s">
        <v>771</v>
      </c>
      <c r="M43" s="5" t="s">
        <v>772</v>
      </c>
      <c r="N43" s="10"/>
      <c r="O43" s="8" t="str">
        <f>G43</f>
        <v>KESİN</v>
      </c>
      <c r="P43" s="8" t="str">
        <f>IF(OR(G43="NULL",G43="KOŞULLU"),G43,IF(OR(I43=1,J43=1),"KOŞULLU",G43))</f>
        <v>KOŞULLU</v>
      </c>
      <c r="Q43" s="8" t="str">
        <f>IF(OR(G43="NULL",G43="KOŞULLU"),G43,IF(J43=1,"KOŞULLU",G43))</f>
        <v>KESİN</v>
      </c>
      <c r="R43" s="8" t="str">
        <f>IF(OR($G43="NULL",$G43="KOŞULLU"),"V7 zaten "&amp;$G43,IF($K43="HATA",IF(O43="KOŞULLU","YAKALANDI","SESSİZ HATA"),IF(OR($K43="TEMİZ",$K43="ÖNEMSİZ"),IF(O43="KOŞULLU","YANLIŞ ALARM","DOĞRU SESSİZ"),IF(O43="KOŞULLU","BELİRSİZ — işaretlendi","BELİRSİZ — işaretlenmedi"))))</f>
        <v>DOĞRU SESSİZ</v>
      </c>
      <c r="S43" s="8" t="str">
        <f>IF(OR($G43="NULL",$G43="KOŞULLU"),"V7 zaten "&amp;$G43,IF($K43="HATA",IF(P43="KOŞULLU","YAKALANDI","SESSİZ HATA"),IF(OR($K43="TEMİZ",$K43="ÖNEMSİZ"),IF(P43="KOŞULLU","YANLIŞ ALARM","DOĞRU SESSİZ"),IF(P43="KOŞULLU","BELİRSİZ — işaretlendi","BELİRSİZ — işaretlenmedi"))))</f>
        <v>YANLIŞ ALARM</v>
      </c>
      <c r="T43" s="8" t="str">
        <f>IF(OR($G43="NULL",$G43="KOŞULLU"),"V7 zaten "&amp;$G43,IF($K43="HATA",IF(Q43="KOŞULLU","YAKALANDI","SESSİZ HATA"),IF(OR($K43="TEMİZ",$K43="ÖNEMSİZ"),IF(Q43="KOŞULLU","YANLIŞ ALARM","DOĞRU SESSİZ"),IF(Q43="KOŞULLU","BELİRSİZ — işaretlendi","BELİRSİZ — işaretlenmedi"))))</f>
        <v>DOĞRU SESSİZ</v>
      </c>
    </row>
    <row r="44" spans="1:20" x14ac:dyDescent="0.2">
      <c r="A44" s="8" t="s">
        <v>762</v>
      </c>
      <c r="B44" s="8" t="s">
        <v>390</v>
      </c>
      <c r="C44" s="8" t="s">
        <v>83</v>
      </c>
      <c r="D44" s="8" t="s">
        <v>203</v>
      </c>
      <c r="E44" s="10">
        <v>190.30699999999999</v>
      </c>
      <c r="F44" s="10">
        <v>-1329.393</v>
      </c>
      <c r="G44" s="8" t="s">
        <v>204</v>
      </c>
      <c r="H44" s="8">
        <v>0</v>
      </c>
      <c r="I44" s="8">
        <v>0</v>
      </c>
      <c r="J44" s="8">
        <v>0</v>
      </c>
      <c r="K44" s="8" t="s">
        <v>100</v>
      </c>
      <c r="L44" s="5" t="s">
        <v>763</v>
      </c>
      <c r="M44" s="5" t="s">
        <v>767</v>
      </c>
      <c r="N44" s="10"/>
      <c r="O44" s="8" t="str">
        <f>G44</f>
        <v>KESİN</v>
      </c>
      <c r="P44" s="8" t="str">
        <f>IF(OR(G44="NULL",G44="KOŞULLU"),G44,IF(OR(I44=1,J44=1),"KOŞULLU",G44))</f>
        <v>KESİN</v>
      </c>
      <c r="Q44" s="8" t="str">
        <f>IF(OR(G44="NULL",G44="KOŞULLU"),G44,IF(J44=1,"KOŞULLU",G44))</f>
        <v>KESİN</v>
      </c>
      <c r="R44" s="8" t="str">
        <f>IF(OR($G44="NULL",$G44="KOŞULLU"),"V7 zaten "&amp;$G44,IF($K44="HATA",IF(O44="KOŞULLU","YAKALANDI","SESSİZ HATA"),IF(OR($K44="TEMİZ",$K44="ÖNEMSİZ"),IF(O44="KOŞULLU","YANLIŞ ALARM","DOĞRU SESSİZ"),IF(O44="KOŞULLU","BELİRSİZ — işaretlendi","BELİRSİZ — işaretlenmedi"))))</f>
        <v>DOĞRU SESSİZ</v>
      </c>
      <c r="S44" s="8" t="str">
        <f>IF(OR($G44="NULL",$G44="KOŞULLU"),"V7 zaten "&amp;$G44,IF($K44="HATA",IF(P44="KOŞULLU","YAKALANDI","SESSİZ HATA"),IF(OR($K44="TEMİZ",$K44="ÖNEMSİZ"),IF(P44="KOŞULLU","YANLIŞ ALARM","DOĞRU SESSİZ"),IF(P44="KOŞULLU","BELİRSİZ — işaretlendi","BELİRSİZ — işaretlenmedi"))))</f>
        <v>DOĞRU SESSİZ</v>
      </c>
      <c r="T44" s="8" t="str">
        <f>IF(OR($G44="NULL",$G44="KOŞULLU"),"V7 zaten "&amp;$G44,IF($K44="HATA",IF(Q44="KOŞULLU","YAKALANDI","SESSİZ HATA"),IF(OR($K44="TEMİZ",$K44="ÖNEMSİZ"),IF(Q44="KOŞULLU","YANLIŞ ALARM","DOĞRU SESSİZ"),IF(Q44="KOŞULLU","BELİRSİZ — işaretlendi","BELİRSİZ — işaretlenmedi"))))</f>
        <v>DOĞRU SESSİZ</v>
      </c>
    </row>
    <row r="45" spans="1:20" x14ac:dyDescent="0.2">
      <c r="A45" s="8" t="s">
        <v>762</v>
      </c>
      <c r="B45" s="8" t="s">
        <v>390</v>
      </c>
      <c r="C45" s="8" t="s">
        <v>83</v>
      </c>
      <c r="D45" s="8" t="s">
        <v>205</v>
      </c>
      <c r="E45" s="10">
        <v>95.930999999999997</v>
      </c>
      <c r="F45" s="10">
        <v>-1126.4949999999999</v>
      </c>
      <c r="G45" s="8" t="s">
        <v>204</v>
      </c>
      <c r="H45" s="8">
        <v>0</v>
      </c>
      <c r="I45" s="8">
        <v>0</v>
      </c>
      <c r="J45" s="8">
        <v>0</v>
      </c>
      <c r="K45" s="8" t="s">
        <v>100</v>
      </c>
      <c r="L45" s="5" t="s">
        <v>763</v>
      </c>
      <c r="M45" s="5" t="s">
        <v>767</v>
      </c>
      <c r="N45" s="10"/>
      <c r="O45" s="8" t="str">
        <f>G45</f>
        <v>KESİN</v>
      </c>
      <c r="P45" s="8" t="str">
        <f>IF(OR(G45="NULL",G45="KOŞULLU"),G45,IF(OR(I45=1,J45=1),"KOŞULLU",G45))</f>
        <v>KESİN</v>
      </c>
      <c r="Q45" s="8" t="str">
        <f>IF(OR(G45="NULL",G45="KOŞULLU"),G45,IF(J45=1,"KOŞULLU",G45))</f>
        <v>KESİN</v>
      </c>
      <c r="R45" s="8" t="str">
        <f>IF(OR($G45="NULL",$G45="KOŞULLU"),"V7 zaten "&amp;$G45,IF($K45="HATA",IF(O45="KOŞULLU","YAKALANDI","SESSİZ HATA"),IF(OR($K45="TEMİZ",$K45="ÖNEMSİZ"),IF(O45="KOŞULLU","YANLIŞ ALARM","DOĞRU SESSİZ"),IF(O45="KOŞULLU","BELİRSİZ — işaretlendi","BELİRSİZ — işaretlenmedi"))))</f>
        <v>DOĞRU SESSİZ</v>
      </c>
      <c r="S45" s="8" t="str">
        <f>IF(OR($G45="NULL",$G45="KOŞULLU"),"V7 zaten "&amp;$G45,IF($K45="HATA",IF(P45="KOŞULLU","YAKALANDI","SESSİZ HATA"),IF(OR($K45="TEMİZ",$K45="ÖNEMSİZ"),IF(P45="KOŞULLU","YANLIŞ ALARM","DOĞRU SESSİZ"),IF(P45="KOŞULLU","BELİRSİZ — işaretlendi","BELİRSİZ — işaretlenmedi"))))</f>
        <v>DOĞRU SESSİZ</v>
      </c>
      <c r="T45" s="8" t="str">
        <f>IF(OR($G45="NULL",$G45="KOŞULLU"),"V7 zaten "&amp;$G45,IF($K45="HATA",IF(Q45="KOŞULLU","YAKALANDI","SESSİZ HATA"),IF(OR($K45="TEMİZ",$K45="ÖNEMSİZ"),IF(Q45="KOŞULLU","YANLIŞ ALARM","DOĞRU SESSİZ"),IF(Q45="KOŞULLU","BELİRSİZ — işaretlendi","BELİRSİZ — işaretlenmedi"))))</f>
        <v>DOĞRU SESSİZ</v>
      </c>
    </row>
    <row r="46" spans="1:20" x14ac:dyDescent="0.2">
      <c r="A46" s="8" t="s">
        <v>762</v>
      </c>
      <c r="B46" s="8" t="s">
        <v>390</v>
      </c>
      <c r="C46" s="8" t="s">
        <v>83</v>
      </c>
      <c r="D46" s="8" t="s">
        <v>215</v>
      </c>
      <c r="E46" s="10">
        <v>93.301000000000002</v>
      </c>
      <c r="F46" s="10">
        <v>-1161.239</v>
      </c>
      <c r="G46" s="8" t="s">
        <v>204</v>
      </c>
      <c r="H46" s="8">
        <v>0</v>
      </c>
      <c r="I46" s="8">
        <v>0</v>
      </c>
      <c r="J46" s="8">
        <v>0</v>
      </c>
      <c r="K46" s="8" t="s">
        <v>100</v>
      </c>
      <c r="L46" s="5" t="s">
        <v>763</v>
      </c>
      <c r="M46" s="5" t="s">
        <v>767</v>
      </c>
      <c r="N46" s="10"/>
      <c r="O46" s="8" t="str">
        <f>G46</f>
        <v>KESİN</v>
      </c>
      <c r="P46" s="8" t="str">
        <f>IF(OR(G46="NULL",G46="KOŞULLU"),G46,IF(OR(I46=1,J46=1),"KOŞULLU",G46))</f>
        <v>KESİN</v>
      </c>
      <c r="Q46" s="8" t="str">
        <f>IF(OR(G46="NULL",G46="KOŞULLU"),G46,IF(J46=1,"KOŞULLU",G46))</f>
        <v>KESİN</v>
      </c>
      <c r="R46" s="8" t="str">
        <f>IF(OR($G46="NULL",$G46="KOŞULLU"),"V7 zaten "&amp;$G46,IF($K46="HATA",IF(O46="KOŞULLU","YAKALANDI","SESSİZ HATA"),IF(OR($K46="TEMİZ",$K46="ÖNEMSİZ"),IF(O46="KOŞULLU","YANLIŞ ALARM","DOĞRU SESSİZ"),IF(O46="KOŞULLU","BELİRSİZ — işaretlendi","BELİRSİZ — işaretlenmedi"))))</f>
        <v>DOĞRU SESSİZ</v>
      </c>
      <c r="S46" s="8" t="str">
        <f>IF(OR($G46="NULL",$G46="KOŞULLU"),"V7 zaten "&amp;$G46,IF($K46="HATA",IF(P46="KOŞULLU","YAKALANDI","SESSİZ HATA"),IF(OR($K46="TEMİZ",$K46="ÖNEMSİZ"),IF(P46="KOŞULLU","YANLIŞ ALARM","DOĞRU SESSİZ"),IF(P46="KOŞULLU","BELİRSİZ — işaretlendi","BELİRSİZ — işaretlenmedi"))))</f>
        <v>DOĞRU SESSİZ</v>
      </c>
      <c r="T46" s="8" t="str">
        <f>IF(OR($G46="NULL",$G46="KOŞULLU"),"V7 zaten "&amp;$G46,IF($K46="HATA",IF(Q46="KOŞULLU","YAKALANDI","SESSİZ HATA"),IF(OR($K46="TEMİZ",$K46="ÖNEMSİZ"),IF(Q46="KOŞULLU","YANLIŞ ALARM","DOĞRU SESSİZ"),IF(Q46="KOŞULLU","BELİRSİZ — işaretlendi","BELİRSİZ — işaretlenmedi"))))</f>
        <v>DOĞRU SESSİZ</v>
      </c>
    </row>
    <row r="47" spans="1:20" x14ac:dyDescent="0.2">
      <c r="A47" s="8" t="s">
        <v>762</v>
      </c>
      <c r="B47" s="8" t="s">
        <v>390</v>
      </c>
      <c r="C47" s="8" t="s">
        <v>83</v>
      </c>
      <c r="D47" s="8" t="s">
        <v>290</v>
      </c>
      <c r="E47" s="10">
        <v>166.13399999999999</v>
      </c>
      <c r="F47" s="10">
        <v>-970.06799999999998</v>
      </c>
      <c r="G47" s="8" t="s">
        <v>204</v>
      </c>
      <c r="H47" s="8">
        <v>0</v>
      </c>
      <c r="I47" s="8">
        <v>0</v>
      </c>
      <c r="J47" s="8">
        <v>0</v>
      </c>
      <c r="K47" s="8" t="s">
        <v>100</v>
      </c>
      <c r="L47" s="5" t="s">
        <v>763</v>
      </c>
      <c r="M47" s="5" t="s">
        <v>767</v>
      </c>
      <c r="N47" s="10"/>
      <c r="O47" s="8" t="str">
        <f>G47</f>
        <v>KESİN</v>
      </c>
      <c r="P47" s="8" t="str">
        <f>IF(OR(G47="NULL",G47="KOŞULLU"),G47,IF(OR(I47=1,J47=1),"KOŞULLU",G47))</f>
        <v>KESİN</v>
      </c>
      <c r="Q47" s="8" t="str">
        <f>IF(OR(G47="NULL",G47="KOŞULLU"),G47,IF(J47=1,"KOŞULLU",G47))</f>
        <v>KESİN</v>
      </c>
      <c r="R47" s="8" t="str">
        <f>IF(OR($G47="NULL",$G47="KOŞULLU"),"V7 zaten "&amp;$G47,IF($K47="HATA",IF(O47="KOŞULLU","YAKALANDI","SESSİZ HATA"),IF(OR($K47="TEMİZ",$K47="ÖNEMSİZ"),IF(O47="KOŞULLU","YANLIŞ ALARM","DOĞRU SESSİZ"),IF(O47="KOŞULLU","BELİRSİZ — işaretlendi","BELİRSİZ — işaretlenmedi"))))</f>
        <v>DOĞRU SESSİZ</v>
      </c>
      <c r="S47" s="8" t="str">
        <f>IF(OR($G47="NULL",$G47="KOŞULLU"),"V7 zaten "&amp;$G47,IF($K47="HATA",IF(P47="KOŞULLU","YAKALANDI","SESSİZ HATA"),IF(OR($K47="TEMİZ",$K47="ÖNEMSİZ"),IF(P47="KOŞULLU","YANLIŞ ALARM","DOĞRU SESSİZ"),IF(P47="KOŞULLU","BELİRSİZ — işaretlendi","BELİRSİZ — işaretlenmedi"))))</f>
        <v>DOĞRU SESSİZ</v>
      </c>
      <c r="T47" s="8" t="str">
        <f>IF(OR($G47="NULL",$G47="KOŞULLU"),"V7 zaten "&amp;$G47,IF($K47="HATA",IF(Q47="KOŞULLU","YAKALANDI","SESSİZ HATA"),IF(OR($K47="TEMİZ",$K47="ÖNEMSİZ"),IF(Q47="KOŞULLU","YANLIŞ ALARM","DOĞRU SESSİZ"),IF(Q47="KOŞULLU","BELİRSİZ — işaretlendi","BELİRSİZ — işaretlenmedi"))))</f>
        <v>DOĞRU SESSİZ</v>
      </c>
    </row>
    <row r="48" spans="1:20" x14ac:dyDescent="0.2">
      <c r="A48" s="8" t="s">
        <v>762</v>
      </c>
      <c r="B48" s="8" t="s">
        <v>390</v>
      </c>
      <c r="C48" s="8" t="s">
        <v>83</v>
      </c>
      <c r="D48" s="8" t="s">
        <v>208</v>
      </c>
      <c r="E48" s="10">
        <v>139.798</v>
      </c>
      <c r="F48" s="10">
        <v>-721.54700000000003</v>
      </c>
      <c r="G48" s="8" t="s">
        <v>204</v>
      </c>
      <c r="H48" s="8">
        <v>0</v>
      </c>
      <c r="I48" s="8">
        <v>0</v>
      </c>
      <c r="J48" s="8">
        <v>0</v>
      </c>
      <c r="K48" s="8" t="s">
        <v>100</v>
      </c>
      <c r="L48" s="5" t="s">
        <v>763</v>
      </c>
      <c r="M48" s="5" t="s">
        <v>767</v>
      </c>
      <c r="N48" s="10"/>
      <c r="O48" s="8" t="str">
        <f>G48</f>
        <v>KESİN</v>
      </c>
      <c r="P48" s="8" t="str">
        <f>IF(OR(G48="NULL",G48="KOŞULLU"),G48,IF(OR(I48=1,J48=1),"KOŞULLU",G48))</f>
        <v>KESİN</v>
      </c>
      <c r="Q48" s="8" t="str">
        <f>IF(OR(G48="NULL",G48="KOŞULLU"),G48,IF(J48=1,"KOŞULLU",G48))</f>
        <v>KESİN</v>
      </c>
      <c r="R48" s="8" t="str">
        <f>IF(OR($G48="NULL",$G48="KOŞULLU"),"V7 zaten "&amp;$G48,IF($K48="HATA",IF(O48="KOŞULLU","YAKALANDI","SESSİZ HATA"),IF(OR($K48="TEMİZ",$K48="ÖNEMSİZ"),IF(O48="KOŞULLU","YANLIŞ ALARM","DOĞRU SESSİZ"),IF(O48="KOŞULLU","BELİRSİZ — işaretlendi","BELİRSİZ — işaretlenmedi"))))</f>
        <v>DOĞRU SESSİZ</v>
      </c>
      <c r="S48" s="8" t="str">
        <f>IF(OR($G48="NULL",$G48="KOŞULLU"),"V7 zaten "&amp;$G48,IF($K48="HATA",IF(P48="KOŞULLU","YAKALANDI","SESSİZ HATA"),IF(OR($K48="TEMİZ",$K48="ÖNEMSİZ"),IF(P48="KOŞULLU","YANLIŞ ALARM","DOĞRU SESSİZ"),IF(P48="KOŞULLU","BELİRSİZ — işaretlendi","BELİRSİZ — işaretlenmedi"))))</f>
        <v>DOĞRU SESSİZ</v>
      </c>
      <c r="T48" s="8" t="str">
        <f>IF(OR($G48="NULL",$G48="KOŞULLU"),"V7 zaten "&amp;$G48,IF($K48="HATA",IF(Q48="KOŞULLU","YAKALANDI","SESSİZ HATA"),IF(OR($K48="TEMİZ",$K48="ÖNEMSİZ"),IF(Q48="KOŞULLU","YANLIŞ ALARM","DOĞRU SESSİZ"),IF(Q48="KOŞULLU","BELİRSİZ — işaretlendi","BELİRSİZ — işaretlenmedi"))))</f>
        <v>DOĞRU SESSİZ</v>
      </c>
    </row>
    <row r="49" spans="1:20" x14ac:dyDescent="0.2">
      <c r="A49" s="8" t="s">
        <v>762</v>
      </c>
      <c r="B49" s="8" t="s">
        <v>390</v>
      </c>
      <c r="C49" s="8" t="s">
        <v>83</v>
      </c>
      <c r="D49" s="8" t="s">
        <v>210</v>
      </c>
      <c r="E49" s="10">
        <v>173.69</v>
      </c>
      <c r="F49" s="10">
        <v>-861.221</v>
      </c>
      <c r="G49" s="8" t="s">
        <v>204</v>
      </c>
      <c r="H49" s="8">
        <v>0</v>
      </c>
      <c r="I49" s="8">
        <v>0</v>
      </c>
      <c r="J49" s="8">
        <v>0</v>
      </c>
      <c r="K49" s="8" t="s">
        <v>100</v>
      </c>
      <c r="L49" s="5" t="s">
        <v>763</v>
      </c>
      <c r="M49" s="5" t="s">
        <v>767</v>
      </c>
      <c r="N49" s="10"/>
      <c r="O49" s="8" t="str">
        <f>G49</f>
        <v>KESİN</v>
      </c>
      <c r="P49" s="8" t="str">
        <f>IF(OR(G49="NULL",G49="KOŞULLU"),G49,IF(OR(I49=1,J49=1),"KOŞULLU",G49))</f>
        <v>KESİN</v>
      </c>
      <c r="Q49" s="8" t="str">
        <f>IF(OR(G49="NULL",G49="KOŞULLU"),G49,IF(J49=1,"KOŞULLU",G49))</f>
        <v>KESİN</v>
      </c>
      <c r="R49" s="8" t="str">
        <f>IF(OR($G49="NULL",$G49="KOŞULLU"),"V7 zaten "&amp;$G49,IF($K49="HATA",IF(O49="KOŞULLU","YAKALANDI","SESSİZ HATA"),IF(OR($K49="TEMİZ",$K49="ÖNEMSİZ"),IF(O49="KOŞULLU","YANLIŞ ALARM","DOĞRU SESSİZ"),IF(O49="KOŞULLU","BELİRSİZ — işaretlendi","BELİRSİZ — işaretlenmedi"))))</f>
        <v>DOĞRU SESSİZ</v>
      </c>
      <c r="S49" s="8" t="str">
        <f>IF(OR($G49="NULL",$G49="KOŞULLU"),"V7 zaten "&amp;$G49,IF($K49="HATA",IF(P49="KOŞULLU","YAKALANDI","SESSİZ HATA"),IF(OR($K49="TEMİZ",$K49="ÖNEMSİZ"),IF(P49="KOŞULLU","YANLIŞ ALARM","DOĞRU SESSİZ"),IF(P49="KOŞULLU","BELİRSİZ — işaretlendi","BELİRSİZ — işaretlenmedi"))))</f>
        <v>DOĞRU SESSİZ</v>
      </c>
      <c r="T49" s="8" t="str">
        <f>IF(OR($G49="NULL",$G49="KOŞULLU"),"V7 zaten "&amp;$G49,IF($K49="HATA",IF(Q49="KOŞULLU","YAKALANDI","SESSİZ HATA"),IF(OR($K49="TEMİZ",$K49="ÖNEMSİZ"),IF(Q49="KOŞULLU","YANLIŞ ALARM","DOĞRU SESSİZ"),IF(Q49="KOŞULLU","BELİRSİZ — işaretlendi","BELİRSİZ — işaretlenmedi"))))</f>
        <v>DOĞRU SESSİZ</v>
      </c>
    </row>
    <row r="50" spans="1:20" x14ac:dyDescent="0.2">
      <c r="A50" s="8" t="s">
        <v>762</v>
      </c>
      <c r="B50" s="8" t="s">
        <v>292</v>
      </c>
      <c r="C50" s="8" t="s">
        <v>82</v>
      </c>
      <c r="D50" s="8" t="s">
        <v>203</v>
      </c>
      <c r="E50" s="10">
        <v>15.212</v>
      </c>
      <c r="F50" s="10">
        <v>256.71800000000098</v>
      </c>
      <c r="G50" s="8" t="s">
        <v>204</v>
      </c>
      <c r="H50" s="8">
        <v>0</v>
      </c>
      <c r="I50" s="8">
        <v>1</v>
      </c>
      <c r="J50" s="8">
        <v>0</v>
      </c>
      <c r="K50" s="8" t="s">
        <v>99</v>
      </c>
      <c r="L50" s="5" t="s">
        <v>773</v>
      </c>
      <c r="M50" s="5" t="s">
        <v>774</v>
      </c>
      <c r="N50" s="10"/>
      <c r="O50" s="8" t="str">
        <f>G50</f>
        <v>KESİN</v>
      </c>
      <c r="P50" s="8" t="str">
        <f>IF(OR(G50="NULL",G50="KOŞULLU"),G50,IF(OR(I50=1,J50=1),"KOŞULLU",G50))</f>
        <v>KOŞULLU</v>
      </c>
      <c r="Q50" s="8" t="str">
        <f>IF(OR(G50="NULL",G50="KOŞULLU"),G50,IF(J50=1,"KOŞULLU",G50))</f>
        <v>KESİN</v>
      </c>
      <c r="R50" s="8" t="str">
        <f>IF(OR($G50="NULL",$G50="KOŞULLU"),"V7 zaten "&amp;$G50,IF($K50="HATA",IF(O50="KOŞULLU","YAKALANDI","SESSİZ HATA"),IF(OR($K50="TEMİZ",$K50="ÖNEMSİZ"),IF(O50="KOŞULLU","YANLIŞ ALARM","DOĞRU SESSİZ"),IF(O50="KOŞULLU","BELİRSİZ — işaretlendi","BELİRSİZ — işaretlenmedi"))))</f>
        <v>DOĞRU SESSİZ</v>
      </c>
      <c r="S50" s="8" t="str">
        <f>IF(OR($G50="NULL",$G50="KOŞULLU"),"V7 zaten "&amp;$G50,IF($K50="HATA",IF(P50="KOŞULLU","YAKALANDI","SESSİZ HATA"),IF(OR($K50="TEMİZ",$K50="ÖNEMSİZ"),IF(P50="KOŞULLU","YANLIŞ ALARM","DOĞRU SESSİZ"),IF(P50="KOŞULLU","BELİRSİZ — işaretlendi","BELİRSİZ — işaretlenmedi"))))</f>
        <v>YANLIŞ ALARM</v>
      </c>
      <c r="T50" s="8" t="str">
        <f>IF(OR($G50="NULL",$G50="KOŞULLU"),"V7 zaten "&amp;$G50,IF($K50="HATA",IF(Q50="KOŞULLU","YAKALANDI","SESSİZ HATA"),IF(OR($K50="TEMİZ",$K50="ÖNEMSİZ"),IF(Q50="KOŞULLU","YANLIŞ ALARM","DOĞRU SESSİZ"),IF(Q50="KOŞULLU","BELİRSİZ — işaretlendi","BELİRSİZ — işaretlenmedi"))))</f>
        <v>DOĞRU SESSİZ</v>
      </c>
    </row>
    <row r="51" spans="1:20" x14ac:dyDescent="0.2">
      <c r="A51" s="8" t="s">
        <v>762</v>
      </c>
      <c r="B51" s="8" t="s">
        <v>292</v>
      </c>
      <c r="C51" s="8" t="s">
        <v>82</v>
      </c>
      <c r="D51" s="8" t="s">
        <v>205</v>
      </c>
      <c r="E51" s="10">
        <v>0</v>
      </c>
      <c r="F51" s="10">
        <v>-3074.2449999999999</v>
      </c>
      <c r="G51" s="8" t="s">
        <v>204</v>
      </c>
      <c r="H51" s="8">
        <v>1</v>
      </c>
      <c r="I51" s="8">
        <v>1</v>
      </c>
      <c r="J51" s="8">
        <v>0</v>
      </c>
      <c r="K51" s="8" t="s">
        <v>99</v>
      </c>
      <c r="L51" s="5" t="s">
        <v>773</v>
      </c>
      <c r="M51" s="5" t="s">
        <v>774</v>
      </c>
      <c r="N51" s="10"/>
      <c r="O51" s="8" t="str">
        <f>G51</f>
        <v>KESİN</v>
      </c>
      <c r="P51" s="8" t="str">
        <f>IF(OR(G51="NULL",G51="KOŞULLU"),G51,IF(OR(I51=1,J51=1),"KOŞULLU",G51))</f>
        <v>KOŞULLU</v>
      </c>
      <c r="Q51" s="8" t="str">
        <f>IF(OR(G51="NULL",G51="KOŞULLU"),G51,IF(J51=1,"KOŞULLU",G51))</f>
        <v>KESİN</v>
      </c>
      <c r="R51" s="8" t="str">
        <f>IF(OR($G51="NULL",$G51="KOŞULLU"),"V7 zaten "&amp;$G51,IF($K51="HATA",IF(O51="KOŞULLU","YAKALANDI","SESSİZ HATA"),IF(OR($K51="TEMİZ",$K51="ÖNEMSİZ"),IF(O51="KOŞULLU","YANLIŞ ALARM","DOĞRU SESSİZ"),IF(O51="KOŞULLU","BELİRSİZ — işaretlendi","BELİRSİZ — işaretlenmedi"))))</f>
        <v>DOĞRU SESSİZ</v>
      </c>
      <c r="S51" s="8" t="str">
        <f>IF(OR($G51="NULL",$G51="KOŞULLU"),"V7 zaten "&amp;$G51,IF($K51="HATA",IF(P51="KOŞULLU","YAKALANDI","SESSİZ HATA"),IF(OR($K51="TEMİZ",$K51="ÖNEMSİZ"),IF(P51="KOŞULLU","YANLIŞ ALARM","DOĞRU SESSİZ"),IF(P51="KOŞULLU","BELİRSİZ — işaretlendi","BELİRSİZ — işaretlenmedi"))))</f>
        <v>YANLIŞ ALARM</v>
      </c>
      <c r="T51" s="8" t="str">
        <f>IF(OR($G51="NULL",$G51="KOŞULLU"),"V7 zaten "&amp;$G51,IF($K51="HATA",IF(Q51="KOŞULLU","YAKALANDI","SESSİZ HATA"),IF(OR($K51="TEMİZ",$K51="ÖNEMSİZ"),IF(Q51="KOŞULLU","YANLIŞ ALARM","DOĞRU SESSİZ"),IF(Q51="KOŞULLU","BELİRSİZ — işaretlendi","BELİRSİZ — işaretlenmedi"))))</f>
        <v>DOĞRU SESSİZ</v>
      </c>
    </row>
    <row r="52" spans="1:20" x14ac:dyDescent="0.2">
      <c r="A52" s="8" t="s">
        <v>762</v>
      </c>
      <c r="B52" s="8" t="s">
        <v>292</v>
      </c>
      <c r="C52" s="8" t="s">
        <v>82</v>
      </c>
      <c r="D52" s="8" t="s">
        <v>215</v>
      </c>
      <c r="E52" s="10">
        <v>0</v>
      </c>
      <c r="F52" s="10">
        <v>-5299.7740000000003</v>
      </c>
      <c r="G52" s="8" t="s">
        <v>204</v>
      </c>
      <c r="H52" s="8">
        <v>1</v>
      </c>
      <c r="I52" s="8">
        <v>1</v>
      </c>
      <c r="J52" s="8">
        <v>0</v>
      </c>
      <c r="K52" s="8" t="s">
        <v>99</v>
      </c>
      <c r="L52" s="5" t="s">
        <v>773</v>
      </c>
      <c r="M52" s="5" t="s">
        <v>774</v>
      </c>
      <c r="N52" s="10"/>
      <c r="O52" s="8" t="str">
        <f>G52</f>
        <v>KESİN</v>
      </c>
      <c r="P52" s="8" t="str">
        <f>IF(OR(G52="NULL",G52="KOŞULLU"),G52,IF(OR(I52=1,J52=1),"KOŞULLU",G52))</f>
        <v>KOŞULLU</v>
      </c>
      <c r="Q52" s="8" t="str">
        <f>IF(OR(G52="NULL",G52="KOŞULLU"),G52,IF(J52=1,"KOŞULLU",G52))</f>
        <v>KESİN</v>
      </c>
      <c r="R52" s="8" t="str">
        <f>IF(OR($G52="NULL",$G52="KOŞULLU"),"V7 zaten "&amp;$G52,IF($K52="HATA",IF(O52="KOŞULLU","YAKALANDI","SESSİZ HATA"),IF(OR($K52="TEMİZ",$K52="ÖNEMSİZ"),IF(O52="KOŞULLU","YANLIŞ ALARM","DOĞRU SESSİZ"),IF(O52="KOŞULLU","BELİRSİZ — işaretlendi","BELİRSİZ — işaretlenmedi"))))</f>
        <v>DOĞRU SESSİZ</v>
      </c>
      <c r="S52" s="8" t="str">
        <f>IF(OR($G52="NULL",$G52="KOŞULLU"),"V7 zaten "&amp;$G52,IF($K52="HATA",IF(P52="KOŞULLU","YAKALANDI","SESSİZ HATA"),IF(OR($K52="TEMİZ",$K52="ÖNEMSİZ"),IF(P52="KOŞULLU","YANLIŞ ALARM","DOĞRU SESSİZ"),IF(P52="KOŞULLU","BELİRSİZ — işaretlendi","BELİRSİZ — işaretlenmedi"))))</f>
        <v>YANLIŞ ALARM</v>
      </c>
      <c r="T52" s="8" t="str">
        <f>IF(OR($G52="NULL",$G52="KOŞULLU"),"V7 zaten "&amp;$G52,IF($K52="HATA",IF(Q52="KOŞULLU","YAKALANDI","SESSİZ HATA"),IF(OR($K52="TEMİZ",$K52="ÖNEMSİZ"),IF(Q52="KOŞULLU","YANLIŞ ALARM","DOĞRU SESSİZ"),IF(Q52="KOŞULLU","BELİRSİZ — işaretlendi","BELİRSİZ — işaretlenmedi"))))</f>
        <v>DOĞRU SESSİZ</v>
      </c>
    </row>
    <row r="53" spans="1:20" x14ac:dyDescent="0.2">
      <c r="A53" s="8" t="s">
        <v>762</v>
      </c>
      <c r="B53" s="8" t="s">
        <v>292</v>
      </c>
      <c r="C53" s="8" t="s">
        <v>82</v>
      </c>
      <c r="D53" s="8" t="s">
        <v>290</v>
      </c>
      <c r="E53" s="10">
        <v>0</v>
      </c>
      <c r="F53" s="10">
        <v>-2046.8630000000001</v>
      </c>
      <c r="G53" s="8" t="s">
        <v>204</v>
      </c>
      <c r="H53" s="8">
        <v>1</v>
      </c>
      <c r="I53" s="8">
        <v>1</v>
      </c>
      <c r="J53" s="8">
        <v>0</v>
      </c>
      <c r="K53" s="8" t="s">
        <v>99</v>
      </c>
      <c r="L53" s="5" t="s">
        <v>773</v>
      </c>
      <c r="M53" s="5" t="s">
        <v>774</v>
      </c>
      <c r="N53" s="10"/>
      <c r="O53" s="8" t="str">
        <f>G53</f>
        <v>KESİN</v>
      </c>
      <c r="P53" s="8" t="str">
        <f>IF(OR(G53="NULL",G53="KOŞULLU"),G53,IF(OR(I53=1,J53=1),"KOŞULLU",G53))</f>
        <v>KOŞULLU</v>
      </c>
      <c r="Q53" s="8" t="str">
        <f>IF(OR(G53="NULL",G53="KOŞULLU"),G53,IF(J53=1,"KOŞULLU",G53))</f>
        <v>KESİN</v>
      </c>
      <c r="R53" s="8" t="str">
        <f>IF(OR($G53="NULL",$G53="KOŞULLU"),"V7 zaten "&amp;$G53,IF($K53="HATA",IF(O53="KOŞULLU","YAKALANDI","SESSİZ HATA"),IF(OR($K53="TEMİZ",$K53="ÖNEMSİZ"),IF(O53="KOŞULLU","YANLIŞ ALARM","DOĞRU SESSİZ"),IF(O53="KOŞULLU","BELİRSİZ — işaretlendi","BELİRSİZ — işaretlenmedi"))))</f>
        <v>DOĞRU SESSİZ</v>
      </c>
      <c r="S53" s="8" t="str">
        <f>IF(OR($G53="NULL",$G53="KOŞULLU"),"V7 zaten "&amp;$G53,IF($K53="HATA",IF(P53="KOŞULLU","YAKALANDI","SESSİZ HATA"),IF(OR($K53="TEMİZ",$K53="ÖNEMSİZ"),IF(P53="KOŞULLU","YANLIŞ ALARM","DOĞRU SESSİZ"),IF(P53="KOŞULLU","BELİRSİZ — işaretlendi","BELİRSİZ — işaretlenmedi"))))</f>
        <v>YANLIŞ ALARM</v>
      </c>
      <c r="T53" s="8" t="str">
        <f>IF(OR($G53="NULL",$G53="KOŞULLU"),"V7 zaten "&amp;$G53,IF($K53="HATA",IF(Q53="KOŞULLU","YAKALANDI","SESSİZ HATA"),IF(OR($K53="TEMİZ",$K53="ÖNEMSİZ"),IF(Q53="KOŞULLU","YANLIŞ ALARM","DOĞRU SESSİZ"),IF(Q53="KOŞULLU","BELİRSİZ — işaretlendi","BELİRSİZ — işaretlenmedi"))))</f>
        <v>DOĞRU SESSİZ</v>
      </c>
    </row>
    <row r="54" spans="1:20" x14ac:dyDescent="0.2">
      <c r="A54" s="8" t="s">
        <v>762</v>
      </c>
      <c r="B54" s="8" t="s">
        <v>292</v>
      </c>
      <c r="C54" s="8" t="s">
        <v>82</v>
      </c>
      <c r="D54" s="8" t="s">
        <v>208</v>
      </c>
      <c r="E54" s="10">
        <v>0</v>
      </c>
      <c r="F54" s="10">
        <v>-5809.9440000000004</v>
      </c>
      <c r="G54" s="8" t="s">
        <v>204</v>
      </c>
      <c r="H54" s="8">
        <v>1</v>
      </c>
      <c r="I54" s="8">
        <v>1</v>
      </c>
      <c r="J54" s="8">
        <v>0</v>
      </c>
      <c r="K54" s="8" t="s">
        <v>99</v>
      </c>
      <c r="L54" s="5" t="s">
        <v>773</v>
      </c>
      <c r="M54" s="5" t="s">
        <v>774</v>
      </c>
      <c r="N54" s="10"/>
      <c r="O54" s="8" t="str">
        <f>G54</f>
        <v>KESİN</v>
      </c>
      <c r="P54" s="8" t="str">
        <f>IF(OR(G54="NULL",G54="KOŞULLU"),G54,IF(OR(I54=1,J54=1),"KOŞULLU",G54))</f>
        <v>KOŞULLU</v>
      </c>
      <c r="Q54" s="8" t="str">
        <f>IF(OR(G54="NULL",G54="KOŞULLU"),G54,IF(J54=1,"KOŞULLU",G54))</f>
        <v>KESİN</v>
      </c>
      <c r="R54" s="8" t="str">
        <f>IF(OR($G54="NULL",$G54="KOŞULLU"),"V7 zaten "&amp;$G54,IF($K54="HATA",IF(O54="KOŞULLU","YAKALANDI","SESSİZ HATA"),IF(OR($K54="TEMİZ",$K54="ÖNEMSİZ"),IF(O54="KOŞULLU","YANLIŞ ALARM","DOĞRU SESSİZ"),IF(O54="KOŞULLU","BELİRSİZ — işaretlendi","BELİRSİZ — işaretlenmedi"))))</f>
        <v>DOĞRU SESSİZ</v>
      </c>
      <c r="S54" s="8" t="str">
        <f>IF(OR($G54="NULL",$G54="KOŞULLU"),"V7 zaten "&amp;$G54,IF($K54="HATA",IF(P54="KOŞULLU","YAKALANDI","SESSİZ HATA"),IF(OR($K54="TEMİZ",$K54="ÖNEMSİZ"),IF(P54="KOŞULLU","YANLIŞ ALARM","DOĞRU SESSİZ"),IF(P54="KOŞULLU","BELİRSİZ — işaretlendi","BELİRSİZ — işaretlenmedi"))))</f>
        <v>YANLIŞ ALARM</v>
      </c>
      <c r="T54" s="8" t="str">
        <f>IF(OR($G54="NULL",$G54="KOŞULLU"),"V7 zaten "&amp;$G54,IF($K54="HATA",IF(Q54="KOŞULLU","YAKALANDI","SESSİZ HATA"),IF(OR($K54="TEMİZ",$K54="ÖNEMSİZ"),IF(Q54="KOŞULLU","YANLIŞ ALARM","DOĞRU SESSİZ"),IF(Q54="KOŞULLU","BELİRSİZ — işaretlendi","BELİRSİZ — işaretlenmedi"))))</f>
        <v>DOĞRU SESSİZ</v>
      </c>
    </row>
    <row r="55" spans="1:20" x14ac:dyDescent="0.2">
      <c r="A55" s="8" t="s">
        <v>762</v>
      </c>
      <c r="B55" s="8" t="s">
        <v>292</v>
      </c>
      <c r="C55" s="8" t="s">
        <v>82</v>
      </c>
      <c r="D55" s="8" t="s">
        <v>210</v>
      </c>
      <c r="E55" s="10">
        <v>3.3079999999999998</v>
      </c>
      <c r="F55" s="10">
        <v>-394.54700000000003</v>
      </c>
      <c r="G55" s="8" t="s">
        <v>204</v>
      </c>
      <c r="H55" s="8">
        <v>0</v>
      </c>
      <c r="I55" s="8">
        <v>1</v>
      </c>
      <c r="J55" s="8">
        <v>0</v>
      </c>
      <c r="K55" s="8" t="s">
        <v>99</v>
      </c>
      <c r="L55" s="5" t="s">
        <v>773</v>
      </c>
      <c r="M55" s="5" t="s">
        <v>774</v>
      </c>
      <c r="N55" s="10"/>
      <c r="O55" s="8" t="str">
        <f>G55</f>
        <v>KESİN</v>
      </c>
      <c r="P55" s="8" t="str">
        <f>IF(OR(G55="NULL",G55="KOŞULLU"),G55,IF(OR(I55=1,J55=1),"KOŞULLU",G55))</f>
        <v>KOŞULLU</v>
      </c>
      <c r="Q55" s="8" t="str">
        <f>IF(OR(G55="NULL",G55="KOŞULLU"),G55,IF(J55=1,"KOŞULLU",G55))</f>
        <v>KESİN</v>
      </c>
      <c r="R55" s="8" t="str">
        <f>IF(OR($G55="NULL",$G55="KOŞULLU"),"V7 zaten "&amp;$G55,IF($K55="HATA",IF(O55="KOŞULLU","YAKALANDI","SESSİZ HATA"),IF(OR($K55="TEMİZ",$K55="ÖNEMSİZ"),IF(O55="KOŞULLU","YANLIŞ ALARM","DOĞRU SESSİZ"),IF(O55="KOŞULLU","BELİRSİZ — işaretlendi","BELİRSİZ — işaretlenmedi"))))</f>
        <v>DOĞRU SESSİZ</v>
      </c>
      <c r="S55" s="8" t="str">
        <f>IF(OR($G55="NULL",$G55="KOŞULLU"),"V7 zaten "&amp;$G55,IF($K55="HATA",IF(P55="KOŞULLU","YAKALANDI","SESSİZ HATA"),IF(OR($K55="TEMİZ",$K55="ÖNEMSİZ"),IF(P55="KOŞULLU","YANLIŞ ALARM","DOĞRU SESSİZ"),IF(P55="KOŞULLU","BELİRSİZ — işaretlendi","BELİRSİZ — işaretlenmedi"))))</f>
        <v>YANLIŞ ALARM</v>
      </c>
      <c r="T55" s="8" t="str">
        <f>IF(OR($G55="NULL",$G55="KOŞULLU"),"V7 zaten "&amp;$G55,IF($K55="HATA",IF(Q55="KOŞULLU","YAKALANDI","SESSİZ HATA"),IF(OR($K55="TEMİZ",$K55="ÖNEMSİZ"),IF(Q55="KOŞULLU","YANLIŞ ALARM","DOĞRU SESSİZ"),IF(Q55="KOŞULLU","BELİRSİZ — işaretlendi","BELİRSİZ — işaretlenmedi"))))</f>
        <v>DOĞRU SESSİZ</v>
      </c>
    </row>
    <row r="56" spans="1:20" x14ac:dyDescent="0.2">
      <c r="A56" s="8" t="s">
        <v>762</v>
      </c>
      <c r="B56" s="8" t="s">
        <v>292</v>
      </c>
      <c r="C56" s="8" t="s">
        <v>83</v>
      </c>
      <c r="D56" s="8" t="s">
        <v>203</v>
      </c>
      <c r="E56" s="10">
        <v>2011.402</v>
      </c>
      <c r="F56" s="10">
        <v>256.71800000000098</v>
      </c>
      <c r="G56" s="8" t="s">
        <v>204</v>
      </c>
      <c r="H56" s="8">
        <v>0</v>
      </c>
      <c r="I56" s="8">
        <v>0</v>
      </c>
      <c r="J56" s="8">
        <v>1</v>
      </c>
      <c r="K56" s="8" t="s">
        <v>98</v>
      </c>
      <c r="L56" s="5" t="s">
        <v>765</v>
      </c>
      <c r="M56" s="5" t="s">
        <v>775</v>
      </c>
      <c r="N56" s="10"/>
      <c r="O56" s="8" t="str">
        <f>G56</f>
        <v>KESİN</v>
      </c>
      <c r="P56" s="8" t="str">
        <f>IF(OR(G56="NULL",G56="KOŞULLU"),G56,IF(OR(I56=1,J56=1),"KOŞULLU",G56))</f>
        <v>KOŞULLU</v>
      </c>
      <c r="Q56" s="8" t="str">
        <f>IF(OR(G56="NULL",G56="KOŞULLU"),G56,IF(J56=1,"KOŞULLU",G56))</f>
        <v>KOŞULLU</v>
      </c>
      <c r="R56" s="8" t="str">
        <f>IF(OR($G56="NULL",$G56="KOŞULLU"),"V7 zaten "&amp;$G56,IF($K56="HATA",IF(O56="KOŞULLU","YAKALANDI","SESSİZ HATA"),IF(OR($K56="TEMİZ",$K56="ÖNEMSİZ"),IF(O56="KOŞULLU","YANLIŞ ALARM","DOĞRU SESSİZ"),IF(O56="KOŞULLU","BELİRSİZ — işaretlendi","BELİRSİZ — işaretlenmedi"))))</f>
        <v>SESSİZ HATA</v>
      </c>
      <c r="S56" s="8" t="str">
        <f>IF(OR($G56="NULL",$G56="KOŞULLU"),"V7 zaten "&amp;$G56,IF($K56="HATA",IF(P56="KOŞULLU","YAKALANDI","SESSİZ HATA"),IF(OR($K56="TEMİZ",$K56="ÖNEMSİZ"),IF(P56="KOŞULLU","YANLIŞ ALARM","DOĞRU SESSİZ"),IF(P56="KOŞULLU","BELİRSİZ — işaretlendi","BELİRSİZ — işaretlenmedi"))))</f>
        <v>YAKALANDI</v>
      </c>
      <c r="T56" s="8" t="str">
        <f>IF(OR($G56="NULL",$G56="KOŞULLU"),"V7 zaten "&amp;$G56,IF($K56="HATA",IF(Q56="KOŞULLU","YAKALANDI","SESSİZ HATA"),IF(OR($K56="TEMİZ",$K56="ÖNEMSİZ"),IF(Q56="KOŞULLU","YANLIŞ ALARM","DOĞRU SESSİZ"),IF(Q56="KOŞULLU","BELİRSİZ — işaretlendi","BELİRSİZ — işaretlenmedi"))))</f>
        <v>YAKALANDI</v>
      </c>
    </row>
    <row r="57" spans="1:20" x14ac:dyDescent="0.2">
      <c r="A57" s="8" t="s">
        <v>762</v>
      </c>
      <c r="B57" s="8" t="s">
        <v>292</v>
      </c>
      <c r="C57" s="8" t="s">
        <v>83</v>
      </c>
      <c r="D57" s="8" t="s">
        <v>205</v>
      </c>
      <c r="E57" s="10">
        <v>0</v>
      </c>
      <c r="F57" s="10">
        <v>-3074.2449999999999</v>
      </c>
      <c r="G57" s="8" t="s">
        <v>204</v>
      </c>
      <c r="H57" s="8">
        <v>1</v>
      </c>
      <c r="I57" s="8">
        <v>1</v>
      </c>
      <c r="J57" s="8">
        <v>0</v>
      </c>
      <c r="K57" s="8" t="s">
        <v>98</v>
      </c>
      <c r="L57" s="5" t="s">
        <v>776</v>
      </c>
      <c r="M57" s="5" t="s">
        <v>777</v>
      </c>
      <c r="N57" s="10"/>
      <c r="O57" s="8" t="str">
        <f>G57</f>
        <v>KESİN</v>
      </c>
      <c r="P57" s="8" t="str">
        <f>IF(OR(G57="NULL",G57="KOŞULLU"),G57,IF(OR(I57=1,J57=1),"KOŞULLU",G57))</f>
        <v>KOŞULLU</v>
      </c>
      <c r="Q57" s="8" t="str">
        <f>IF(OR(G57="NULL",G57="KOŞULLU"),G57,IF(J57=1,"KOŞULLU",G57))</f>
        <v>KESİN</v>
      </c>
      <c r="R57" s="8" t="str">
        <f>IF(OR($G57="NULL",$G57="KOŞULLU"),"V7 zaten "&amp;$G57,IF($K57="HATA",IF(O57="KOŞULLU","YAKALANDI","SESSİZ HATA"),IF(OR($K57="TEMİZ",$K57="ÖNEMSİZ"),IF(O57="KOŞULLU","YANLIŞ ALARM","DOĞRU SESSİZ"),IF(O57="KOŞULLU","BELİRSİZ — işaretlendi","BELİRSİZ — işaretlenmedi"))))</f>
        <v>SESSİZ HATA</v>
      </c>
      <c r="S57" s="8" t="str">
        <f>IF(OR($G57="NULL",$G57="KOŞULLU"),"V7 zaten "&amp;$G57,IF($K57="HATA",IF(P57="KOŞULLU","YAKALANDI","SESSİZ HATA"),IF(OR($K57="TEMİZ",$K57="ÖNEMSİZ"),IF(P57="KOŞULLU","YANLIŞ ALARM","DOĞRU SESSİZ"),IF(P57="KOŞULLU","BELİRSİZ — işaretlendi","BELİRSİZ — işaretlenmedi"))))</f>
        <v>YAKALANDI</v>
      </c>
      <c r="T57" s="8" t="str">
        <f>IF(OR($G57="NULL",$G57="KOŞULLU"),"V7 zaten "&amp;$G57,IF($K57="HATA",IF(Q57="KOŞULLU","YAKALANDI","SESSİZ HATA"),IF(OR($K57="TEMİZ",$K57="ÖNEMSİZ"),IF(Q57="KOŞULLU","YANLIŞ ALARM","DOĞRU SESSİZ"),IF(Q57="KOŞULLU","BELİRSİZ — işaretlendi","BELİRSİZ — işaretlenmedi"))))</f>
        <v>SESSİZ HATA</v>
      </c>
    </row>
    <row r="58" spans="1:20" x14ac:dyDescent="0.2">
      <c r="A58" s="8" t="s">
        <v>762</v>
      </c>
      <c r="B58" s="8" t="s">
        <v>292</v>
      </c>
      <c r="C58" s="8" t="s">
        <v>83</v>
      </c>
      <c r="D58" s="8" t="s">
        <v>215</v>
      </c>
      <c r="E58" s="10">
        <v>0</v>
      </c>
      <c r="F58" s="10">
        <v>-5299.7740000000003</v>
      </c>
      <c r="G58" s="8" t="s">
        <v>204</v>
      </c>
      <c r="H58" s="8">
        <v>1</v>
      </c>
      <c r="I58" s="8">
        <v>1</v>
      </c>
      <c r="J58" s="8">
        <v>0</v>
      </c>
      <c r="K58" s="8" t="s">
        <v>98</v>
      </c>
      <c r="L58" s="5" t="s">
        <v>776</v>
      </c>
      <c r="M58" s="5" t="s">
        <v>777</v>
      </c>
      <c r="N58" s="10"/>
      <c r="O58" s="8" t="str">
        <f>G58</f>
        <v>KESİN</v>
      </c>
      <c r="P58" s="8" t="str">
        <f>IF(OR(G58="NULL",G58="KOŞULLU"),G58,IF(OR(I58=1,J58=1),"KOŞULLU",G58))</f>
        <v>KOŞULLU</v>
      </c>
      <c r="Q58" s="8" t="str">
        <f>IF(OR(G58="NULL",G58="KOŞULLU"),G58,IF(J58=1,"KOŞULLU",G58))</f>
        <v>KESİN</v>
      </c>
      <c r="R58" s="8" t="str">
        <f>IF(OR($G58="NULL",$G58="KOŞULLU"),"V7 zaten "&amp;$G58,IF($K58="HATA",IF(O58="KOŞULLU","YAKALANDI","SESSİZ HATA"),IF(OR($K58="TEMİZ",$K58="ÖNEMSİZ"),IF(O58="KOŞULLU","YANLIŞ ALARM","DOĞRU SESSİZ"),IF(O58="KOŞULLU","BELİRSİZ — işaretlendi","BELİRSİZ — işaretlenmedi"))))</f>
        <v>SESSİZ HATA</v>
      </c>
      <c r="S58" s="8" t="str">
        <f>IF(OR($G58="NULL",$G58="KOŞULLU"),"V7 zaten "&amp;$G58,IF($K58="HATA",IF(P58="KOŞULLU","YAKALANDI","SESSİZ HATA"),IF(OR($K58="TEMİZ",$K58="ÖNEMSİZ"),IF(P58="KOŞULLU","YANLIŞ ALARM","DOĞRU SESSİZ"),IF(P58="KOŞULLU","BELİRSİZ — işaretlendi","BELİRSİZ — işaretlenmedi"))))</f>
        <v>YAKALANDI</v>
      </c>
      <c r="T58" s="8" t="str">
        <f>IF(OR($G58="NULL",$G58="KOŞULLU"),"V7 zaten "&amp;$G58,IF($K58="HATA",IF(Q58="KOŞULLU","YAKALANDI","SESSİZ HATA"),IF(OR($K58="TEMİZ",$K58="ÖNEMSİZ"),IF(Q58="KOŞULLU","YANLIŞ ALARM","DOĞRU SESSİZ"),IF(Q58="KOŞULLU","BELİRSİZ — işaretlendi","BELİRSİZ — işaretlenmedi"))))</f>
        <v>SESSİZ HATA</v>
      </c>
    </row>
    <row r="59" spans="1:20" x14ac:dyDescent="0.2">
      <c r="A59" s="8" t="s">
        <v>762</v>
      </c>
      <c r="B59" s="8" t="s">
        <v>292</v>
      </c>
      <c r="C59" s="8" t="s">
        <v>83</v>
      </c>
      <c r="D59" s="8" t="s">
        <v>290</v>
      </c>
      <c r="E59" s="10">
        <v>0</v>
      </c>
      <c r="F59" s="10">
        <v>-2046.8630000000001</v>
      </c>
      <c r="G59" s="8" t="s">
        <v>204</v>
      </c>
      <c r="H59" s="8">
        <v>1</v>
      </c>
      <c r="I59" s="8">
        <v>1</v>
      </c>
      <c r="J59" s="8">
        <v>0</v>
      </c>
      <c r="K59" s="8" t="s">
        <v>98</v>
      </c>
      <c r="L59" s="5" t="s">
        <v>776</v>
      </c>
      <c r="M59" s="5" t="s">
        <v>777</v>
      </c>
      <c r="N59" s="10"/>
      <c r="O59" s="8" t="str">
        <f>G59</f>
        <v>KESİN</v>
      </c>
      <c r="P59" s="8" t="str">
        <f>IF(OR(G59="NULL",G59="KOŞULLU"),G59,IF(OR(I59=1,J59=1),"KOŞULLU",G59))</f>
        <v>KOŞULLU</v>
      </c>
      <c r="Q59" s="8" t="str">
        <f>IF(OR(G59="NULL",G59="KOŞULLU"),G59,IF(J59=1,"KOŞULLU",G59))</f>
        <v>KESİN</v>
      </c>
      <c r="R59" s="8" t="str">
        <f>IF(OR($G59="NULL",$G59="KOŞULLU"),"V7 zaten "&amp;$G59,IF($K59="HATA",IF(O59="KOŞULLU","YAKALANDI","SESSİZ HATA"),IF(OR($K59="TEMİZ",$K59="ÖNEMSİZ"),IF(O59="KOŞULLU","YANLIŞ ALARM","DOĞRU SESSİZ"),IF(O59="KOŞULLU","BELİRSİZ — işaretlendi","BELİRSİZ — işaretlenmedi"))))</f>
        <v>SESSİZ HATA</v>
      </c>
      <c r="S59" s="8" t="str">
        <f>IF(OR($G59="NULL",$G59="KOŞULLU"),"V7 zaten "&amp;$G59,IF($K59="HATA",IF(P59="KOŞULLU","YAKALANDI","SESSİZ HATA"),IF(OR($K59="TEMİZ",$K59="ÖNEMSİZ"),IF(P59="KOŞULLU","YANLIŞ ALARM","DOĞRU SESSİZ"),IF(P59="KOŞULLU","BELİRSİZ — işaretlendi","BELİRSİZ — işaretlenmedi"))))</f>
        <v>YAKALANDI</v>
      </c>
      <c r="T59" s="8" t="str">
        <f>IF(OR($G59="NULL",$G59="KOŞULLU"),"V7 zaten "&amp;$G59,IF($K59="HATA",IF(Q59="KOŞULLU","YAKALANDI","SESSİZ HATA"),IF(OR($K59="TEMİZ",$K59="ÖNEMSİZ"),IF(Q59="KOŞULLU","YANLIŞ ALARM","DOĞRU SESSİZ"),IF(Q59="KOŞULLU","BELİRSİZ — işaretlendi","BELİRSİZ — işaretlenmedi"))))</f>
        <v>SESSİZ HATA</v>
      </c>
    </row>
    <row r="60" spans="1:20" x14ac:dyDescent="0.2">
      <c r="A60" s="8" t="s">
        <v>762</v>
      </c>
      <c r="B60" s="8" t="s">
        <v>292</v>
      </c>
      <c r="C60" s="8" t="s">
        <v>83</v>
      </c>
      <c r="D60" s="8" t="s">
        <v>208</v>
      </c>
      <c r="E60" s="10">
        <v>0</v>
      </c>
      <c r="F60" s="10">
        <v>-5809.9440000000004</v>
      </c>
      <c r="G60" s="8" t="s">
        <v>204</v>
      </c>
      <c r="H60" s="8">
        <v>1</v>
      </c>
      <c r="I60" s="8">
        <v>1</v>
      </c>
      <c r="J60" s="8">
        <v>0</v>
      </c>
      <c r="K60" s="8" t="s">
        <v>98</v>
      </c>
      <c r="L60" s="5" t="s">
        <v>776</v>
      </c>
      <c r="M60" s="5" t="s">
        <v>777</v>
      </c>
      <c r="N60" s="10"/>
      <c r="O60" s="8" t="str">
        <f>G60</f>
        <v>KESİN</v>
      </c>
      <c r="P60" s="8" t="str">
        <f>IF(OR(G60="NULL",G60="KOŞULLU"),G60,IF(OR(I60=1,J60=1),"KOŞULLU",G60))</f>
        <v>KOŞULLU</v>
      </c>
      <c r="Q60" s="8" t="str">
        <f>IF(OR(G60="NULL",G60="KOŞULLU"),G60,IF(J60=1,"KOŞULLU",G60))</f>
        <v>KESİN</v>
      </c>
      <c r="R60" s="8" t="str">
        <f>IF(OR($G60="NULL",$G60="KOŞULLU"),"V7 zaten "&amp;$G60,IF($K60="HATA",IF(O60="KOŞULLU","YAKALANDI","SESSİZ HATA"),IF(OR($K60="TEMİZ",$K60="ÖNEMSİZ"),IF(O60="KOŞULLU","YANLIŞ ALARM","DOĞRU SESSİZ"),IF(O60="KOŞULLU","BELİRSİZ — işaretlendi","BELİRSİZ — işaretlenmedi"))))</f>
        <v>SESSİZ HATA</v>
      </c>
      <c r="S60" s="8" t="str">
        <f>IF(OR($G60="NULL",$G60="KOŞULLU"),"V7 zaten "&amp;$G60,IF($K60="HATA",IF(P60="KOŞULLU","YAKALANDI","SESSİZ HATA"),IF(OR($K60="TEMİZ",$K60="ÖNEMSİZ"),IF(P60="KOŞULLU","YANLIŞ ALARM","DOĞRU SESSİZ"),IF(P60="KOŞULLU","BELİRSİZ — işaretlendi","BELİRSİZ — işaretlenmedi"))))</f>
        <v>YAKALANDI</v>
      </c>
      <c r="T60" s="8" t="str">
        <f>IF(OR($G60="NULL",$G60="KOŞULLU"),"V7 zaten "&amp;$G60,IF($K60="HATA",IF(Q60="KOŞULLU","YAKALANDI","SESSİZ HATA"),IF(OR($K60="TEMİZ",$K60="ÖNEMSİZ"),IF(Q60="KOŞULLU","YANLIŞ ALARM","DOĞRU SESSİZ"),IF(Q60="KOŞULLU","BELİRSİZ — işaretlendi","BELİRSİZ — işaretlenmedi"))))</f>
        <v>SESSİZ HATA</v>
      </c>
    </row>
    <row r="61" spans="1:20" x14ac:dyDescent="0.2">
      <c r="A61" s="8" t="s">
        <v>762</v>
      </c>
      <c r="B61" s="8" t="s">
        <v>292</v>
      </c>
      <c r="C61" s="8" t="s">
        <v>83</v>
      </c>
      <c r="D61" s="8" t="s">
        <v>210</v>
      </c>
      <c r="E61" s="10">
        <v>0</v>
      </c>
      <c r="F61" s="10">
        <v>-394.54700000000003</v>
      </c>
      <c r="G61" s="8" t="s">
        <v>204</v>
      </c>
      <c r="H61" s="8">
        <v>1</v>
      </c>
      <c r="I61" s="8">
        <v>1</v>
      </c>
      <c r="J61" s="8">
        <v>0</v>
      </c>
      <c r="K61" s="8" t="s">
        <v>98</v>
      </c>
      <c r="L61" s="5" t="s">
        <v>776</v>
      </c>
      <c r="M61" s="5" t="s">
        <v>777</v>
      </c>
      <c r="N61" s="10"/>
      <c r="O61" s="8" t="str">
        <f>G61</f>
        <v>KESİN</v>
      </c>
      <c r="P61" s="8" t="str">
        <f>IF(OR(G61="NULL",G61="KOŞULLU"),G61,IF(OR(I61=1,J61=1),"KOŞULLU",G61))</f>
        <v>KOŞULLU</v>
      </c>
      <c r="Q61" s="8" t="str">
        <f>IF(OR(G61="NULL",G61="KOŞULLU"),G61,IF(J61=1,"KOŞULLU",G61))</f>
        <v>KESİN</v>
      </c>
      <c r="R61" s="8" t="str">
        <f>IF(OR($G61="NULL",$G61="KOŞULLU"),"V7 zaten "&amp;$G61,IF($K61="HATA",IF(O61="KOŞULLU","YAKALANDI","SESSİZ HATA"),IF(OR($K61="TEMİZ",$K61="ÖNEMSİZ"),IF(O61="KOŞULLU","YANLIŞ ALARM","DOĞRU SESSİZ"),IF(O61="KOŞULLU","BELİRSİZ — işaretlendi","BELİRSİZ — işaretlenmedi"))))</f>
        <v>SESSİZ HATA</v>
      </c>
      <c r="S61" s="8" t="str">
        <f>IF(OR($G61="NULL",$G61="KOŞULLU"),"V7 zaten "&amp;$G61,IF($K61="HATA",IF(P61="KOŞULLU","YAKALANDI","SESSİZ HATA"),IF(OR($K61="TEMİZ",$K61="ÖNEMSİZ"),IF(P61="KOŞULLU","YANLIŞ ALARM","DOĞRU SESSİZ"),IF(P61="KOŞULLU","BELİRSİZ — işaretlendi","BELİRSİZ — işaretlenmedi"))))</f>
        <v>YAKALANDI</v>
      </c>
      <c r="T61" s="8" t="str">
        <f>IF(OR($G61="NULL",$G61="KOŞULLU"),"V7 zaten "&amp;$G61,IF($K61="HATA",IF(Q61="KOŞULLU","YAKALANDI","SESSİZ HATA"),IF(OR($K61="TEMİZ",$K61="ÖNEMSİZ"),IF(Q61="KOŞULLU","YANLIŞ ALARM","DOĞRU SESSİZ"),IF(Q61="KOŞULLU","BELİRSİZ — işaretlendi","BELİRSİZ — işaretlenmedi"))))</f>
        <v>SESSİZ HATA</v>
      </c>
    </row>
    <row r="62" spans="1:20" x14ac:dyDescent="0.2">
      <c r="A62" s="8" t="s">
        <v>762</v>
      </c>
      <c r="B62" s="8" t="s">
        <v>443</v>
      </c>
      <c r="C62" s="8" t="s">
        <v>82</v>
      </c>
      <c r="D62" s="8" t="s">
        <v>203</v>
      </c>
      <c r="E62" s="10">
        <v>0</v>
      </c>
      <c r="F62" s="10">
        <v>-3625.123</v>
      </c>
      <c r="G62" s="8" t="s">
        <v>204</v>
      </c>
      <c r="H62" s="8">
        <v>1</v>
      </c>
      <c r="I62" s="8">
        <v>1</v>
      </c>
      <c r="J62" s="8">
        <v>0</v>
      </c>
      <c r="K62" s="8" t="s">
        <v>99</v>
      </c>
      <c r="L62" s="5" t="s">
        <v>773</v>
      </c>
      <c r="M62" s="5" t="s">
        <v>774</v>
      </c>
      <c r="N62" s="10"/>
      <c r="O62" s="8" t="str">
        <f>G62</f>
        <v>KESİN</v>
      </c>
      <c r="P62" s="8" t="str">
        <f>IF(OR(G62="NULL",G62="KOŞULLU"),G62,IF(OR(I62=1,J62=1),"KOŞULLU",G62))</f>
        <v>KOŞULLU</v>
      </c>
      <c r="Q62" s="8" t="str">
        <f>IF(OR(G62="NULL",G62="KOŞULLU"),G62,IF(J62=1,"KOŞULLU",G62))</f>
        <v>KESİN</v>
      </c>
      <c r="R62" s="8" t="str">
        <f>IF(OR($G62="NULL",$G62="KOŞULLU"),"V7 zaten "&amp;$G62,IF($K62="HATA",IF(O62="KOŞULLU","YAKALANDI","SESSİZ HATA"),IF(OR($K62="TEMİZ",$K62="ÖNEMSİZ"),IF(O62="KOŞULLU","YANLIŞ ALARM","DOĞRU SESSİZ"),IF(O62="KOŞULLU","BELİRSİZ — işaretlendi","BELİRSİZ — işaretlenmedi"))))</f>
        <v>DOĞRU SESSİZ</v>
      </c>
      <c r="S62" s="8" t="str">
        <f>IF(OR($G62="NULL",$G62="KOŞULLU"),"V7 zaten "&amp;$G62,IF($K62="HATA",IF(P62="KOŞULLU","YAKALANDI","SESSİZ HATA"),IF(OR($K62="TEMİZ",$K62="ÖNEMSİZ"),IF(P62="KOŞULLU","YANLIŞ ALARM","DOĞRU SESSİZ"),IF(P62="KOŞULLU","BELİRSİZ — işaretlendi","BELİRSİZ — işaretlenmedi"))))</f>
        <v>YANLIŞ ALARM</v>
      </c>
      <c r="T62" s="8" t="str">
        <f>IF(OR($G62="NULL",$G62="KOŞULLU"),"V7 zaten "&amp;$G62,IF($K62="HATA",IF(Q62="KOŞULLU","YAKALANDI","SESSİZ HATA"),IF(OR($K62="TEMİZ",$K62="ÖNEMSİZ"),IF(Q62="KOŞULLU","YANLIŞ ALARM","DOĞRU SESSİZ"),IF(Q62="KOŞULLU","BELİRSİZ — işaretlendi","BELİRSİZ — işaretlenmedi"))))</f>
        <v>DOĞRU SESSİZ</v>
      </c>
    </row>
    <row r="63" spans="1:20" x14ac:dyDescent="0.2">
      <c r="A63" s="8" t="s">
        <v>762</v>
      </c>
      <c r="B63" s="8" t="s">
        <v>443</v>
      </c>
      <c r="C63" s="8" t="s">
        <v>82</v>
      </c>
      <c r="D63" s="8" t="s">
        <v>205</v>
      </c>
      <c r="E63" s="10">
        <v>247.85499999999999</v>
      </c>
      <c r="F63" s="10">
        <v>-8814.1830000000009</v>
      </c>
      <c r="G63" s="8" t="s">
        <v>204</v>
      </c>
      <c r="H63" s="8">
        <v>0</v>
      </c>
      <c r="I63" s="8">
        <v>1</v>
      </c>
      <c r="J63" s="8">
        <v>0</v>
      </c>
      <c r="K63" s="8" t="s">
        <v>98</v>
      </c>
      <c r="L63" s="5" t="s">
        <v>778</v>
      </c>
      <c r="M63" s="5" t="s">
        <v>774</v>
      </c>
      <c r="N63" s="10"/>
      <c r="O63" s="8" t="str">
        <f>G63</f>
        <v>KESİN</v>
      </c>
      <c r="P63" s="8" t="str">
        <f>IF(OR(G63="NULL",G63="KOŞULLU"),G63,IF(OR(I63=1,J63=1),"KOŞULLU",G63))</f>
        <v>KOŞULLU</v>
      </c>
      <c r="Q63" s="8" t="str">
        <f>IF(OR(G63="NULL",G63="KOŞULLU"),G63,IF(J63=1,"KOŞULLU",G63))</f>
        <v>KESİN</v>
      </c>
      <c r="R63" s="8" t="str">
        <f>IF(OR($G63="NULL",$G63="KOŞULLU"),"V7 zaten "&amp;$G63,IF($K63="HATA",IF(O63="KOŞULLU","YAKALANDI","SESSİZ HATA"),IF(OR($K63="TEMİZ",$K63="ÖNEMSİZ"),IF(O63="KOŞULLU","YANLIŞ ALARM","DOĞRU SESSİZ"),IF(O63="KOŞULLU","BELİRSİZ — işaretlendi","BELİRSİZ — işaretlenmedi"))))</f>
        <v>SESSİZ HATA</v>
      </c>
      <c r="S63" s="8" t="str">
        <f>IF(OR($G63="NULL",$G63="KOŞULLU"),"V7 zaten "&amp;$G63,IF($K63="HATA",IF(P63="KOŞULLU","YAKALANDI","SESSİZ HATA"),IF(OR($K63="TEMİZ",$K63="ÖNEMSİZ"),IF(P63="KOŞULLU","YANLIŞ ALARM","DOĞRU SESSİZ"),IF(P63="KOŞULLU","BELİRSİZ — işaretlendi","BELİRSİZ — işaretlenmedi"))))</f>
        <v>YAKALANDI</v>
      </c>
      <c r="T63" s="8" t="str">
        <f>IF(OR($G63="NULL",$G63="KOŞULLU"),"V7 zaten "&amp;$G63,IF($K63="HATA",IF(Q63="KOŞULLU","YAKALANDI","SESSİZ HATA"),IF(OR($K63="TEMİZ",$K63="ÖNEMSİZ"),IF(Q63="KOŞULLU","YANLIŞ ALARM","DOĞRU SESSİZ"),IF(Q63="KOŞULLU","BELİRSİZ — işaretlendi","BELİRSİZ — işaretlenmedi"))))</f>
        <v>SESSİZ HATA</v>
      </c>
    </row>
    <row r="64" spans="1:20" x14ac:dyDescent="0.2">
      <c r="A64" s="8" t="s">
        <v>762</v>
      </c>
      <c r="B64" s="8" t="s">
        <v>443</v>
      </c>
      <c r="C64" s="8" t="s">
        <v>82</v>
      </c>
      <c r="D64" s="8" t="s">
        <v>215</v>
      </c>
      <c r="E64" s="10">
        <v>367.77699999999999</v>
      </c>
      <c r="F64" s="10">
        <v>-9476.0529999999999</v>
      </c>
      <c r="G64" s="8" t="s">
        <v>204</v>
      </c>
      <c r="H64" s="8">
        <v>0</v>
      </c>
      <c r="I64" s="8">
        <v>1</v>
      </c>
      <c r="J64" s="8">
        <v>0</v>
      </c>
      <c r="K64" s="8" t="s">
        <v>98</v>
      </c>
      <c r="L64" s="5" t="s">
        <v>778</v>
      </c>
      <c r="M64" s="5" t="s">
        <v>774</v>
      </c>
      <c r="N64" s="10"/>
      <c r="O64" s="8" t="str">
        <f>G64</f>
        <v>KESİN</v>
      </c>
      <c r="P64" s="8" t="str">
        <f>IF(OR(G64="NULL",G64="KOŞULLU"),G64,IF(OR(I64=1,J64=1),"KOŞULLU",G64))</f>
        <v>KOŞULLU</v>
      </c>
      <c r="Q64" s="8" t="str">
        <f>IF(OR(G64="NULL",G64="KOŞULLU"),G64,IF(J64=1,"KOŞULLU",G64))</f>
        <v>KESİN</v>
      </c>
      <c r="R64" s="8" t="str">
        <f>IF(OR($G64="NULL",$G64="KOŞULLU"),"V7 zaten "&amp;$G64,IF($K64="HATA",IF(O64="KOŞULLU","YAKALANDI","SESSİZ HATA"),IF(OR($K64="TEMİZ",$K64="ÖNEMSİZ"),IF(O64="KOŞULLU","YANLIŞ ALARM","DOĞRU SESSİZ"),IF(O64="KOŞULLU","BELİRSİZ — işaretlendi","BELİRSİZ — işaretlenmedi"))))</f>
        <v>SESSİZ HATA</v>
      </c>
      <c r="S64" s="8" t="str">
        <f>IF(OR($G64="NULL",$G64="KOŞULLU"),"V7 zaten "&amp;$G64,IF($K64="HATA",IF(P64="KOŞULLU","YAKALANDI","SESSİZ HATA"),IF(OR($K64="TEMİZ",$K64="ÖNEMSİZ"),IF(P64="KOŞULLU","YANLIŞ ALARM","DOĞRU SESSİZ"),IF(P64="KOŞULLU","BELİRSİZ — işaretlendi","BELİRSİZ — işaretlenmedi"))))</f>
        <v>YAKALANDI</v>
      </c>
      <c r="T64" s="8" t="str">
        <f>IF(OR($G64="NULL",$G64="KOŞULLU"),"V7 zaten "&amp;$G64,IF($K64="HATA",IF(Q64="KOŞULLU","YAKALANDI","SESSİZ HATA"),IF(OR($K64="TEMİZ",$K64="ÖNEMSİZ"),IF(Q64="KOŞULLU","YANLIŞ ALARM","DOĞRU SESSİZ"),IF(Q64="KOŞULLU","BELİRSİZ — işaretlendi","BELİRSİZ — işaretlenmedi"))))</f>
        <v>SESSİZ HATA</v>
      </c>
    </row>
    <row r="65" spans="1:20" x14ac:dyDescent="0.2">
      <c r="A65" s="8" t="s">
        <v>762</v>
      </c>
      <c r="B65" s="8" t="s">
        <v>443</v>
      </c>
      <c r="C65" s="8" t="s">
        <v>82</v>
      </c>
      <c r="D65" s="8" t="s">
        <v>290</v>
      </c>
      <c r="E65" s="10">
        <v>0</v>
      </c>
      <c r="F65" s="10">
        <v>-5633.5140000000001</v>
      </c>
      <c r="G65" s="8" t="s">
        <v>204</v>
      </c>
      <c r="H65" s="8">
        <v>1</v>
      </c>
      <c r="I65" s="8">
        <v>1</v>
      </c>
      <c r="J65" s="8">
        <v>0</v>
      </c>
      <c r="K65" s="8" t="s">
        <v>99</v>
      </c>
      <c r="L65" s="5" t="s">
        <v>773</v>
      </c>
      <c r="M65" s="5" t="s">
        <v>774</v>
      </c>
      <c r="N65" s="10"/>
      <c r="O65" s="8" t="str">
        <f>G65</f>
        <v>KESİN</v>
      </c>
      <c r="P65" s="8" t="str">
        <f>IF(OR(G65="NULL",G65="KOŞULLU"),G65,IF(OR(I65=1,J65=1),"KOŞULLU",G65))</f>
        <v>KOŞULLU</v>
      </c>
      <c r="Q65" s="8" t="str">
        <f>IF(OR(G65="NULL",G65="KOŞULLU"),G65,IF(J65=1,"KOŞULLU",G65))</f>
        <v>KESİN</v>
      </c>
      <c r="R65" s="8" t="str">
        <f>IF(OR($G65="NULL",$G65="KOŞULLU"),"V7 zaten "&amp;$G65,IF($K65="HATA",IF(O65="KOŞULLU","YAKALANDI","SESSİZ HATA"),IF(OR($K65="TEMİZ",$K65="ÖNEMSİZ"),IF(O65="KOŞULLU","YANLIŞ ALARM","DOĞRU SESSİZ"),IF(O65="KOŞULLU","BELİRSİZ — işaretlendi","BELİRSİZ — işaretlenmedi"))))</f>
        <v>DOĞRU SESSİZ</v>
      </c>
      <c r="S65" s="8" t="str">
        <f>IF(OR($G65="NULL",$G65="KOŞULLU"),"V7 zaten "&amp;$G65,IF($K65="HATA",IF(P65="KOŞULLU","YAKALANDI","SESSİZ HATA"),IF(OR($K65="TEMİZ",$K65="ÖNEMSİZ"),IF(P65="KOŞULLU","YANLIŞ ALARM","DOĞRU SESSİZ"),IF(P65="KOŞULLU","BELİRSİZ — işaretlendi","BELİRSİZ — işaretlenmedi"))))</f>
        <v>YANLIŞ ALARM</v>
      </c>
      <c r="T65" s="8" t="str">
        <f>IF(OR($G65="NULL",$G65="KOŞULLU"),"V7 zaten "&amp;$G65,IF($K65="HATA",IF(Q65="KOŞULLU","YAKALANDI","SESSİZ HATA"),IF(OR($K65="TEMİZ",$K65="ÖNEMSİZ"),IF(Q65="KOŞULLU","YANLIŞ ALARM","DOĞRU SESSİZ"),IF(Q65="KOŞULLU","BELİRSİZ — işaretlendi","BELİRSİZ — işaretlenmedi"))))</f>
        <v>DOĞRU SESSİZ</v>
      </c>
    </row>
    <row r="66" spans="1:20" x14ac:dyDescent="0.2">
      <c r="A66" s="8" t="s">
        <v>762</v>
      </c>
      <c r="B66" s="8" t="s">
        <v>443</v>
      </c>
      <c r="C66" s="8" t="s">
        <v>82</v>
      </c>
      <c r="D66" s="8" t="s">
        <v>208</v>
      </c>
      <c r="E66" s="10">
        <v>18.597999999999999</v>
      </c>
      <c r="F66" s="10">
        <v>-9831.5660000000007</v>
      </c>
      <c r="G66" s="8" t="s">
        <v>204</v>
      </c>
      <c r="H66" s="8">
        <v>0</v>
      </c>
      <c r="I66" s="8">
        <v>1</v>
      </c>
      <c r="J66" s="8">
        <v>0</v>
      </c>
      <c r="K66" s="8" t="s">
        <v>98</v>
      </c>
      <c r="L66" s="5" t="s">
        <v>765</v>
      </c>
      <c r="M66" s="5" t="s">
        <v>774</v>
      </c>
      <c r="N66" s="10"/>
      <c r="O66" s="8" t="str">
        <f>G66</f>
        <v>KESİN</v>
      </c>
      <c r="P66" s="8" t="str">
        <f>IF(OR(G66="NULL",G66="KOŞULLU"),G66,IF(OR(I66=1,J66=1),"KOŞULLU",G66))</f>
        <v>KOŞULLU</v>
      </c>
      <c r="Q66" s="8" t="str">
        <f>IF(OR(G66="NULL",G66="KOŞULLU"),G66,IF(J66=1,"KOŞULLU",G66))</f>
        <v>KESİN</v>
      </c>
      <c r="R66" s="8" t="str">
        <f>IF(OR($G66="NULL",$G66="KOŞULLU"),"V7 zaten "&amp;$G66,IF($K66="HATA",IF(O66="KOŞULLU","YAKALANDI","SESSİZ HATA"),IF(OR($K66="TEMİZ",$K66="ÖNEMSİZ"),IF(O66="KOŞULLU","YANLIŞ ALARM","DOĞRU SESSİZ"),IF(O66="KOŞULLU","BELİRSİZ — işaretlendi","BELİRSİZ — işaretlenmedi"))))</f>
        <v>SESSİZ HATA</v>
      </c>
      <c r="S66" s="8" t="str">
        <f>IF(OR($G66="NULL",$G66="KOŞULLU"),"V7 zaten "&amp;$G66,IF($K66="HATA",IF(P66="KOŞULLU","YAKALANDI","SESSİZ HATA"),IF(OR($K66="TEMİZ",$K66="ÖNEMSİZ"),IF(P66="KOŞULLU","YANLIŞ ALARM","DOĞRU SESSİZ"),IF(P66="KOŞULLU","BELİRSİZ — işaretlendi","BELİRSİZ — işaretlenmedi"))))</f>
        <v>YAKALANDI</v>
      </c>
      <c r="T66" s="8" t="str">
        <f>IF(OR($G66="NULL",$G66="KOŞULLU"),"V7 zaten "&amp;$G66,IF($K66="HATA",IF(Q66="KOŞULLU","YAKALANDI","SESSİZ HATA"),IF(OR($K66="TEMİZ",$K66="ÖNEMSİZ"),IF(Q66="KOŞULLU","YANLIŞ ALARM","DOĞRU SESSİZ"),IF(Q66="KOŞULLU","BELİRSİZ — işaretlendi","BELİRSİZ — işaretlenmedi"))))</f>
        <v>SESSİZ HATA</v>
      </c>
    </row>
    <row r="67" spans="1:20" x14ac:dyDescent="0.2">
      <c r="A67" s="8" t="s">
        <v>762</v>
      </c>
      <c r="B67" s="8" t="s">
        <v>443</v>
      </c>
      <c r="C67" s="8" t="s">
        <v>82</v>
      </c>
      <c r="D67" s="8" t="s">
        <v>210</v>
      </c>
      <c r="E67" s="10">
        <v>190.096</v>
      </c>
      <c r="F67" s="10">
        <v>-200.65299999999999</v>
      </c>
      <c r="G67" s="8" t="s">
        <v>204</v>
      </c>
      <c r="H67" s="8">
        <v>0</v>
      </c>
      <c r="I67" s="8">
        <v>1</v>
      </c>
      <c r="J67" s="8">
        <v>0</v>
      </c>
      <c r="K67" s="8" t="s">
        <v>98</v>
      </c>
      <c r="L67" s="5" t="s">
        <v>779</v>
      </c>
      <c r="M67" s="5" t="s">
        <v>774</v>
      </c>
      <c r="N67" s="10"/>
      <c r="O67" s="8" t="str">
        <f>G67</f>
        <v>KESİN</v>
      </c>
      <c r="P67" s="8" t="str">
        <f>IF(OR(G67="NULL",G67="KOŞULLU"),G67,IF(OR(I67=1,J67=1),"KOŞULLU",G67))</f>
        <v>KOŞULLU</v>
      </c>
      <c r="Q67" s="8" t="str">
        <f>IF(OR(G67="NULL",G67="KOŞULLU"),G67,IF(J67=1,"KOŞULLU",G67))</f>
        <v>KESİN</v>
      </c>
      <c r="R67" s="8" t="str">
        <f>IF(OR($G67="NULL",$G67="KOŞULLU"),"V7 zaten "&amp;$G67,IF($K67="HATA",IF(O67="KOŞULLU","YAKALANDI","SESSİZ HATA"),IF(OR($K67="TEMİZ",$K67="ÖNEMSİZ"),IF(O67="KOŞULLU","YANLIŞ ALARM","DOĞRU SESSİZ"),IF(O67="KOŞULLU","BELİRSİZ — işaretlendi","BELİRSİZ — işaretlenmedi"))))</f>
        <v>SESSİZ HATA</v>
      </c>
      <c r="S67" s="8" t="str">
        <f>IF(OR($G67="NULL",$G67="KOŞULLU"),"V7 zaten "&amp;$G67,IF($K67="HATA",IF(P67="KOŞULLU","YAKALANDI","SESSİZ HATA"),IF(OR($K67="TEMİZ",$K67="ÖNEMSİZ"),IF(P67="KOŞULLU","YANLIŞ ALARM","DOĞRU SESSİZ"),IF(P67="KOŞULLU","BELİRSİZ — işaretlendi","BELİRSİZ — işaretlenmedi"))))</f>
        <v>YAKALANDI</v>
      </c>
      <c r="T67" s="8" t="str">
        <f>IF(OR($G67="NULL",$G67="KOŞULLU"),"V7 zaten "&amp;$G67,IF($K67="HATA",IF(Q67="KOŞULLU","YAKALANDI","SESSİZ HATA"),IF(OR($K67="TEMİZ",$K67="ÖNEMSİZ"),IF(Q67="KOŞULLU","YANLIŞ ALARM","DOĞRU SESSİZ"),IF(Q67="KOŞULLU","BELİRSİZ — işaretlendi","BELİRSİZ — işaretlenmedi"))))</f>
        <v>SESSİZ HATA</v>
      </c>
    </row>
    <row r="68" spans="1:20" x14ac:dyDescent="0.2">
      <c r="A68" s="8" t="s">
        <v>762</v>
      </c>
      <c r="B68" s="8" t="s">
        <v>443</v>
      </c>
      <c r="C68" s="8" t="s">
        <v>83</v>
      </c>
      <c r="D68" s="8" t="s">
        <v>203</v>
      </c>
      <c r="E68" s="10">
        <v>5334.7780000000002</v>
      </c>
      <c r="F68" s="10">
        <v>-3625.123</v>
      </c>
      <c r="G68" s="8" t="s">
        <v>204</v>
      </c>
      <c r="H68" s="8">
        <v>0</v>
      </c>
      <c r="I68" s="8">
        <v>0</v>
      </c>
      <c r="J68" s="8">
        <v>1</v>
      </c>
      <c r="K68" s="8" t="s">
        <v>98</v>
      </c>
      <c r="L68" s="5" t="s">
        <v>765</v>
      </c>
      <c r="M68" s="5" t="s">
        <v>775</v>
      </c>
      <c r="N68" s="10"/>
      <c r="O68" s="8" t="str">
        <f>G68</f>
        <v>KESİN</v>
      </c>
      <c r="P68" s="8" t="str">
        <f>IF(OR(G68="NULL",G68="KOŞULLU"),G68,IF(OR(I68=1,J68=1),"KOŞULLU",G68))</f>
        <v>KOŞULLU</v>
      </c>
      <c r="Q68" s="8" t="str">
        <f>IF(OR(G68="NULL",G68="KOŞULLU"),G68,IF(J68=1,"KOŞULLU",G68))</f>
        <v>KOŞULLU</v>
      </c>
      <c r="R68" s="8" t="str">
        <f>IF(OR($G68="NULL",$G68="KOŞULLU"),"V7 zaten "&amp;$G68,IF($K68="HATA",IF(O68="KOŞULLU","YAKALANDI","SESSİZ HATA"),IF(OR($K68="TEMİZ",$K68="ÖNEMSİZ"),IF(O68="KOŞULLU","YANLIŞ ALARM","DOĞRU SESSİZ"),IF(O68="KOŞULLU","BELİRSİZ — işaretlendi","BELİRSİZ — işaretlenmedi"))))</f>
        <v>SESSİZ HATA</v>
      </c>
      <c r="S68" s="8" t="str">
        <f>IF(OR($G68="NULL",$G68="KOŞULLU"),"V7 zaten "&amp;$G68,IF($K68="HATA",IF(P68="KOŞULLU","YAKALANDI","SESSİZ HATA"),IF(OR($K68="TEMİZ",$K68="ÖNEMSİZ"),IF(P68="KOŞULLU","YANLIŞ ALARM","DOĞRU SESSİZ"),IF(P68="KOŞULLU","BELİRSİZ — işaretlendi","BELİRSİZ — işaretlenmedi"))))</f>
        <v>YAKALANDI</v>
      </c>
      <c r="T68" s="8" t="str">
        <f>IF(OR($G68="NULL",$G68="KOŞULLU"),"V7 zaten "&amp;$G68,IF($K68="HATA",IF(Q68="KOŞULLU","YAKALANDI","SESSİZ HATA"),IF(OR($K68="TEMİZ",$K68="ÖNEMSİZ"),IF(Q68="KOŞULLU","YANLIŞ ALARM","DOĞRU SESSİZ"),IF(Q68="KOŞULLU","BELİRSİZ — işaretlendi","BELİRSİZ — işaretlenmedi"))))</f>
        <v>YAKALANDI</v>
      </c>
    </row>
    <row r="69" spans="1:20" x14ac:dyDescent="0.2">
      <c r="A69" s="8" t="s">
        <v>762</v>
      </c>
      <c r="B69" s="8" t="s">
        <v>443</v>
      </c>
      <c r="C69" s="8" t="s">
        <v>83</v>
      </c>
      <c r="D69" s="8" t="s">
        <v>205</v>
      </c>
      <c r="E69" s="10">
        <v>0</v>
      </c>
      <c r="F69" s="10">
        <v>-8814.1830000000009</v>
      </c>
      <c r="G69" s="8" t="s">
        <v>204</v>
      </c>
      <c r="H69" s="8">
        <v>1</v>
      </c>
      <c r="I69" s="8">
        <v>1</v>
      </c>
      <c r="J69" s="8">
        <v>0</v>
      </c>
      <c r="K69" s="8" t="s">
        <v>98</v>
      </c>
      <c r="L69" s="5" t="s">
        <v>776</v>
      </c>
      <c r="M69" s="5" t="s">
        <v>777</v>
      </c>
      <c r="N69" s="10"/>
      <c r="O69" s="8" t="str">
        <f>G69</f>
        <v>KESİN</v>
      </c>
      <c r="P69" s="8" t="str">
        <f>IF(OR(G69="NULL",G69="KOŞULLU"),G69,IF(OR(I69=1,J69=1),"KOŞULLU",G69))</f>
        <v>KOŞULLU</v>
      </c>
      <c r="Q69" s="8" t="str">
        <f>IF(OR(G69="NULL",G69="KOŞULLU"),G69,IF(J69=1,"KOŞULLU",G69))</f>
        <v>KESİN</v>
      </c>
      <c r="R69" s="8" t="str">
        <f>IF(OR($G69="NULL",$G69="KOŞULLU"),"V7 zaten "&amp;$G69,IF($K69="HATA",IF(O69="KOŞULLU","YAKALANDI","SESSİZ HATA"),IF(OR($K69="TEMİZ",$K69="ÖNEMSİZ"),IF(O69="KOŞULLU","YANLIŞ ALARM","DOĞRU SESSİZ"),IF(O69="KOŞULLU","BELİRSİZ — işaretlendi","BELİRSİZ — işaretlenmedi"))))</f>
        <v>SESSİZ HATA</v>
      </c>
      <c r="S69" s="8" t="str">
        <f>IF(OR($G69="NULL",$G69="KOŞULLU"),"V7 zaten "&amp;$G69,IF($K69="HATA",IF(P69="KOŞULLU","YAKALANDI","SESSİZ HATA"),IF(OR($K69="TEMİZ",$K69="ÖNEMSİZ"),IF(P69="KOŞULLU","YANLIŞ ALARM","DOĞRU SESSİZ"),IF(P69="KOŞULLU","BELİRSİZ — işaretlendi","BELİRSİZ — işaretlenmedi"))))</f>
        <v>YAKALANDI</v>
      </c>
      <c r="T69" s="8" t="str">
        <f>IF(OR($G69="NULL",$G69="KOŞULLU"),"V7 zaten "&amp;$G69,IF($K69="HATA",IF(Q69="KOŞULLU","YAKALANDI","SESSİZ HATA"),IF(OR($K69="TEMİZ",$K69="ÖNEMSİZ"),IF(Q69="KOŞULLU","YANLIŞ ALARM","DOĞRU SESSİZ"),IF(Q69="KOŞULLU","BELİRSİZ — işaretlendi","BELİRSİZ — işaretlenmedi"))))</f>
        <v>SESSİZ HATA</v>
      </c>
    </row>
    <row r="70" spans="1:20" x14ac:dyDescent="0.2">
      <c r="A70" s="8" t="s">
        <v>762</v>
      </c>
      <c r="B70" s="8" t="s">
        <v>443</v>
      </c>
      <c r="C70" s="8" t="s">
        <v>83</v>
      </c>
      <c r="D70" s="8" t="s">
        <v>215</v>
      </c>
      <c r="E70" s="10">
        <v>0</v>
      </c>
      <c r="F70" s="10">
        <v>-9476.0529999999999</v>
      </c>
      <c r="G70" s="8" t="s">
        <v>204</v>
      </c>
      <c r="H70" s="8">
        <v>1</v>
      </c>
      <c r="I70" s="8">
        <v>1</v>
      </c>
      <c r="J70" s="8">
        <v>0</v>
      </c>
      <c r="K70" s="8" t="s">
        <v>98</v>
      </c>
      <c r="L70" s="5" t="s">
        <v>776</v>
      </c>
      <c r="M70" s="5" t="s">
        <v>777</v>
      </c>
      <c r="N70" s="10"/>
      <c r="O70" s="8" t="str">
        <f>G70</f>
        <v>KESİN</v>
      </c>
      <c r="P70" s="8" t="str">
        <f>IF(OR(G70="NULL",G70="KOŞULLU"),G70,IF(OR(I70=1,J70=1),"KOŞULLU",G70))</f>
        <v>KOŞULLU</v>
      </c>
      <c r="Q70" s="8" t="str">
        <f>IF(OR(G70="NULL",G70="KOŞULLU"),G70,IF(J70=1,"KOŞULLU",G70))</f>
        <v>KESİN</v>
      </c>
      <c r="R70" s="8" t="str">
        <f>IF(OR($G70="NULL",$G70="KOŞULLU"),"V7 zaten "&amp;$G70,IF($K70="HATA",IF(O70="KOŞULLU","YAKALANDI","SESSİZ HATA"),IF(OR($K70="TEMİZ",$K70="ÖNEMSİZ"),IF(O70="KOŞULLU","YANLIŞ ALARM","DOĞRU SESSİZ"),IF(O70="KOŞULLU","BELİRSİZ — işaretlendi","BELİRSİZ — işaretlenmedi"))))</f>
        <v>SESSİZ HATA</v>
      </c>
      <c r="S70" s="8" t="str">
        <f>IF(OR($G70="NULL",$G70="KOŞULLU"),"V7 zaten "&amp;$G70,IF($K70="HATA",IF(P70="KOŞULLU","YAKALANDI","SESSİZ HATA"),IF(OR($K70="TEMİZ",$K70="ÖNEMSİZ"),IF(P70="KOŞULLU","YANLIŞ ALARM","DOĞRU SESSİZ"),IF(P70="KOŞULLU","BELİRSİZ — işaretlendi","BELİRSİZ — işaretlenmedi"))))</f>
        <v>YAKALANDI</v>
      </c>
      <c r="T70" s="8" t="str">
        <f>IF(OR($G70="NULL",$G70="KOŞULLU"),"V7 zaten "&amp;$G70,IF($K70="HATA",IF(Q70="KOŞULLU","YAKALANDI","SESSİZ HATA"),IF(OR($K70="TEMİZ",$K70="ÖNEMSİZ"),IF(Q70="KOŞULLU","YANLIŞ ALARM","DOĞRU SESSİZ"),IF(Q70="KOŞULLU","BELİRSİZ — işaretlendi","BELİRSİZ — işaretlenmedi"))))</f>
        <v>SESSİZ HATA</v>
      </c>
    </row>
    <row r="71" spans="1:20" x14ac:dyDescent="0.2">
      <c r="A71" s="8" t="s">
        <v>762</v>
      </c>
      <c r="B71" s="8" t="s">
        <v>443</v>
      </c>
      <c r="C71" s="8" t="s">
        <v>83</v>
      </c>
      <c r="D71" s="8" t="s">
        <v>290</v>
      </c>
      <c r="E71" s="10">
        <v>0</v>
      </c>
      <c r="F71" s="10">
        <v>-5633.5140000000001</v>
      </c>
      <c r="G71" s="8" t="s">
        <v>204</v>
      </c>
      <c r="H71" s="8">
        <v>1</v>
      </c>
      <c r="I71" s="8">
        <v>1</v>
      </c>
      <c r="J71" s="8">
        <v>0</v>
      </c>
      <c r="K71" s="8" t="s">
        <v>98</v>
      </c>
      <c r="L71" s="5" t="s">
        <v>776</v>
      </c>
      <c r="M71" s="5" t="s">
        <v>777</v>
      </c>
      <c r="N71" s="10"/>
      <c r="O71" s="8" t="str">
        <f>G71</f>
        <v>KESİN</v>
      </c>
      <c r="P71" s="8" t="str">
        <f>IF(OR(G71="NULL",G71="KOŞULLU"),G71,IF(OR(I71=1,J71=1),"KOŞULLU",G71))</f>
        <v>KOŞULLU</v>
      </c>
      <c r="Q71" s="8" t="str">
        <f>IF(OR(G71="NULL",G71="KOŞULLU"),G71,IF(J71=1,"KOŞULLU",G71))</f>
        <v>KESİN</v>
      </c>
      <c r="R71" s="8" t="str">
        <f>IF(OR($G71="NULL",$G71="KOŞULLU"),"V7 zaten "&amp;$G71,IF($K71="HATA",IF(O71="KOŞULLU","YAKALANDI","SESSİZ HATA"),IF(OR($K71="TEMİZ",$K71="ÖNEMSİZ"),IF(O71="KOŞULLU","YANLIŞ ALARM","DOĞRU SESSİZ"),IF(O71="KOŞULLU","BELİRSİZ — işaretlendi","BELİRSİZ — işaretlenmedi"))))</f>
        <v>SESSİZ HATA</v>
      </c>
      <c r="S71" s="8" t="str">
        <f>IF(OR($G71="NULL",$G71="KOŞULLU"),"V7 zaten "&amp;$G71,IF($K71="HATA",IF(P71="KOŞULLU","YAKALANDI","SESSİZ HATA"),IF(OR($K71="TEMİZ",$K71="ÖNEMSİZ"),IF(P71="KOŞULLU","YANLIŞ ALARM","DOĞRU SESSİZ"),IF(P71="KOŞULLU","BELİRSİZ — işaretlendi","BELİRSİZ — işaretlenmedi"))))</f>
        <v>YAKALANDI</v>
      </c>
      <c r="T71" s="8" t="str">
        <f>IF(OR($G71="NULL",$G71="KOŞULLU"),"V7 zaten "&amp;$G71,IF($K71="HATA",IF(Q71="KOŞULLU","YAKALANDI","SESSİZ HATA"),IF(OR($K71="TEMİZ",$K71="ÖNEMSİZ"),IF(Q71="KOŞULLU","YANLIŞ ALARM","DOĞRU SESSİZ"),IF(Q71="KOŞULLU","BELİRSİZ — işaretlendi","BELİRSİZ — işaretlenmedi"))))</f>
        <v>SESSİZ HATA</v>
      </c>
    </row>
    <row r="72" spans="1:20" x14ac:dyDescent="0.2">
      <c r="A72" s="8" t="s">
        <v>762</v>
      </c>
      <c r="B72" s="8" t="s">
        <v>443</v>
      </c>
      <c r="C72" s="8" t="s">
        <v>83</v>
      </c>
      <c r="D72" s="8" t="s">
        <v>208</v>
      </c>
      <c r="E72" s="10">
        <v>0</v>
      </c>
      <c r="F72" s="10">
        <v>-9831.5660000000007</v>
      </c>
      <c r="G72" s="8" t="s">
        <v>204</v>
      </c>
      <c r="H72" s="8">
        <v>1</v>
      </c>
      <c r="I72" s="8">
        <v>1</v>
      </c>
      <c r="J72" s="8">
        <v>0</v>
      </c>
      <c r="K72" s="8" t="s">
        <v>98</v>
      </c>
      <c r="L72" s="5" t="s">
        <v>776</v>
      </c>
      <c r="M72" s="5" t="s">
        <v>777</v>
      </c>
      <c r="N72" s="10"/>
      <c r="O72" s="8" t="str">
        <f>G72</f>
        <v>KESİN</v>
      </c>
      <c r="P72" s="8" t="str">
        <f>IF(OR(G72="NULL",G72="KOŞULLU"),G72,IF(OR(I72=1,J72=1),"KOŞULLU",G72))</f>
        <v>KOŞULLU</v>
      </c>
      <c r="Q72" s="8" t="str">
        <f>IF(OR(G72="NULL",G72="KOŞULLU"),G72,IF(J72=1,"KOŞULLU",G72))</f>
        <v>KESİN</v>
      </c>
      <c r="R72" s="8" t="str">
        <f>IF(OR($G72="NULL",$G72="KOŞULLU"),"V7 zaten "&amp;$G72,IF($K72="HATA",IF(O72="KOŞULLU","YAKALANDI","SESSİZ HATA"),IF(OR($K72="TEMİZ",$K72="ÖNEMSİZ"),IF(O72="KOŞULLU","YANLIŞ ALARM","DOĞRU SESSİZ"),IF(O72="KOŞULLU","BELİRSİZ — işaretlendi","BELİRSİZ — işaretlenmedi"))))</f>
        <v>SESSİZ HATA</v>
      </c>
      <c r="S72" s="8" t="str">
        <f>IF(OR($G72="NULL",$G72="KOŞULLU"),"V7 zaten "&amp;$G72,IF($K72="HATA",IF(P72="KOŞULLU","YAKALANDI","SESSİZ HATA"),IF(OR($K72="TEMİZ",$K72="ÖNEMSİZ"),IF(P72="KOŞULLU","YANLIŞ ALARM","DOĞRU SESSİZ"),IF(P72="KOŞULLU","BELİRSİZ — işaretlendi","BELİRSİZ — işaretlenmedi"))))</f>
        <v>YAKALANDI</v>
      </c>
      <c r="T72" s="8" t="str">
        <f>IF(OR($G72="NULL",$G72="KOŞULLU"),"V7 zaten "&amp;$G72,IF($K72="HATA",IF(Q72="KOŞULLU","YAKALANDI","SESSİZ HATA"),IF(OR($K72="TEMİZ",$K72="ÖNEMSİZ"),IF(Q72="KOŞULLU","YANLIŞ ALARM","DOĞRU SESSİZ"),IF(Q72="KOŞULLU","BELİRSİZ — işaretlendi","BELİRSİZ — işaretlenmedi"))))</f>
        <v>SESSİZ HATA</v>
      </c>
    </row>
    <row r="73" spans="1:20" x14ac:dyDescent="0.2">
      <c r="A73" s="8" t="s">
        <v>762</v>
      </c>
      <c r="B73" s="8" t="s">
        <v>443</v>
      </c>
      <c r="C73" s="8" t="s">
        <v>83</v>
      </c>
      <c r="D73" s="8" t="s">
        <v>210</v>
      </c>
      <c r="E73" s="10">
        <v>0</v>
      </c>
      <c r="F73" s="10">
        <v>-200.65299999999999</v>
      </c>
      <c r="G73" s="8" t="s">
        <v>204</v>
      </c>
      <c r="H73" s="8">
        <v>1</v>
      </c>
      <c r="I73" s="8">
        <v>1</v>
      </c>
      <c r="J73" s="8">
        <v>0</v>
      </c>
      <c r="K73" s="8" t="s">
        <v>98</v>
      </c>
      <c r="L73" s="5" t="s">
        <v>776</v>
      </c>
      <c r="M73" s="5" t="s">
        <v>777</v>
      </c>
      <c r="N73" s="10"/>
      <c r="O73" s="8" t="str">
        <f>G73</f>
        <v>KESİN</v>
      </c>
      <c r="P73" s="8" t="str">
        <f>IF(OR(G73="NULL",G73="KOŞULLU"),G73,IF(OR(I73=1,J73=1),"KOŞULLU",G73))</f>
        <v>KOŞULLU</v>
      </c>
      <c r="Q73" s="8" t="str">
        <f>IF(OR(G73="NULL",G73="KOŞULLU"),G73,IF(J73=1,"KOŞULLU",G73))</f>
        <v>KESİN</v>
      </c>
      <c r="R73" s="8" t="str">
        <f>IF(OR($G73="NULL",$G73="KOŞULLU"),"V7 zaten "&amp;$G73,IF($K73="HATA",IF(O73="KOŞULLU","YAKALANDI","SESSİZ HATA"),IF(OR($K73="TEMİZ",$K73="ÖNEMSİZ"),IF(O73="KOŞULLU","YANLIŞ ALARM","DOĞRU SESSİZ"),IF(O73="KOŞULLU","BELİRSİZ — işaretlendi","BELİRSİZ — işaretlenmedi"))))</f>
        <v>SESSİZ HATA</v>
      </c>
      <c r="S73" s="8" t="str">
        <f>IF(OR($G73="NULL",$G73="KOŞULLU"),"V7 zaten "&amp;$G73,IF($K73="HATA",IF(P73="KOŞULLU","YAKALANDI","SESSİZ HATA"),IF(OR($K73="TEMİZ",$K73="ÖNEMSİZ"),IF(P73="KOŞULLU","YANLIŞ ALARM","DOĞRU SESSİZ"),IF(P73="KOŞULLU","BELİRSİZ — işaretlendi","BELİRSİZ — işaretlenmedi"))))</f>
        <v>YAKALANDI</v>
      </c>
      <c r="T73" s="8" t="str">
        <f>IF(OR($G73="NULL",$G73="KOŞULLU"),"V7 zaten "&amp;$G73,IF($K73="HATA",IF(Q73="KOŞULLU","YAKALANDI","SESSİZ HATA"),IF(OR($K73="TEMİZ",$K73="ÖNEMSİZ"),IF(Q73="KOŞULLU","YANLIŞ ALARM","DOĞRU SESSİZ"),IF(Q73="KOŞULLU","BELİRSİZ — işaretlendi","BELİRSİZ — işaretlenmedi"))))</f>
        <v>SESSİZ HATA</v>
      </c>
    </row>
    <row r="74" spans="1:20" x14ac:dyDescent="0.2">
      <c r="A74" s="8" t="s">
        <v>762</v>
      </c>
      <c r="B74" s="8" t="s">
        <v>475</v>
      </c>
      <c r="C74" s="8" t="s">
        <v>82</v>
      </c>
      <c r="D74" s="8" t="s">
        <v>203</v>
      </c>
      <c r="E74" s="10">
        <v>13601.213</v>
      </c>
      <c r="F74" s="10">
        <v>15596.858</v>
      </c>
      <c r="G74" s="8" t="s">
        <v>204</v>
      </c>
      <c r="H74" s="8">
        <v>0</v>
      </c>
      <c r="I74" s="8">
        <v>0</v>
      </c>
      <c r="J74" s="8">
        <v>0</v>
      </c>
      <c r="K74" s="8" t="s">
        <v>100</v>
      </c>
      <c r="L74" s="5" t="s">
        <v>763</v>
      </c>
      <c r="M74" s="5" t="s">
        <v>767</v>
      </c>
      <c r="N74" s="10"/>
      <c r="O74" s="8" t="str">
        <f>G74</f>
        <v>KESİN</v>
      </c>
      <c r="P74" s="8" t="str">
        <f>IF(OR(G74="NULL",G74="KOŞULLU"),G74,IF(OR(I74=1,J74=1),"KOŞULLU",G74))</f>
        <v>KESİN</v>
      </c>
      <c r="Q74" s="8" t="str">
        <f>IF(OR(G74="NULL",G74="KOŞULLU"),G74,IF(J74=1,"KOŞULLU",G74))</f>
        <v>KESİN</v>
      </c>
      <c r="R74" s="8" t="str">
        <f>IF(OR($G74="NULL",$G74="KOŞULLU"),"V7 zaten "&amp;$G74,IF($K74="HATA",IF(O74="KOŞULLU","YAKALANDI","SESSİZ HATA"),IF(OR($K74="TEMİZ",$K74="ÖNEMSİZ"),IF(O74="KOŞULLU","YANLIŞ ALARM","DOĞRU SESSİZ"),IF(O74="KOŞULLU","BELİRSİZ — işaretlendi","BELİRSİZ — işaretlenmedi"))))</f>
        <v>DOĞRU SESSİZ</v>
      </c>
      <c r="S74" s="8" t="str">
        <f>IF(OR($G74="NULL",$G74="KOŞULLU"),"V7 zaten "&amp;$G74,IF($K74="HATA",IF(P74="KOŞULLU","YAKALANDI","SESSİZ HATA"),IF(OR($K74="TEMİZ",$K74="ÖNEMSİZ"),IF(P74="KOŞULLU","YANLIŞ ALARM","DOĞRU SESSİZ"),IF(P74="KOŞULLU","BELİRSİZ — işaretlendi","BELİRSİZ — işaretlenmedi"))))</f>
        <v>DOĞRU SESSİZ</v>
      </c>
      <c r="T74" s="8" t="str">
        <f>IF(OR($G74="NULL",$G74="KOŞULLU"),"V7 zaten "&amp;$G74,IF($K74="HATA",IF(Q74="KOŞULLU","YAKALANDI","SESSİZ HATA"),IF(OR($K74="TEMİZ",$K74="ÖNEMSİZ"),IF(Q74="KOŞULLU","YANLIŞ ALARM","DOĞRU SESSİZ"),IF(Q74="KOŞULLU","BELİRSİZ — işaretlendi","BELİRSİZ — işaretlenmedi"))))</f>
        <v>DOĞRU SESSİZ</v>
      </c>
    </row>
    <row r="75" spans="1:20" x14ac:dyDescent="0.2">
      <c r="A75" s="8" t="s">
        <v>762</v>
      </c>
      <c r="B75" s="8" t="s">
        <v>475</v>
      </c>
      <c r="C75" s="8" t="s">
        <v>82</v>
      </c>
      <c r="D75" s="8" t="s">
        <v>205</v>
      </c>
      <c r="E75" s="10">
        <v>14796.862999999999</v>
      </c>
      <c r="F75" s="10">
        <v>17615.061000000002</v>
      </c>
      <c r="G75" s="8" t="s">
        <v>204</v>
      </c>
      <c r="H75" s="8">
        <v>0</v>
      </c>
      <c r="I75" s="8">
        <v>0</v>
      </c>
      <c r="J75" s="8">
        <v>0</v>
      </c>
      <c r="K75" s="8" t="s">
        <v>100</v>
      </c>
      <c r="L75" s="5" t="s">
        <v>763</v>
      </c>
      <c r="M75" s="5" t="s">
        <v>767</v>
      </c>
      <c r="N75" s="10"/>
      <c r="O75" s="8" t="str">
        <f>G75</f>
        <v>KESİN</v>
      </c>
      <c r="P75" s="8" t="str">
        <f>IF(OR(G75="NULL",G75="KOŞULLU"),G75,IF(OR(I75=1,J75=1),"KOŞULLU",G75))</f>
        <v>KESİN</v>
      </c>
      <c r="Q75" s="8" t="str">
        <f>IF(OR(G75="NULL",G75="KOŞULLU"),G75,IF(J75=1,"KOŞULLU",G75))</f>
        <v>KESİN</v>
      </c>
      <c r="R75" s="8" t="str">
        <f>IF(OR($G75="NULL",$G75="KOŞULLU"),"V7 zaten "&amp;$G75,IF($K75="HATA",IF(O75="KOŞULLU","YAKALANDI","SESSİZ HATA"),IF(OR($K75="TEMİZ",$K75="ÖNEMSİZ"),IF(O75="KOŞULLU","YANLIŞ ALARM","DOĞRU SESSİZ"),IF(O75="KOŞULLU","BELİRSİZ — işaretlendi","BELİRSİZ — işaretlenmedi"))))</f>
        <v>DOĞRU SESSİZ</v>
      </c>
      <c r="S75" s="8" t="str">
        <f>IF(OR($G75="NULL",$G75="KOŞULLU"),"V7 zaten "&amp;$G75,IF($K75="HATA",IF(P75="KOŞULLU","YAKALANDI","SESSİZ HATA"),IF(OR($K75="TEMİZ",$K75="ÖNEMSİZ"),IF(P75="KOŞULLU","YANLIŞ ALARM","DOĞRU SESSİZ"),IF(P75="KOŞULLU","BELİRSİZ — işaretlendi","BELİRSİZ — işaretlenmedi"))))</f>
        <v>DOĞRU SESSİZ</v>
      </c>
      <c r="T75" s="8" t="str">
        <f>IF(OR($G75="NULL",$G75="KOŞULLU"),"V7 zaten "&amp;$G75,IF($K75="HATA",IF(Q75="KOŞULLU","YAKALANDI","SESSİZ HATA"),IF(OR($K75="TEMİZ",$K75="ÖNEMSİZ"),IF(Q75="KOŞULLU","YANLIŞ ALARM","DOĞRU SESSİZ"),IF(Q75="KOŞULLU","BELİRSİZ — işaretlendi","BELİRSİZ — işaretlenmedi"))))</f>
        <v>DOĞRU SESSİZ</v>
      </c>
    </row>
    <row r="76" spans="1:20" x14ac:dyDescent="0.2">
      <c r="A76" s="8" t="s">
        <v>762</v>
      </c>
      <c r="B76" s="8" t="s">
        <v>475</v>
      </c>
      <c r="C76" s="8" t="s">
        <v>82</v>
      </c>
      <c r="D76" s="8" t="s">
        <v>215</v>
      </c>
      <c r="E76" s="10">
        <v>16467.227999999999</v>
      </c>
      <c r="F76" s="10">
        <v>23220.942999999999</v>
      </c>
      <c r="G76" s="8" t="s">
        <v>204</v>
      </c>
      <c r="H76" s="8">
        <v>0</v>
      </c>
      <c r="I76" s="8">
        <v>0</v>
      </c>
      <c r="J76" s="8">
        <v>0</v>
      </c>
      <c r="K76" s="8" t="s">
        <v>100</v>
      </c>
      <c r="L76" s="5" t="s">
        <v>763</v>
      </c>
      <c r="M76" s="5" t="s">
        <v>767</v>
      </c>
      <c r="N76" s="10"/>
      <c r="O76" s="8" t="str">
        <f>G76</f>
        <v>KESİN</v>
      </c>
      <c r="P76" s="8" t="str">
        <f>IF(OR(G76="NULL",G76="KOŞULLU"),G76,IF(OR(I76=1,J76=1),"KOŞULLU",G76))</f>
        <v>KESİN</v>
      </c>
      <c r="Q76" s="8" t="str">
        <f>IF(OR(G76="NULL",G76="KOŞULLU"),G76,IF(J76=1,"KOŞULLU",G76))</f>
        <v>KESİN</v>
      </c>
      <c r="R76" s="8" t="str">
        <f>IF(OR($G76="NULL",$G76="KOŞULLU"),"V7 zaten "&amp;$G76,IF($K76="HATA",IF(O76="KOŞULLU","YAKALANDI","SESSİZ HATA"),IF(OR($K76="TEMİZ",$K76="ÖNEMSİZ"),IF(O76="KOŞULLU","YANLIŞ ALARM","DOĞRU SESSİZ"),IF(O76="KOŞULLU","BELİRSİZ — işaretlendi","BELİRSİZ — işaretlenmedi"))))</f>
        <v>DOĞRU SESSİZ</v>
      </c>
      <c r="S76" s="8" t="str">
        <f>IF(OR($G76="NULL",$G76="KOŞULLU"),"V7 zaten "&amp;$G76,IF($K76="HATA",IF(P76="KOŞULLU","YAKALANDI","SESSİZ HATA"),IF(OR($K76="TEMİZ",$K76="ÖNEMSİZ"),IF(P76="KOŞULLU","YANLIŞ ALARM","DOĞRU SESSİZ"),IF(P76="KOŞULLU","BELİRSİZ — işaretlendi","BELİRSİZ — işaretlenmedi"))))</f>
        <v>DOĞRU SESSİZ</v>
      </c>
      <c r="T76" s="8" t="str">
        <f>IF(OR($G76="NULL",$G76="KOŞULLU"),"V7 zaten "&amp;$G76,IF($K76="HATA",IF(Q76="KOŞULLU","YAKALANDI","SESSİZ HATA"),IF(OR($K76="TEMİZ",$K76="ÖNEMSİZ"),IF(Q76="KOŞULLU","YANLIŞ ALARM","DOĞRU SESSİZ"),IF(Q76="KOŞULLU","BELİRSİZ — işaretlendi","BELİRSİZ — işaretlenmedi"))))</f>
        <v>DOĞRU SESSİZ</v>
      </c>
    </row>
    <row r="77" spans="1:20" x14ac:dyDescent="0.2">
      <c r="A77" s="8" t="s">
        <v>762</v>
      </c>
      <c r="B77" s="8" t="s">
        <v>475</v>
      </c>
      <c r="C77" s="8" t="s">
        <v>82</v>
      </c>
      <c r="D77" s="8" t="s">
        <v>290</v>
      </c>
      <c r="E77" s="10">
        <v>17969.607</v>
      </c>
      <c r="F77" s="10">
        <v>14273.27</v>
      </c>
      <c r="G77" s="8" t="s">
        <v>204</v>
      </c>
      <c r="H77" s="8">
        <v>0</v>
      </c>
      <c r="I77" s="8">
        <v>0</v>
      </c>
      <c r="J77" s="8">
        <v>0</v>
      </c>
      <c r="K77" s="8" t="s">
        <v>100</v>
      </c>
      <c r="L77" s="5" t="s">
        <v>763</v>
      </c>
      <c r="M77" s="5" t="s">
        <v>767</v>
      </c>
      <c r="N77" s="10"/>
      <c r="O77" s="8" t="str">
        <f>G77</f>
        <v>KESİN</v>
      </c>
      <c r="P77" s="8" t="str">
        <f>IF(OR(G77="NULL",G77="KOŞULLU"),G77,IF(OR(I77=1,J77=1),"KOŞULLU",G77))</f>
        <v>KESİN</v>
      </c>
      <c r="Q77" s="8" t="str">
        <f>IF(OR(G77="NULL",G77="KOŞULLU"),G77,IF(J77=1,"KOŞULLU",G77))</f>
        <v>KESİN</v>
      </c>
      <c r="R77" s="8" t="str">
        <f>IF(OR($G77="NULL",$G77="KOŞULLU"),"V7 zaten "&amp;$G77,IF($K77="HATA",IF(O77="KOŞULLU","YAKALANDI","SESSİZ HATA"),IF(OR($K77="TEMİZ",$K77="ÖNEMSİZ"),IF(O77="KOŞULLU","YANLIŞ ALARM","DOĞRU SESSİZ"),IF(O77="KOŞULLU","BELİRSİZ — işaretlendi","BELİRSİZ — işaretlenmedi"))))</f>
        <v>DOĞRU SESSİZ</v>
      </c>
      <c r="S77" s="8" t="str">
        <f>IF(OR($G77="NULL",$G77="KOŞULLU"),"V7 zaten "&amp;$G77,IF($K77="HATA",IF(P77="KOŞULLU","YAKALANDI","SESSİZ HATA"),IF(OR($K77="TEMİZ",$K77="ÖNEMSİZ"),IF(P77="KOŞULLU","YANLIŞ ALARM","DOĞRU SESSİZ"),IF(P77="KOŞULLU","BELİRSİZ — işaretlendi","BELİRSİZ — işaretlenmedi"))))</f>
        <v>DOĞRU SESSİZ</v>
      </c>
      <c r="T77" s="8" t="str">
        <f>IF(OR($G77="NULL",$G77="KOŞULLU"),"V7 zaten "&amp;$G77,IF($K77="HATA",IF(Q77="KOŞULLU","YAKALANDI","SESSİZ HATA"),IF(OR($K77="TEMİZ",$K77="ÖNEMSİZ"),IF(Q77="KOŞULLU","YANLIŞ ALARM","DOĞRU SESSİZ"),IF(Q77="KOŞULLU","BELİRSİZ — işaretlendi","BELİRSİZ — işaretlenmedi"))))</f>
        <v>DOĞRU SESSİZ</v>
      </c>
    </row>
    <row r="78" spans="1:20" x14ac:dyDescent="0.2">
      <c r="A78" s="8" t="s">
        <v>762</v>
      </c>
      <c r="B78" s="8" t="s">
        <v>475</v>
      </c>
      <c r="C78" s="8" t="s">
        <v>82</v>
      </c>
      <c r="D78" s="8" t="s">
        <v>208</v>
      </c>
      <c r="E78" s="10">
        <v>19877.656999999999</v>
      </c>
      <c r="F78" s="10">
        <v>11073.451999999999</v>
      </c>
      <c r="G78" s="8" t="s">
        <v>212</v>
      </c>
      <c r="H78" s="8">
        <v>0</v>
      </c>
      <c r="I78" s="8">
        <v>0</v>
      </c>
      <c r="J78" s="8">
        <v>0</v>
      </c>
      <c r="K78" s="8" t="s">
        <v>100</v>
      </c>
      <c r="L78" s="5" t="s">
        <v>763</v>
      </c>
      <c r="M78" s="5" t="s">
        <v>767</v>
      </c>
      <c r="N78" s="10"/>
      <c r="O78" s="8" t="str">
        <f>G78</f>
        <v>KOŞULLU</v>
      </c>
      <c r="P78" s="8" t="str">
        <f>IF(OR(G78="NULL",G78="KOŞULLU"),G78,IF(OR(I78=1,J78=1),"KOŞULLU",G78))</f>
        <v>KOŞULLU</v>
      </c>
      <c r="Q78" s="8" t="str">
        <f>IF(OR(G78="NULL",G78="KOŞULLU"),G78,IF(J78=1,"KOŞULLU",G78))</f>
        <v>KOŞULLU</v>
      </c>
      <c r="R78" s="8" t="str">
        <f>IF(OR($G78="NULL",$G78="KOŞULLU"),"V7 zaten "&amp;$G78,IF($K78="HATA",IF(O78="KOŞULLU","YAKALANDI","SESSİZ HATA"),IF(OR($K78="TEMİZ",$K78="ÖNEMSİZ"),IF(O78="KOŞULLU","YANLIŞ ALARM","DOĞRU SESSİZ"),IF(O78="KOŞULLU","BELİRSİZ — işaretlendi","BELİRSİZ — işaretlenmedi"))))</f>
        <v>V7 zaten KOŞULLU</v>
      </c>
      <c r="S78" s="8" t="str">
        <f>IF(OR($G78="NULL",$G78="KOŞULLU"),"V7 zaten "&amp;$G78,IF($K78="HATA",IF(P78="KOŞULLU","YAKALANDI","SESSİZ HATA"),IF(OR($K78="TEMİZ",$K78="ÖNEMSİZ"),IF(P78="KOŞULLU","YANLIŞ ALARM","DOĞRU SESSİZ"),IF(P78="KOŞULLU","BELİRSİZ — işaretlendi","BELİRSİZ — işaretlenmedi"))))</f>
        <v>V7 zaten KOŞULLU</v>
      </c>
      <c r="T78" s="8" t="str">
        <f>IF(OR($G78="NULL",$G78="KOŞULLU"),"V7 zaten "&amp;$G78,IF($K78="HATA",IF(Q78="KOŞULLU","YAKALANDI","SESSİZ HATA"),IF(OR($K78="TEMİZ",$K78="ÖNEMSİZ"),IF(Q78="KOŞULLU","YANLIŞ ALARM","DOĞRU SESSİZ"),IF(Q78="KOŞULLU","BELİRSİZ — işaretlendi","BELİRSİZ — işaretlenmedi"))))</f>
        <v>V7 zaten KOŞULLU</v>
      </c>
    </row>
    <row r="79" spans="1:20" x14ac:dyDescent="0.2">
      <c r="A79" s="8" t="s">
        <v>762</v>
      </c>
      <c r="B79" s="8" t="s">
        <v>475</v>
      </c>
      <c r="C79" s="8" t="s">
        <v>82</v>
      </c>
      <c r="D79" s="8" t="s">
        <v>210</v>
      </c>
      <c r="E79" s="10">
        <v>21370.466</v>
      </c>
      <c r="F79" s="10">
        <v>4686.9709999999995</v>
      </c>
      <c r="G79" s="8" t="s">
        <v>204</v>
      </c>
      <c r="H79" s="8">
        <v>0</v>
      </c>
      <c r="I79" s="8">
        <v>0</v>
      </c>
      <c r="J79" s="8">
        <v>0</v>
      </c>
      <c r="K79" s="8" t="s">
        <v>100</v>
      </c>
      <c r="L79" s="5" t="s">
        <v>763</v>
      </c>
      <c r="M79" s="5" t="s">
        <v>767</v>
      </c>
      <c r="N79" s="10"/>
      <c r="O79" s="8" t="str">
        <f>G79</f>
        <v>KESİN</v>
      </c>
      <c r="P79" s="8" t="str">
        <f>IF(OR(G79="NULL",G79="KOŞULLU"),G79,IF(OR(I79=1,J79=1),"KOŞULLU",G79))</f>
        <v>KESİN</v>
      </c>
      <c r="Q79" s="8" t="str">
        <f>IF(OR(G79="NULL",G79="KOŞULLU"),G79,IF(J79=1,"KOŞULLU",G79))</f>
        <v>KESİN</v>
      </c>
      <c r="R79" s="8" t="str">
        <f>IF(OR($G79="NULL",$G79="KOŞULLU"),"V7 zaten "&amp;$G79,IF($K79="HATA",IF(O79="KOŞULLU","YAKALANDI","SESSİZ HATA"),IF(OR($K79="TEMİZ",$K79="ÖNEMSİZ"),IF(O79="KOŞULLU","YANLIŞ ALARM","DOĞRU SESSİZ"),IF(O79="KOŞULLU","BELİRSİZ — işaretlendi","BELİRSİZ — işaretlenmedi"))))</f>
        <v>DOĞRU SESSİZ</v>
      </c>
      <c r="S79" s="8" t="str">
        <f>IF(OR($G79="NULL",$G79="KOŞULLU"),"V7 zaten "&amp;$G79,IF($K79="HATA",IF(P79="KOŞULLU","YAKALANDI","SESSİZ HATA"),IF(OR($K79="TEMİZ",$K79="ÖNEMSİZ"),IF(P79="KOŞULLU","YANLIŞ ALARM","DOĞRU SESSİZ"),IF(P79="KOŞULLU","BELİRSİZ — işaretlendi","BELİRSİZ — işaretlenmedi"))))</f>
        <v>DOĞRU SESSİZ</v>
      </c>
      <c r="T79" s="8" t="str">
        <f>IF(OR($G79="NULL",$G79="KOŞULLU"),"V7 zaten "&amp;$G79,IF($K79="HATA",IF(Q79="KOŞULLU","YAKALANDI","SESSİZ HATA"),IF(OR($K79="TEMİZ",$K79="ÖNEMSİZ"),IF(Q79="KOŞULLU","YANLIŞ ALARM","DOĞRU SESSİZ"),IF(Q79="KOŞULLU","BELİRSİZ — işaretlendi","BELİRSİZ — işaretlenmedi"))))</f>
        <v>DOĞRU SESSİZ</v>
      </c>
    </row>
    <row r="80" spans="1:20" x14ac:dyDescent="0.2">
      <c r="A80" s="8" t="s">
        <v>762</v>
      </c>
      <c r="B80" s="8" t="s">
        <v>475</v>
      </c>
      <c r="C80" s="8" t="s">
        <v>83</v>
      </c>
      <c r="D80" s="8" t="s">
        <v>203</v>
      </c>
      <c r="E80" s="10">
        <v>0</v>
      </c>
      <c r="F80" s="10">
        <v>15596.858</v>
      </c>
      <c r="G80" s="8" t="s">
        <v>204</v>
      </c>
      <c r="H80" s="8">
        <v>1</v>
      </c>
      <c r="I80" s="8">
        <v>1</v>
      </c>
      <c r="J80" s="8">
        <v>0</v>
      </c>
      <c r="K80" s="8" t="s">
        <v>98</v>
      </c>
      <c r="L80" s="5" t="s">
        <v>778</v>
      </c>
      <c r="M80" s="5" t="s">
        <v>780</v>
      </c>
      <c r="N80" s="10"/>
      <c r="O80" s="8" t="str">
        <f>G80</f>
        <v>KESİN</v>
      </c>
      <c r="P80" s="8" t="str">
        <f>IF(OR(G80="NULL",G80="KOŞULLU"),G80,IF(OR(I80=1,J80=1),"KOŞULLU",G80))</f>
        <v>KOŞULLU</v>
      </c>
      <c r="Q80" s="8" t="str">
        <f>IF(OR(G80="NULL",G80="KOŞULLU"),G80,IF(J80=1,"KOŞULLU",G80))</f>
        <v>KESİN</v>
      </c>
      <c r="R80" s="8" t="str">
        <f>IF(OR($G80="NULL",$G80="KOŞULLU"),"V7 zaten "&amp;$G80,IF($K80="HATA",IF(O80="KOŞULLU","YAKALANDI","SESSİZ HATA"),IF(OR($K80="TEMİZ",$K80="ÖNEMSİZ"),IF(O80="KOŞULLU","YANLIŞ ALARM","DOĞRU SESSİZ"),IF(O80="KOŞULLU","BELİRSİZ — işaretlendi","BELİRSİZ — işaretlenmedi"))))</f>
        <v>SESSİZ HATA</v>
      </c>
      <c r="S80" s="8" t="str">
        <f>IF(OR($G80="NULL",$G80="KOŞULLU"),"V7 zaten "&amp;$G80,IF($K80="HATA",IF(P80="KOŞULLU","YAKALANDI","SESSİZ HATA"),IF(OR($K80="TEMİZ",$K80="ÖNEMSİZ"),IF(P80="KOŞULLU","YANLIŞ ALARM","DOĞRU SESSİZ"),IF(P80="KOŞULLU","BELİRSİZ — işaretlendi","BELİRSİZ — işaretlenmedi"))))</f>
        <v>YAKALANDI</v>
      </c>
      <c r="T80" s="8" t="str">
        <f>IF(OR($G80="NULL",$G80="KOŞULLU"),"V7 zaten "&amp;$G80,IF($K80="HATA",IF(Q80="KOŞULLU","YAKALANDI","SESSİZ HATA"),IF(OR($K80="TEMİZ",$K80="ÖNEMSİZ"),IF(Q80="KOŞULLU","YANLIŞ ALARM","DOĞRU SESSİZ"),IF(Q80="KOŞULLU","BELİRSİZ — işaretlendi","BELİRSİZ — işaretlenmedi"))))</f>
        <v>SESSİZ HATA</v>
      </c>
    </row>
    <row r="81" spans="1:20" x14ac:dyDescent="0.2">
      <c r="A81" s="8" t="s">
        <v>762</v>
      </c>
      <c r="B81" s="8" t="s">
        <v>475</v>
      </c>
      <c r="C81" s="8" t="s">
        <v>83</v>
      </c>
      <c r="D81" s="8" t="s">
        <v>205</v>
      </c>
      <c r="E81" s="10">
        <v>0</v>
      </c>
      <c r="F81" s="10">
        <v>17615.061000000002</v>
      </c>
      <c r="G81" s="8" t="s">
        <v>204</v>
      </c>
      <c r="H81" s="8">
        <v>1</v>
      </c>
      <c r="I81" s="8">
        <v>1</v>
      </c>
      <c r="J81" s="8">
        <v>0</v>
      </c>
      <c r="K81" s="8" t="s">
        <v>98</v>
      </c>
      <c r="L81" s="5" t="s">
        <v>778</v>
      </c>
      <c r="M81" s="5" t="s">
        <v>780</v>
      </c>
      <c r="N81" s="10"/>
      <c r="O81" s="8" t="str">
        <f>G81</f>
        <v>KESİN</v>
      </c>
      <c r="P81" s="8" t="str">
        <f>IF(OR(G81="NULL",G81="KOŞULLU"),G81,IF(OR(I81=1,J81=1),"KOŞULLU",G81))</f>
        <v>KOŞULLU</v>
      </c>
      <c r="Q81" s="8" t="str">
        <f>IF(OR(G81="NULL",G81="KOŞULLU"),G81,IF(J81=1,"KOŞULLU",G81))</f>
        <v>KESİN</v>
      </c>
      <c r="R81" s="8" t="str">
        <f>IF(OR($G81="NULL",$G81="KOŞULLU"),"V7 zaten "&amp;$G81,IF($K81="HATA",IF(O81="KOŞULLU","YAKALANDI","SESSİZ HATA"),IF(OR($K81="TEMİZ",$K81="ÖNEMSİZ"),IF(O81="KOŞULLU","YANLIŞ ALARM","DOĞRU SESSİZ"),IF(O81="KOŞULLU","BELİRSİZ — işaretlendi","BELİRSİZ — işaretlenmedi"))))</f>
        <v>SESSİZ HATA</v>
      </c>
      <c r="S81" s="8" t="str">
        <f>IF(OR($G81="NULL",$G81="KOŞULLU"),"V7 zaten "&amp;$G81,IF($K81="HATA",IF(P81="KOŞULLU","YAKALANDI","SESSİZ HATA"),IF(OR($K81="TEMİZ",$K81="ÖNEMSİZ"),IF(P81="KOŞULLU","YANLIŞ ALARM","DOĞRU SESSİZ"),IF(P81="KOŞULLU","BELİRSİZ — işaretlendi","BELİRSİZ — işaretlenmedi"))))</f>
        <v>YAKALANDI</v>
      </c>
      <c r="T81" s="8" t="str">
        <f>IF(OR($G81="NULL",$G81="KOŞULLU"),"V7 zaten "&amp;$G81,IF($K81="HATA",IF(Q81="KOŞULLU","YAKALANDI","SESSİZ HATA"),IF(OR($K81="TEMİZ",$K81="ÖNEMSİZ"),IF(Q81="KOŞULLU","YANLIŞ ALARM","DOĞRU SESSİZ"),IF(Q81="KOŞULLU","BELİRSİZ — işaretlendi","BELİRSİZ — işaretlenmedi"))))</f>
        <v>SESSİZ HATA</v>
      </c>
    </row>
    <row r="82" spans="1:20" x14ac:dyDescent="0.2">
      <c r="A82" s="8" t="s">
        <v>762</v>
      </c>
      <c r="B82" s="8" t="s">
        <v>475</v>
      </c>
      <c r="C82" s="8" t="s">
        <v>83</v>
      </c>
      <c r="D82" s="8" t="s">
        <v>215</v>
      </c>
      <c r="E82" s="10">
        <v>2526.8980000000001</v>
      </c>
      <c r="F82" s="10">
        <v>23220.942999999999</v>
      </c>
      <c r="G82" s="8" t="s">
        <v>204</v>
      </c>
      <c r="H82" s="8">
        <v>0</v>
      </c>
      <c r="I82" s="8">
        <v>1</v>
      </c>
      <c r="J82" s="8">
        <v>0</v>
      </c>
      <c r="K82" s="8" t="s">
        <v>98</v>
      </c>
      <c r="L82" s="5" t="s">
        <v>781</v>
      </c>
      <c r="M82" s="5" t="s">
        <v>780</v>
      </c>
      <c r="N82" s="10"/>
      <c r="O82" s="8" t="str">
        <f>G82</f>
        <v>KESİN</v>
      </c>
      <c r="P82" s="8" t="str">
        <f>IF(OR(G82="NULL",G82="KOŞULLU"),G82,IF(OR(I82=1,J82=1),"KOŞULLU",G82))</f>
        <v>KOŞULLU</v>
      </c>
      <c r="Q82" s="8" t="str">
        <f>IF(OR(G82="NULL",G82="KOŞULLU"),G82,IF(J82=1,"KOŞULLU",G82))</f>
        <v>KESİN</v>
      </c>
      <c r="R82" s="8" t="str">
        <f>IF(OR($G82="NULL",$G82="KOŞULLU"),"V7 zaten "&amp;$G82,IF($K82="HATA",IF(O82="KOŞULLU","YAKALANDI","SESSİZ HATA"),IF(OR($K82="TEMİZ",$K82="ÖNEMSİZ"),IF(O82="KOŞULLU","YANLIŞ ALARM","DOĞRU SESSİZ"),IF(O82="KOŞULLU","BELİRSİZ — işaretlendi","BELİRSİZ — işaretlenmedi"))))</f>
        <v>SESSİZ HATA</v>
      </c>
      <c r="S82" s="8" t="str">
        <f>IF(OR($G82="NULL",$G82="KOŞULLU"),"V7 zaten "&amp;$G82,IF($K82="HATA",IF(P82="KOŞULLU","YAKALANDI","SESSİZ HATA"),IF(OR($K82="TEMİZ",$K82="ÖNEMSİZ"),IF(P82="KOŞULLU","YANLIŞ ALARM","DOĞRU SESSİZ"),IF(P82="KOŞULLU","BELİRSİZ — işaretlendi","BELİRSİZ — işaretlenmedi"))))</f>
        <v>YAKALANDI</v>
      </c>
      <c r="T82" s="8" t="str">
        <f>IF(OR($G82="NULL",$G82="KOŞULLU"),"V7 zaten "&amp;$G82,IF($K82="HATA",IF(Q82="KOŞULLU","YAKALANDI","SESSİZ HATA"),IF(OR($K82="TEMİZ",$K82="ÖNEMSİZ"),IF(Q82="KOŞULLU","YANLIŞ ALARM","DOĞRU SESSİZ"),IF(Q82="KOŞULLU","BELİRSİZ — işaretlendi","BELİRSİZ — işaretlenmedi"))))</f>
        <v>SESSİZ HATA</v>
      </c>
    </row>
    <row r="83" spans="1:20" x14ac:dyDescent="0.2">
      <c r="A83" s="8" t="s">
        <v>762</v>
      </c>
      <c r="B83" s="8" t="s">
        <v>475</v>
      </c>
      <c r="C83" s="8" t="s">
        <v>83</v>
      </c>
      <c r="D83" s="8" t="s">
        <v>290</v>
      </c>
      <c r="E83" s="10">
        <v>2298.7750000000001</v>
      </c>
      <c r="F83" s="10">
        <v>14273.27</v>
      </c>
      <c r="G83" s="8" t="s">
        <v>204</v>
      </c>
      <c r="H83" s="8">
        <v>0</v>
      </c>
      <c r="I83" s="8">
        <v>0</v>
      </c>
      <c r="J83" s="8">
        <v>0</v>
      </c>
      <c r="K83" s="8" t="s">
        <v>98</v>
      </c>
      <c r="L83" s="5" t="s">
        <v>781</v>
      </c>
      <c r="M83" s="5" t="s">
        <v>780</v>
      </c>
      <c r="N83" s="10"/>
      <c r="O83" s="8" t="str">
        <f>G83</f>
        <v>KESİN</v>
      </c>
      <c r="P83" s="8" t="str">
        <f>IF(OR(G83="NULL",G83="KOŞULLU"),G83,IF(OR(I83=1,J83=1),"KOŞULLU",G83))</f>
        <v>KESİN</v>
      </c>
      <c r="Q83" s="8" t="str">
        <f>IF(OR(G83="NULL",G83="KOŞULLU"),G83,IF(J83=1,"KOŞULLU",G83))</f>
        <v>KESİN</v>
      </c>
      <c r="R83" s="8" t="str">
        <f>IF(OR($G83="NULL",$G83="KOŞULLU"),"V7 zaten "&amp;$G83,IF($K83="HATA",IF(O83="KOŞULLU","YAKALANDI","SESSİZ HATA"),IF(OR($K83="TEMİZ",$K83="ÖNEMSİZ"),IF(O83="KOŞULLU","YANLIŞ ALARM","DOĞRU SESSİZ"),IF(O83="KOŞULLU","BELİRSİZ — işaretlendi","BELİRSİZ — işaretlenmedi"))))</f>
        <v>SESSİZ HATA</v>
      </c>
      <c r="S83" s="8" t="str">
        <f>IF(OR($G83="NULL",$G83="KOŞULLU"),"V7 zaten "&amp;$G83,IF($K83="HATA",IF(P83="KOŞULLU","YAKALANDI","SESSİZ HATA"),IF(OR($K83="TEMİZ",$K83="ÖNEMSİZ"),IF(P83="KOŞULLU","YANLIŞ ALARM","DOĞRU SESSİZ"),IF(P83="KOŞULLU","BELİRSİZ — işaretlendi","BELİRSİZ — işaretlenmedi"))))</f>
        <v>SESSİZ HATA</v>
      </c>
      <c r="T83" s="8" t="str">
        <f>IF(OR($G83="NULL",$G83="KOŞULLU"),"V7 zaten "&amp;$G83,IF($K83="HATA",IF(Q83="KOŞULLU","YAKALANDI","SESSİZ HATA"),IF(OR($K83="TEMİZ",$K83="ÖNEMSİZ"),IF(Q83="KOŞULLU","YANLIŞ ALARM","DOĞRU SESSİZ"),IF(Q83="KOŞULLU","BELİRSİZ — işaretlendi","BELİRSİZ — işaretlenmedi"))))</f>
        <v>SESSİZ HATA</v>
      </c>
    </row>
    <row r="84" spans="1:20" x14ac:dyDescent="0.2">
      <c r="A84" s="8" t="s">
        <v>762</v>
      </c>
      <c r="B84" s="8" t="s">
        <v>475</v>
      </c>
      <c r="C84" s="8" t="s">
        <v>83</v>
      </c>
      <c r="D84" s="8" t="s">
        <v>208</v>
      </c>
      <c r="E84" s="10">
        <v>3205.5169999999998</v>
      </c>
      <c r="F84" s="10">
        <v>11073.451999999999</v>
      </c>
      <c r="G84" s="8" t="s">
        <v>212</v>
      </c>
      <c r="H84" s="8">
        <v>0</v>
      </c>
      <c r="I84" s="8">
        <v>1</v>
      </c>
      <c r="J84" s="8">
        <v>0</v>
      </c>
      <c r="K84" s="8" t="s">
        <v>98</v>
      </c>
      <c r="L84" s="5" t="s">
        <v>781</v>
      </c>
      <c r="M84" s="5" t="s">
        <v>780</v>
      </c>
      <c r="N84" s="10"/>
      <c r="O84" s="8" t="str">
        <f>G84</f>
        <v>KOŞULLU</v>
      </c>
      <c r="P84" s="8" t="str">
        <f>IF(OR(G84="NULL",G84="KOŞULLU"),G84,IF(OR(I84=1,J84=1),"KOŞULLU",G84))</f>
        <v>KOŞULLU</v>
      </c>
      <c r="Q84" s="8" t="str">
        <f>IF(OR(G84="NULL",G84="KOŞULLU"),G84,IF(J84=1,"KOŞULLU",G84))</f>
        <v>KOŞULLU</v>
      </c>
      <c r="R84" s="8" t="str">
        <f>IF(OR($G84="NULL",$G84="KOŞULLU"),"V7 zaten "&amp;$G84,IF($K84="HATA",IF(O84="KOŞULLU","YAKALANDI","SESSİZ HATA"),IF(OR($K84="TEMİZ",$K84="ÖNEMSİZ"),IF(O84="KOŞULLU","YANLIŞ ALARM","DOĞRU SESSİZ"),IF(O84="KOŞULLU","BELİRSİZ — işaretlendi","BELİRSİZ — işaretlenmedi"))))</f>
        <v>V7 zaten KOŞULLU</v>
      </c>
      <c r="S84" s="8" t="str">
        <f>IF(OR($G84="NULL",$G84="KOŞULLU"),"V7 zaten "&amp;$G84,IF($K84="HATA",IF(P84="KOŞULLU","YAKALANDI","SESSİZ HATA"),IF(OR($K84="TEMİZ",$K84="ÖNEMSİZ"),IF(P84="KOŞULLU","YANLIŞ ALARM","DOĞRU SESSİZ"),IF(P84="KOŞULLU","BELİRSİZ — işaretlendi","BELİRSİZ — işaretlenmedi"))))</f>
        <v>V7 zaten KOŞULLU</v>
      </c>
      <c r="T84" s="8" t="str">
        <f>IF(OR($G84="NULL",$G84="KOŞULLU"),"V7 zaten "&amp;$G84,IF($K84="HATA",IF(Q84="KOŞULLU","YAKALANDI","SESSİZ HATA"),IF(OR($K84="TEMİZ",$K84="ÖNEMSİZ"),IF(Q84="KOŞULLU","YANLIŞ ALARM","DOĞRU SESSİZ"),IF(Q84="KOŞULLU","BELİRSİZ — işaretlendi","BELİRSİZ — işaretlenmedi"))))</f>
        <v>V7 zaten KOŞULLU</v>
      </c>
    </row>
    <row r="85" spans="1:20" x14ac:dyDescent="0.2">
      <c r="A85" s="8" t="s">
        <v>762</v>
      </c>
      <c r="B85" s="8" t="s">
        <v>475</v>
      </c>
      <c r="C85" s="8" t="s">
        <v>83</v>
      </c>
      <c r="D85" s="8" t="s">
        <v>210</v>
      </c>
      <c r="E85" s="10">
        <v>1948.559</v>
      </c>
      <c r="F85" s="10">
        <v>4686.9709999999995</v>
      </c>
      <c r="G85" s="8" t="s">
        <v>204</v>
      </c>
      <c r="H85" s="8">
        <v>0</v>
      </c>
      <c r="I85" s="8">
        <v>0</v>
      </c>
      <c r="J85" s="8">
        <v>0</v>
      </c>
      <c r="K85" s="8" t="s">
        <v>98</v>
      </c>
      <c r="L85" s="5" t="s">
        <v>781</v>
      </c>
      <c r="M85" s="5" t="s">
        <v>780</v>
      </c>
      <c r="N85" s="10"/>
      <c r="O85" s="8" t="str">
        <f>G85</f>
        <v>KESİN</v>
      </c>
      <c r="P85" s="8" t="str">
        <f>IF(OR(G85="NULL",G85="KOŞULLU"),G85,IF(OR(I85=1,J85=1),"KOŞULLU",G85))</f>
        <v>KESİN</v>
      </c>
      <c r="Q85" s="8" t="str">
        <f>IF(OR(G85="NULL",G85="KOŞULLU"),G85,IF(J85=1,"KOŞULLU",G85))</f>
        <v>KESİN</v>
      </c>
      <c r="R85" s="8" t="str">
        <f>IF(OR($G85="NULL",$G85="KOŞULLU"),"V7 zaten "&amp;$G85,IF($K85="HATA",IF(O85="KOŞULLU","YAKALANDI","SESSİZ HATA"),IF(OR($K85="TEMİZ",$K85="ÖNEMSİZ"),IF(O85="KOŞULLU","YANLIŞ ALARM","DOĞRU SESSİZ"),IF(O85="KOŞULLU","BELİRSİZ — işaretlendi","BELİRSİZ — işaretlenmedi"))))</f>
        <v>SESSİZ HATA</v>
      </c>
      <c r="S85" s="8" t="str">
        <f>IF(OR($G85="NULL",$G85="KOŞULLU"),"V7 zaten "&amp;$G85,IF($K85="HATA",IF(P85="KOŞULLU","YAKALANDI","SESSİZ HATA"),IF(OR($K85="TEMİZ",$K85="ÖNEMSİZ"),IF(P85="KOŞULLU","YANLIŞ ALARM","DOĞRU SESSİZ"),IF(P85="KOŞULLU","BELİRSİZ — işaretlendi","BELİRSİZ — işaretlenmedi"))))</f>
        <v>SESSİZ HATA</v>
      </c>
      <c r="T85" s="8" t="str">
        <f>IF(OR($G85="NULL",$G85="KOŞULLU"),"V7 zaten "&amp;$G85,IF($K85="HATA",IF(Q85="KOŞULLU","YAKALANDI","SESSİZ HATA"),IF(OR($K85="TEMİZ",$K85="ÖNEMSİZ"),IF(Q85="KOŞULLU","YANLIŞ ALARM","DOĞRU SESSİZ"),IF(Q85="KOŞULLU","BELİRSİZ — işaretlendi","BELİRSİZ — işaretlenmedi"))))</f>
        <v>SESSİZ HATA</v>
      </c>
    </row>
    <row r="86" spans="1:20" x14ac:dyDescent="0.2">
      <c r="A86" s="8" t="s">
        <v>762</v>
      </c>
      <c r="B86" s="8" t="s">
        <v>782</v>
      </c>
      <c r="C86" s="8" t="s">
        <v>82</v>
      </c>
      <c r="D86" s="8" t="s">
        <v>203</v>
      </c>
      <c r="E86" s="10"/>
      <c r="F86" s="10"/>
      <c r="G86" s="8" t="s">
        <v>207</v>
      </c>
      <c r="H86" s="8">
        <v>0</v>
      </c>
      <c r="I86" s="8">
        <v>0</v>
      </c>
      <c r="J86" s="8">
        <v>1</v>
      </c>
      <c r="K86" s="8" t="s">
        <v>98</v>
      </c>
      <c r="L86" s="5" t="s">
        <v>207</v>
      </c>
      <c r="M86" s="5" t="s">
        <v>783</v>
      </c>
      <c r="N86" s="10"/>
      <c r="O86" s="8" t="str">
        <f>G86</f>
        <v>NULL</v>
      </c>
      <c r="P86" s="8" t="str">
        <f>IF(OR(G86="NULL",G86="KOŞULLU"),G86,IF(OR(I86=1,J86=1),"KOŞULLU",G86))</f>
        <v>NULL</v>
      </c>
      <c r="Q86" s="8" t="str">
        <f>IF(OR(G86="NULL",G86="KOŞULLU"),G86,IF(J86=1,"KOŞULLU",G86))</f>
        <v>NULL</v>
      </c>
      <c r="R86" s="8" t="str">
        <f>IF(OR($G86="NULL",$G86="KOŞULLU"),"V7 zaten "&amp;$G86,IF($K86="HATA",IF(O86="KOŞULLU","YAKALANDI","SESSİZ HATA"),IF(OR($K86="TEMİZ",$K86="ÖNEMSİZ"),IF(O86="KOŞULLU","YANLIŞ ALARM","DOĞRU SESSİZ"),IF(O86="KOŞULLU","BELİRSİZ — işaretlendi","BELİRSİZ — işaretlenmedi"))))</f>
        <v>V7 zaten NULL</v>
      </c>
      <c r="S86" s="8" t="str">
        <f>IF(OR($G86="NULL",$G86="KOŞULLU"),"V7 zaten "&amp;$G86,IF($K86="HATA",IF(P86="KOŞULLU","YAKALANDI","SESSİZ HATA"),IF(OR($K86="TEMİZ",$K86="ÖNEMSİZ"),IF(P86="KOŞULLU","YANLIŞ ALARM","DOĞRU SESSİZ"),IF(P86="KOŞULLU","BELİRSİZ — işaretlendi","BELİRSİZ — işaretlenmedi"))))</f>
        <v>V7 zaten NULL</v>
      </c>
      <c r="T86" s="8" t="str">
        <f>IF(OR($G86="NULL",$G86="KOŞULLU"),"V7 zaten "&amp;$G86,IF($K86="HATA",IF(Q86="KOŞULLU","YAKALANDI","SESSİZ HATA"),IF(OR($K86="TEMİZ",$K86="ÖNEMSİZ"),IF(Q86="KOŞULLU","YANLIŞ ALARM","DOĞRU SESSİZ"),IF(Q86="KOŞULLU","BELİRSİZ — işaretlendi","BELİRSİZ — işaretlenmedi"))))</f>
        <v>V7 zaten NULL</v>
      </c>
    </row>
    <row r="87" spans="1:20" x14ac:dyDescent="0.2">
      <c r="A87" s="8" t="s">
        <v>762</v>
      </c>
      <c r="B87" s="8" t="s">
        <v>782</v>
      </c>
      <c r="C87" s="8" t="s">
        <v>82</v>
      </c>
      <c r="D87" s="8" t="s">
        <v>205</v>
      </c>
      <c r="E87" s="10">
        <v>0</v>
      </c>
      <c r="F87" s="10">
        <v>-1113.039</v>
      </c>
      <c r="G87" s="8" t="s">
        <v>204</v>
      </c>
      <c r="H87" s="8">
        <v>0</v>
      </c>
      <c r="I87" s="8">
        <v>0</v>
      </c>
      <c r="J87" s="8">
        <v>0</v>
      </c>
      <c r="K87" s="8" t="s">
        <v>98</v>
      </c>
      <c r="L87" s="5" t="s">
        <v>769</v>
      </c>
      <c r="M87" s="5" t="s">
        <v>783</v>
      </c>
      <c r="N87" s="10"/>
      <c r="O87" s="8" t="str">
        <f>G87</f>
        <v>KESİN</v>
      </c>
      <c r="P87" s="8" t="str">
        <f>IF(OR(G87="NULL",G87="KOŞULLU"),G87,IF(OR(I87=1,J87=1),"KOŞULLU",G87))</f>
        <v>KESİN</v>
      </c>
      <c r="Q87" s="8" t="str">
        <f>IF(OR(G87="NULL",G87="KOŞULLU"),G87,IF(J87=1,"KOŞULLU",G87))</f>
        <v>KESİN</v>
      </c>
      <c r="R87" s="8" t="str">
        <f>IF(OR($G87="NULL",$G87="KOŞULLU"),"V7 zaten "&amp;$G87,IF($K87="HATA",IF(O87="KOŞULLU","YAKALANDI","SESSİZ HATA"),IF(OR($K87="TEMİZ",$K87="ÖNEMSİZ"),IF(O87="KOŞULLU","YANLIŞ ALARM","DOĞRU SESSİZ"),IF(O87="KOŞULLU","BELİRSİZ — işaretlendi","BELİRSİZ — işaretlenmedi"))))</f>
        <v>SESSİZ HATA</v>
      </c>
      <c r="S87" s="8" t="str">
        <f>IF(OR($G87="NULL",$G87="KOŞULLU"),"V7 zaten "&amp;$G87,IF($K87="HATA",IF(P87="KOŞULLU","YAKALANDI","SESSİZ HATA"),IF(OR($K87="TEMİZ",$K87="ÖNEMSİZ"),IF(P87="KOŞULLU","YANLIŞ ALARM","DOĞRU SESSİZ"),IF(P87="KOŞULLU","BELİRSİZ — işaretlendi","BELİRSİZ — işaretlenmedi"))))</f>
        <v>SESSİZ HATA</v>
      </c>
      <c r="T87" s="8" t="str">
        <f>IF(OR($G87="NULL",$G87="KOŞULLU"),"V7 zaten "&amp;$G87,IF($K87="HATA",IF(Q87="KOŞULLU","YAKALANDI","SESSİZ HATA"),IF(OR($K87="TEMİZ",$K87="ÖNEMSİZ"),IF(Q87="KOŞULLU","YANLIŞ ALARM","DOĞRU SESSİZ"),IF(Q87="KOŞULLU","BELİRSİZ — işaretlendi","BELİRSİZ — işaretlenmedi"))))</f>
        <v>SESSİZ HATA</v>
      </c>
    </row>
    <row r="88" spans="1:20" x14ac:dyDescent="0.2">
      <c r="A88" s="8" t="s">
        <v>762</v>
      </c>
      <c r="B88" s="8" t="s">
        <v>782</v>
      </c>
      <c r="C88" s="8" t="s">
        <v>82</v>
      </c>
      <c r="D88" s="8" t="s">
        <v>215</v>
      </c>
      <c r="E88" s="10">
        <v>0</v>
      </c>
      <c r="F88" s="10">
        <v>-1165.347</v>
      </c>
      <c r="G88" s="8" t="s">
        <v>204</v>
      </c>
      <c r="H88" s="8">
        <v>0</v>
      </c>
      <c r="I88" s="8">
        <v>0</v>
      </c>
      <c r="J88" s="8">
        <v>0</v>
      </c>
      <c r="K88" s="8" t="s">
        <v>98</v>
      </c>
      <c r="L88" s="5" t="s">
        <v>784</v>
      </c>
      <c r="M88" s="5" t="s">
        <v>783</v>
      </c>
      <c r="N88" s="10"/>
      <c r="O88" s="8" t="str">
        <f>G88</f>
        <v>KESİN</v>
      </c>
      <c r="P88" s="8" t="str">
        <f>IF(OR(G88="NULL",G88="KOŞULLU"),G88,IF(OR(I88=1,J88=1),"KOŞULLU",G88))</f>
        <v>KESİN</v>
      </c>
      <c r="Q88" s="8" t="str">
        <f>IF(OR(G88="NULL",G88="KOŞULLU"),G88,IF(J88=1,"KOŞULLU",G88))</f>
        <v>KESİN</v>
      </c>
      <c r="R88" s="8" t="str">
        <f>IF(OR($G88="NULL",$G88="KOŞULLU"),"V7 zaten "&amp;$G88,IF($K88="HATA",IF(O88="KOŞULLU","YAKALANDI","SESSİZ HATA"),IF(OR($K88="TEMİZ",$K88="ÖNEMSİZ"),IF(O88="KOŞULLU","YANLIŞ ALARM","DOĞRU SESSİZ"),IF(O88="KOŞULLU","BELİRSİZ — işaretlendi","BELİRSİZ — işaretlenmedi"))))</f>
        <v>SESSİZ HATA</v>
      </c>
      <c r="S88" s="8" t="str">
        <f>IF(OR($G88="NULL",$G88="KOŞULLU"),"V7 zaten "&amp;$G88,IF($K88="HATA",IF(P88="KOŞULLU","YAKALANDI","SESSİZ HATA"),IF(OR($K88="TEMİZ",$K88="ÖNEMSİZ"),IF(P88="KOŞULLU","YANLIŞ ALARM","DOĞRU SESSİZ"),IF(P88="KOŞULLU","BELİRSİZ — işaretlendi","BELİRSİZ — işaretlenmedi"))))</f>
        <v>SESSİZ HATA</v>
      </c>
      <c r="T88" s="8" t="str">
        <f>IF(OR($G88="NULL",$G88="KOŞULLU"),"V7 zaten "&amp;$G88,IF($K88="HATA",IF(Q88="KOŞULLU","YAKALANDI","SESSİZ HATA"),IF(OR($K88="TEMİZ",$K88="ÖNEMSİZ"),IF(Q88="KOŞULLU","YANLIŞ ALARM","DOĞRU SESSİZ"),IF(Q88="KOŞULLU","BELİRSİZ — işaretlendi","BELİRSİZ — işaretlenmedi"))))</f>
        <v>SESSİZ HATA</v>
      </c>
    </row>
    <row r="89" spans="1:20" x14ac:dyDescent="0.2">
      <c r="A89" s="8" t="s">
        <v>762</v>
      </c>
      <c r="B89" s="8" t="s">
        <v>782</v>
      </c>
      <c r="C89" s="8" t="s">
        <v>82</v>
      </c>
      <c r="D89" s="8" t="s">
        <v>290</v>
      </c>
      <c r="E89" s="10">
        <v>72.933204000000003</v>
      </c>
      <c r="F89" s="10">
        <v>-1828.900204</v>
      </c>
      <c r="G89" s="8" t="s">
        <v>209</v>
      </c>
      <c r="H89" s="8">
        <v>0</v>
      </c>
      <c r="I89" s="8">
        <v>0</v>
      </c>
      <c r="J89" s="8">
        <v>0</v>
      </c>
      <c r="K89" s="8" t="s">
        <v>100</v>
      </c>
      <c r="L89" s="5" t="s">
        <v>785</v>
      </c>
      <c r="M89" s="5" t="s">
        <v>783</v>
      </c>
      <c r="N89" s="10"/>
      <c r="O89" s="8" t="str">
        <f>G89</f>
        <v>TÜRETİLMİŞ</v>
      </c>
      <c r="P89" s="8" t="str">
        <f>IF(OR(G89="NULL",G89="KOŞULLU"),G89,IF(OR(I89=1,J89=1),"KOŞULLU",G89))</f>
        <v>TÜRETİLMİŞ</v>
      </c>
      <c r="Q89" s="8" t="str">
        <f>IF(OR(G89="NULL",G89="KOŞULLU"),G89,IF(J89=1,"KOŞULLU",G89))</f>
        <v>TÜRETİLMİŞ</v>
      </c>
      <c r="R89" s="8" t="str">
        <f>IF(OR($G89="NULL",$G89="KOŞULLU"),"V7 zaten "&amp;$G89,IF($K89="HATA",IF(O89="KOŞULLU","YAKALANDI","SESSİZ HATA"),IF(OR($K89="TEMİZ",$K89="ÖNEMSİZ"),IF(O89="KOŞULLU","YANLIŞ ALARM","DOĞRU SESSİZ"),IF(O89="KOŞULLU","BELİRSİZ — işaretlendi","BELİRSİZ — işaretlenmedi"))))</f>
        <v>DOĞRU SESSİZ</v>
      </c>
      <c r="S89" s="8" t="str">
        <f>IF(OR($G89="NULL",$G89="KOŞULLU"),"V7 zaten "&amp;$G89,IF($K89="HATA",IF(P89="KOŞULLU","YAKALANDI","SESSİZ HATA"),IF(OR($K89="TEMİZ",$K89="ÖNEMSİZ"),IF(P89="KOŞULLU","YANLIŞ ALARM","DOĞRU SESSİZ"),IF(P89="KOŞULLU","BELİRSİZ — işaretlendi","BELİRSİZ — işaretlenmedi"))))</f>
        <v>DOĞRU SESSİZ</v>
      </c>
      <c r="T89" s="8" t="str">
        <f>IF(OR($G89="NULL",$G89="KOŞULLU"),"V7 zaten "&amp;$G89,IF($K89="HATA",IF(Q89="KOŞULLU","YAKALANDI","SESSİZ HATA"),IF(OR($K89="TEMİZ",$K89="ÖNEMSİZ"),IF(Q89="KOŞULLU","YANLIŞ ALARM","DOĞRU SESSİZ"),IF(Q89="KOŞULLU","BELİRSİZ — işaretlendi","BELİRSİZ — işaretlenmedi"))))</f>
        <v>DOĞRU SESSİZ</v>
      </c>
    </row>
    <row r="90" spans="1:20" x14ac:dyDescent="0.2">
      <c r="A90" s="8" t="s">
        <v>762</v>
      </c>
      <c r="B90" s="8" t="s">
        <v>782</v>
      </c>
      <c r="C90" s="8" t="s">
        <v>82</v>
      </c>
      <c r="D90" s="8" t="s">
        <v>208</v>
      </c>
      <c r="E90" s="10">
        <v>78.020171000000005</v>
      </c>
      <c r="F90" s="10">
        <v>-1654.5771709999999</v>
      </c>
      <c r="G90" s="8" t="s">
        <v>209</v>
      </c>
      <c r="H90" s="8">
        <v>0</v>
      </c>
      <c r="I90" s="8">
        <v>0</v>
      </c>
      <c r="J90" s="8">
        <v>0</v>
      </c>
      <c r="K90" s="8" t="s">
        <v>100</v>
      </c>
      <c r="L90" s="5" t="s">
        <v>786</v>
      </c>
      <c r="M90" s="5" t="s">
        <v>783</v>
      </c>
      <c r="N90" s="10"/>
      <c r="O90" s="8" t="str">
        <f>G90</f>
        <v>TÜRETİLMİŞ</v>
      </c>
      <c r="P90" s="8" t="str">
        <f>IF(OR(G90="NULL",G90="KOŞULLU"),G90,IF(OR(I90=1,J90=1),"KOŞULLU",G90))</f>
        <v>TÜRETİLMİŞ</v>
      </c>
      <c r="Q90" s="8" t="str">
        <f>IF(OR(G90="NULL",G90="KOŞULLU"),G90,IF(J90=1,"KOŞULLU",G90))</f>
        <v>TÜRETİLMİŞ</v>
      </c>
      <c r="R90" s="8" t="str">
        <f>IF(OR($G90="NULL",$G90="KOŞULLU"),"V7 zaten "&amp;$G90,IF($K90="HATA",IF(O90="KOŞULLU","YAKALANDI","SESSİZ HATA"),IF(OR($K90="TEMİZ",$K90="ÖNEMSİZ"),IF(O90="KOŞULLU","YANLIŞ ALARM","DOĞRU SESSİZ"),IF(O90="KOŞULLU","BELİRSİZ — işaretlendi","BELİRSİZ — işaretlenmedi"))))</f>
        <v>DOĞRU SESSİZ</v>
      </c>
      <c r="S90" s="8" t="str">
        <f>IF(OR($G90="NULL",$G90="KOŞULLU"),"V7 zaten "&amp;$G90,IF($K90="HATA",IF(P90="KOŞULLU","YAKALANDI","SESSİZ HATA"),IF(OR($K90="TEMİZ",$K90="ÖNEMSİZ"),IF(P90="KOŞULLU","YANLIŞ ALARM","DOĞRU SESSİZ"),IF(P90="KOŞULLU","BELİRSİZ — işaretlendi","BELİRSİZ — işaretlenmedi"))))</f>
        <v>DOĞRU SESSİZ</v>
      </c>
      <c r="T90" s="8" t="str">
        <f>IF(OR($G90="NULL",$G90="KOŞULLU"),"V7 zaten "&amp;$G90,IF($K90="HATA",IF(Q90="KOŞULLU","YAKALANDI","SESSİZ HATA"),IF(OR($K90="TEMİZ",$K90="ÖNEMSİZ"),IF(Q90="KOŞULLU","YANLIŞ ALARM","DOĞRU SESSİZ"),IF(Q90="KOŞULLU","BELİRSİZ — işaretlendi","BELİRSİZ — işaretlenmedi"))))</f>
        <v>DOĞRU SESSİZ</v>
      </c>
    </row>
    <row r="91" spans="1:20" x14ac:dyDescent="0.2">
      <c r="A91" s="8" t="s">
        <v>762</v>
      </c>
      <c r="B91" s="8" t="s">
        <v>782</v>
      </c>
      <c r="C91" s="8" t="s">
        <v>82</v>
      </c>
      <c r="D91" s="8" t="s">
        <v>210</v>
      </c>
      <c r="E91" s="10">
        <v>0</v>
      </c>
      <c r="F91" s="10">
        <v>-565.60400000000004</v>
      </c>
      <c r="G91" s="8" t="s">
        <v>204</v>
      </c>
      <c r="H91" s="8">
        <v>0</v>
      </c>
      <c r="I91" s="8">
        <v>0</v>
      </c>
      <c r="J91" s="8">
        <v>0</v>
      </c>
      <c r="K91" s="8" t="s">
        <v>98</v>
      </c>
      <c r="L91" s="5" t="s">
        <v>778</v>
      </c>
      <c r="M91" s="5" t="s">
        <v>783</v>
      </c>
      <c r="N91" s="10"/>
      <c r="O91" s="8" t="str">
        <f>G91</f>
        <v>KESİN</v>
      </c>
      <c r="P91" s="8" t="str">
        <f>IF(OR(G91="NULL",G91="KOŞULLU"),G91,IF(OR(I91=1,J91=1),"KOŞULLU",G91))</f>
        <v>KESİN</v>
      </c>
      <c r="Q91" s="8" t="str">
        <f>IF(OR(G91="NULL",G91="KOŞULLU"),G91,IF(J91=1,"KOŞULLU",G91))</f>
        <v>KESİN</v>
      </c>
      <c r="R91" s="8" t="str">
        <f>IF(OR($G91="NULL",$G91="KOŞULLU"),"V7 zaten "&amp;$G91,IF($K91="HATA",IF(O91="KOŞULLU","YAKALANDI","SESSİZ HATA"),IF(OR($K91="TEMİZ",$K91="ÖNEMSİZ"),IF(O91="KOŞULLU","YANLIŞ ALARM","DOĞRU SESSİZ"),IF(O91="KOŞULLU","BELİRSİZ — işaretlendi","BELİRSİZ — işaretlenmedi"))))</f>
        <v>SESSİZ HATA</v>
      </c>
      <c r="S91" s="8" t="str">
        <f>IF(OR($G91="NULL",$G91="KOŞULLU"),"V7 zaten "&amp;$G91,IF($K91="HATA",IF(P91="KOŞULLU","YAKALANDI","SESSİZ HATA"),IF(OR($K91="TEMİZ",$K91="ÖNEMSİZ"),IF(P91="KOŞULLU","YANLIŞ ALARM","DOĞRU SESSİZ"),IF(P91="KOŞULLU","BELİRSİZ — işaretlendi","BELİRSİZ — işaretlenmedi"))))</f>
        <v>SESSİZ HATA</v>
      </c>
      <c r="T91" s="8" t="str">
        <f>IF(OR($G91="NULL",$G91="KOŞULLU"),"V7 zaten "&amp;$G91,IF($K91="HATA",IF(Q91="KOŞULLU","YAKALANDI","SESSİZ HATA"),IF(OR($K91="TEMİZ",$K91="ÖNEMSİZ"),IF(Q91="KOŞULLU","YANLIŞ ALARM","DOĞRU SESSİZ"),IF(Q91="KOŞULLU","BELİRSİZ — işaretlendi","BELİRSİZ — işaretlenmedi"))))</f>
        <v>SESSİZ HATA</v>
      </c>
    </row>
    <row r="92" spans="1:20" x14ac:dyDescent="0.2">
      <c r="A92" s="8" t="s">
        <v>762</v>
      </c>
      <c r="B92" s="8" t="s">
        <v>782</v>
      </c>
      <c r="C92" s="8" t="s">
        <v>83</v>
      </c>
      <c r="D92" s="8" t="s">
        <v>203</v>
      </c>
      <c r="E92" s="10">
        <v>161.636</v>
      </c>
      <c r="F92" s="10"/>
      <c r="G92" s="8" t="s">
        <v>207</v>
      </c>
      <c r="H92" s="8">
        <v>0</v>
      </c>
      <c r="I92" s="8">
        <v>0</v>
      </c>
      <c r="J92" s="8">
        <v>0</v>
      </c>
      <c r="K92" s="8" t="s">
        <v>100</v>
      </c>
      <c r="L92" s="5" t="s">
        <v>763</v>
      </c>
      <c r="M92" s="5" t="s">
        <v>767</v>
      </c>
      <c r="N92" s="10"/>
      <c r="O92" s="8" t="str">
        <f>G92</f>
        <v>NULL</v>
      </c>
      <c r="P92" s="8" t="str">
        <f>IF(OR(G92="NULL",G92="KOŞULLU"),G92,IF(OR(I92=1,J92=1),"KOŞULLU",G92))</f>
        <v>NULL</v>
      </c>
      <c r="Q92" s="8" t="str">
        <f>IF(OR(G92="NULL",G92="KOŞULLU"),G92,IF(J92=1,"KOŞULLU",G92))</f>
        <v>NULL</v>
      </c>
      <c r="R92" s="8" t="str">
        <f>IF(OR($G92="NULL",$G92="KOŞULLU"),"V7 zaten "&amp;$G92,IF($K92="HATA",IF(O92="KOŞULLU","YAKALANDI","SESSİZ HATA"),IF(OR($K92="TEMİZ",$K92="ÖNEMSİZ"),IF(O92="KOŞULLU","YANLIŞ ALARM","DOĞRU SESSİZ"),IF(O92="KOŞULLU","BELİRSİZ — işaretlendi","BELİRSİZ — işaretlenmedi"))))</f>
        <v>V7 zaten NULL</v>
      </c>
      <c r="S92" s="8" t="str">
        <f>IF(OR($G92="NULL",$G92="KOŞULLU"),"V7 zaten "&amp;$G92,IF($K92="HATA",IF(P92="KOŞULLU","YAKALANDI","SESSİZ HATA"),IF(OR($K92="TEMİZ",$K92="ÖNEMSİZ"),IF(P92="KOŞULLU","YANLIŞ ALARM","DOĞRU SESSİZ"),IF(P92="KOŞULLU","BELİRSİZ — işaretlendi","BELİRSİZ — işaretlenmedi"))))</f>
        <v>V7 zaten NULL</v>
      </c>
      <c r="T92" s="8" t="str">
        <f>IF(OR($G92="NULL",$G92="KOŞULLU"),"V7 zaten "&amp;$G92,IF($K92="HATA",IF(Q92="KOŞULLU","YAKALANDI","SESSİZ HATA"),IF(OR($K92="TEMİZ",$K92="ÖNEMSİZ"),IF(Q92="KOŞULLU","YANLIŞ ALARM","DOĞRU SESSİZ"),IF(Q92="KOŞULLU","BELİRSİZ — işaretlendi","BELİRSİZ — işaretlenmedi"))))</f>
        <v>V7 zaten NULL</v>
      </c>
    </row>
    <row r="93" spans="1:20" x14ac:dyDescent="0.2">
      <c r="A93" s="8" t="s">
        <v>762</v>
      </c>
      <c r="B93" s="8" t="s">
        <v>782</v>
      </c>
      <c r="C93" s="8" t="s">
        <v>83</v>
      </c>
      <c r="D93" s="8" t="s">
        <v>205</v>
      </c>
      <c r="E93" s="10">
        <v>151.726</v>
      </c>
      <c r="F93" s="10">
        <v>-1113.039</v>
      </c>
      <c r="G93" s="8" t="s">
        <v>204</v>
      </c>
      <c r="H93" s="8">
        <v>0</v>
      </c>
      <c r="I93" s="8">
        <v>0</v>
      </c>
      <c r="J93" s="8">
        <v>0</v>
      </c>
      <c r="K93" s="8" t="s">
        <v>100</v>
      </c>
      <c r="L93" s="5" t="s">
        <v>763</v>
      </c>
      <c r="M93" s="5" t="s">
        <v>767</v>
      </c>
      <c r="N93" s="10"/>
      <c r="O93" s="8" t="str">
        <f>G93</f>
        <v>KESİN</v>
      </c>
      <c r="P93" s="8" t="str">
        <f>IF(OR(G93="NULL",G93="KOŞULLU"),G93,IF(OR(I93=1,J93=1),"KOŞULLU",G93))</f>
        <v>KESİN</v>
      </c>
      <c r="Q93" s="8" t="str">
        <f>IF(OR(G93="NULL",G93="KOŞULLU"),G93,IF(J93=1,"KOŞULLU",G93))</f>
        <v>KESİN</v>
      </c>
      <c r="R93" s="8" t="str">
        <f>IF(OR($G93="NULL",$G93="KOŞULLU"),"V7 zaten "&amp;$G93,IF($K93="HATA",IF(O93="KOŞULLU","YAKALANDI","SESSİZ HATA"),IF(OR($K93="TEMİZ",$K93="ÖNEMSİZ"),IF(O93="KOŞULLU","YANLIŞ ALARM","DOĞRU SESSİZ"),IF(O93="KOŞULLU","BELİRSİZ — işaretlendi","BELİRSİZ — işaretlenmedi"))))</f>
        <v>DOĞRU SESSİZ</v>
      </c>
      <c r="S93" s="8" t="str">
        <f>IF(OR($G93="NULL",$G93="KOŞULLU"),"V7 zaten "&amp;$G93,IF($K93="HATA",IF(P93="KOŞULLU","YAKALANDI","SESSİZ HATA"),IF(OR($K93="TEMİZ",$K93="ÖNEMSİZ"),IF(P93="KOŞULLU","YANLIŞ ALARM","DOĞRU SESSİZ"),IF(P93="KOŞULLU","BELİRSİZ — işaretlendi","BELİRSİZ — işaretlenmedi"))))</f>
        <v>DOĞRU SESSİZ</v>
      </c>
      <c r="T93" s="8" t="str">
        <f>IF(OR($G93="NULL",$G93="KOŞULLU"),"V7 zaten "&amp;$G93,IF($K93="HATA",IF(Q93="KOŞULLU","YAKALANDI","SESSİZ HATA"),IF(OR($K93="TEMİZ",$K93="ÖNEMSİZ"),IF(Q93="KOŞULLU","YANLIŞ ALARM","DOĞRU SESSİZ"),IF(Q93="KOŞULLU","BELİRSİZ — işaretlendi","BELİRSİZ — işaretlenmedi"))))</f>
        <v>DOĞRU SESSİZ</v>
      </c>
    </row>
    <row r="94" spans="1:20" x14ac:dyDescent="0.2">
      <c r="A94" s="8" t="s">
        <v>762</v>
      </c>
      <c r="B94" s="8" t="s">
        <v>782</v>
      </c>
      <c r="C94" s="8" t="s">
        <v>83</v>
      </c>
      <c r="D94" s="8" t="s">
        <v>215</v>
      </c>
      <c r="E94" s="10">
        <v>13.766999999999999</v>
      </c>
      <c r="F94" s="10">
        <v>-1165.347</v>
      </c>
      <c r="G94" s="8" t="s">
        <v>204</v>
      </c>
      <c r="H94" s="8">
        <v>0</v>
      </c>
      <c r="I94" s="8">
        <v>0</v>
      </c>
      <c r="J94" s="8">
        <v>0</v>
      </c>
      <c r="K94" s="8" t="s">
        <v>100</v>
      </c>
      <c r="L94" s="5" t="s">
        <v>763</v>
      </c>
      <c r="M94" s="5" t="s">
        <v>767</v>
      </c>
      <c r="N94" s="10"/>
      <c r="O94" s="8" t="str">
        <f>G94</f>
        <v>KESİN</v>
      </c>
      <c r="P94" s="8" t="str">
        <f>IF(OR(G94="NULL",G94="KOŞULLU"),G94,IF(OR(I94=1,J94=1),"KOŞULLU",G94))</f>
        <v>KESİN</v>
      </c>
      <c r="Q94" s="8" t="str">
        <f>IF(OR(G94="NULL",G94="KOŞULLU"),G94,IF(J94=1,"KOŞULLU",G94))</f>
        <v>KESİN</v>
      </c>
      <c r="R94" s="8" t="str">
        <f>IF(OR($G94="NULL",$G94="KOŞULLU"),"V7 zaten "&amp;$G94,IF($K94="HATA",IF(O94="KOŞULLU","YAKALANDI","SESSİZ HATA"),IF(OR($K94="TEMİZ",$K94="ÖNEMSİZ"),IF(O94="KOŞULLU","YANLIŞ ALARM","DOĞRU SESSİZ"),IF(O94="KOŞULLU","BELİRSİZ — işaretlendi","BELİRSİZ — işaretlenmedi"))))</f>
        <v>DOĞRU SESSİZ</v>
      </c>
      <c r="S94" s="8" t="str">
        <f>IF(OR($G94="NULL",$G94="KOŞULLU"),"V7 zaten "&amp;$G94,IF($K94="HATA",IF(P94="KOŞULLU","YAKALANDI","SESSİZ HATA"),IF(OR($K94="TEMİZ",$K94="ÖNEMSİZ"),IF(P94="KOŞULLU","YANLIŞ ALARM","DOĞRU SESSİZ"),IF(P94="KOŞULLU","BELİRSİZ — işaretlendi","BELİRSİZ — işaretlenmedi"))))</f>
        <v>DOĞRU SESSİZ</v>
      </c>
      <c r="T94" s="8" t="str">
        <f>IF(OR($G94="NULL",$G94="KOŞULLU"),"V7 zaten "&amp;$G94,IF($K94="HATA",IF(Q94="KOŞULLU","YAKALANDI","SESSİZ HATA"),IF(OR($K94="TEMİZ",$K94="ÖNEMSİZ"),IF(Q94="KOŞULLU","YANLIŞ ALARM","DOĞRU SESSİZ"),IF(Q94="KOŞULLU","BELİRSİZ — işaretlendi","BELİRSİZ — işaretlenmedi"))))</f>
        <v>DOĞRU SESSİZ</v>
      </c>
    </row>
    <row r="95" spans="1:20" x14ac:dyDescent="0.2">
      <c r="A95" s="8" t="s">
        <v>762</v>
      </c>
      <c r="B95" s="8" t="s">
        <v>782</v>
      </c>
      <c r="C95" s="8" t="s">
        <v>83</v>
      </c>
      <c r="D95" s="8" t="s">
        <v>290</v>
      </c>
      <c r="E95" s="10">
        <v>179.011</v>
      </c>
      <c r="F95" s="10">
        <v>-1828.900204</v>
      </c>
      <c r="G95" s="8" t="s">
        <v>209</v>
      </c>
      <c r="H95" s="8">
        <v>0</v>
      </c>
      <c r="I95" s="8">
        <v>0</v>
      </c>
      <c r="J95" s="8">
        <v>0</v>
      </c>
      <c r="K95" s="8" t="s">
        <v>100</v>
      </c>
      <c r="L95" s="5" t="s">
        <v>763</v>
      </c>
      <c r="M95" s="5" t="s">
        <v>767</v>
      </c>
      <c r="N95" s="10"/>
      <c r="O95" s="8" t="str">
        <f>G95</f>
        <v>TÜRETİLMİŞ</v>
      </c>
      <c r="P95" s="8" t="str">
        <f>IF(OR(G95="NULL",G95="KOŞULLU"),G95,IF(OR(I95=1,J95=1),"KOŞULLU",G95))</f>
        <v>TÜRETİLMİŞ</v>
      </c>
      <c r="Q95" s="8" t="str">
        <f>IF(OR(G95="NULL",G95="KOŞULLU"),G95,IF(J95=1,"KOŞULLU",G95))</f>
        <v>TÜRETİLMİŞ</v>
      </c>
      <c r="R95" s="8" t="str">
        <f>IF(OR($G95="NULL",$G95="KOŞULLU"),"V7 zaten "&amp;$G95,IF($K95="HATA",IF(O95="KOŞULLU","YAKALANDI","SESSİZ HATA"),IF(OR($K95="TEMİZ",$K95="ÖNEMSİZ"),IF(O95="KOŞULLU","YANLIŞ ALARM","DOĞRU SESSİZ"),IF(O95="KOŞULLU","BELİRSİZ — işaretlendi","BELİRSİZ — işaretlenmedi"))))</f>
        <v>DOĞRU SESSİZ</v>
      </c>
      <c r="S95" s="8" t="str">
        <f>IF(OR($G95="NULL",$G95="KOŞULLU"),"V7 zaten "&amp;$G95,IF($K95="HATA",IF(P95="KOŞULLU","YAKALANDI","SESSİZ HATA"),IF(OR($K95="TEMİZ",$K95="ÖNEMSİZ"),IF(P95="KOŞULLU","YANLIŞ ALARM","DOĞRU SESSİZ"),IF(P95="KOŞULLU","BELİRSİZ — işaretlendi","BELİRSİZ — işaretlenmedi"))))</f>
        <v>DOĞRU SESSİZ</v>
      </c>
      <c r="T95" s="8" t="str">
        <f>IF(OR($G95="NULL",$G95="KOŞULLU"),"V7 zaten "&amp;$G95,IF($K95="HATA",IF(Q95="KOŞULLU","YAKALANDI","SESSİZ HATA"),IF(OR($K95="TEMİZ",$K95="ÖNEMSİZ"),IF(Q95="KOŞULLU","YANLIŞ ALARM","DOĞRU SESSİZ"),IF(Q95="KOŞULLU","BELİRSİZ — işaretlendi","BELİRSİZ — işaretlenmedi"))))</f>
        <v>DOĞRU SESSİZ</v>
      </c>
    </row>
    <row r="96" spans="1:20" x14ac:dyDescent="0.2">
      <c r="A96" s="8" t="s">
        <v>762</v>
      </c>
      <c r="B96" s="8" t="s">
        <v>782</v>
      </c>
      <c r="C96" s="8" t="s">
        <v>83</v>
      </c>
      <c r="D96" s="8" t="s">
        <v>208</v>
      </c>
      <c r="E96" s="10">
        <v>174.38</v>
      </c>
      <c r="F96" s="10">
        <v>-1654.5771709999999</v>
      </c>
      <c r="G96" s="8" t="s">
        <v>209</v>
      </c>
      <c r="H96" s="8">
        <v>0</v>
      </c>
      <c r="I96" s="8">
        <v>0</v>
      </c>
      <c r="J96" s="8">
        <v>0</v>
      </c>
      <c r="K96" s="8" t="s">
        <v>100</v>
      </c>
      <c r="L96" s="5" t="s">
        <v>763</v>
      </c>
      <c r="M96" s="5" t="s">
        <v>767</v>
      </c>
      <c r="N96" s="10"/>
      <c r="O96" s="8" t="str">
        <f>G96</f>
        <v>TÜRETİLMİŞ</v>
      </c>
      <c r="P96" s="8" t="str">
        <f>IF(OR(G96="NULL",G96="KOŞULLU"),G96,IF(OR(I96=1,J96=1),"KOŞULLU",G96))</f>
        <v>TÜRETİLMİŞ</v>
      </c>
      <c r="Q96" s="8" t="str">
        <f>IF(OR(G96="NULL",G96="KOŞULLU"),G96,IF(J96=1,"KOŞULLU",G96))</f>
        <v>TÜRETİLMİŞ</v>
      </c>
      <c r="R96" s="8" t="str">
        <f>IF(OR($G96="NULL",$G96="KOŞULLU"),"V7 zaten "&amp;$G96,IF($K96="HATA",IF(O96="KOŞULLU","YAKALANDI","SESSİZ HATA"),IF(OR($K96="TEMİZ",$K96="ÖNEMSİZ"),IF(O96="KOŞULLU","YANLIŞ ALARM","DOĞRU SESSİZ"),IF(O96="KOŞULLU","BELİRSİZ — işaretlendi","BELİRSİZ — işaretlenmedi"))))</f>
        <v>DOĞRU SESSİZ</v>
      </c>
      <c r="S96" s="8" t="str">
        <f>IF(OR($G96="NULL",$G96="KOŞULLU"),"V7 zaten "&amp;$G96,IF($K96="HATA",IF(P96="KOŞULLU","YAKALANDI","SESSİZ HATA"),IF(OR($K96="TEMİZ",$K96="ÖNEMSİZ"),IF(P96="KOŞULLU","YANLIŞ ALARM","DOĞRU SESSİZ"),IF(P96="KOŞULLU","BELİRSİZ — işaretlendi","BELİRSİZ — işaretlenmedi"))))</f>
        <v>DOĞRU SESSİZ</v>
      </c>
      <c r="T96" s="8" t="str">
        <f>IF(OR($G96="NULL",$G96="KOŞULLU"),"V7 zaten "&amp;$G96,IF($K96="HATA",IF(Q96="KOŞULLU","YAKALANDI","SESSİZ HATA"),IF(OR($K96="TEMİZ",$K96="ÖNEMSİZ"),IF(Q96="KOŞULLU","YANLIŞ ALARM","DOĞRU SESSİZ"),IF(Q96="KOŞULLU","BELİRSİZ — işaretlendi","BELİRSİZ — işaretlenmedi"))))</f>
        <v>DOĞRU SESSİZ</v>
      </c>
    </row>
    <row r="97" spans="1:20" x14ac:dyDescent="0.2">
      <c r="A97" s="8" t="s">
        <v>762</v>
      </c>
      <c r="B97" s="8" t="s">
        <v>782</v>
      </c>
      <c r="C97" s="8" t="s">
        <v>83</v>
      </c>
      <c r="D97" s="8" t="s">
        <v>210</v>
      </c>
      <c r="E97" s="10">
        <v>180.327</v>
      </c>
      <c r="F97" s="10">
        <v>-565.60400000000004</v>
      </c>
      <c r="G97" s="8" t="s">
        <v>204</v>
      </c>
      <c r="H97" s="8">
        <v>0</v>
      </c>
      <c r="I97" s="8">
        <v>0</v>
      </c>
      <c r="J97" s="8">
        <v>0</v>
      </c>
      <c r="K97" s="8" t="s">
        <v>100</v>
      </c>
      <c r="L97" s="5" t="s">
        <v>763</v>
      </c>
      <c r="M97" s="5" t="s">
        <v>767</v>
      </c>
      <c r="N97" s="10"/>
      <c r="O97" s="8" t="str">
        <f>G97</f>
        <v>KESİN</v>
      </c>
      <c r="P97" s="8" t="str">
        <f>IF(OR(G97="NULL",G97="KOŞULLU"),G97,IF(OR(I97=1,J97=1),"KOŞULLU",G97))</f>
        <v>KESİN</v>
      </c>
      <c r="Q97" s="8" t="str">
        <f>IF(OR(G97="NULL",G97="KOŞULLU"),G97,IF(J97=1,"KOŞULLU",G97))</f>
        <v>KESİN</v>
      </c>
      <c r="R97" s="8" t="str">
        <f>IF(OR($G97="NULL",$G97="KOŞULLU"),"V7 zaten "&amp;$G97,IF($K97="HATA",IF(O97="KOŞULLU","YAKALANDI","SESSİZ HATA"),IF(OR($K97="TEMİZ",$K97="ÖNEMSİZ"),IF(O97="KOŞULLU","YANLIŞ ALARM","DOĞRU SESSİZ"),IF(O97="KOŞULLU","BELİRSİZ — işaretlendi","BELİRSİZ — işaretlenmedi"))))</f>
        <v>DOĞRU SESSİZ</v>
      </c>
      <c r="S97" s="8" t="str">
        <f>IF(OR($G97="NULL",$G97="KOŞULLU"),"V7 zaten "&amp;$G97,IF($K97="HATA",IF(P97="KOŞULLU","YAKALANDI","SESSİZ HATA"),IF(OR($K97="TEMİZ",$K97="ÖNEMSİZ"),IF(P97="KOŞULLU","YANLIŞ ALARM","DOĞRU SESSİZ"),IF(P97="KOŞULLU","BELİRSİZ — işaretlendi","BELİRSİZ — işaretlenmedi"))))</f>
        <v>DOĞRU SESSİZ</v>
      </c>
      <c r="T97" s="8" t="str">
        <f>IF(OR($G97="NULL",$G97="KOŞULLU"),"V7 zaten "&amp;$G97,IF($K97="HATA",IF(Q97="KOŞULLU","YAKALANDI","SESSİZ HATA"),IF(OR($K97="TEMİZ",$K97="ÖNEMSİZ"),IF(Q97="KOŞULLU","YANLIŞ ALARM","DOĞRU SESSİZ"),IF(Q97="KOŞULLU","BELİRSİZ — işaretlendi","BELİRSİZ — işaretlenmedi"))))</f>
        <v>DOĞRU SESSİZ</v>
      </c>
    </row>
    <row r="98" spans="1:20" x14ac:dyDescent="0.2">
      <c r="A98" s="8" t="s">
        <v>762</v>
      </c>
      <c r="B98" s="8" t="s">
        <v>787</v>
      </c>
      <c r="C98" s="8" t="s">
        <v>82</v>
      </c>
      <c r="D98" s="8" t="s">
        <v>203</v>
      </c>
      <c r="E98" s="10">
        <v>0</v>
      </c>
      <c r="F98" s="10"/>
      <c r="G98" s="8" t="s">
        <v>207</v>
      </c>
      <c r="H98" s="8">
        <v>0</v>
      </c>
      <c r="I98" s="8">
        <v>0</v>
      </c>
      <c r="J98" s="8">
        <v>0</v>
      </c>
      <c r="K98" s="8" t="s">
        <v>100</v>
      </c>
      <c r="L98" s="5" t="s">
        <v>207</v>
      </c>
      <c r="M98" s="5" t="s">
        <v>788</v>
      </c>
      <c r="N98" s="10"/>
      <c r="O98" s="8" t="str">
        <f>G98</f>
        <v>NULL</v>
      </c>
      <c r="P98" s="8" t="str">
        <f>IF(OR(G98="NULL",G98="KOŞULLU"),G98,IF(OR(I98=1,J98=1),"KOŞULLU",G98))</f>
        <v>NULL</v>
      </c>
      <c r="Q98" s="8" t="str">
        <f>IF(OR(G98="NULL",G98="KOŞULLU"),G98,IF(J98=1,"KOŞULLU",G98))</f>
        <v>NULL</v>
      </c>
      <c r="R98" s="8" t="str">
        <f>IF(OR($G98="NULL",$G98="KOŞULLU"),"V7 zaten "&amp;$G98,IF($K98="HATA",IF(O98="KOŞULLU","YAKALANDI","SESSİZ HATA"),IF(OR($K98="TEMİZ",$K98="ÖNEMSİZ"),IF(O98="KOŞULLU","YANLIŞ ALARM","DOĞRU SESSİZ"),IF(O98="KOŞULLU","BELİRSİZ — işaretlendi","BELİRSİZ — işaretlenmedi"))))</f>
        <v>V7 zaten NULL</v>
      </c>
      <c r="S98" s="8" t="str">
        <f>IF(OR($G98="NULL",$G98="KOŞULLU"),"V7 zaten "&amp;$G98,IF($K98="HATA",IF(P98="KOŞULLU","YAKALANDI","SESSİZ HATA"),IF(OR($K98="TEMİZ",$K98="ÖNEMSİZ"),IF(P98="KOŞULLU","YANLIŞ ALARM","DOĞRU SESSİZ"),IF(P98="KOŞULLU","BELİRSİZ — işaretlendi","BELİRSİZ — işaretlenmedi"))))</f>
        <v>V7 zaten NULL</v>
      </c>
      <c r="T98" s="8" t="str">
        <f>IF(OR($G98="NULL",$G98="KOŞULLU"),"V7 zaten "&amp;$G98,IF($K98="HATA",IF(Q98="KOŞULLU","YAKALANDI","SESSİZ HATA"),IF(OR($K98="TEMİZ",$K98="ÖNEMSİZ"),IF(Q98="KOŞULLU","YANLIŞ ALARM","DOĞRU SESSİZ"),IF(Q98="KOŞULLU","BELİRSİZ — işaretlendi","BELİRSİZ — işaretlenmedi"))))</f>
        <v>V7 zaten NULL</v>
      </c>
    </row>
    <row r="99" spans="1:20" x14ac:dyDescent="0.2">
      <c r="A99" s="8" t="s">
        <v>762</v>
      </c>
      <c r="B99" s="8" t="s">
        <v>787</v>
      </c>
      <c r="C99" s="8" t="s">
        <v>82</v>
      </c>
      <c r="D99" s="8" t="s">
        <v>205</v>
      </c>
      <c r="E99" s="10"/>
      <c r="F99" s="10"/>
      <c r="G99" s="8" t="s">
        <v>207</v>
      </c>
      <c r="H99" s="8">
        <v>0</v>
      </c>
      <c r="I99" s="8">
        <v>0</v>
      </c>
      <c r="J99" s="8">
        <v>0</v>
      </c>
      <c r="K99" s="8" t="s">
        <v>98</v>
      </c>
      <c r="L99" s="5" t="s">
        <v>207</v>
      </c>
      <c r="M99" s="5" t="s">
        <v>788</v>
      </c>
      <c r="N99" s="10"/>
      <c r="O99" s="8" t="str">
        <f>G99</f>
        <v>NULL</v>
      </c>
      <c r="P99" s="8" t="str">
        <f>IF(OR(G99="NULL",G99="KOŞULLU"),G99,IF(OR(I99=1,J99=1),"KOŞULLU",G99))</f>
        <v>NULL</v>
      </c>
      <c r="Q99" s="8" t="str">
        <f>IF(OR(G99="NULL",G99="KOŞULLU"),G99,IF(J99=1,"KOŞULLU",G99))</f>
        <v>NULL</v>
      </c>
      <c r="R99" s="8" t="str">
        <f>IF(OR($G99="NULL",$G99="KOŞULLU"),"V7 zaten "&amp;$G99,IF($K99="HATA",IF(O99="KOŞULLU","YAKALANDI","SESSİZ HATA"),IF(OR($K99="TEMİZ",$K99="ÖNEMSİZ"),IF(O99="KOŞULLU","YANLIŞ ALARM","DOĞRU SESSİZ"),IF(O99="KOŞULLU","BELİRSİZ — işaretlendi","BELİRSİZ — işaretlenmedi"))))</f>
        <v>V7 zaten NULL</v>
      </c>
      <c r="S99" s="8" t="str">
        <f>IF(OR($G99="NULL",$G99="KOŞULLU"),"V7 zaten "&amp;$G99,IF($K99="HATA",IF(P99="KOŞULLU","YAKALANDI","SESSİZ HATA"),IF(OR($K99="TEMİZ",$K99="ÖNEMSİZ"),IF(P99="KOŞULLU","YANLIŞ ALARM","DOĞRU SESSİZ"),IF(P99="KOŞULLU","BELİRSİZ — işaretlendi","BELİRSİZ — işaretlenmedi"))))</f>
        <v>V7 zaten NULL</v>
      </c>
      <c r="T99" s="8" t="str">
        <f>IF(OR($G99="NULL",$G99="KOŞULLU"),"V7 zaten "&amp;$G99,IF($K99="HATA",IF(Q99="KOŞULLU","YAKALANDI","SESSİZ HATA"),IF(OR($K99="TEMİZ",$K99="ÖNEMSİZ"),IF(Q99="KOŞULLU","YANLIŞ ALARM","DOĞRU SESSİZ"),IF(Q99="KOŞULLU","BELİRSİZ — işaretlendi","BELİRSİZ — işaretlenmedi"))))</f>
        <v>V7 zaten NULL</v>
      </c>
    </row>
    <row r="100" spans="1:20" x14ac:dyDescent="0.2">
      <c r="A100" s="8" t="s">
        <v>762</v>
      </c>
      <c r="B100" s="8" t="s">
        <v>787</v>
      </c>
      <c r="C100" s="8" t="s">
        <v>82</v>
      </c>
      <c r="D100" s="8" t="s">
        <v>215</v>
      </c>
      <c r="E100" s="10">
        <v>0</v>
      </c>
      <c r="F100" s="10">
        <v>486.84399999999999</v>
      </c>
      <c r="G100" s="8" t="s">
        <v>204</v>
      </c>
      <c r="H100" s="8">
        <v>0</v>
      </c>
      <c r="I100" s="8">
        <v>0</v>
      </c>
      <c r="J100" s="8">
        <v>0</v>
      </c>
      <c r="K100" s="8" t="s">
        <v>100</v>
      </c>
      <c r="L100" s="5" t="s">
        <v>785</v>
      </c>
      <c r="M100" s="5" t="s">
        <v>788</v>
      </c>
      <c r="N100" s="10"/>
      <c r="O100" s="8" t="str">
        <f>G100</f>
        <v>KESİN</v>
      </c>
      <c r="P100" s="8" t="str">
        <f>IF(OR(G100="NULL",G100="KOŞULLU"),G100,IF(OR(I100=1,J100=1),"KOŞULLU",G100))</f>
        <v>KESİN</v>
      </c>
      <c r="Q100" s="8" t="str">
        <f>IF(OR(G100="NULL",G100="KOŞULLU"),G100,IF(J100=1,"KOŞULLU",G100))</f>
        <v>KESİN</v>
      </c>
      <c r="R100" s="8" t="str">
        <f>IF(OR($G100="NULL",$G100="KOŞULLU"),"V7 zaten "&amp;$G100,IF($K100="HATA",IF(O100="KOŞULLU","YAKALANDI","SESSİZ HATA"),IF(OR($K100="TEMİZ",$K100="ÖNEMSİZ"),IF(O100="KOŞULLU","YANLIŞ ALARM","DOĞRU SESSİZ"),IF(O100="KOŞULLU","BELİRSİZ — işaretlendi","BELİRSİZ — işaretlenmedi"))))</f>
        <v>DOĞRU SESSİZ</v>
      </c>
      <c r="S100" s="8" t="str">
        <f>IF(OR($G100="NULL",$G100="KOŞULLU"),"V7 zaten "&amp;$G100,IF($K100="HATA",IF(P100="KOŞULLU","YAKALANDI","SESSİZ HATA"),IF(OR($K100="TEMİZ",$K100="ÖNEMSİZ"),IF(P100="KOŞULLU","YANLIŞ ALARM","DOĞRU SESSİZ"),IF(P100="KOŞULLU","BELİRSİZ — işaretlendi","BELİRSİZ — işaretlenmedi"))))</f>
        <v>DOĞRU SESSİZ</v>
      </c>
      <c r="T100" s="8" t="str">
        <f>IF(OR($G100="NULL",$G100="KOŞULLU"),"V7 zaten "&amp;$G100,IF($K100="HATA",IF(Q100="KOŞULLU","YAKALANDI","SESSİZ HATA"),IF(OR($K100="TEMİZ",$K100="ÖNEMSİZ"),IF(Q100="KOŞULLU","YANLIŞ ALARM","DOĞRU SESSİZ"),IF(Q100="KOŞULLU","BELİRSİZ — işaretlendi","BELİRSİZ — işaretlenmedi"))))</f>
        <v>DOĞRU SESSİZ</v>
      </c>
    </row>
    <row r="101" spans="1:20" x14ac:dyDescent="0.2">
      <c r="A101" s="8" t="s">
        <v>762</v>
      </c>
      <c r="B101" s="8" t="s">
        <v>787</v>
      </c>
      <c r="C101" s="8" t="s">
        <v>82</v>
      </c>
      <c r="D101" s="8" t="s">
        <v>290</v>
      </c>
      <c r="E101" s="10">
        <v>0</v>
      </c>
      <c r="F101" s="10">
        <v>438.84699999999998</v>
      </c>
      <c r="G101" s="8" t="s">
        <v>204</v>
      </c>
      <c r="H101" s="8">
        <v>0</v>
      </c>
      <c r="I101" s="8">
        <v>0</v>
      </c>
      <c r="J101" s="8">
        <v>0</v>
      </c>
      <c r="K101" s="8" t="s">
        <v>100</v>
      </c>
      <c r="L101" s="5" t="s">
        <v>789</v>
      </c>
      <c r="M101" s="5" t="s">
        <v>788</v>
      </c>
      <c r="N101" s="10"/>
      <c r="O101" s="8" t="str">
        <f>G101</f>
        <v>KESİN</v>
      </c>
      <c r="P101" s="8" t="str">
        <f>IF(OR(G101="NULL",G101="KOŞULLU"),G101,IF(OR(I101=1,J101=1),"KOŞULLU",G101))</f>
        <v>KESİN</v>
      </c>
      <c r="Q101" s="8" t="str">
        <f>IF(OR(G101="NULL",G101="KOŞULLU"),G101,IF(J101=1,"KOŞULLU",G101))</f>
        <v>KESİN</v>
      </c>
      <c r="R101" s="8" t="str">
        <f>IF(OR($G101="NULL",$G101="KOŞULLU"),"V7 zaten "&amp;$G101,IF($K101="HATA",IF(O101="KOŞULLU","YAKALANDI","SESSİZ HATA"),IF(OR($K101="TEMİZ",$K101="ÖNEMSİZ"),IF(O101="KOŞULLU","YANLIŞ ALARM","DOĞRU SESSİZ"),IF(O101="KOŞULLU","BELİRSİZ — işaretlendi","BELİRSİZ — işaretlenmedi"))))</f>
        <v>DOĞRU SESSİZ</v>
      </c>
      <c r="S101" s="8" t="str">
        <f>IF(OR($G101="NULL",$G101="KOŞULLU"),"V7 zaten "&amp;$G101,IF($K101="HATA",IF(P101="KOŞULLU","YAKALANDI","SESSİZ HATA"),IF(OR($K101="TEMİZ",$K101="ÖNEMSİZ"),IF(P101="KOŞULLU","YANLIŞ ALARM","DOĞRU SESSİZ"),IF(P101="KOŞULLU","BELİRSİZ — işaretlendi","BELİRSİZ — işaretlenmedi"))))</f>
        <v>DOĞRU SESSİZ</v>
      </c>
      <c r="T101" s="8" t="str">
        <f>IF(OR($G101="NULL",$G101="KOŞULLU"),"V7 zaten "&amp;$G101,IF($K101="HATA",IF(Q101="KOŞULLU","YAKALANDI","SESSİZ HATA"),IF(OR($K101="TEMİZ",$K101="ÖNEMSİZ"),IF(Q101="KOŞULLU","YANLIŞ ALARM","DOĞRU SESSİZ"),IF(Q101="KOŞULLU","BELİRSİZ — işaretlendi","BELİRSİZ — işaretlenmedi"))))</f>
        <v>DOĞRU SESSİZ</v>
      </c>
    </row>
    <row r="102" spans="1:20" x14ac:dyDescent="0.2">
      <c r="A102" s="8" t="s">
        <v>762</v>
      </c>
      <c r="B102" s="8" t="s">
        <v>787</v>
      </c>
      <c r="C102" s="8" t="s">
        <v>82</v>
      </c>
      <c r="D102" s="8" t="s">
        <v>208</v>
      </c>
      <c r="E102" s="10">
        <v>0</v>
      </c>
      <c r="F102" s="10">
        <v>770.64400000000001</v>
      </c>
      <c r="G102" s="8" t="s">
        <v>204</v>
      </c>
      <c r="H102" s="8">
        <v>0</v>
      </c>
      <c r="I102" s="8">
        <v>0</v>
      </c>
      <c r="J102" s="8">
        <v>0</v>
      </c>
      <c r="K102" s="8" t="s">
        <v>100</v>
      </c>
      <c r="L102" s="5" t="s">
        <v>789</v>
      </c>
      <c r="M102" s="5" t="s">
        <v>788</v>
      </c>
      <c r="N102" s="10"/>
      <c r="O102" s="8" t="str">
        <f>G102</f>
        <v>KESİN</v>
      </c>
      <c r="P102" s="8" t="str">
        <f>IF(OR(G102="NULL",G102="KOŞULLU"),G102,IF(OR(I102=1,J102=1),"KOŞULLU",G102))</f>
        <v>KESİN</v>
      </c>
      <c r="Q102" s="8" t="str">
        <f>IF(OR(G102="NULL",G102="KOŞULLU"),G102,IF(J102=1,"KOŞULLU",G102))</f>
        <v>KESİN</v>
      </c>
      <c r="R102" s="8" t="str">
        <f>IF(OR($G102="NULL",$G102="KOŞULLU"),"V7 zaten "&amp;$G102,IF($K102="HATA",IF(O102="KOŞULLU","YAKALANDI","SESSİZ HATA"),IF(OR($K102="TEMİZ",$K102="ÖNEMSİZ"),IF(O102="KOŞULLU","YANLIŞ ALARM","DOĞRU SESSİZ"),IF(O102="KOŞULLU","BELİRSİZ — işaretlendi","BELİRSİZ — işaretlenmedi"))))</f>
        <v>DOĞRU SESSİZ</v>
      </c>
      <c r="S102" s="8" t="str">
        <f>IF(OR($G102="NULL",$G102="KOŞULLU"),"V7 zaten "&amp;$G102,IF($K102="HATA",IF(P102="KOŞULLU","YAKALANDI","SESSİZ HATA"),IF(OR($K102="TEMİZ",$K102="ÖNEMSİZ"),IF(P102="KOŞULLU","YANLIŞ ALARM","DOĞRU SESSİZ"),IF(P102="KOŞULLU","BELİRSİZ — işaretlendi","BELİRSİZ — işaretlenmedi"))))</f>
        <v>DOĞRU SESSİZ</v>
      </c>
      <c r="T102" s="8" t="str">
        <f>IF(OR($G102="NULL",$G102="KOŞULLU"),"V7 zaten "&amp;$G102,IF($K102="HATA",IF(Q102="KOŞULLU","YAKALANDI","SESSİZ HATA"),IF(OR($K102="TEMİZ",$K102="ÖNEMSİZ"),IF(Q102="KOŞULLU","YANLIŞ ALARM","DOĞRU SESSİZ"),IF(Q102="KOŞULLU","BELİRSİZ — işaretlendi","BELİRSİZ — işaretlenmedi"))))</f>
        <v>DOĞRU SESSİZ</v>
      </c>
    </row>
    <row r="103" spans="1:20" x14ac:dyDescent="0.2">
      <c r="A103" s="8" t="s">
        <v>762</v>
      </c>
      <c r="B103" s="8" t="s">
        <v>787</v>
      </c>
      <c r="C103" s="8" t="s">
        <v>82</v>
      </c>
      <c r="D103" s="8" t="s">
        <v>210</v>
      </c>
      <c r="E103" s="10"/>
      <c r="F103" s="10"/>
      <c r="G103" s="8" t="s">
        <v>207</v>
      </c>
      <c r="H103" s="8">
        <v>0</v>
      </c>
      <c r="I103" s="8">
        <v>0</v>
      </c>
      <c r="J103" s="8">
        <v>1</v>
      </c>
      <c r="K103" s="8" t="s">
        <v>98</v>
      </c>
      <c r="L103" s="5" t="s">
        <v>207</v>
      </c>
      <c r="M103" s="5" t="s">
        <v>788</v>
      </c>
      <c r="N103" s="10"/>
      <c r="O103" s="8" t="str">
        <f>G103</f>
        <v>NULL</v>
      </c>
      <c r="P103" s="8" t="str">
        <f>IF(OR(G103="NULL",G103="KOŞULLU"),G103,IF(OR(I103=1,J103=1),"KOŞULLU",G103))</f>
        <v>NULL</v>
      </c>
      <c r="Q103" s="8" t="str">
        <f>IF(OR(G103="NULL",G103="KOŞULLU"),G103,IF(J103=1,"KOŞULLU",G103))</f>
        <v>NULL</v>
      </c>
      <c r="R103" s="8" t="str">
        <f>IF(OR($G103="NULL",$G103="KOŞULLU"),"V7 zaten "&amp;$G103,IF($K103="HATA",IF(O103="KOŞULLU","YAKALANDI","SESSİZ HATA"),IF(OR($K103="TEMİZ",$K103="ÖNEMSİZ"),IF(O103="KOŞULLU","YANLIŞ ALARM","DOĞRU SESSİZ"),IF(O103="KOŞULLU","BELİRSİZ — işaretlendi","BELİRSİZ — işaretlenmedi"))))</f>
        <v>V7 zaten NULL</v>
      </c>
      <c r="S103" s="8" t="str">
        <f>IF(OR($G103="NULL",$G103="KOŞULLU"),"V7 zaten "&amp;$G103,IF($K103="HATA",IF(P103="KOŞULLU","YAKALANDI","SESSİZ HATA"),IF(OR($K103="TEMİZ",$K103="ÖNEMSİZ"),IF(P103="KOŞULLU","YANLIŞ ALARM","DOĞRU SESSİZ"),IF(P103="KOŞULLU","BELİRSİZ — işaretlendi","BELİRSİZ — işaretlenmedi"))))</f>
        <v>V7 zaten NULL</v>
      </c>
      <c r="T103" s="8" t="str">
        <f>IF(OR($G103="NULL",$G103="KOŞULLU"),"V7 zaten "&amp;$G103,IF($K103="HATA",IF(Q103="KOŞULLU","YAKALANDI","SESSİZ HATA"),IF(OR($K103="TEMİZ",$K103="ÖNEMSİZ"),IF(Q103="KOŞULLU","YANLIŞ ALARM","DOĞRU SESSİZ"),IF(Q103="KOŞULLU","BELİRSİZ — işaretlendi","BELİRSİZ — işaretlenmedi"))))</f>
        <v>V7 zaten NULL</v>
      </c>
    </row>
    <row r="104" spans="1:20" x14ac:dyDescent="0.2">
      <c r="A104" s="8" t="s">
        <v>762</v>
      </c>
      <c r="B104" s="8" t="s">
        <v>787</v>
      </c>
      <c r="C104" s="8" t="s">
        <v>83</v>
      </c>
      <c r="D104" s="8" t="s">
        <v>203</v>
      </c>
      <c r="E104" s="10">
        <v>301.73099999999999</v>
      </c>
      <c r="F104" s="10"/>
      <c r="G104" s="8" t="s">
        <v>207</v>
      </c>
      <c r="H104" s="8">
        <v>0</v>
      </c>
      <c r="I104" s="8">
        <v>0</v>
      </c>
      <c r="J104" s="8">
        <v>0</v>
      </c>
      <c r="K104" s="8" t="s">
        <v>100</v>
      </c>
      <c r="L104" s="5" t="s">
        <v>763</v>
      </c>
      <c r="M104" s="5" t="s">
        <v>767</v>
      </c>
      <c r="N104" s="10"/>
      <c r="O104" s="8" t="str">
        <f>G104</f>
        <v>NULL</v>
      </c>
      <c r="P104" s="8" t="str">
        <f>IF(OR(G104="NULL",G104="KOŞULLU"),G104,IF(OR(I104=1,J104=1),"KOŞULLU",G104))</f>
        <v>NULL</v>
      </c>
      <c r="Q104" s="8" t="str">
        <f>IF(OR(G104="NULL",G104="KOŞULLU"),G104,IF(J104=1,"KOŞULLU",G104))</f>
        <v>NULL</v>
      </c>
      <c r="R104" s="8" t="str">
        <f>IF(OR($G104="NULL",$G104="KOŞULLU"),"V7 zaten "&amp;$G104,IF($K104="HATA",IF(O104="KOŞULLU","YAKALANDI","SESSİZ HATA"),IF(OR($K104="TEMİZ",$K104="ÖNEMSİZ"),IF(O104="KOŞULLU","YANLIŞ ALARM","DOĞRU SESSİZ"),IF(O104="KOŞULLU","BELİRSİZ — işaretlendi","BELİRSİZ — işaretlenmedi"))))</f>
        <v>V7 zaten NULL</v>
      </c>
      <c r="S104" s="8" t="str">
        <f>IF(OR($G104="NULL",$G104="KOŞULLU"),"V7 zaten "&amp;$G104,IF($K104="HATA",IF(P104="KOŞULLU","YAKALANDI","SESSİZ HATA"),IF(OR($K104="TEMİZ",$K104="ÖNEMSİZ"),IF(P104="KOŞULLU","YANLIŞ ALARM","DOĞRU SESSİZ"),IF(P104="KOŞULLU","BELİRSİZ — işaretlendi","BELİRSİZ — işaretlenmedi"))))</f>
        <v>V7 zaten NULL</v>
      </c>
      <c r="T104" s="8" t="str">
        <f>IF(OR($G104="NULL",$G104="KOŞULLU"),"V7 zaten "&amp;$G104,IF($K104="HATA",IF(Q104="KOŞULLU","YAKALANDI","SESSİZ HATA"),IF(OR($K104="TEMİZ",$K104="ÖNEMSİZ"),IF(Q104="KOŞULLU","YANLIŞ ALARM","DOĞRU SESSİZ"),IF(Q104="KOŞULLU","BELİRSİZ — işaretlendi","BELİRSİZ — işaretlenmedi"))))</f>
        <v>V7 zaten NULL</v>
      </c>
    </row>
    <row r="105" spans="1:20" x14ac:dyDescent="0.2">
      <c r="A105" s="8" t="s">
        <v>762</v>
      </c>
      <c r="B105" s="8" t="s">
        <v>787</v>
      </c>
      <c r="C105" s="8" t="s">
        <v>83</v>
      </c>
      <c r="D105" s="8" t="s">
        <v>205</v>
      </c>
      <c r="E105" s="10">
        <v>239.75700000000001</v>
      </c>
      <c r="F105" s="10"/>
      <c r="G105" s="8" t="s">
        <v>207</v>
      </c>
      <c r="H105" s="8">
        <v>0</v>
      </c>
      <c r="I105" s="8">
        <v>0</v>
      </c>
      <c r="J105" s="8">
        <v>0</v>
      </c>
      <c r="K105" s="8" t="s">
        <v>100</v>
      </c>
      <c r="L105" s="5" t="s">
        <v>763</v>
      </c>
      <c r="M105" s="5" t="s">
        <v>767</v>
      </c>
      <c r="N105" s="10"/>
      <c r="O105" s="8" t="str">
        <f>G105</f>
        <v>NULL</v>
      </c>
      <c r="P105" s="8" t="str">
        <f>IF(OR(G105="NULL",G105="KOŞULLU"),G105,IF(OR(I105=1,J105=1),"KOŞULLU",G105))</f>
        <v>NULL</v>
      </c>
      <c r="Q105" s="8" t="str">
        <f>IF(OR(G105="NULL",G105="KOŞULLU"),G105,IF(J105=1,"KOŞULLU",G105))</f>
        <v>NULL</v>
      </c>
      <c r="R105" s="8" t="str">
        <f>IF(OR($G105="NULL",$G105="KOŞULLU"),"V7 zaten "&amp;$G105,IF($K105="HATA",IF(O105="KOŞULLU","YAKALANDI","SESSİZ HATA"),IF(OR($K105="TEMİZ",$K105="ÖNEMSİZ"),IF(O105="KOŞULLU","YANLIŞ ALARM","DOĞRU SESSİZ"),IF(O105="KOŞULLU","BELİRSİZ — işaretlendi","BELİRSİZ — işaretlenmedi"))))</f>
        <v>V7 zaten NULL</v>
      </c>
      <c r="S105" s="8" t="str">
        <f>IF(OR($G105="NULL",$G105="KOŞULLU"),"V7 zaten "&amp;$G105,IF($K105="HATA",IF(P105="KOŞULLU","YAKALANDI","SESSİZ HATA"),IF(OR($K105="TEMİZ",$K105="ÖNEMSİZ"),IF(P105="KOŞULLU","YANLIŞ ALARM","DOĞRU SESSİZ"),IF(P105="KOŞULLU","BELİRSİZ — işaretlendi","BELİRSİZ — işaretlenmedi"))))</f>
        <v>V7 zaten NULL</v>
      </c>
      <c r="T105" s="8" t="str">
        <f>IF(OR($G105="NULL",$G105="KOŞULLU"),"V7 zaten "&amp;$G105,IF($K105="HATA",IF(Q105="KOŞULLU","YAKALANDI","SESSİZ HATA"),IF(OR($K105="TEMİZ",$K105="ÖNEMSİZ"),IF(Q105="KOŞULLU","YANLIŞ ALARM","DOĞRU SESSİZ"),IF(Q105="KOŞULLU","BELİRSİZ — işaretlendi","BELİRSİZ — işaretlenmedi"))))</f>
        <v>V7 zaten NULL</v>
      </c>
    </row>
    <row r="106" spans="1:20" x14ac:dyDescent="0.2">
      <c r="A106" s="8" t="s">
        <v>762</v>
      </c>
      <c r="B106" s="8" t="s">
        <v>787</v>
      </c>
      <c r="C106" s="8" t="s">
        <v>83</v>
      </c>
      <c r="D106" s="8" t="s">
        <v>215</v>
      </c>
      <c r="E106" s="10">
        <v>287.17200000000003</v>
      </c>
      <c r="F106" s="10">
        <v>486.84399999999999</v>
      </c>
      <c r="G106" s="8" t="s">
        <v>204</v>
      </c>
      <c r="H106" s="8">
        <v>0</v>
      </c>
      <c r="I106" s="8">
        <v>0</v>
      </c>
      <c r="J106" s="8">
        <v>0</v>
      </c>
      <c r="K106" s="8" t="s">
        <v>100</v>
      </c>
      <c r="L106" s="5" t="s">
        <v>763</v>
      </c>
      <c r="M106" s="5" t="s">
        <v>767</v>
      </c>
      <c r="N106" s="10"/>
      <c r="O106" s="8" t="str">
        <f>G106</f>
        <v>KESİN</v>
      </c>
      <c r="P106" s="8" t="str">
        <f>IF(OR(G106="NULL",G106="KOŞULLU"),G106,IF(OR(I106=1,J106=1),"KOŞULLU",G106))</f>
        <v>KESİN</v>
      </c>
      <c r="Q106" s="8" t="str">
        <f>IF(OR(G106="NULL",G106="KOŞULLU"),G106,IF(J106=1,"KOŞULLU",G106))</f>
        <v>KESİN</v>
      </c>
      <c r="R106" s="8" t="str">
        <f>IF(OR($G106="NULL",$G106="KOŞULLU"),"V7 zaten "&amp;$G106,IF($K106="HATA",IF(O106="KOŞULLU","YAKALANDI","SESSİZ HATA"),IF(OR($K106="TEMİZ",$K106="ÖNEMSİZ"),IF(O106="KOŞULLU","YANLIŞ ALARM","DOĞRU SESSİZ"),IF(O106="KOŞULLU","BELİRSİZ — işaretlendi","BELİRSİZ — işaretlenmedi"))))</f>
        <v>DOĞRU SESSİZ</v>
      </c>
      <c r="S106" s="8" t="str">
        <f>IF(OR($G106="NULL",$G106="KOŞULLU"),"V7 zaten "&amp;$G106,IF($K106="HATA",IF(P106="KOŞULLU","YAKALANDI","SESSİZ HATA"),IF(OR($K106="TEMİZ",$K106="ÖNEMSİZ"),IF(P106="KOŞULLU","YANLIŞ ALARM","DOĞRU SESSİZ"),IF(P106="KOŞULLU","BELİRSİZ — işaretlendi","BELİRSİZ — işaretlenmedi"))))</f>
        <v>DOĞRU SESSİZ</v>
      </c>
      <c r="T106" s="8" t="str">
        <f>IF(OR($G106="NULL",$G106="KOŞULLU"),"V7 zaten "&amp;$G106,IF($K106="HATA",IF(Q106="KOŞULLU","YAKALANDI","SESSİZ HATA"),IF(OR($K106="TEMİZ",$K106="ÖNEMSİZ"),IF(Q106="KOŞULLU","YANLIŞ ALARM","DOĞRU SESSİZ"),IF(Q106="KOŞULLU","BELİRSİZ — işaretlendi","BELİRSİZ — işaretlenmedi"))))</f>
        <v>DOĞRU SESSİZ</v>
      </c>
    </row>
    <row r="107" spans="1:20" x14ac:dyDescent="0.2">
      <c r="A107" s="8" t="s">
        <v>762</v>
      </c>
      <c r="B107" s="8" t="s">
        <v>787</v>
      </c>
      <c r="C107" s="8" t="s">
        <v>83</v>
      </c>
      <c r="D107" s="8" t="s">
        <v>290</v>
      </c>
      <c r="E107" s="10">
        <v>170.42500000000001</v>
      </c>
      <c r="F107" s="10">
        <v>438.84699999999998</v>
      </c>
      <c r="G107" s="8" t="s">
        <v>204</v>
      </c>
      <c r="H107" s="8">
        <v>0</v>
      </c>
      <c r="I107" s="8">
        <v>0</v>
      </c>
      <c r="J107" s="8">
        <v>0</v>
      </c>
      <c r="K107" s="8" t="s">
        <v>100</v>
      </c>
      <c r="L107" s="5" t="s">
        <v>763</v>
      </c>
      <c r="M107" s="5" t="s">
        <v>767</v>
      </c>
      <c r="N107" s="10"/>
      <c r="O107" s="8" t="str">
        <f>G107</f>
        <v>KESİN</v>
      </c>
      <c r="P107" s="8" t="str">
        <f>IF(OR(G107="NULL",G107="KOŞULLU"),G107,IF(OR(I107=1,J107=1),"KOŞULLU",G107))</f>
        <v>KESİN</v>
      </c>
      <c r="Q107" s="8" t="str">
        <f>IF(OR(G107="NULL",G107="KOŞULLU"),G107,IF(J107=1,"KOŞULLU",G107))</f>
        <v>KESİN</v>
      </c>
      <c r="R107" s="8" t="str">
        <f>IF(OR($G107="NULL",$G107="KOŞULLU"),"V7 zaten "&amp;$G107,IF($K107="HATA",IF(O107="KOŞULLU","YAKALANDI","SESSİZ HATA"),IF(OR($K107="TEMİZ",$K107="ÖNEMSİZ"),IF(O107="KOŞULLU","YANLIŞ ALARM","DOĞRU SESSİZ"),IF(O107="KOŞULLU","BELİRSİZ — işaretlendi","BELİRSİZ — işaretlenmedi"))))</f>
        <v>DOĞRU SESSİZ</v>
      </c>
      <c r="S107" s="8" t="str">
        <f>IF(OR($G107="NULL",$G107="KOŞULLU"),"V7 zaten "&amp;$G107,IF($K107="HATA",IF(P107="KOŞULLU","YAKALANDI","SESSİZ HATA"),IF(OR($K107="TEMİZ",$K107="ÖNEMSİZ"),IF(P107="KOŞULLU","YANLIŞ ALARM","DOĞRU SESSİZ"),IF(P107="KOŞULLU","BELİRSİZ — işaretlendi","BELİRSİZ — işaretlenmedi"))))</f>
        <v>DOĞRU SESSİZ</v>
      </c>
      <c r="T107" s="8" t="str">
        <f>IF(OR($G107="NULL",$G107="KOŞULLU"),"V7 zaten "&amp;$G107,IF($K107="HATA",IF(Q107="KOŞULLU","YAKALANDI","SESSİZ HATA"),IF(OR($K107="TEMİZ",$K107="ÖNEMSİZ"),IF(Q107="KOŞULLU","YANLIŞ ALARM","DOĞRU SESSİZ"),IF(Q107="KOŞULLU","BELİRSİZ — işaretlendi","BELİRSİZ — işaretlenmedi"))))</f>
        <v>DOĞRU SESSİZ</v>
      </c>
    </row>
    <row r="108" spans="1:20" x14ac:dyDescent="0.2">
      <c r="A108" s="8" t="s">
        <v>762</v>
      </c>
      <c r="B108" s="8" t="s">
        <v>787</v>
      </c>
      <c r="C108" s="8" t="s">
        <v>83</v>
      </c>
      <c r="D108" s="8" t="s">
        <v>208</v>
      </c>
      <c r="E108" s="10">
        <v>182.63300000000001</v>
      </c>
      <c r="F108" s="10">
        <v>770.64400000000001</v>
      </c>
      <c r="G108" s="8" t="s">
        <v>204</v>
      </c>
      <c r="H108" s="8">
        <v>0</v>
      </c>
      <c r="I108" s="8">
        <v>0</v>
      </c>
      <c r="J108" s="8">
        <v>0</v>
      </c>
      <c r="K108" s="8" t="s">
        <v>100</v>
      </c>
      <c r="L108" s="5" t="s">
        <v>763</v>
      </c>
      <c r="M108" s="5" t="s">
        <v>767</v>
      </c>
      <c r="N108" s="10"/>
      <c r="O108" s="8" t="str">
        <f>G108</f>
        <v>KESİN</v>
      </c>
      <c r="P108" s="8" t="str">
        <f>IF(OR(G108="NULL",G108="KOŞULLU"),G108,IF(OR(I108=1,J108=1),"KOŞULLU",G108))</f>
        <v>KESİN</v>
      </c>
      <c r="Q108" s="8" t="str">
        <f>IF(OR(G108="NULL",G108="KOŞULLU"),G108,IF(J108=1,"KOŞULLU",G108))</f>
        <v>KESİN</v>
      </c>
      <c r="R108" s="8" t="str">
        <f>IF(OR($G108="NULL",$G108="KOŞULLU"),"V7 zaten "&amp;$G108,IF($K108="HATA",IF(O108="KOŞULLU","YAKALANDI","SESSİZ HATA"),IF(OR($K108="TEMİZ",$K108="ÖNEMSİZ"),IF(O108="KOŞULLU","YANLIŞ ALARM","DOĞRU SESSİZ"),IF(O108="KOŞULLU","BELİRSİZ — işaretlendi","BELİRSİZ — işaretlenmedi"))))</f>
        <v>DOĞRU SESSİZ</v>
      </c>
      <c r="S108" s="8" t="str">
        <f>IF(OR($G108="NULL",$G108="KOŞULLU"),"V7 zaten "&amp;$G108,IF($K108="HATA",IF(P108="KOŞULLU","YAKALANDI","SESSİZ HATA"),IF(OR($K108="TEMİZ",$K108="ÖNEMSİZ"),IF(P108="KOŞULLU","YANLIŞ ALARM","DOĞRU SESSİZ"),IF(P108="KOŞULLU","BELİRSİZ — işaretlendi","BELİRSİZ — işaretlenmedi"))))</f>
        <v>DOĞRU SESSİZ</v>
      </c>
      <c r="T108" s="8" t="str">
        <f>IF(OR($G108="NULL",$G108="KOŞULLU"),"V7 zaten "&amp;$G108,IF($K108="HATA",IF(Q108="KOŞULLU","YAKALANDI","SESSİZ HATA"),IF(OR($K108="TEMİZ",$K108="ÖNEMSİZ"),IF(Q108="KOŞULLU","YANLIŞ ALARM","DOĞRU SESSİZ"),IF(Q108="KOŞULLU","BELİRSİZ — işaretlendi","BELİRSİZ — işaretlenmedi"))))</f>
        <v>DOĞRU SESSİZ</v>
      </c>
    </row>
    <row r="109" spans="1:20" x14ac:dyDescent="0.2">
      <c r="A109" s="8" t="s">
        <v>762</v>
      </c>
      <c r="B109" s="8" t="s">
        <v>787</v>
      </c>
      <c r="C109" s="8" t="s">
        <v>83</v>
      </c>
      <c r="D109" s="8" t="s">
        <v>210</v>
      </c>
      <c r="E109" s="10">
        <v>250.21199999999999</v>
      </c>
      <c r="F109" s="10"/>
      <c r="G109" s="8" t="s">
        <v>207</v>
      </c>
      <c r="H109" s="8">
        <v>0</v>
      </c>
      <c r="I109" s="8">
        <v>0</v>
      </c>
      <c r="J109" s="8">
        <v>0</v>
      </c>
      <c r="K109" s="8" t="s">
        <v>100</v>
      </c>
      <c r="L109" s="5" t="s">
        <v>763</v>
      </c>
      <c r="M109" s="5" t="s">
        <v>767</v>
      </c>
      <c r="N109" s="10"/>
      <c r="O109" s="8" t="str">
        <f>G109</f>
        <v>NULL</v>
      </c>
      <c r="P109" s="8" t="str">
        <f>IF(OR(G109="NULL",G109="KOŞULLU"),G109,IF(OR(I109=1,J109=1),"KOŞULLU",G109))</f>
        <v>NULL</v>
      </c>
      <c r="Q109" s="8" t="str">
        <f>IF(OR(G109="NULL",G109="KOŞULLU"),G109,IF(J109=1,"KOŞULLU",G109))</f>
        <v>NULL</v>
      </c>
      <c r="R109" s="8" t="str">
        <f>IF(OR($G109="NULL",$G109="KOŞULLU"),"V7 zaten "&amp;$G109,IF($K109="HATA",IF(O109="KOŞULLU","YAKALANDI","SESSİZ HATA"),IF(OR($K109="TEMİZ",$K109="ÖNEMSİZ"),IF(O109="KOŞULLU","YANLIŞ ALARM","DOĞRU SESSİZ"),IF(O109="KOŞULLU","BELİRSİZ — işaretlendi","BELİRSİZ — işaretlenmedi"))))</f>
        <v>V7 zaten NULL</v>
      </c>
      <c r="S109" s="8" t="str">
        <f>IF(OR($G109="NULL",$G109="KOŞULLU"),"V7 zaten "&amp;$G109,IF($K109="HATA",IF(P109="KOŞULLU","YAKALANDI","SESSİZ HATA"),IF(OR($K109="TEMİZ",$K109="ÖNEMSİZ"),IF(P109="KOŞULLU","YANLIŞ ALARM","DOĞRU SESSİZ"),IF(P109="KOŞULLU","BELİRSİZ — işaretlendi","BELİRSİZ — işaretlenmedi"))))</f>
        <v>V7 zaten NULL</v>
      </c>
      <c r="T109" s="8" t="str">
        <f>IF(OR($G109="NULL",$G109="KOŞULLU"),"V7 zaten "&amp;$G109,IF($K109="HATA",IF(Q109="KOŞULLU","YAKALANDI","SESSİZ HATA"),IF(OR($K109="TEMİZ",$K109="ÖNEMSİZ"),IF(Q109="KOŞULLU","YANLIŞ ALARM","DOĞRU SESSİZ"),IF(Q109="KOŞULLU","BELİRSİZ — işaretlendi","BELİRSİZ — işaretlenmedi"))))</f>
        <v>V7 zaten NULL</v>
      </c>
    </row>
    <row r="110" spans="1:20" ht="36" x14ac:dyDescent="0.2">
      <c r="A110" s="8" t="s">
        <v>97</v>
      </c>
      <c r="B110" s="8" t="s">
        <v>223</v>
      </c>
      <c r="C110" s="8" t="s">
        <v>83</v>
      </c>
      <c r="D110" s="8" t="s">
        <v>205</v>
      </c>
      <c r="E110" s="10">
        <v>0</v>
      </c>
      <c r="F110" s="10">
        <v>347.97699999999998</v>
      </c>
      <c r="G110" s="8" t="s">
        <v>212</v>
      </c>
      <c r="H110" s="8">
        <v>1</v>
      </c>
      <c r="I110" s="8">
        <v>1</v>
      </c>
      <c r="J110" s="8">
        <v>0</v>
      </c>
      <c r="K110" s="8" t="s">
        <v>98</v>
      </c>
      <c r="L110" s="5" t="s">
        <v>790</v>
      </c>
      <c r="M110" s="5" t="s">
        <v>791</v>
      </c>
      <c r="N110" s="8" t="s">
        <v>792</v>
      </c>
      <c r="O110" s="8" t="str">
        <f>G110</f>
        <v>KOŞULLU</v>
      </c>
      <c r="P110" s="8" t="str">
        <f>IF(OR(G110="NULL",G110="KOŞULLU"),G110,IF(OR(I110=1,J110=1),"KOŞULLU",G110))</f>
        <v>KOŞULLU</v>
      </c>
      <c r="Q110" s="8" t="str">
        <f>IF(OR(G110="NULL",G110="KOŞULLU"),G110,IF(J110=1,"KOŞULLU",G110))</f>
        <v>KOŞULLU</v>
      </c>
      <c r="R110" s="8" t="str">
        <f>IF(OR($G110="NULL",$G110="KOŞULLU"),"V7 zaten "&amp;$G110,IF($K110="HATA",IF(O110="KOŞULLU","YAKALANDI","SESSİZ HATA"),IF(OR($K110="TEMİZ",$K110="ÖNEMSİZ"),IF(O110="KOŞULLU","YANLIŞ ALARM","DOĞRU SESSİZ"),IF(O110="KOŞULLU","BELİRSİZ — işaretlendi","BELİRSİZ — işaretlenmedi"))))</f>
        <v>V7 zaten KOŞULLU</v>
      </c>
      <c r="S110" s="8" t="str">
        <f>IF(OR($G110="NULL",$G110="KOŞULLU"),"V7 zaten "&amp;$G110,IF($K110="HATA",IF(P110="KOŞULLU","YAKALANDI","SESSİZ HATA"),IF(OR($K110="TEMİZ",$K110="ÖNEMSİZ"),IF(P110="KOŞULLU","YANLIŞ ALARM","DOĞRU SESSİZ"),IF(P110="KOŞULLU","BELİRSİZ — işaretlendi","BELİRSİZ — işaretlenmedi"))))</f>
        <v>V7 zaten KOŞULLU</v>
      </c>
      <c r="T110" s="8" t="str">
        <f>IF(OR($G110="NULL",$G110="KOŞULLU"),"V7 zaten "&amp;$G110,IF($K110="HATA",IF(Q110="KOŞULLU","YAKALANDI","SESSİZ HATA"),IF(OR($K110="TEMİZ",$K110="ÖNEMSİZ"),IF(Q110="KOŞULLU","YANLIŞ ALARM","DOĞRU SESSİZ"),IF(Q110="KOŞULLU","BELİRSİZ — işaretlendi","BELİRSİZ — işaretlenmedi"))))</f>
        <v>V7 zaten KOŞULLU</v>
      </c>
    </row>
    <row r="111" spans="1:20" ht="36" x14ac:dyDescent="0.2">
      <c r="A111" s="8" t="s">
        <v>97</v>
      </c>
      <c r="B111" s="8" t="s">
        <v>223</v>
      </c>
      <c r="C111" s="8" t="s">
        <v>83</v>
      </c>
      <c r="D111" s="8" t="s">
        <v>210</v>
      </c>
      <c r="E111" s="10">
        <v>1439.0419999999999</v>
      </c>
      <c r="F111" s="10">
        <v>-683.01199999999994</v>
      </c>
      <c r="G111" s="8" t="s">
        <v>204</v>
      </c>
      <c r="H111" s="8">
        <v>0</v>
      </c>
      <c r="I111" s="8">
        <v>1</v>
      </c>
      <c r="J111" s="8">
        <v>0</v>
      </c>
      <c r="K111" s="8" t="s">
        <v>98</v>
      </c>
      <c r="L111" s="5" t="s">
        <v>793</v>
      </c>
      <c r="M111" s="5" t="s">
        <v>794</v>
      </c>
      <c r="N111" s="8" t="s">
        <v>795</v>
      </c>
      <c r="O111" s="8" t="str">
        <f>G111</f>
        <v>KESİN</v>
      </c>
      <c r="P111" s="8" t="str">
        <f>IF(OR(G111="NULL",G111="KOŞULLU"),G111,IF(OR(I111=1,J111=1),"KOŞULLU",G111))</f>
        <v>KOŞULLU</v>
      </c>
      <c r="Q111" s="8" t="str">
        <f>IF(OR(G111="NULL",G111="KOŞULLU"),G111,IF(J111=1,"KOŞULLU",G111))</f>
        <v>KESİN</v>
      </c>
      <c r="R111" s="8" t="str">
        <f>IF(OR($G111="NULL",$G111="KOŞULLU"),"V7 zaten "&amp;$G111,IF($K111="HATA",IF(O111="KOŞULLU","YAKALANDI","SESSİZ HATA"),IF(OR($K111="TEMİZ",$K111="ÖNEMSİZ"),IF(O111="KOŞULLU","YANLIŞ ALARM","DOĞRU SESSİZ"),IF(O111="KOŞULLU","BELİRSİZ — işaretlendi","BELİRSİZ — işaretlenmedi"))))</f>
        <v>SESSİZ HATA</v>
      </c>
      <c r="S111" s="8" t="str">
        <f>IF(OR($G111="NULL",$G111="KOŞULLU"),"V7 zaten "&amp;$G111,IF($K111="HATA",IF(P111="KOŞULLU","YAKALANDI","SESSİZ HATA"),IF(OR($K111="TEMİZ",$K111="ÖNEMSİZ"),IF(P111="KOŞULLU","YANLIŞ ALARM","DOĞRU SESSİZ"),IF(P111="KOŞULLU","BELİRSİZ — işaretlendi","BELİRSİZ — işaretlenmedi"))))</f>
        <v>YAKALANDI</v>
      </c>
      <c r="T111" s="8" t="str">
        <f>IF(OR($G111="NULL",$G111="KOŞULLU"),"V7 zaten "&amp;$G111,IF($K111="HATA",IF(Q111="KOŞULLU","YAKALANDI","SESSİZ HATA"),IF(OR($K111="TEMİZ",$K111="ÖNEMSİZ"),IF(Q111="KOŞULLU","YANLIŞ ALARM","DOĞRU SESSİZ"),IF(Q111="KOŞULLU","BELİRSİZ — işaretlendi","BELİRSİZ — işaretlenmedi"))))</f>
        <v>SESSİZ HATA</v>
      </c>
    </row>
    <row r="112" spans="1:20" ht="36" x14ac:dyDescent="0.2">
      <c r="A112" s="8" t="s">
        <v>97</v>
      </c>
      <c r="B112" s="8" t="s">
        <v>438</v>
      </c>
      <c r="C112" s="8" t="s">
        <v>83</v>
      </c>
      <c r="D112" s="8" t="s">
        <v>290</v>
      </c>
      <c r="E112" s="10">
        <v>1162.277</v>
      </c>
      <c r="F112" s="10">
        <v>985.83100000000002</v>
      </c>
      <c r="G112" s="8" t="s">
        <v>204</v>
      </c>
      <c r="H112" s="8">
        <v>0</v>
      </c>
      <c r="I112" s="8">
        <v>0</v>
      </c>
      <c r="J112" s="8">
        <v>0</v>
      </c>
      <c r="K112" s="8" t="s">
        <v>98</v>
      </c>
      <c r="L112" s="5" t="s">
        <v>796</v>
      </c>
      <c r="M112" s="5" t="s">
        <v>797</v>
      </c>
      <c r="N112" s="10"/>
      <c r="O112" s="8" t="str">
        <f>G112</f>
        <v>KESİN</v>
      </c>
      <c r="P112" s="8" t="str">
        <f>IF(OR(G112="NULL",G112="KOŞULLU"),G112,IF(OR(I112=1,J112=1),"KOŞULLU",G112))</f>
        <v>KESİN</v>
      </c>
      <c r="Q112" s="8" t="str">
        <f>IF(OR(G112="NULL",G112="KOŞULLU"),G112,IF(J112=1,"KOŞULLU",G112))</f>
        <v>KESİN</v>
      </c>
      <c r="R112" s="8" t="str">
        <f>IF(OR($G112="NULL",$G112="KOŞULLU"),"V7 zaten "&amp;$G112,IF($K112="HATA",IF(O112="KOŞULLU","YAKALANDI","SESSİZ HATA"),IF(OR($K112="TEMİZ",$K112="ÖNEMSİZ"),IF(O112="KOŞULLU","YANLIŞ ALARM","DOĞRU SESSİZ"),IF(O112="KOŞULLU","BELİRSİZ — işaretlendi","BELİRSİZ — işaretlenmedi"))))</f>
        <v>SESSİZ HATA</v>
      </c>
      <c r="S112" s="8" t="str">
        <f>IF(OR($G112="NULL",$G112="KOŞULLU"),"V7 zaten "&amp;$G112,IF($K112="HATA",IF(P112="KOŞULLU","YAKALANDI","SESSİZ HATA"),IF(OR($K112="TEMİZ",$K112="ÖNEMSİZ"),IF(P112="KOŞULLU","YANLIŞ ALARM","DOĞRU SESSİZ"),IF(P112="KOŞULLU","BELİRSİZ — işaretlendi","BELİRSİZ — işaretlenmedi"))))</f>
        <v>SESSİZ HATA</v>
      </c>
      <c r="T112" s="8" t="str">
        <f>IF(OR($G112="NULL",$G112="KOŞULLU"),"V7 zaten "&amp;$G112,IF($K112="HATA",IF(Q112="KOŞULLU","YAKALANDI","SESSİZ HATA"),IF(OR($K112="TEMİZ",$K112="ÖNEMSİZ"),IF(Q112="KOŞULLU","YANLIŞ ALARM","DOĞRU SESSİZ"),IF(Q112="KOŞULLU","BELİRSİZ — işaretlendi","BELİRSİZ — işaretlenmedi"))))</f>
        <v>SESSİZ HATA</v>
      </c>
    </row>
    <row r="113" spans="1:20" ht="24.75" x14ac:dyDescent="0.2">
      <c r="A113" s="8" t="s">
        <v>97</v>
      </c>
      <c r="B113" s="8" t="s">
        <v>438</v>
      </c>
      <c r="C113" s="8" t="s">
        <v>83</v>
      </c>
      <c r="D113" s="8" t="s">
        <v>208</v>
      </c>
      <c r="E113" s="10">
        <v>593.24199999999996</v>
      </c>
      <c r="F113" s="10">
        <v>1143.3679999999999</v>
      </c>
      <c r="G113" s="8" t="s">
        <v>204</v>
      </c>
      <c r="H113" s="8">
        <v>0</v>
      </c>
      <c r="I113" s="8">
        <v>0</v>
      </c>
      <c r="J113" s="8">
        <v>1</v>
      </c>
      <c r="K113" s="8" t="s">
        <v>98</v>
      </c>
      <c r="L113" s="5" t="s">
        <v>798</v>
      </c>
      <c r="M113" s="5" t="s">
        <v>799</v>
      </c>
      <c r="N113" s="10"/>
      <c r="O113" s="8" t="str">
        <f>G113</f>
        <v>KESİN</v>
      </c>
      <c r="P113" s="8" t="str">
        <f>IF(OR(G113="NULL",G113="KOŞULLU"),G113,IF(OR(I113=1,J113=1),"KOŞULLU",G113))</f>
        <v>KOŞULLU</v>
      </c>
      <c r="Q113" s="8" t="str">
        <f>IF(OR(G113="NULL",G113="KOŞULLU"),G113,IF(J113=1,"KOŞULLU",G113))</f>
        <v>KOŞULLU</v>
      </c>
      <c r="R113" s="8" t="str">
        <f>IF(OR($G113="NULL",$G113="KOŞULLU"),"V7 zaten "&amp;$G113,IF($K113="HATA",IF(O113="KOŞULLU","YAKALANDI","SESSİZ HATA"),IF(OR($K113="TEMİZ",$K113="ÖNEMSİZ"),IF(O113="KOŞULLU","YANLIŞ ALARM","DOĞRU SESSİZ"),IF(O113="KOŞULLU","BELİRSİZ — işaretlendi","BELİRSİZ — işaretlenmedi"))))</f>
        <v>SESSİZ HATA</v>
      </c>
      <c r="S113" s="8" t="str">
        <f>IF(OR($G113="NULL",$G113="KOŞULLU"),"V7 zaten "&amp;$G113,IF($K113="HATA",IF(P113="KOŞULLU","YAKALANDI","SESSİZ HATA"),IF(OR($K113="TEMİZ",$K113="ÖNEMSİZ"),IF(P113="KOŞULLU","YANLIŞ ALARM","DOĞRU SESSİZ"),IF(P113="KOŞULLU","BELİRSİZ — işaretlendi","BELİRSİZ — işaretlenmedi"))))</f>
        <v>YAKALANDI</v>
      </c>
      <c r="T113" s="8" t="str">
        <f>IF(OR($G113="NULL",$G113="KOŞULLU"),"V7 zaten "&amp;$G113,IF($K113="HATA",IF(Q113="KOŞULLU","YAKALANDI","SESSİZ HATA"),IF(OR($K113="TEMİZ",$K113="ÖNEMSİZ"),IF(Q113="KOŞULLU","YANLIŞ ALARM","DOĞRU SESSİZ"),IF(Q113="KOŞULLU","BELİRSİZ — işaretlendi","BELİRSİZ — işaretlenmedi"))))</f>
        <v>YAKALANDI</v>
      </c>
    </row>
    <row r="114" spans="1:20" x14ac:dyDescent="0.2">
      <c r="A114" s="8" t="s">
        <v>97</v>
      </c>
      <c r="B114" s="8" t="s">
        <v>438</v>
      </c>
      <c r="C114" s="8" t="s">
        <v>83</v>
      </c>
      <c r="D114" s="8" t="s">
        <v>210</v>
      </c>
      <c r="E114" s="10">
        <v>578.86599999999999</v>
      </c>
      <c r="F114" s="10">
        <v>-1391.809</v>
      </c>
      <c r="G114" s="8" t="s">
        <v>204</v>
      </c>
      <c r="H114" s="8">
        <v>0</v>
      </c>
      <c r="I114" s="8">
        <v>0</v>
      </c>
      <c r="J114" s="8">
        <v>1</v>
      </c>
      <c r="K114" s="8" t="s">
        <v>98</v>
      </c>
      <c r="L114" s="5" t="s">
        <v>796</v>
      </c>
      <c r="M114" s="5" t="s">
        <v>800</v>
      </c>
      <c r="N114" s="10"/>
      <c r="O114" s="8" t="str">
        <f>G114</f>
        <v>KESİN</v>
      </c>
      <c r="P114" s="8" t="str">
        <f>IF(OR(G114="NULL",G114="KOŞULLU"),G114,IF(OR(I114=1,J114=1),"KOŞULLU",G114))</f>
        <v>KOŞULLU</v>
      </c>
      <c r="Q114" s="8" t="str">
        <f>IF(OR(G114="NULL",G114="KOŞULLU"),G114,IF(J114=1,"KOŞULLU",G114))</f>
        <v>KOŞULLU</v>
      </c>
      <c r="R114" s="8" t="str">
        <f>IF(OR($G114="NULL",$G114="KOŞULLU"),"V7 zaten "&amp;$G114,IF($K114="HATA",IF(O114="KOŞULLU","YAKALANDI","SESSİZ HATA"),IF(OR($K114="TEMİZ",$K114="ÖNEMSİZ"),IF(O114="KOŞULLU","YANLIŞ ALARM","DOĞRU SESSİZ"),IF(O114="KOŞULLU","BELİRSİZ — işaretlendi","BELİRSİZ — işaretlenmedi"))))</f>
        <v>SESSİZ HATA</v>
      </c>
      <c r="S114" s="8" t="str">
        <f>IF(OR($G114="NULL",$G114="KOŞULLU"),"V7 zaten "&amp;$G114,IF($K114="HATA",IF(P114="KOŞULLU","YAKALANDI","SESSİZ HATA"),IF(OR($K114="TEMİZ",$K114="ÖNEMSİZ"),IF(P114="KOŞULLU","YANLIŞ ALARM","DOĞRU SESSİZ"),IF(P114="KOŞULLU","BELİRSİZ — işaretlendi","BELİRSİZ — işaretlenmedi"))))</f>
        <v>YAKALANDI</v>
      </c>
      <c r="T114" s="8" t="str">
        <f>IF(OR($G114="NULL",$G114="KOŞULLU"),"V7 zaten "&amp;$G114,IF($K114="HATA",IF(Q114="KOŞULLU","YAKALANDI","SESSİZ HATA"),IF(OR($K114="TEMİZ",$K114="ÖNEMSİZ"),IF(Q114="KOŞULLU","YANLIŞ ALARM","DOĞRU SESSİZ"),IF(Q114="KOŞULLU","BELİRSİZ — işaretlendi","BELİRSİZ — işaretlenmedi"))))</f>
        <v>YAKALANDI</v>
      </c>
    </row>
    <row r="115" spans="1:20" ht="24.75" x14ac:dyDescent="0.2">
      <c r="A115" s="8" t="s">
        <v>97</v>
      </c>
      <c r="B115" s="8" t="s">
        <v>374</v>
      </c>
      <c r="C115" s="8" t="s">
        <v>83</v>
      </c>
      <c r="D115" s="8" t="s">
        <v>215</v>
      </c>
      <c r="E115" s="10">
        <v>282.798</v>
      </c>
      <c r="F115" s="10">
        <v>-15.9109999999999</v>
      </c>
      <c r="G115" s="8" t="s">
        <v>204</v>
      </c>
      <c r="H115" s="8">
        <v>0</v>
      </c>
      <c r="I115" s="8">
        <v>0</v>
      </c>
      <c r="J115" s="8">
        <v>1</v>
      </c>
      <c r="K115" s="8" t="s">
        <v>98</v>
      </c>
      <c r="L115" s="5" t="s">
        <v>801</v>
      </c>
      <c r="M115" s="5" t="s">
        <v>802</v>
      </c>
      <c r="N115" s="10"/>
      <c r="O115" s="8" t="str">
        <f>G115</f>
        <v>KESİN</v>
      </c>
      <c r="P115" s="8" t="str">
        <f>IF(OR(G115="NULL",G115="KOŞULLU"),G115,IF(OR(I115=1,J115=1),"KOŞULLU",G115))</f>
        <v>KOŞULLU</v>
      </c>
      <c r="Q115" s="8" t="str">
        <f>IF(OR(G115="NULL",G115="KOŞULLU"),G115,IF(J115=1,"KOŞULLU",G115))</f>
        <v>KOŞULLU</v>
      </c>
      <c r="R115" s="8" t="str">
        <f>IF(OR($G115="NULL",$G115="KOŞULLU"),"V7 zaten "&amp;$G115,IF($K115="HATA",IF(O115="KOŞULLU","YAKALANDI","SESSİZ HATA"),IF(OR($K115="TEMİZ",$K115="ÖNEMSİZ"),IF(O115="KOŞULLU","YANLIŞ ALARM","DOĞRU SESSİZ"),IF(O115="KOŞULLU","BELİRSİZ — işaretlendi","BELİRSİZ — işaretlenmedi"))))</f>
        <v>SESSİZ HATA</v>
      </c>
      <c r="S115" s="8" t="str">
        <f>IF(OR($G115="NULL",$G115="KOŞULLU"),"V7 zaten "&amp;$G115,IF($K115="HATA",IF(P115="KOŞULLU","YAKALANDI","SESSİZ HATA"),IF(OR($K115="TEMİZ",$K115="ÖNEMSİZ"),IF(P115="KOŞULLU","YANLIŞ ALARM","DOĞRU SESSİZ"),IF(P115="KOŞULLU","BELİRSİZ — işaretlendi","BELİRSİZ — işaretlenmedi"))))</f>
        <v>YAKALANDI</v>
      </c>
      <c r="T115" s="8" t="str">
        <f>IF(OR($G115="NULL",$G115="KOŞULLU"),"V7 zaten "&amp;$G115,IF($K115="HATA",IF(Q115="KOŞULLU","YAKALANDI","SESSİZ HATA"),IF(OR($K115="TEMİZ",$K115="ÖNEMSİZ"),IF(Q115="KOŞULLU","YANLIŞ ALARM","DOĞRU SESSİZ"),IF(Q115="KOŞULLU","BELİRSİZ — işaretlendi","BELİRSİZ — işaretlenmedi"))))</f>
        <v>YAKALANDI</v>
      </c>
    </row>
    <row r="116" spans="1:20" x14ac:dyDescent="0.2">
      <c r="A116" s="8" t="s">
        <v>97</v>
      </c>
      <c r="B116" s="8" t="s">
        <v>520</v>
      </c>
      <c r="C116" s="8" t="s">
        <v>83</v>
      </c>
      <c r="D116" s="8" t="s">
        <v>205</v>
      </c>
      <c r="E116" s="10">
        <v>17.134</v>
      </c>
      <c r="F116" s="10">
        <v>-21.954000000000001</v>
      </c>
      <c r="G116" s="8" t="s">
        <v>204</v>
      </c>
      <c r="H116" s="8">
        <v>0</v>
      </c>
      <c r="I116" s="8">
        <v>0</v>
      </c>
      <c r="J116" s="8">
        <v>1</v>
      </c>
      <c r="K116" s="8" t="s">
        <v>98</v>
      </c>
      <c r="L116" s="5" t="s">
        <v>803</v>
      </c>
      <c r="M116" s="5" t="s">
        <v>804</v>
      </c>
      <c r="N116" s="10"/>
      <c r="O116" s="8" t="str">
        <f>G116</f>
        <v>KESİN</v>
      </c>
      <c r="P116" s="8" t="str">
        <f>IF(OR(G116="NULL",G116="KOŞULLU"),G116,IF(OR(I116=1,J116=1),"KOŞULLU",G116))</f>
        <v>KOŞULLU</v>
      </c>
      <c r="Q116" s="8" t="str">
        <f>IF(OR(G116="NULL",G116="KOŞULLU"),G116,IF(J116=1,"KOŞULLU",G116))</f>
        <v>KOŞULLU</v>
      </c>
      <c r="R116" s="8" t="str">
        <f>IF(OR($G116="NULL",$G116="KOŞULLU"),"V7 zaten "&amp;$G116,IF($K116="HATA",IF(O116="KOŞULLU","YAKALANDI","SESSİZ HATA"),IF(OR($K116="TEMİZ",$K116="ÖNEMSİZ"),IF(O116="KOŞULLU","YANLIŞ ALARM","DOĞRU SESSİZ"),IF(O116="KOŞULLU","BELİRSİZ — işaretlendi","BELİRSİZ — işaretlenmedi"))))</f>
        <v>SESSİZ HATA</v>
      </c>
      <c r="S116" s="8" t="str">
        <f>IF(OR($G116="NULL",$G116="KOŞULLU"),"V7 zaten "&amp;$G116,IF($K116="HATA",IF(P116="KOŞULLU","YAKALANDI","SESSİZ HATA"),IF(OR($K116="TEMİZ",$K116="ÖNEMSİZ"),IF(P116="KOŞULLU","YANLIŞ ALARM","DOĞRU SESSİZ"),IF(P116="KOŞULLU","BELİRSİZ — işaretlendi","BELİRSİZ — işaretlenmedi"))))</f>
        <v>YAKALANDI</v>
      </c>
      <c r="T116" s="8" t="str">
        <f>IF(OR($G116="NULL",$G116="KOŞULLU"),"V7 zaten "&amp;$G116,IF($K116="HATA",IF(Q116="KOŞULLU","YAKALANDI","SESSİZ HATA"),IF(OR($K116="TEMİZ",$K116="ÖNEMSİZ"),IF(Q116="KOŞULLU","YANLIŞ ALARM","DOĞRU SESSİZ"),IF(Q116="KOŞULLU","BELİRSİZ — işaretlendi","BELİRSİZ — işaretlenmedi"))))</f>
        <v>YAKALANDI</v>
      </c>
    </row>
    <row r="117" spans="1:20" ht="24.75" x14ac:dyDescent="0.2">
      <c r="A117" s="8" t="s">
        <v>97</v>
      </c>
      <c r="B117" s="8" t="s">
        <v>634</v>
      </c>
      <c r="C117" s="8" t="s">
        <v>83</v>
      </c>
      <c r="D117" s="8" t="s">
        <v>210</v>
      </c>
      <c r="E117" s="10">
        <v>1322.0830000000001</v>
      </c>
      <c r="F117" s="10">
        <v>-10641.433000000001</v>
      </c>
      <c r="G117" s="8" t="s">
        <v>212</v>
      </c>
      <c r="H117" s="8">
        <v>0</v>
      </c>
      <c r="I117" s="8">
        <v>0</v>
      </c>
      <c r="J117" s="8">
        <v>0</v>
      </c>
      <c r="K117" s="8" t="s">
        <v>98</v>
      </c>
      <c r="L117" s="5" t="s">
        <v>805</v>
      </c>
      <c r="M117" s="5" t="s">
        <v>806</v>
      </c>
      <c r="N117" s="10"/>
      <c r="O117" s="8" t="str">
        <f>G117</f>
        <v>KOŞULLU</v>
      </c>
      <c r="P117" s="8" t="str">
        <f>IF(OR(G117="NULL",G117="KOŞULLU"),G117,IF(OR(I117=1,J117=1),"KOŞULLU",G117))</f>
        <v>KOŞULLU</v>
      </c>
      <c r="Q117" s="8" t="str">
        <f>IF(OR(G117="NULL",G117="KOŞULLU"),G117,IF(J117=1,"KOŞULLU",G117))</f>
        <v>KOŞULLU</v>
      </c>
      <c r="R117" s="8" t="str">
        <f>IF(OR($G117="NULL",$G117="KOŞULLU"),"V7 zaten "&amp;$G117,IF($K117="HATA",IF(O117="KOŞULLU","YAKALANDI","SESSİZ HATA"),IF(OR($K117="TEMİZ",$K117="ÖNEMSİZ"),IF(O117="KOŞULLU","YANLIŞ ALARM","DOĞRU SESSİZ"),IF(O117="KOŞULLU","BELİRSİZ — işaretlendi","BELİRSİZ — işaretlenmedi"))))</f>
        <v>V7 zaten KOŞULLU</v>
      </c>
      <c r="S117" s="8" t="str">
        <f>IF(OR($G117="NULL",$G117="KOŞULLU"),"V7 zaten "&amp;$G117,IF($K117="HATA",IF(P117="KOŞULLU","YAKALANDI","SESSİZ HATA"),IF(OR($K117="TEMİZ",$K117="ÖNEMSİZ"),IF(P117="KOŞULLU","YANLIŞ ALARM","DOĞRU SESSİZ"),IF(P117="KOŞULLU","BELİRSİZ — işaretlendi","BELİRSİZ — işaretlenmedi"))))</f>
        <v>V7 zaten KOŞULLU</v>
      </c>
      <c r="T117" s="8" t="str">
        <f>IF(OR($G117="NULL",$G117="KOŞULLU"),"V7 zaten "&amp;$G117,IF($K117="HATA",IF(Q117="KOŞULLU","YAKALANDI","SESSİZ HATA"),IF(OR($K117="TEMİZ",$K117="ÖNEMSİZ"),IF(Q117="KOŞULLU","YANLIŞ ALARM","DOĞRU SESSİZ"),IF(Q117="KOŞULLU","BELİRSİZ — işaretlendi","BELİRSİZ — işaretlenmedi"))))</f>
        <v>V7 zaten KOŞULLU</v>
      </c>
    </row>
    <row r="118" spans="1:20" ht="24.75" x14ac:dyDescent="0.2">
      <c r="A118" s="8" t="s">
        <v>97</v>
      </c>
      <c r="B118" s="8" t="s">
        <v>469</v>
      </c>
      <c r="C118" s="8" t="s">
        <v>83</v>
      </c>
      <c r="D118" s="8" t="s">
        <v>205</v>
      </c>
      <c r="E118" s="10">
        <v>31.966000000000001</v>
      </c>
      <c r="F118" s="10">
        <v>599.78700500000002</v>
      </c>
      <c r="G118" s="8" t="s">
        <v>209</v>
      </c>
      <c r="H118" s="8">
        <v>0</v>
      </c>
      <c r="I118" s="8">
        <v>0</v>
      </c>
      <c r="J118" s="8">
        <v>0</v>
      </c>
      <c r="K118" s="8" t="s">
        <v>99</v>
      </c>
      <c r="L118" s="5" t="s">
        <v>807</v>
      </c>
      <c r="M118" s="5" t="s">
        <v>808</v>
      </c>
      <c r="N118" s="10"/>
      <c r="O118" s="8" t="str">
        <f>G118</f>
        <v>TÜRETİLMİŞ</v>
      </c>
      <c r="P118" s="8" t="str">
        <f>IF(OR(G118="NULL",G118="KOŞULLU"),G118,IF(OR(I118=1,J118=1),"KOŞULLU",G118))</f>
        <v>TÜRETİLMİŞ</v>
      </c>
      <c r="Q118" s="8" t="str">
        <f>IF(OR(G118="NULL",G118="KOŞULLU"),G118,IF(J118=1,"KOŞULLU",G118))</f>
        <v>TÜRETİLMİŞ</v>
      </c>
      <c r="R118" s="8" t="str">
        <f>IF(OR($G118="NULL",$G118="KOŞULLU"),"V7 zaten "&amp;$G118,IF($K118="HATA",IF(O118="KOŞULLU","YAKALANDI","SESSİZ HATA"),IF(OR($K118="TEMİZ",$K118="ÖNEMSİZ"),IF(O118="KOŞULLU","YANLIŞ ALARM","DOĞRU SESSİZ"),IF(O118="KOŞULLU","BELİRSİZ — işaretlendi","BELİRSİZ — işaretlenmedi"))))</f>
        <v>DOĞRU SESSİZ</v>
      </c>
      <c r="S118" s="8" t="str">
        <f>IF(OR($G118="NULL",$G118="KOŞULLU"),"V7 zaten "&amp;$G118,IF($K118="HATA",IF(P118="KOŞULLU","YAKALANDI","SESSİZ HATA"),IF(OR($K118="TEMİZ",$K118="ÖNEMSİZ"),IF(P118="KOŞULLU","YANLIŞ ALARM","DOĞRU SESSİZ"),IF(P118="KOŞULLU","BELİRSİZ — işaretlendi","BELİRSİZ — işaretlenmedi"))))</f>
        <v>DOĞRU SESSİZ</v>
      </c>
      <c r="T118" s="8" t="str">
        <f>IF(OR($G118="NULL",$G118="KOŞULLU"),"V7 zaten "&amp;$G118,IF($K118="HATA",IF(Q118="KOŞULLU","YAKALANDI","SESSİZ HATA"),IF(OR($K118="TEMİZ",$K118="ÖNEMSİZ"),IF(Q118="KOŞULLU","YANLIŞ ALARM","DOĞRU SESSİZ"),IF(Q118="KOŞULLU","BELİRSİZ — işaretlendi","BELİRSİZ — işaretlenmedi"))))</f>
        <v>DOĞRU SESSİZ</v>
      </c>
    </row>
    <row r="119" spans="1:20" ht="24.75" x14ac:dyDescent="0.2">
      <c r="A119" s="8" t="s">
        <v>97</v>
      </c>
      <c r="B119" s="8" t="s">
        <v>469</v>
      </c>
      <c r="C119" s="8" t="s">
        <v>83</v>
      </c>
      <c r="D119" s="8" t="s">
        <v>215</v>
      </c>
      <c r="E119" s="10">
        <v>21.847999999999999</v>
      </c>
      <c r="F119" s="10"/>
      <c r="G119" s="8" t="s">
        <v>207</v>
      </c>
      <c r="H119" s="8">
        <v>0</v>
      </c>
      <c r="I119" s="8">
        <v>0</v>
      </c>
      <c r="J119" s="8">
        <v>0</v>
      </c>
      <c r="K119" s="8" t="s">
        <v>99</v>
      </c>
      <c r="L119" s="5" t="s">
        <v>807</v>
      </c>
      <c r="M119" s="5" t="s">
        <v>809</v>
      </c>
      <c r="N119" s="10"/>
      <c r="O119" s="8" t="str">
        <f>G119</f>
        <v>NULL</v>
      </c>
      <c r="P119" s="8" t="str">
        <f>IF(OR(G119="NULL",G119="KOŞULLU"),G119,IF(OR(I119=1,J119=1),"KOŞULLU",G119))</f>
        <v>NULL</v>
      </c>
      <c r="Q119" s="8" t="str">
        <f>IF(OR(G119="NULL",G119="KOŞULLU"),G119,IF(J119=1,"KOŞULLU",G119))</f>
        <v>NULL</v>
      </c>
      <c r="R119" s="8" t="str">
        <f>IF(OR($G119="NULL",$G119="KOŞULLU"),"V7 zaten "&amp;$G119,IF($K119="HATA",IF(O119="KOŞULLU","YAKALANDI","SESSİZ HATA"),IF(OR($K119="TEMİZ",$K119="ÖNEMSİZ"),IF(O119="KOŞULLU","YANLIŞ ALARM","DOĞRU SESSİZ"),IF(O119="KOŞULLU","BELİRSİZ — işaretlendi","BELİRSİZ — işaretlenmedi"))))</f>
        <v>V7 zaten NULL</v>
      </c>
      <c r="S119" s="8" t="str">
        <f>IF(OR($G119="NULL",$G119="KOŞULLU"),"V7 zaten "&amp;$G119,IF($K119="HATA",IF(P119="KOŞULLU","YAKALANDI","SESSİZ HATA"),IF(OR($K119="TEMİZ",$K119="ÖNEMSİZ"),IF(P119="KOŞULLU","YANLIŞ ALARM","DOĞRU SESSİZ"),IF(P119="KOŞULLU","BELİRSİZ — işaretlendi","BELİRSİZ — işaretlenmedi"))))</f>
        <v>V7 zaten NULL</v>
      </c>
      <c r="T119" s="8" t="str">
        <f>IF(OR($G119="NULL",$G119="KOŞULLU"),"V7 zaten "&amp;$G119,IF($K119="HATA",IF(Q119="KOŞULLU","YAKALANDI","SESSİZ HATA"),IF(OR($K119="TEMİZ",$K119="ÖNEMSİZ"),IF(Q119="KOŞULLU","YANLIŞ ALARM","DOĞRU SESSİZ"),IF(Q119="KOŞULLU","BELİRSİZ — işaretlendi","BELİRSİZ — işaretlenmedi"))))</f>
        <v>V7 zaten NULL</v>
      </c>
    </row>
    <row r="120" spans="1:20" ht="24.75" x14ac:dyDescent="0.2">
      <c r="A120" s="8" t="s">
        <v>97</v>
      </c>
      <c r="B120" s="8" t="s">
        <v>469</v>
      </c>
      <c r="C120" s="8" t="s">
        <v>83</v>
      </c>
      <c r="D120" s="8" t="s">
        <v>290</v>
      </c>
      <c r="E120" s="10">
        <v>14.972</v>
      </c>
      <c r="F120" s="10">
        <v>614.12900000000002</v>
      </c>
      <c r="G120" s="8" t="s">
        <v>209</v>
      </c>
      <c r="H120" s="8">
        <v>0</v>
      </c>
      <c r="I120" s="8">
        <v>0</v>
      </c>
      <c r="J120" s="8">
        <v>0</v>
      </c>
      <c r="K120" s="8" t="s">
        <v>99</v>
      </c>
      <c r="L120" s="5" t="s">
        <v>807</v>
      </c>
      <c r="M120" s="5" t="s">
        <v>810</v>
      </c>
      <c r="N120" s="10"/>
      <c r="O120" s="8" t="str">
        <f>G120</f>
        <v>TÜRETİLMİŞ</v>
      </c>
      <c r="P120" s="8" t="str">
        <f>IF(OR(G120="NULL",G120="KOŞULLU"),G120,IF(OR(I120=1,J120=1),"KOŞULLU",G120))</f>
        <v>TÜRETİLMİŞ</v>
      </c>
      <c r="Q120" s="8" t="str">
        <f>IF(OR(G120="NULL",G120="KOŞULLU"),G120,IF(J120=1,"KOŞULLU",G120))</f>
        <v>TÜRETİLMİŞ</v>
      </c>
      <c r="R120" s="8" t="str">
        <f>IF(OR($G120="NULL",$G120="KOŞULLU"),"V7 zaten "&amp;$G120,IF($K120="HATA",IF(O120="KOŞULLU","YAKALANDI","SESSİZ HATA"),IF(OR($K120="TEMİZ",$K120="ÖNEMSİZ"),IF(O120="KOŞULLU","YANLIŞ ALARM","DOĞRU SESSİZ"),IF(O120="KOŞULLU","BELİRSİZ — işaretlendi","BELİRSİZ — işaretlenmedi"))))</f>
        <v>DOĞRU SESSİZ</v>
      </c>
      <c r="S120" s="8" t="str">
        <f>IF(OR($G120="NULL",$G120="KOŞULLU"),"V7 zaten "&amp;$G120,IF($K120="HATA",IF(P120="KOŞULLU","YAKALANDI","SESSİZ HATA"),IF(OR($K120="TEMİZ",$K120="ÖNEMSİZ"),IF(P120="KOŞULLU","YANLIŞ ALARM","DOĞRU SESSİZ"),IF(P120="KOŞULLU","BELİRSİZ — işaretlendi","BELİRSİZ — işaretlenmedi"))))</f>
        <v>DOĞRU SESSİZ</v>
      </c>
      <c r="T120" s="8" t="str">
        <f>IF(OR($G120="NULL",$G120="KOŞULLU"),"V7 zaten "&amp;$G120,IF($K120="HATA",IF(Q120="KOŞULLU","YAKALANDI","SESSİZ HATA"),IF(OR($K120="TEMİZ",$K120="ÖNEMSİZ"),IF(Q120="KOŞULLU","YANLIŞ ALARM","DOĞRU SESSİZ"),IF(Q120="KOŞULLU","BELİRSİZ — işaretlendi","BELİRSİZ — işaretlenmedi"))))</f>
        <v>DOĞRU SESSİZ</v>
      </c>
    </row>
    <row r="121" spans="1:20" ht="24.75" x14ac:dyDescent="0.2">
      <c r="A121" s="8" t="s">
        <v>97</v>
      </c>
      <c r="B121" s="8" t="s">
        <v>469</v>
      </c>
      <c r="C121" s="8" t="s">
        <v>83</v>
      </c>
      <c r="D121" s="8" t="s">
        <v>208</v>
      </c>
      <c r="E121" s="10">
        <v>1.877</v>
      </c>
      <c r="F121" s="10"/>
      <c r="G121" s="8" t="s">
        <v>207</v>
      </c>
      <c r="H121" s="8">
        <v>0</v>
      </c>
      <c r="I121" s="8">
        <v>0</v>
      </c>
      <c r="J121" s="8">
        <v>1</v>
      </c>
      <c r="K121" s="8" t="s">
        <v>99</v>
      </c>
      <c r="L121" s="5" t="s">
        <v>807</v>
      </c>
      <c r="M121" s="5" t="s">
        <v>811</v>
      </c>
      <c r="N121" s="10"/>
      <c r="O121" s="8" t="str">
        <f>G121</f>
        <v>NULL</v>
      </c>
      <c r="P121" s="8" t="str">
        <f>IF(OR(G121="NULL",G121="KOŞULLU"),G121,IF(OR(I121=1,J121=1),"KOŞULLU",G121))</f>
        <v>NULL</v>
      </c>
      <c r="Q121" s="8" t="str">
        <f>IF(OR(G121="NULL",G121="KOŞULLU"),G121,IF(J121=1,"KOŞULLU",G121))</f>
        <v>NULL</v>
      </c>
      <c r="R121" s="8" t="str">
        <f>IF(OR($G121="NULL",$G121="KOŞULLU"),"V7 zaten "&amp;$G121,IF($K121="HATA",IF(O121="KOŞULLU","YAKALANDI","SESSİZ HATA"),IF(OR($K121="TEMİZ",$K121="ÖNEMSİZ"),IF(O121="KOŞULLU","YANLIŞ ALARM","DOĞRU SESSİZ"),IF(O121="KOŞULLU","BELİRSİZ — işaretlendi","BELİRSİZ — işaretlenmedi"))))</f>
        <v>V7 zaten NULL</v>
      </c>
      <c r="S121" s="8" t="str">
        <f>IF(OR($G121="NULL",$G121="KOŞULLU"),"V7 zaten "&amp;$G121,IF($K121="HATA",IF(P121="KOŞULLU","YAKALANDI","SESSİZ HATA"),IF(OR($K121="TEMİZ",$K121="ÖNEMSİZ"),IF(P121="KOŞULLU","YANLIŞ ALARM","DOĞRU SESSİZ"),IF(P121="KOŞULLU","BELİRSİZ — işaretlendi","BELİRSİZ — işaretlenmedi"))))</f>
        <v>V7 zaten NULL</v>
      </c>
      <c r="T121" s="8" t="str">
        <f>IF(OR($G121="NULL",$G121="KOŞULLU"),"V7 zaten "&amp;$G121,IF($K121="HATA",IF(Q121="KOŞULLU","YAKALANDI","SESSİZ HATA"),IF(OR($K121="TEMİZ",$K121="ÖNEMSİZ"),IF(Q121="KOŞULLU","YANLIŞ ALARM","DOĞRU SESSİZ"),IF(Q121="KOŞULLU","BELİRSİZ — işaretlendi","BELİRSİZ — işaretlenmedi"))))</f>
        <v>V7 zaten NULL</v>
      </c>
    </row>
    <row r="122" spans="1:20" ht="24.75" x14ac:dyDescent="0.2">
      <c r="A122" s="8" t="s">
        <v>97</v>
      </c>
      <c r="B122" s="8" t="s">
        <v>469</v>
      </c>
      <c r="C122" s="8" t="s">
        <v>83</v>
      </c>
      <c r="D122" s="8" t="s">
        <v>210</v>
      </c>
      <c r="E122" s="10">
        <v>7.0110000000000001</v>
      </c>
      <c r="F122" s="10"/>
      <c r="G122" s="8" t="s">
        <v>207</v>
      </c>
      <c r="H122" s="8">
        <v>0</v>
      </c>
      <c r="I122" s="8">
        <v>0</v>
      </c>
      <c r="J122" s="8">
        <v>0</v>
      </c>
      <c r="K122" s="8" t="s">
        <v>99</v>
      </c>
      <c r="L122" s="5" t="s">
        <v>807</v>
      </c>
      <c r="M122" s="5" t="s">
        <v>812</v>
      </c>
      <c r="N122" s="10"/>
      <c r="O122" s="8" t="str">
        <f>G122</f>
        <v>NULL</v>
      </c>
      <c r="P122" s="8" t="str">
        <f>IF(OR(G122="NULL",G122="KOŞULLU"),G122,IF(OR(I122=1,J122=1),"KOŞULLU",G122))</f>
        <v>NULL</v>
      </c>
      <c r="Q122" s="8" t="str">
        <f>IF(OR(G122="NULL",G122="KOŞULLU"),G122,IF(J122=1,"KOŞULLU",G122))</f>
        <v>NULL</v>
      </c>
      <c r="R122" s="8" t="str">
        <f>IF(OR($G122="NULL",$G122="KOŞULLU"),"V7 zaten "&amp;$G122,IF($K122="HATA",IF(O122="KOŞULLU","YAKALANDI","SESSİZ HATA"),IF(OR($K122="TEMİZ",$K122="ÖNEMSİZ"),IF(O122="KOŞULLU","YANLIŞ ALARM","DOĞRU SESSİZ"),IF(O122="KOŞULLU","BELİRSİZ — işaretlendi","BELİRSİZ — işaretlenmedi"))))</f>
        <v>V7 zaten NULL</v>
      </c>
      <c r="S122" s="8" t="str">
        <f>IF(OR($G122="NULL",$G122="KOŞULLU"),"V7 zaten "&amp;$G122,IF($K122="HATA",IF(P122="KOŞULLU","YAKALANDI","SESSİZ HATA"),IF(OR($K122="TEMİZ",$K122="ÖNEMSİZ"),IF(P122="KOŞULLU","YANLIŞ ALARM","DOĞRU SESSİZ"),IF(P122="KOŞULLU","BELİRSİZ — işaretlendi","BELİRSİZ — işaretlenmedi"))))</f>
        <v>V7 zaten NULL</v>
      </c>
      <c r="T122" s="8" t="str">
        <f>IF(OR($G122="NULL",$G122="KOŞULLU"),"V7 zaten "&amp;$G122,IF($K122="HATA",IF(Q122="KOŞULLU","YAKALANDI","SESSİZ HATA"),IF(OR($K122="TEMİZ",$K122="ÖNEMSİZ"),IF(Q122="KOŞULLU","YANLIŞ ALARM","DOĞRU SESSİZ"),IF(Q122="KOŞULLU","BELİRSİZ — işaretlendi","BELİRSİZ — işaretlenmedi"))))</f>
        <v>V7 zaten NULL</v>
      </c>
    </row>
    <row r="123" spans="1:20" ht="24.75" x14ac:dyDescent="0.2">
      <c r="A123" s="8" t="s">
        <v>97</v>
      </c>
      <c r="B123" s="8" t="s">
        <v>523</v>
      </c>
      <c r="C123" s="8" t="s">
        <v>84</v>
      </c>
      <c r="D123" s="8" t="s">
        <v>205</v>
      </c>
      <c r="E123" s="10">
        <v>0</v>
      </c>
      <c r="F123" s="10">
        <v>-1554.865</v>
      </c>
      <c r="G123" s="8" t="s">
        <v>204</v>
      </c>
      <c r="H123" s="8">
        <v>1</v>
      </c>
      <c r="I123" s="8">
        <v>0</v>
      </c>
      <c r="J123" s="8">
        <v>0</v>
      </c>
      <c r="K123" s="8" t="s">
        <v>100</v>
      </c>
      <c r="L123" s="5" t="s">
        <v>813</v>
      </c>
      <c r="M123" s="5" t="s">
        <v>814</v>
      </c>
      <c r="N123" s="8" t="s">
        <v>815</v>
      </c>
      <c r="O123" s="8" t="str">
        <f>G123</f>
        <v>KESİN</v>
      </c>
      <c r="P123" s="8" t="str">
        <f>IF(OR(G123="NULL",G123="KOŞULLU"),G123,IF(OR(I123=1,J123=1),"KOŞULLU",G123))</f>
        <v>KESİN</v>
      </c>
      <c r="Q123" s="8" t="str">
        <f>IF(OR(G123="NULL",G123="KOŞULLU"),G123,IF(J123=1,"KOŞULLU",G123))</f>
        <v>KESİN</v>
      </c>
      <c r="R123" s="8" t="str">
        <f>IF(OR($G123="NULL",$G123="KOŞULLU"),"V7 zaten "&amp;$G123,IF($K123="HATA",IF(O123="KOŞULLU","YAKALANDI","SESSİZ HATA"),IF(OR($K123="TEMİZ",$K123="ÖNEMSİZ"),IF(O123="KOŞULLU","YANLIŞ ALARM","DOĞRU SESSİZ"),IF(O123="KOŞULLU","BELİRSİZ — işaretlendi","BELİRSİZ — işaretlenmedi"))))</f>
        <v>DOĞRU SESSİZ</v>
      </c>
      <c r="S123" s="8" t="str">
        <f>IF(OR($G123="NULL",$G123="KOŞULLU"),"V7 zaten "&amp;$G123,IF($K123="HATA",IF(P123="KOŞULLU","YAKALANDI","SESSİZ HATA"),IF(OR($K123="TEMİZ",$K123="ÖNEMSİZ"),IF(P123="KOŞULLU","YANLIŞ ALARM","DOĞRU SESSİZ"),IF(P123="KOŞULLU","BELİRSİZ — işaretlendi","BELİRSİZ — işaretlenmedi"))))</f>
        <v>DOĞRU SESSİZ</v>
      </c>
      <c r="T123" s="8" t="str">
        <f>IF(OR($G123="NULL",$G123="KOŞULLU"),"V7 zaten "&amp;$G123,IF($K123="HATA",IF(Q123="KOŞULLU","YAKALANDI","SESSİZ HATA"),IF(OR($K123="TEMİZ",$K123="ÖNEMSİZ"),IF(Q123="KOŞULLU","YANLIŞ ALARM","DOĞRU SESSİZ"),IF(Q123="KOŞULLU","BELİRSİZ — işaretlendi","BELİRSİZ — işaretlenmedi"))))</f>
        <v>DOĞRU SESSİZ</v>
      </c>
    </row>
    <row r="124" spans="1:20" ht="36" x14ac:dyDescent="0.2">
      <c r="A124" s="8" t="s">
        <v>97</v>
      </c>
      <c r="B124" s="8" t="s">
        <v>549</v>
      </c>
      <c r="C124" s="8" t="s">
        <v>82</v>
      </c>
      <c r="D124" s="8" t="s">
        <v>203</v>
      </c>
      <c r="E124" s="10">
        <v>286.17700000000002</v>
      </c>
      <c r="F124" s="10">
        <v>4165.6279999999997</v>
      </c>
      <c r="G124" s="8" t="s">
        <v>204</v>
      </c>
      <c r="H124" s="8">
        <v>0</v>
      </c>
      <c r="I124" s="8">
        <v>1</v>
      </c>
      <c r="J124" s="8">
        <v>0</v>
      </c>
      <c r="K124" s="8" t="s">
        <v>100</v>
      </c>
      <c r="L124" s="5" t="s">
        <v>816</v>
      </c>
      <c r="M124" s="5" t="s">
        <v>817</v>
      </c>
      <c r="N124" s="8" t="s">
        <v>818</v>
      </c>
      <c r="O124" s="8" t="str">
        <f>G124</f>
        <v>KESİN</v>
      </c>
      <c r="P124" s="8" t="str">
        <f>IF(OR(G124="NULL",G124="KOŞULLU"),G124,IF(OR(I124=1,J124=1),"KOŞULLU",G124))</f>
        <v>KOŞULLU</v>
      </c>
      <c r="Q124" s="8" t="str">
        <f>IF(OR(G124="NULL",G124="KOŞULLU"),G124,IF(J124=1,"KOŞULLU",G124))</f>
        <v>KESİN</v>
      </c>
      <c r="R124" s="8" t="str">
        <f>IF(OR($G124="NULL",$G124="KOŞULLU"),"V7 zaten "&amp;$G124,IF($K124="HATA",IF(O124="KOŞULLU","YAKALANDI","SESSİZ HATA"),IF(OR($K124="TEMİZ",$K124="ÖNEMSİZ"),IF(O124="KOŞULLU","YANLIŞ ALARM","DOĞRU SESSİZ"),IF(O124="KOŞULLU","BELİRSİZ — işaretlendi","BELİRSİZ — işaretlenmedi"))))</f>
        <v>DOĞRU SESSİZ</v>
      </c>
      <c r="S124" s="8" t="str">
        <f>IF(OR($G124="NULL",$G124="KOŞULLU"),"V7 zaten "&amp;$G124,IF($K124="HATA",IF(P124="KOŞULLU","YAKALANDI","SESSİZ HATA"),IF(OR($K124="TEMİZ",$K124="ÖNEMSİZ"),IF(P124="KOŞULLU","YANLIŞ ALARM","DOĞRU SESSİZ"),IF(P124="KOŞULLU","BELİRSİZ — işaretlendi","BELİRSİZ — işaretlenmedi"))))</f>
        <v>YANLIŞ ALARM</v>
      </c>
      <c r="T124" s="8" t="str">
        <f>IF(OR($G124="NULL",$G124="KOŞULLU"),"V7 zaten "&amp;$G124,IF($K124="HATA",IF(Q124="KOŞULLU","YAKALANDI","SESSİZ HATA"),IF(OR($K124="TEMİZ",$K124="ÖNEMSİZ"),IF(Q124="KOŞULLU","YANLIŞ ALARM","DOĞRU SESSİZ"),IF(Q124="KOŞULLU","BELİRSİZ — işaretlendi","BELİRSİZ — işaretlenmedi"))))</f>
        <v>DOĞRU SESSİZ</v>
      </c>
    </row>
    <row r="125" spans="1:20" ht="36" x14ac:dyDescent="0.2">
      <c r="A125" s="8" t="s">
        <v>97</v>
      </c>
      <c r="B125" s="8" t="s">
        <v>260</v>
      </c>
      <c r="C125" s="8" t="s">
        <v>82</v>
      </c>
      <c r="D125" s="8" t="s">
        <v>203</v>
      </c>
      <c r="E125" s="10">
        <v>568.26900000000001</v>
      </c>
      <c r="F125" s="10">
        <v>5420.0209999999997</v>
      </c>
      <c r="G125" s="8" t="s">
        <v>209</v>
      </c>
      <c r="H125" s="8">
        <v>0</v>
      </c>
      <c r="I125" s="8">
        <v>1</v>
      </c>
      <c r="J125" s="8">
        <v>0</v>
      </c>
      <c r="K125" s="8" t="s">
        <v>101</v>
      </c>
      <c r="L125" s="5" t="s">
        <v>819</v>
      </c>
      <c r="M125" s="5" t="s">
        <v>820</v>
      </c>
      <c r="N125" s="10"/>
      <c r="O125" s="8" t="str">
        <f>G125</f>
        <v>TÜRETİLMİŞ</v>
      </c>
      <c r="P125" s="8" t="str">
        <f>IF(OR(G125="NULL",G125="KOŞULLU"),G125,IF(OR(I125=1,J125=1),"KOŞULLU",G125))</f>
        <v>KOŞULLU</v>
      </c>
      <c r="Q125" s="8" t="str">
        <f>IF(OR(G125="NULL",G125="KOŞULLU"),G125,IF(J125=1,"KOŞULLU",G125))</f>
        <v>TÜRETİLMİŞ</v>
      </c>
      <c r="R125" s="8" t="str">
        <f>IF(OR($G125="NULL",$G125="KOŞULLU"),"V7 zaten "&amp;$G125,IF($K125="HATA",IF(O125="KOŞULLU","YAKALANDI","SESSİZ HATA"),IF(OR($K125="TEMİZ",$K125="ÖNEMSİZ"),IF(O125="KOŞULLU","YANLIŞ ALARM","DOĞRU SESSİZ"),IF(O125="KOŞULLU","BELİRSİZ — işaretlendi","BELİRSİZ — işaretlenmedi"))))</f>
        <v>BELİRSİZ — işaretlenmedi</v>
      </c>
      <c r="S125" s="8" t="str">
        <f>IF(OR($G125="NULL",$G125="KOŞULLU"),"V7 zaten "&amp;$G125,IF($K125="HATA",IF(P125="KOŞULLU","YAKALANDI","SESSİZ HATA"),IF(OR($K125="TEMİZ",$K125="ÖNEMSİZ"),IF(P125="KOŞULLU","YANLIŞ ALARM","DOĞRU SESSİZ"),IF(P125="KOŞULLU","BELİRSİZ — işaretlendi","BELİRSİZ — işaretlenmedi"))))</f>
        <v>BELİRSİZ — işaretlendi</v>
      </c>
      <c r="T125" s="8" t="str">
        <f>IF(OR($G125="NULL",$G125="KOŞULLU"),"V7 zaten "&amp;$G125,IF($K125="HATA",IF(Q125="KOŞULLU","YAKALANDI","SESSİZ HATA"),IF(OR($K125="TEMİZ",$K125="ÖNEMSİZ"),IF(Q125="KOŞULLU","YANLIŞ ALARM","DOĞRU SESSİZ"),IF(Q125="KOŞULLU","BELİRSİZ — işaretlendi","BELİRSİZ — işaretlenmedi"))))</f>
        <v>BELİRSİZ — işaretlenmedi</v>
      </c>
    </row>
    <row r="126" spans="1:20" ht="24.75" x14ac:dyDescent="0.2">
      <c r="A126" s="8" t="s">
        <v>97</v>
      </c>
      <c r="B126" s="8" t="s">
        <v>326</v>
      </c>
      <c r="C126" s="8" t="s">
        <v>82</v>
      </c>
      <c r="D126" s="8" t="s">
        <v>203</v>
      </c>
      <c r="E126" s="10">
        <v>183.46600000000001</v>
      </c>
      <c r="F126" s="10">
        <v>1482.6379999999999</v>
      </c>
      <c r="G126" s="8" t="s">
        <v>204</v>
      </c>
      <c r="H126" s="8">
        <v>0</v>
      </c>
      <c r="I126" s="8">
        <v>1</v>
      </c>
      <c r="J126" s="8">
        <v>0</v>
      </c>
      <c r="K126" s="8" t="s">
        <v>99</v>
      </c>
      <c r="L126" s="5" t="s">
        <v>821</v>
      </c>
      <c r="M126" s="5" t="s">
        <v>822</v>
      </c>
      <c r="N126" s="8" t="s">
        <v>823</v>
      </c>
      <c r="O126" s="8" t="str">
        <f>G126</f>
        <v>KESİN</v>
      </c>
      <c r="P126" s="8" t="str">
        <f>IF(OR(G126="NULL",G126="KOŞULLU"),G126,IF(OR(I126=1,J126=1),"KOŞULLU",G126))</f>
        <v>KOŞULLU</v>
      </c>
      <c r="Q126" s="8" t="str">
        <f>IF(OR(G126="NULL",G126="KOŞULLU"),G126,IF(J126=1,"KOŞULLU",G126))</f>
        <v>KESİN</v>
      </c>
      <c r="R126" s="8" t="str">
        <f>IF(OR($G126="NULL",$G126="KOŞULLU"),"V7 zaten "&amp;$G126,IF($K126="HATA",IF(O126="KOŞULLU","YAKALANDI","SESSİZ HATA"),IF(OR($K126="TEMİZ",$K126="ÖNEMSİZ"),IF(O126="KOŞULLU","YANLIŞ ALARM","DOĞRU SESSİZ"),IF(O126="KOŞULLU","BELİRSİZ — işaretlendi","BELİRSİZ — işaretlenmedi"))))</f>
        <v>DOĞRU SESSİZ</v>
      </c>
      <c r="S126" s="8" t="str">
        <f>IF(OR($G126="NULL",$G126="KOŞULLU"),"V7 zaten "&amp;$G126,IF($K126="HATA",IF(P126="KOŞULLU","YAKALANDI","SESSİZ HATA"),IF(OR($K126="TEMİZ",$K126="ÖNEMSİZ"),IF(P126="KOŞULLU","YANLIŞ ALARM","DOĞRU SESSİZ"),IF(P126="KOŞULLU","BELİRSİZ — işaretlendi","BELİRSİZ — işaretlenmedi"))))</f>
        <v>YANLIŞ ALARM</v>
      </c>
      <c r="T126" s="8" t="str">
        <f>IF(OR($G126="NULL",$G126="KOŞULLU"),"V7 zaten "&amp;$G126,IF($K126="HATA",IF(Q126="KOŞULLU","YAKALANDI","SESSİZ HATA"),IF(OR($K126="TEMİZ",$K126="ÖNEMSİZ"),IF(Q126="KOŞULLU","YANLIŞ ALARM","DOĞRU SESSİZ"),IF(Q126="KOŞULLU","BELİRSİZ — işaretlendi","BELİRSİZ — işaretlenmedi"))))</f>
        <v>DOĞRU SESSİZ</v>
      </c>
    </row>
  </sheetData>
  <autoFilter ref="A1:T126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2"/>
  <sheetViews>
    <sheetView zoomScaleNormal="100" workbookViewId="0">
      <pane xSplit="5" ySplit="1" topLeftCell="F2" activePane="bottomRight" state="frozen"/>
      <selection pane="bottomLeft" activeCell="A2" sqref="A2"/>
      <selection pane="topRight" activeCell="F1" sqref="F1"/>
      <selection pane="bottomRight"/>
    </sheetView>
  </sheetViews>
  <sheetFormatPr defaultColWidth="8.7421875" defaultRowHeight="15" x14ac:dyDescent="0.2"/>
  <cols>
    <col min="1" max="1" width="43.98828125" customWidth="1"/>
    <col min="2" max="2" width="14.9296875" customWidth="1"/>
    <col min="3" max="3" width="13.046875" customWidth="1"/>
    <col min="4" max="4" width="16.0078125" customWidth="1"/>
    <col min="5" max="11" width="13.046875" customWidth="1"/>
    <col min="12" max="12" width="11.97265625" customWidth="1"/>
    <col min="13" max="13" width="34.03125" customWidth="1"/>
    <col min="14" max="14" width="94.97265625" customWidth="1"/>
  </cols>
  <sheetData>
    <row r="1" spans="1:14" ht="39.75" customHeight="1" x14ac:dyDescent="0.2">
      <c r="A1" s="6" t="s">
        <v>151</v>
      </c>
      <c r="B1" s="6" t="s">
        <v>750</v>
      </c>
      <c r="C1" s="6" t="s">
        <v>156</v>
      </c>
      <c r="D1" s="6" t="s">
        <v>157</v>
      </c>
      <c r="E1" s="6" t="s">
        <v>158</v>
      </c>
      <c r="F1" s="6" t="s">
        <v>751</v>
      </c>
      <c r="G1" s="6" t="s">
        <v>194</v>
      </c>
      <c r="H1" s="6" t="s">
        <v>195</v>
      </c>
      <c r="I1" s="6" t="s">
        <v>824</v>
      </c>
      <c r="J1" s="6" t="s">
        <v>825</v>
      </c>
      <c r="K1" s="6" t="s">
        <v>826</v>
      </c>
      <c r="L1" s="6" t="s">
        <v>827</v>
      </c>
      <c r="M1" s="6" t="s">
        <v>753</v>
      </c>
      <c r="N1" s="6" t="s">
        <v>754</v>
      </c>
    </row>
    <row r="2" spans="1:14" ht="36" x14ac:dyDescent="0.2">
      <c r="A2" s="5" t="s">
        <v>828</v>
      </c>
      <c r="B2" s="8" t="s">
        <v>97</v>
      </c>
      <c r="C2" s="8" t="s">
        <v>223</v>
      </c>
      <c r="D2" s="8" t="s">
        <v>83</v>
      </c>
      <c r="E2" s="8" t="s">
        <v>210</v>
      </c>
      <c r="F2" s="10">
        <v>1439.0419999999999</v>
      </c>
      <c r="G2" s="10">
        <v>-683.01199999999994</v>
      </c>
      <c r="H2" s="8" t="s">
        <v>204</v>
      </c>
      <c r="I2" s="8">
        <v>0</v>
      </c>
      <c r="J2" s="8">
        <v>1</v>
      </c>
      <c r="K2" s="8">
        <v>0</v>
      </c>
      <c r="L2" s="8" t="s">
        <v>829</v>
      </c>
      <c r="M2" s="5" t="s">
        <v>793</v>
      </c>
      <c r="N2" s="5" t="s">
        <v>794</v>
      </c>
    </row>
    <row r="3" spans="1:14" x14ac:dyDescent="0.2">
      <c r="A3" s="5" t="s">
        <v>828</v>
      </c>
      <c r="B3" s="8" t="s">
        <v>762</v>
      </c>
      <c r="C3" s="8" t="s">
        <v>292</v>
      </c>
      <c r="D3" s="8" t="s">
        <v>83</v>
      </c>
      <c r="E3" s="8" t="s">
        <v>203</v>
      </c>
      <c r="F3" s="10">
        <v>2011.402</v>
      </c>
      <c r="G3" s="10">
        <v>256.71800000000098</v>
      </c>
      <c r="H3" s="8" t="s">
        <v>204</v>
      </c>
      <c r="I3" s="8">
        <v>0</v>
      </c>
      <c r="J3" s="8">
        <v>0</v>
      </c>
      <c r="K3" s="8">
        <v>1</v>
      </c>
      <c r="L3" s="8" t="s">
        <v>829</v>
      </c>
      <c r="M3" s="5" t="s">
        <v>765</v>
      </c>
      <c r="N3" s="5" t="s">
        <v>775</v>
      </c>
    </row>
    <row r="4" spans="1:14" ht="24.75" x14ac:dyDescent="0.2">
      <c r="A4" s="5" t="s">
        <v>828</v>
      </c>
      <c r="B4" s="8" t="s">
        <v>97</v>
      </c>
      <c r="C4" s="8" t="s">
        <v>374</v>
      </c>
      <c r="D4" s="8" t="s">
        <v>83</v>
      </c>
      <c r="E4" s="8" t="s">
        <v>215</v>
      </c>
      <c r="F4" s="10">
        <v>282.798</v>
      </c>
      <c r="G4" s="10">
        <v>-15.9109999999999</v>
      </c>
      <c r="H4" s="8" t="s">
        <v>204</v>
      </c>
      <c r="I4" s="8">
        <v>0</v>
      </c>
      <c r="J4" s="8">
        <v>0</v>
      </c>
      <c r="K4" s="8">
        <v>1</v>
      </c>
      <c r="L4" s="8" t="s">
        <v>829</v>
      </c>
      <c r="M4" s="5" t="s">
        <v>801</v>
      </c>
      <c r="N4" s="5" t="s">
        <v>802</v>
      </c>
    </row>
    <row r="5" spans="1:14" x14ac:dyDescent="0.2">
      <c r="A5" s="5" t="s">
        <v>828</v>
      </c>
      <c r="B5" s="8" t="s">
        <v>762</v>
      </c>
      <c r="C5" s="8" t="s">
        <v>782</v>
      </c>
      <c r="D5" s="8" t="s">
        <v>82</v>
      </c>
      <c r="E5" s="8" t="s">
        <v>205</v>
      </c>
      <c r="F5" s="10">
        <v>0</v>
      </c>
      <c r="G5" s="10">
        <v>-1113.039</v>
      </c>
      <c r="H5" s="8" t="s">
        <v>204</v>
      </c>
      <c r="I5" s="8">
        <v>0</v>
      </c>
      <c r="J5" s="8">
        <v>0</v>
      </c>
      <c r="K5" s="8">
        <v>0</v>
      </c>
      <c r="L5" s="8" t="s">
        <v>829</v>
      </c>
      <c r="M5" s="5" t="s">
        <v>769</v>
      </c>
      <c r="N5" s="5" t="s">
        <v>783</v>
      </c>
    </row>
    <row r="6" spans="1:14" x14ac:dyDescent="0.2">
      <c r="A6" s="5" t="s">
        <v>828</v>
      </c>
      <c r="B6" s="8" t="s">
        <v>762</v>
      </c>
      <c r="C6" s="8" t="s">
        <v>782</v>
      </c>
      <c r="D6" s="8" t="s">
        <v>82</v>
      </c>
      <c r="E6" s="8" t="s">
        <v>215</v>
      </c>
      <c r="F6" s="10">
        <v>0</v>
      </c>
      <c r="G6" s="10">
        <v>-1165.347</v>
      </c>
      <c r="H6" s="8" t="s">
        <v>204</v>
      </c>
      <c r="I6" s="8">
        <v>0</v>
      </c>
      <c r="J6" s="8">
        <v>0</v>
      </c>
      <c r="K6" s="8">
        <v>0</v>
      </c>
      <c r="L6" s="8" t="s">
        <v>829</v>
      </c>
      <c r="M6" s="5" t="s">
        <v>784</v>
      </c>
      <c r="N6" s="5" t="s">
        <v>783</v>
      </c>
    </row>
    <row r="7" spans="1:14" x14ac:dyDescent="0.2">
      <c r="A7" s="5" t="s">
        <v>828</v>
      </c>
      <c r="B7" s="8" t="s">
        <v>762</v>
      </c>
      <c r="C7" s="8" t="s">
        <v>782</v>
      </c>
      <c r="D7" s="8" t="s">
        <v>82</v>
      </c>
      <c r="E7" s="8" t="s">
        <v>210</v>
      </c>
      <c r="F7" s="10">
        <v>0</v>
      </c>
      <c r="G7" s="10">
        <v>-565.60400000000004</v>
      </c>
      <c r="H7" s="8" t="s">
        <v>204</v>
      </c>
      <c r="I7" s="8">
        <v>0</v>
      </c>
      <c r="J7" s="8">
        <v>0</v>
      </c>
      <c r="K7" s="8">
        <v>0</v>
      </c>
      <c r="L7" s="8" t="s">
        <v>829</v>
      </c>
      <c r="M7" s="5" t="s">
        <v>778</v>
      </c>
      <c r="N7" s="5" t="s">
        <v>783</v>
      </c>
    </row>
    <row r="8" spans="1:14" ht="24.75" x14ac:dyDescent="0.2">
      <c r="A8" s="5" t="s">
        <v>828</v>
      </c>
      <c r="B8" s="8" t="s">
        <v>97</v>
      </c>
      <c r="C8" s="8" t="s">
        <v>438</v>
      </c>
      <c r="D8" s="8" t="s">
        <v>83</v>
      </c>
      <c r="E8" s="8" t="s">
        <v>290</v>
      </c>
      <c r="F8" s="10">
        <v>1162.277</v>
      </c>
      <c r="G8" s="10">
        <v>985.83100000000002</v>
      </c>
      <c r="H8" s="8" t="s">
        <v>204</v>
      </c>
      <c r="I8" s="8">
        <v>0</v>
      </c>
      <c r="J8" s="8">
        <v>0</v>
      </c>
      <c r="K8" s="8">
        <v>0</v>
      </c>
      <c r="L8" s="8" t="s">
        <v>829</v>
      </c>
      <c r="M8" s="5" t="s">
        <v>796</v>
      </c>
      <c r="N8" s="5" t="s">
        <v>797</v>
      </c>
    </row>
    <row r="9" spans="1:14" ht="24.75" x14ac:dyDescent="0.2">
      <c r="A9" s="5" t="s">
        <v>828</v>
      </c>
      <c r="B9" s="8" t="s">
        <v>97</v>
      </c>
      <c r="C9" s="8" t="s">
        <v>438</v>
      </c>
      <c r="D9" s="8" t="s">
        <v>83</v>
      </c>
      <c r="E9" s="8" t="s">
        <v>208</v>
      </c>
      <c r="F9" s="10">
        <v>593.24199999999996</v>
      </c>
      <c r="G9" s="10">
        <v>1143.3679999999999</v>
      </c>
      <c r="H9" s="8" t="s">
        <v>204</v>
      </c>
      <c r="I9" s="8">
        <v>0</v>
      </c>
      <c r="J9" s="8">
        <v>0</v>
      </c>
      <c r="K9" s="8">
        <v>1</v>
      </c>
      <c r="L9" s="8" t="s">
        <v>829</v>
      </c>
      <c r="M9" s="5" t="s">
        <v>798</v>
      </c>
      <c r="N9" s="5" t="s">
        <v>799</v>
      </c>
    </row>
    <row r="10" spans="1:14" x14ac:dyDescent="0.2">
      <c r="A10" s="5" t="s">
        <v>828</v>
      </c>
      <c r="B10" s="8" t="s">
        <v>97</v>
      </c>
      <c r="C10" s="8" t="s">
        <v>438</v>
      </c>
      <c r="D10" s="8" t="s">
        <v>83</v>
      </c>
      <c r="E10" s="8" t="s">
        <v>210</v>
      </c>
      <c r="F10" s="10">
        <v>578.86599999999999</v>
      </c>
      <c r="G10" s="10">
        <v>-1391.809</v>
      </c>
      <c r="H10" s="8" t="s">
        <v>204</v>
      </c>
      <c r="I10" s="8">
        <v>0</v>
      </c>
      <c r="J10" s="8">
        <v>0</v>
      </c>
      <c r="K10" s="8">
        <v>1</v>
      </c>
      <c r="L10" s="8" t="s">
        <v>829</v>
      </c>
      <c r="M10" s="5" t="s">
        <v>796</v>
      </c>
      <c r="N10" s="5" t="s">
        <v>800</v>
      </c>
    </row>
    <row r="11" spans="1:14" x14ac:dyDescent="0.2">
      <c r="A11" s="5" t="s">
        <v>828</v>
      </c>
      <c r="B11" s="8" t="s">
        <v>762</v>
      </c>
      <c r="C11" s="8" t="s">
        <v>443</v>
      </c>
      <c r="D11" s="8" t="s">
        <v>82</v>
      </c>
      <c r="E11" s="8" t="s">
        <v>205</v>
      </c>
      <c r="F11" s="10">
        <v>247.85499999999999</v>
      </c>
      <c r="G11" s="10">
        <v>-8814.1830000000009</v>
      </c>
      <c r="H11" s="8" t="s">
        <v>204</v>
      </c>
      <c r="I11" s="8">
        <v>0</v>
      </c>
      <c r="J11" s="8">
        <v>1</v>
      </c>
      <c r="K11" s="8">
        <v>0</v>
      </c>
      <c r="L11" s="8" t="s">
        <v>829</v>
      </c>
      <c r="M11" s="5" t="s">
        <v>778</v>
      </c>
      <c r="N11" s="5" t="s">
        <v>774</v>
      </c>
    </row>
    <row r="12" spans="1:14" x14ac:dyDescent="0.2">
      <c r="A12" s="5" t="s">
        <v>828</v>
      </c>
      <c r="B12" s="8" t="s">
        <v>762</v>
      </c>
      <c r="C12" s="8" t="s">
        <v>443</v>
      </c>
      <c r="D12" s="8" t="s">
        <v>82</v>
      </c>
      <c r="E12" s="8" t="s">
        <v>215</v>
      </c>
      <c r="F12" s="10">
        <v>367.77699999999999</v>
      </c>
      <c r="G12" s="10">
        <v>-9476.0529999999999</v>
      </c>
      <c r="H12" s="8" t="s">
        <v>204</v>
      </c>
      <c r="I12" s="8">
        <v>0</v>
      </c>
      <c r="J12" s="8">
        <v>1</v>
      </c>
      <c r="K12" s="8">
        <v>0</v>
      </c>
      <c r="L12" s="8" t="s">
        <v>829</v>
      </c>
      <c r="M12" s="5" t="s">
        <v>778</v>
      </c>
      <c r="N12" s="5" t="s">
        <v>774</v>
      </c>
    </row>
    <row r="13" spans="1:14" x14ac:dyDescent="0.2">
      <c r="A13" s="5" t="s">
        <v>828</v>
      </c>
      <c r="B13" s="8" t="s">
        <v>762</v>
      </c>
      <c r="C13" s="8" t="s">
        <v>443</v>
      </c>
      <c r="D13" s="8" t="s">
        <v>82</v>
      </c>
      <c r="E13" s="8" t="s">
        <v>208</v>
      </c>
      <c r="F13" s="10">
        <v>18.597999999999999</v>
      </c>
      <c r="G13" s="10">
        <v>-9831.5660000000007</v>
      </c>
      <c r="H13" s="8" t="s">
        <v>204</v>
      </c>
      <c r="I13" s="8">
        <v>0</v>
      </c>
      <c r="J13" s="8">
        <v>1</v>
      </c>
      <c r="K13" s="8">
        <v>0</v>
      </c>
      <c r="L13" s="8" t="s">
        <v>829</v>
      </c>
      <c r="M13" s="5" t="s">
        <v>765</v>
      </c>
      <c r="N13" s="5" t="s">
        <v>774</v>
      </c>
    </row>
    <row r="14" spans="1:14" x14ac:dyDescent="0.2">
      <c r="A14" s="5" t="s">
        <v>828</v>
      </c>
      <c r="B14" s="8" t="s">
        <v>762</v>
      </c>
      <c r="C14" s="8" t="s">
        <v>443</v>
      </c>
      <c r="D14" s="8" t="s">
        <v>82</v>
      </c>
      <c r="E14" s="8" t="s">
        <v>210</v>
      </c>
      <c r="F14" s="10">
        <v>190.096</v>
      </c>
      <c r="G14" s="10">
        <v>-200.65299999999999</v>
      </c>
      <c r="H14" s="8" t="s">
        <v>204</v>
      </c>
      <c r="I14" s="8">
        <v>0</v>
      </c>
      <c r="J14" s="8">
        <v>1</v>
      </c>
      <c r="K14" s="8">
        <v>0</v>
      </c>
      <c r="L14" s="8" t="s">
        <v>829</v>
      </c>
      <c r="M14" s="5" t="s">
        <v>779</v>
      </c>
      <c r="N14" s="5" t="s">
        <v>774</v>
      </c>
    </row>
    <row r="15" spans="1:14" x14ac:dyDescent="0.2">
      <c r="A15" s="5" t="s">
        <v>828</v>
      </c>
      <c r="B15" s="8" t="s">
        <v>762</v>
      </c>
      <c r="C15" s="8" t="s">
        <v>443</v>
      </c>
      <c r="D15" s="8" t="s">
        <v>83</v>
      </c>
      <c r="E15" s="8" t="s">
        <v>203</v>
      </c>
      <c r="F15" s="10">
        <v>5334.7780000000002</v>
      </c>
      <c r="G15" s="10">
        <v>-3625.123</v>
      </c>
      <c r="H15" s="8" t="s">
        <v>204</v>
      </c>
      <c r="I15" s="8">
        <v>0</v>
      </c>
      <c r="J15" s="8">
        <v>0</v>
      </c>
      <c r="K15" s="8">
        <v>1</v>
      </c>
      <c r="L15" s="8" t="s">
        <v>829</v>
      </c>
      <c r="M15" s="5" t="s">
        <v>765</v>
      </c>
      <c r="N15" s="5" t="s">
        <v>775</v>
      </c>
    </row>
    <row r="16" spans="1:14" x14ac:dyDescent="0.2">
      <c r="A16" s="5" t="s">
        <v>828</v>
      </c>
      <c r="B16" s="8" t="s">
        <v>762</v>
      </c>
      <c r="C16" s="8" t="s">
        <v>475</v>
      </c>
      <c r="D16" s="8" t="s">
        <v>83</v>
      </c>
      <c r="E16" s="8" t="s">
        <v>215</v>
      </c>
      <c r="F16" s="10">
        <v>2526.8980000000001</v>
      </c>
      <c r="G16" s="10">
        <v>23220.942999999999</v>
      </c>
      <c r="H16" s="8" t="s">
        <v>204</v>
      </c>
      <c r="I16" s="8">
        <v>0</v>
      </c>
      <c r="J16" s="8">
        <v>1</v>
      </c>
      <c r="K16" s="8">
        <v>0</v>
      </c>
      <c r="L16" s="8" t="s">
        <v>829</v>
      </c>
      <c r="M16" s="5" t="s">
        <v>781</v>
      </c>
      <c r="N16" s="5" t="s">
        <v>780</v>
      </c>
    </row>
    <row r="17" spans="1:14" x14ac:dyDescent="0.2">
      <c r="A17" s="5" t="s">
        <v>828</v>
      </c>
      <c r="B17" s="8" t="s">
        <v>762</v>
      </c>
      <c r="C17" s="8" t="s">
        <v>475</v>
      </c>
      <c r="D17" s="8" t="s">
        <v>83</v>
      </c>
      <c r="E17" s="8" t="s">
        <v>290</v>
      </c>
      <c r="F17" s="10">
        <v>2298.7750000000001</v>
      </c>
      <c r="G17" s="10">
        <v>14273.27</v>
      </c>
      <c r="H17" s="8" t="s">
        <v>204</v>
      </c>
      <c r="I17" s="8">
        <v>0</v>
      </c>
      <c r="J17" s="8">
        <v>0</v>
      </c>
      <c r="K17" s="8">
        <v>0</v>
      </c>
      <c r="L17" s="8" t="s">
        <v>829</v>
      </c>
      <c r="M17" s="5" t="s">
        <v>781</v>
      </c>
      <c r="N17" s="5" t="s">
        <v>780</v>
      </c>
    </row>
    <row r="18" spans="1:14" x14ac:dyDescent="0.2">
      <c r="A18" s="5" t="s">
        <v>828</v>
      </c>
      <c r="B18" s="8" t="s">
        <v>762</v>
      </c>
      <c r="C18" s="8" t="s">
        <v>475</v>
      </c>
      <c r="D18" s="8" t="s">
        <v>83</v>
      </c>
      <c r="E18" s="8" t="s">
        <v>210</v>
      </c>
      <c r="F18" s="10">
        <v>1948.559</v>
      </c>
      <c r="G18" s="10">
        <v>4686.9709999999995</v>
      </c>
      <c r="H18" s="8" t="s">
        <v>204</v>
      </c>
      <c r="I18" s="8">
        <v>0</v>
      </c>
      <c r="J18" s="8">
        <v>0</v>
      </c>
      <c r="K18" s="8">
        <v>0</v>
      </c>
      <c r="L18" s="8" t="s">
        <v>829</v>
      </c>
      <c r="M18" s="5" t="s">
        <v>781</v>
      </c>
      <c r="N18" s="5" t="s">
        <v>780</v>
      </c>
    </row>
    <row r="19" spans="1:14" x14ac:dyDescent="0.2">
      <c r="A19" s="5" t="s">
        <v>828</v>
      </c>
      <c r="B19" s="8" t="s">
        <v>762</v>
      </c>
      <c r="C19" s="8" t="s">
        <v>515</v>
      </c>
      <c r="D19" s="8" t="s">
        <v>82</v>
      </c>
      <c r="E19" s="8" t="s">
        <v>215</v>
      </c>
      <c r="F19" s="10">
        <v>90.228999999999999</v>
      </c>
      <c r="G19" s="10">
        <v>-2596.7939999999999</v>
      </c>
      <c r="H19" s="8" t="s">
        <v>204</v>
      </c>
      <c r="I19" s="8">
        <v>0</v>
      </c>
      <c r="J19" s="8">
        <v>0</v>
      </c>
      <c r="K19" s="8">
        <v>1</v>
      </c>
      <c r="L19" s="8" t="s">
        <v>829</v>
      </c>
      <c r="M19" s="5" t="s">
        <v>769</v>
      </c>
      <c r="N19" s="5" t="s">
        <v>770</v>
      </c>
    </row>
    <row r="20" spans="1:14" x14ac:dyDescent="0.2">
      <c r="A20" s="5" t="s">
        <v>828</v>
      </c>
      <c r="B20" s="8" t="s">
        <v>97</v>
      </c>
      <c r="C20" s="8" t="s">
        <v>520</v>
      </c>
      <c r="D20" s="8" t="s">
        <v>83</v>
      </c>
      <c r="E20" s="8" t="s">
        <v>205</v>
      </c>
      <c r="F20" s="10">
        <v>17.134</v>
      </c>
      <c r="G20" s="10">
        <v>-21.954000000000001</v>
      </c>
      <c r="H20" s="8" t="s">
        <v>204</v>
      </c>
      <c r="I20" s="8">
        <v>0</v>
      </c>
      <c r="J20" s="8">
        <v>0</v>
      </c>
      <c r="K20" s="8">
        <v>1</v>
      </c>
      <c r="L20" s="8" t="s">
        <v>829</v>
      </c>
      <c r="M20" s="5" t="s">
        <v>803</v>
      </c>
      <c r="N20" s="5" t="s">
        <v>804</v>
      </c>
    </row>
    <row r="21" spans="1:14" ht="24.75" x14ac:dyDescent="0.2">
      <c r="A21" s="5" t="s">
        <v>830</v>
      </c>
      <c r="B21" s="8" t="s">
        <v>762</v>
      </c>
      <c r="C21" s="8" t="s">
        <v>292</v>
      </c>
      <c r="D21" s="8" t="s">
        <v>83</v>
      </c>
      <c r="E21" s="8" t="s">
        <v>205</v>
      </c>
      <c r="F21" s="10">
        <v>0</v>
      </c>
      <c r="G21" s="10">
        <v>-3074.2449999999999</v>
      </c>
      <c r="H21" s="8" t="s">
        <v>204</v>
      </c>
      <c r="I21" s="8">
        <v>1</v>
      </c>
      <c r="J21" s="8">
        <v>1</v>
      </c>
      <c r="K21" s="8">
        <v>0</v>
      </c>
      <c r="L21" s="8" t="s">
        <v>829</v>
      </c>
      <c r="M21" s="5" t="s">
        <v>776</v>
      </c>
      <c r="N21" s="5" t="s">
        <v>777</v>
      </c>
    </row>
    <row r="22" spans="1:14" ht="24.75" x14ac:dyDescent="0.2">
      <c r="A22" s="5" t="s">
        <v>830</v>
      </c>
      <c r="B22" s="8" t="s">
        <v>762</v>
      </c>
      <c r="C22" s="8" t="s">
        <v>292</v>
      </c>
      <c r="D22" s="8" t="s">
        <v>83</v>
      </c>
      <c r="E22" s="8" t="s">
        <v>215</v>
      </c>
      <c r="F22" s="10">
        <v>0</v>
      </c>
      <c r="G22" s="10">
        <v>-5299.7740000000003</v>
      </c>
      <c r="H22" s="8" t="s">
        <v>204</v>
      </c>
      <c r="I22" s="8">
        <v>1</v>
      </c>
      <c r="J22" s="8">
        <v>1</v>
      </c>
      <c r="K22" s="8">
        <v>0</v>
      </c>
      <c r="L22" s="8" t="s">
        <v>829</v>
      </c>
      <c r="M22" s="5" t="s">
        <v>776</v>
      </c>
      <c r="N22" s="5" t="s">
        <v>777</v>
      </c>
    </row>
    <row r="23" spans="1:14" ht="24.75" x14ac:dyDescent="0.2">
      <c r="A23" s="5" t="s">
        <v>830</v>
      </c>
      <c r="B23" s="8" t="s">
        <v>762</v>
      </c>
      <c r="C23" s="8" t="s">
        <v>292</v>
      </c>
      <c r="D23" s="8" t="s">
        <v>83</v>
      </c>
      <c r="E23" s="8" t="s">
        <v>290</v>
      </c>
      <c r="F23" s="10">
        <v>0</v>
      </c>
      <c r="G23" s="10">
        <v>-2046.8630000000001</v>
      </c>
      <c r="H23" s="8" t="s">
        <v>204</v>
      </c>
      <c r="I23" s="8">
        <v>1</v>
      </c>
      <c r="J23" s="8">
        <v>1</v>
      </c>
      <c r="K23" s="8">
        <v>0</v>
      </c>
      <c r="L23" s="8" t="s">
        <v>829</v>
      </c>
      <c r="M23" s="5" t="s">
        <v>776</v>
      </c>
      <c r="N23" s="5" t="s">
        <v>777</v>
      </c>
    </row>
    <row r="24" spans="1:14" ht="24.75" x14ac:dyDescent="0.2">
      <c r="A24" s="5" t="s">
        <v>830</v>
      </c>
      <c r="B24" s="8" t="s">
        <v>762</v>
      </c>
      <c r="C24" s="8" t="s">
        <v>292</v>
      </c>
      <c r="D24" s="8" t="s">
        <v>83</v>
      </c>
      <c r="E24" s="8" t="s">
        <v>208</v>
      </c>
      <c r="F24" s="10">
        <v>0</v>
      </c>
      <c r="G24" s="10">
        <v>-5809.9440000000004</v>
      </c>
      <c r="H24" s="8" t="s">
        <v>204</v>
      </c>
      <c r="I24" s="8">
        <v>1</v>
      </c>
      <c r="J24" s="8">
        <v>1</v>
      </c>
      <c r="K24" s="8">
        <v>0</v>
      </c>
      <c r="L24" s="8" t="s">
        <v>829</v>
      </c>
      <c r="M24" s="5" t="s">
        <v>776</v>
      </c>
      <c r="N24" s="5" t="s">
        <v>777</v>
      </c>
    </row>
    <row r="25" spans="1:14" ht="24.75" x14ac:dyDescent="0.2">
      <c r="A25" s="5" t="s">
        <v>830</v>
      </c>
      <c r="B25" s="8" t="s">
        <v>762</v>
      </c>
      <c r="C25" s="8" t="s">
        <v>292</v>
      </c>
      <c r="D25" s="8" t="s">
        <v>83</v>
      </c>
      <c r="E25" s="8" t="s">
        <v>210</v>
      </c>
      <c r="F25" s="10">
        <v>0</v>
      </c>
      <c r="G25" s="10">
        <v>-394.54700000000003</v>
      </c>
      <c r="H25" s="8" t="s">
        <v>204</v>
      </c>
      <c r="I25" s="8">
        <v>1</v>
      </c>
      <c r="J25" s="8">
        <v>1</v>
      </c>
      <c r="K25" s="8">
        <v>0</v>
      </c>
      <c r="L25" s="8" t="s">
        <v>829</v>
      </c>
      <c r="M25" s="5" t="s">
        <v>776</v>
      </c>
      <c r="N25" s="5" t="s">
        <v>777</v>
      </c>
    </row>
    <row r="26" spans="1:14" ht="24.75" x14ac:dyDescent="0.2">
      <c r="A26" s="5" t="s">
        <v>830</v>
      </c>
      <c r="B26" s="8" t="s">
        <v>762</v>
      </c>
      <c r="C26" s="8" t="s">
        <v>443</v>
      </c>
      <c r="D26" s="8" t="s">
        <v>83</v>
      </c>
      <c r="E26" s="8" t="s">
        <v>205</v>
      </c>
      <c r="F26" s="10">
        <v>0</v>
      </c>
      <c r="G26" s="10">
        <v>-8814.1830000000009</v>
      </c>
      <c r="H26" s="8" t="s">
        <v>204</v>
      </c>
      <c r="I26" s="8">
        <v>1</v>
      </c>
      <c r="J26" s="8">
        <v>1</v>
      </c>
      <c r="K26" s="8">
        <v>0</v>
      </c>
      <c r="L26" s="8" t="s">
        <v>829</v>
      </c>
      <c r="M26" s="5" t="s">
        <v>776</v>
      </c>
      <c r="N26" s="5" t="s">
        <v>777</v>
      </c>
    </row>
    <row r="27" spans="1:14" ht="24.75" x14ac:dyDescent="0.2">
      <c r="A27" s="5" t="s">
        <v>830</v>
      </c>
      <c r="B27" s="8" t="s">
        <v>762</v>
      </c>
      <c r="C27" s="8" t="s">
        <v>443</v>
      </c>
      <c r="D27" s="8" t="s">
        <v>83</v>
      </c>
      <c r="E27" s="8" t="s">
        <v>215</v>
      </c>
      <c r="F27" s="10">
        <v>0</v>
      </c>
      <c r="G27" s="10">
        <v>-9476.0529999999999</v>
      </c>
      <c r="H27" s="8" t="s">
        <v>204</v>
      </c>
      <c r="I27" s="8">
        <v>1</v>
      </c>
      <c r="J27" s="8">
        <v>1</v>
      </c>
      <c r="K27" s="8">
        <v>0</v>
      </c>
      <c r="L27" s="8" t="s">
        <v>829</v>
      </c>
      <c r="M27" s="5" t="s">
        <v>776</v>
      </c>
      <c r="N27" s="5" t="s">
        <v>777</v>
      </c>
    </row>
    <row r="28" spans="1:14" ht="24.75" x14ac:dyDescent="0.2">
      <c r="A28" s="5" t="s">
        <v>830</v>
      </c>
      <c r="B28" s="8" t="s">
        <v>762</v>
      </c>
      <c r="C28" s="8" t="s">
        <v>443</v>
      </c>
      <c r="D28" s="8" t="s">
        <v>83</v>
      </c>
      <c r="E28" s="8" t="s">
        <v>290</v>
      </c>
      <c r="F28" s="10">
        <v>0</v>
      </c>
      <c r="G28" s="10">
        <v>-5633.5140000000001</v>
      </c>
      <c r="H28" s="8" t="s">
        <v>204</v>
      </c>
      <c r="I28" s="8">
        <v>1</v>
      </c>
      <c r="J28" s="8">
        <v>1</v>
      </c>
      <c r="K28" s="8">
        <v>0</v>
      </c>
      <c r="L28" s="8" t="s">
        <v>829</v>
      </c>
      <c r="M28" s="5" t="s">
        <v>776</v>
      </c>
      <c r="N28" s="5" t="s">
        <v>777</v>
      </c>
    </row>
    <row r="29" spans="1:14" ht="24.75" x14ac:dyDescent="0.2">
      <c r="A29" s="5" t="s">
        <v>830</v>
      </c>
      <c r="B29" s="8" t="s">
        <v>762</v>
      </c>
      <c r="C29" s="8" t="s">
        <v>443</v>
      </c>
      <c r="D29" s="8" t="s">
        <v>83</v>
      </c>
      <c r="E29" s="8" t="s">
        <v>208</v>
      </c>
      <c r="F29" s="10">
        <v>0</v>
      </c>
      <c r="G29" s="10">
        <v>-9831.5660000000007</v>
      </c>
      <c r="H29" s="8" t="s">
        <v>204</v>
      </c>
      <c r="I29" s="8">
        <v>1</v>
      </c>
      <c r="J29" s="8">
        <v>1</v>
      </c>
      <c r="K29" s="8">
        <v>0</v>
      </c>
      <c r="L29" s="8" t="s">
        <v>829</v>
      </c>
      <c r="M29" s="5" t="s">
        <v>776</v>
      </c>
      <c r="N29" s="5" t="s">
        <v>777</v>
      </c>
    </row>
    <row r="30" spans="1:14" ht="24.75" x14ac:dyDescent="0.2">
      <c r="A30" s="5" t="s">
        <v>830</v>
      </c>
      <c r="B30" s="8" t="s">
        <v>762</v>
      </c>
      <c r="C30" s="8" t="s">
        <v>443</v>
      </c>
      <c r="D30" s="8" t="s">
        <v>83</v>
      </c>
      <c r="E30" s="8" t="s">
        <v>210</v>
      </c>
      <c r="F30" s="10">
        <v>0</v>
      </c>
      <c r="G30" s="10">
        <v>-200.65299999999999</v>
      </c>
      <c r="H30" s="8" t="s">
        <v>204</v>
      </c>
      <c r="I30" s="8">
        <v>1</v>
      </c>
      <c r="J30" s="8">
        <v>1</v>
      </c>
      <c r="K30" s="8">
        <v>0</v>
      </c>
      <c r="L30" s="8" t="s">
        <v>829</v>
      </c>
      <c r="M30" s="5" t="s">
        <v>776</v>
      </c>
      <c r="N30" s="5" t="s">
        <v>777</v>
      </c>
    </row>
    <row r="31" spans="1:14" ht="24.75" x14ac:dyDescent="0.2">
      <c r="A31" s="5" t="s">
        <v>830</v>
      </c>
      <c r="B31" s="8" t="s">
        <v>762</v>
      </c>
      <c r="C31" s="8" t="s">
        <v>475</v>
      </c>
      <c r="D31" s="8" t="s">
        <v>83</v>
      </c>
      <c r="E31" s="8" t="s">
        <v>203</v>
      </c>
      <c r="F31" s="10">
        <v>0</v>
      </c>
      <c r="G31" s="10">
        <v>15596.858</v>
      </c>
      <c r="H31" s="8" t="s">
        <v>204</v>
      </c>
      <c r="I31" s="8">
        <v>1</v>
      </c>
      <c r="J31" s="8">
        <v>1</v>
      </c>
      <c r="K31" s="8">
        <v>0</v>
      </c>
      <c r="L31" s="8" t="s">
        <v>829</v>
      </c>
      <c r="M31" s="5" t="s">
        <v>778</v>
      </c>
      <c r="N31" s="5" t="s">
        <v>780</v>
      </c>
    </row>
    <row r="32" spans="1:14" ht="24.75" x14ac:dyDescent="0.2">
      <c r="A32" s="5" t="s">
        <v>830</v>
      </c>
      <c r="B32" s="8" t="s">
        <v>762</v>
      </c>
      <c r="C32" s="8" t="s">
        <v>475</v>
      </c>
      <c r="D32" s="8" t="s">
        <v>83</v>
      </c>
      <c r="E32" s="8" t="s">
        <v>205</v>
      </c>
      <c r="F32" s="10">
        <v>0</v>
      </c>
      <c r="G32" s="10">
        <v>17615.061000000002</v>
      </c>
      <c r="H32" s="8" t="s">
        <v>204</v>
      </c>
      <c r="I32" s="8">
        <v>1</v>
      </c>
      <c r="J32" s="8">
        <v>1</v>
      </c>
      <c r="K32" s="8">
        <v>0</v>
      </c>
      <c r="L32" s="8" t="s">
        <v>829</v>
      </c>
      <c r="M32" s="5" t="s">
        <v>778</v>
      </c>
      <c r="N32" s="5" t="s">
        <v>780</v>
      </c>
    </row>
    <row r="33" spans="1:14" ht="24.75" x14ac:dyDescent="0.2">
      <c r="A33" s="5" t="s">
        <v>830</v>
      </c>
      <c r="B33" s="8" t="s">
        <v>762</v>
      </c>
      <c r="C33" s="8" t="s">
        <v>494</v>
      </c>
      <c r="D33" s="8" t="s">
        <v>82</v>
      </c>
      <c r="E33" s="8" t="s">
        <v>210</v>
      </c>
      <c r="F33" s="10">
        <v>0</v>
      </c>
      <c r="G33" s="10">
        <v>-6.2880000000000003</v>
      </c>
      <c r="H33" s="8" t="s">
        <v>204</v>
      </c>
      <c r="I33" s="8">
        <v>1</v>
      </c>
      <c r="J33" s="8">
        <v>0</v>
      </c>
      <c r="K33" s="8">
        <v>1</v>
      </c>
      <c r="L33" s="8" t="s">
        <v>829</v>
      </c>
      <c r="M33" s="5" t="s">
        <v>769</v>
      </c>
      <c r="N33" s="5" t="s">
        <v>766</v>
      </c>
    </row>
    <row r="34" spans="1:14" ht="24.75" x14ac:dyDescent="0.2">
      <c r="A34" s="5" t="s">
        <v>830</v>
      </c>
      <c r="B34" s="8" t="s">
        <v>762</v>
      </c>
      <c r="C34" s="8" t="s">
        <v>515</v>
      </c>
      <c r="D34" s="8" t="s">
        <v>82</v>
      </c>
      <c r="E34" s="8" t="s">
        <v>203</v>
      </c>
      <c r="F34" s="10">
        <v>0</v>
      </c>
      <c r="G34" s="10">
        <v>3703.6190000000001</v>
      </c>
      <c r="H34" s="8" t="s">
        <v>204</v>
      </c>
      <c r="I34" s="8">
        <v>1</v>
      </c>
      <c r="J34" s="8">
        <v>0</v>
      </c>
      <c r="K34" s="8">
        <v>1</v>
      </c>
      <c r="L34" s="8" t="s">
        <v>829</v>
      </c>
      <c r="M34" s="5" t="s">
        <v>769</v>
      </c>
      <c r="N34" s="5" t="s">
        <v>766</v>
      </c>
    </row>
    <row r="35" spans="1:14" ht="24.75" x14ac:dyDescent="0.2">
      <c r="A35" s="5" t="s">
        <v>830</v>
      </c>
      <c r="B35" s="8" t="s">
        <v>762</v>
      </c>
      <c r="C35" s="8" t="s">
        <v>515</v>
      </c>
      <c r="D35" s="8" t="s">
        <v>82</v>
      </c>
      <c r="E35" s="8" t="s">
        <v>205</v>
      </c>
      <c r="F35" s="10">
        <v>0</v>
      </c>
      <c r="G35" s="10">
        <v>3468.6660000000002</v>
      </c>
      <c r="H35" s="8" t="s">
        <v>204</v>
      </c>
      <c r="I35" s="8">
        <v>1</v>
      </c>
      <c r="J35" s="8">
        <v>0</v>
      </c>
      <c r="K35" s="8">
        <v>1</v>
      </c>
      <c r="L35" s="8" t="s">
        <v>829</v>
      </c>
      <c r="M35" s="5" t="s">
        <v>769</v>
      </c>
      <c r="N35" s="5" t="s">
        <v>766</v>
      </c>
    </row>
    <row r="36" spans="1:14" ht="24.75" x14ac:dyDescent="0.2">
      <c r="A36" s="5" t="s">
        <v>830</v>
      </c>
      <c r="B36" s="8" t="s">
        <v>762</v>
      </c>
      <c r="C36" s="8" t="s">
        <v>525</v>
      </c>
      <c r="D36" s="8" t="s">
        <v>82</v>
      </c>
      <c r="E36" s="8" t="s">
        <v>210</v>
      </c>
      <c r="F36" s="10">
        <v>0</v>
      </c>
      <c r="G36" s="10">
        <v>-30816.057000000001</v>
      </c>
      <c r="H36" s="8" t="s">
        <v>204</v>
      </c>
      <c r="I36" s="8">
        <v>1</v>
      </c>
      <c r="J36" s="8">
        <v>0</v>
      </c>
      <c r="K36" s="8">
        <v>1</v>
      </c>
      <c r="L36" s="8" t="s">
        <v>829</v>
      </c>
      <c r="M36" s="5" t="s">
        <v>765</v>
      </c>
      <c r="N36" s="5" t="s">
        <v>766</v>
      </c>
    </row>
    <row r="37" spans="1:14" ht="36" x14ac:dyDescent="0.2">
      <c r="A37" s="5" t="s">
        <v>831</v>
      </c>
      <c r="B37" s="8" t="s">
        <v>97</v>
      </c>
      <c r="C37" s="8" t="s">
        <v>223</v>
      </c>
      <c r="D37" s="8" t="s">
        <v>83</v>
      </c>
      <c r="E37" s="8" t="s">
        <v>205</v>
      </c>
      <c r="F37" s="10">
        <v>0</v>
      </c>
      <c r="G37" s="10">
        <v>347.97699999999998</v>
      </c>
      <c r="H37" s="8" t="s">
        <v>212</v>
      </c>
      <c r="I37" s="8">
        <v>1</v>
      </c>
      <c r="J37" s="8">
        <v>1</v>
      </c>
      <c r="K37" s="8">
        <v>0</v>
      </c>
      <c r="L37" s="8" t="s">
        <v>829</v>
      </c>
      <c r="M37" s="5" t="s">
        <v>790</v>
      </c>
      <c r="N37" s="5" t="s">
        <v>791</v>
      </c>
    </row>
    <row r="38" spans="1:14" x14ac:dyDescent="0.2">
      <c r="A38" s="5" t="s">
        <v>831</v>
      </c>
      <c r="B38" s="8" t="s">
        <v>762</v>
      </c>
      <c r="C38" s="8" t="s">
        <v>475</v>
      </c>
      <c r="D38" s="8" t="s">
        <v>83</v>
      </c>
      <c r="E38" s="8" t="s">
        <v>208</v>
      </c>
      <c r="F38" s="10">
        <v>3205.5169999999998</v>
      </c>
      <c r="G38" s="10">
        <v>11073.451999999999</v>
      </c>
      <c r="H38" s="8" t="s">
        <v>212</v>
      </c>
      <c r="I38" s="8">
        <v>0</v>
      </c>
      <c r="J38" s="8">
        <v>1</v>
      </c>
      <c r="K38" s="8">
        <v>0</v>
      </c>
      <c r="L38" s="8" t="s">
        <v>829</v>
      </c>
      <c r="M38" s="5" t="s">
        <v>781</v>
      </c>
      <c r="N38" s="5" t="s">
        <v>780</v>
      </c>
    </row>
    <row r="39" spans="1:14" ht="24.75" x14ac:dyDescent="0.2">
      <c r="A39" s="5" t="s">
        <v>831</v>
      </c>
      <c r="B39" s="8" t="s">
        <v>97</v>
      </c>
      <c r="C39" s="8" t="s">
        <v>634</v>
      </c>
      <c r="D39" s="8" t="s">
        <v>83</v>
      </c>
      <c r="E39" s="8" t="s">
        <v>210</v>
      </c>
      <c r="F39" s="10">
        <v>1322.0830000000001</v>
      </c>
      <c r="G39" s="10">
        <v>-10641.433000000001</v>
      </c>
      <c r="H39" s="8" t="s">
        <v>212</v>
      </c>
      <c r="I39" s="8">
        <v>0</v>
      </c>
      <c r="J39" s="8">
        <v>0</v>
      </c>
      <c r="K39" s="8">
        <v>0</v>
      </c>
      <c r="L39" s="8" t="s">
        <v>829</v>
      </c>
      <c r="M39" s="5" t="s">
        <v>805</v>
      </c>
      <c r="N39" s="5" t="s">
        <v>806</v>
      </c>
    </row>
    <row r="40" spans="1:14" x14ac:dyDescent="0.2">
      <c r="A40" s="5" t="s">
        <v>832</v>
      </c>
      <c r="B40" s="8" t="s">
        <v>762</v>
      </c>
      <c r="C40" s="8" t="s">
        <v>787</v>
      </c>
      <c r="D40" s="8" t="s">
        <v>82</v>
      </c>
      <c r="E40" s="8" t="s">
        <v>205</v>
      </c>
      <c r="F40" s="10"/>
      <c r="G40" s="10"/>
      <c r="H40" s="8" t="s">
        <v>207</v>
      </c>
      <c r="I40" s="8">
        <v>0</v>
      </c>
      <c r="J40" s="8">
        <v>0</v>
      </c>
      <c r="K40" s="8">
        <v>0</v>
      </c>
      <c r="L40" s="8" t="s">
        <v>829</v>
      </c>
      <c r="M40" s="5" t="s">
        <v>207</v>
      </c>
      <c r="N40" s="5" t="s">
        <v>788</v>
      </c>
    </row>
    <row r="41" spans="1:14" x14ac:dyDescent="0.2">
      <c r="A41" s="5" t="s">
        <v>832</v>
      </c>
      <c r="B41" s="8" t="s">
        <v>762</v>
      </c>
      <c r="C41" s="8" t="s">
        <v>787</v>
      </c>
      <c r="D41" s="8" t="s">
        <v>82</v>
      </c>
      <c r="E41" s="8" t="s">
        <v>210</v>
      </c>
      <c r="F41" s="10"/>
      <c r="G41" s="10"/>
      <c r="H41" s="8" t="s">
        <v>207</v>
      </c>
      <c r="I41" s="8">
        <v>0</v>
      </c>
      <c r="J41" s="8">
        <v>0</v>
      </c>
      <c r="K41" s="8">
        <v>1</v>
      </c>
      <c r="L41" s="8" t="s">
        <v>829</v>
      </c>
      <c r="M41" s="5" t="s">
        <v>207</v>
      </c>
      <c r="N41" s="5" t="s">
        <v>788</v>
      </c>
    </row>
    <row r="42" spans="1:14" x14ac:dyDescent="0.2">
      <c r="A42" s="5" t="s">
        <v>832</v>
      </c>
      <c r="B42" s="8" t="s">
        <v>762</v>
      </c>
      <c r="C42" s="8" t="s">
        <v>782</v>
      </c>
      <c r="D42" s="8" t="s">
        <v>82</v>
      </c>
      <c r="E42" s="8" t="s">
        <v>203</v>
      </c>
      <c r="F42" s="10"/>
      <c r="G42" s="10"/>
      <c r="H42" s="8" t="s">
        <v>207</v>
      </c>
      <c r="I42" s="8">
        <v>0</v>
      </c>
      <c r="J42" s="8">
        <v>0</v>
      </c>
      <c r="K42" s="8">
        <v>1</v>
      </c>
      <c r="L42" s="8" t="s">
        <v>829</v>
      </c>
      <c r="M42" s="5" t="s">
        <v>207</v>
      </c>
      <c r="N42" s="5" t="s">
        <v>783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zoomScaleNormal="100" workbookViewId="0">
      <pane xSplit="1" ySplit="1" topLeftCell="B2" activePane="bottomRight" state="frozen"/>
      <selection pane="bottomLeft" activeCell="A2" sqref="A2"/>
      <selection pane="topRight" activeCell="B1" sqref="B1"/>
      <selection pane="bottomRight"/>
    </sheetView>
  </sheetViews>
  <sheetFormatPr defaultColWidth="8.7421875" defaultRowHeight="15" x14ac:dyDescent="0.2"/>
  <cols>
    <col min="1" max="1" width="29.99609375" customWidth="1"/>
    <col min="2" max="2" width="23.9453125" customWidth="1"/>
    <col min="3" max="3" width="46.00390625" customWidth="1"/>
    <col min="4" max="4" width="34.03125" customWidth="1"/>
    <col min="5" max="5" width="36.05078125" customWidth="1"/>
    <col min="6" max="6" width="39.953125" customWidth="1"/>
    <col min="7" max="7" width="80.0390625" customWidth="1"/>
  </cols>
  <sheetData>
    <row r="1" spans="1:7" ht="31.5" customHeight="1" x14ac:dyDescent="0.2">
      <c r="A1" s="6" t="s">
        <v>833</v>
      </c>
      <c r="B1" s="6" t="s">
        <v>834</v>
      </c>
      <c r="C1" s="6" t="s">
        <v>835</v>
      </c>
      <c r="D1" s="6" t="s">
        <v>836</v>
      </c>
      <c r="E1" s="6" t="s">
        <v>837</v>
      </c>
      <c r="F1" s="6" t="s">
        <v>838</v>
      </c>
      <c r="G1" s="6" t="s">
        <v>839</v>
      </c>
    </row>
    <row r="2" spans="1:7" ht="150" customHeight="1" x14ac:dyDescent="0.2">
      <c r="A2" s="4" t="s">
        <v>840</v>
      </c>
      <c r="B2" s="5" t="s">
        <v>841</v>
      </c>
      <c r="C2" s="5" t="s">
        <v>842</v>
      </c>
      <c r="D2" s="5" t="s">
        <v>843</v>
      </c>
      <c r="E2" s="5" t="s">
        <v>844</v>
      </c>
      <c r="F2" s="5" t="s">
        <v>845</v>
      </c>
      <c r="G2" s="5" t="s">
        <v>846</v>
      </c>
    </row>
    <row r="3" spans="1:7" ht="150" customHeight="1" x14ac:dyDescent="0.2">
      <c r="A3" s="4" t="s">
        <v>847</v>
      </c>
      <c r="B3" s="5" t="s">
        <v>848</v>
      </c>
      <c r="C3" s="5" t="s">
        <v>849</v>
      </c>
      <c r="D3" s="5" t="s">
        <v>850</v>
      </c>
      <c r="E3" s="5" t="s">
        <v>851</v>
      </c>
      <c r="F3" s="5" t="s">
        <v>852</v>
      </c>
      <c r="G3" s="5" t="s">
        <v>853</v>
      </c>
    </row>
    <row r="4" spans="1:7" ht="150" customHeight="1" x14ac:dyDescent="0.2">
      <c r="A4" s="4" t="s">
        <v>854</v>
      </c>
      <c r="B4" s="5" t="s">
        <v>855</v>
      </c>
      <c r="C4" s="5" t="s">
        <v>856</v>
      </c>
      <c r="D4" s="5" t="s">
        <v>857</v>
      </c>
      <c r="E4" s="5" t="s">
        <v>858</v>
      </c>
      <c r="F4" s="5" t="s">
        <v>859</v>
      </c>
      <c r="G4" s="5" t="s">
        <v>860</v>
      </c>
    </row>
    <row r="5" spans="1:7" ht="150" customHeight="1" x14ac:dyDescent="0.2">
      <c r="A5" s="4" t="s">
        <v>861</v>
      </c>
      <c r="B5" s="5" t="s">
        <v>862</v>
      </c>
      <c r="C5" s="5" t="s">
        <v>863</v>
      </c>
      <c r="D5" s="5" t="s">
        <v>864</v>
      </c>
      <c r="E5" s="5" t="s">
        <v>865</v>
      </c>
      <c r="F5" s="5" t="s">
        <v>866</v>
      </c>
      <c r="G5" s="5" t="s">
        <v>867</v>
      </c>
    </row>
    <row r="6" spans="1:7" ht="150" customHeight="1" x14ac:dyDescent="0.2">
      <c r="A6" s="4" t="s">
        <v>868</v>
      </c>
      <c r="B6" s="5" t="s">
        <v>869</v>
      </c>
      <c r="C6" s="5" t="s">
        <v>870</v>
      </c>
      <c r="D6" s="5" t="s">
        <v>871</v>
      </c>
      <c r="E6" s="5" t="s">
        <v>872</v>
      </c>
      <c r="F6" s="5" t="s">
        <v>873</v>
      </c>
      <c r="G6" s="5" t="s">
        <v>874</v>
      </c>
    </row>
    <row r="7" spans="1:7" ht="150" customHeight="1" x14ac:dyDescent="0.2">
      <c r="A7" s="4" t="s">
        <v>875</v>
      </c>
      <c r="B7" s="5" t="s">
        <v>876</v>
      </c>
      <c r="C7" s="5" t="s">
        <v>877</v>
      </c>
      <c r="D7" s="5" t="s">
        <v>878</v>
      </c>
      <c r="E7" s="5" t="s">
        <v>879</v>
      </c>
      <c r="F7" s="5" t="s">
        <v>880</v>
      </c>
      <c r="G7" s="5" t="s">
        <v>881</v>
      </c>
    </row>
    <row r="8" spans="1:7" ht="150" customHeight="1" x14ac:dyDescent="0.2">
      <c r="A8" s="4" t="s">
        <v>882</v>
      </c>
      <c r="B8" s="5" t="s">
        <v>883</v>
      </c>
      <c r="C8" s="5" t="s">
        <v>884</v>
      </c>
      <c r="D8" s="5" t="s">
        <v>885</v>
      </c>
      <c r="E8" s="5" t="s">
        <v>865</v>
      </c>
      <c r="F8" s="5" t="s">
        <v>886</v>
      </c>
      <c r="G8" s="5" t="s">
        <v>887</v>
      </c>
    </row>
    <row r="9" spans="1:7" ht="150" customHeight="1" x14ac:dyDescent="0.2">
      <c r="A9" s="4" t="s">
        <v>888</v>
      </c>
      <c r="B9" s="5" t="s">
        <v>889</v>
      </c>
      <c r="C9" s="5" t="s">
        <v>890</v>
      </c>
      <c r="D9" s="5" t="s">
        <v>891</v>
      </c>
      <c r="E9" s="5" t="s">
        <v>865</v>
      </c>
      <c r="F9" s="5" t="s">
        <v>892</v>
      </c>
      <c r="G9" s="5" t="s">
        <v>893</v>
      </c>
    </row>
    <row r="10" spans="1:7" ht="150" customHeight="1" x14ac:dyDescent="0.2">
      <c r="A10" s="4" t="s">
        <v>894</v>
      </c>
      <c r="B10" s="5" t="s">
        <v>895</v>
      </c>
      <c r="C10" s="5" t="s">
        <v>896</v>
      </c>
      <c r="D10" s="5" t="s">
        <v>897</v>
      </c>
      <c r="E10" s="5" t="s">
        <v>898</v>
      </c>
      <c r="F10" s="5" t="s">
        <v>899</v>
      </c>
      <c r="G10" s="5" t="s">
        <v>900</v>
      </c>
    </row>
    <row r="11" spans="1:7" ht="150" customHeight="1" x14ac:dyDescent="0.2">
      <c r="A11" s="4" t="s">
        <v>901</v>
      </c>
      <c r="B11" s="5" t="s">
        <v>902</v>
      </c>
      <c r="C11" s="5" t="s">
        <v>903</v>
      </c>
      <c r="D11" s="5" t="s">
        <v>904</v>
      </c>
      <c r="E11" s="5" t="s">
        <v>905</v>
      </c>
      <c r="F11" s="5" t="s">
        <v>906</v>
      </c>
      <c r="G11" s="5" t="s">
        <v>907</v>
      </c>
    </row>
    <row r="12" spans="1:7" ht="150" customHeight="1" x14ac:dyDescent="0.2">
      <c r="A12" s="4" t="s">
        <v>908</v>
      </c>
      <c r="B12" s="5" t="s">
        <v>909</v>
      </c>
      <c r="C12" s="5" t="s">
        <v>910</v>
      </c>
      <c r="D12" s="5" t="s">
        <v>911</v>
      </c>
      <c r="E12" s="5" t="s">
        <v>912</v>
      </c>
      <c r="F12" s="5" t="s">
        <v>913</v>
      </c>
      <c r="G12" s="5" t="s">
        <v>914</v>
      </c>
    </row>
    <row r="13" spans="1:7" ht="150" customHeight="1" x14ac:dyDescent="0.2">
      <c r="A13" s="4" t="s">
        <v>915</v>
      </c>
      <c r="B13" s="5" t="s">
        <v>916</v>
      </c>
      <c r="C13" s="5" t="s">
        <v>917</v>
      </c>
      <c r="D13" s="5" t="s">
        <v>918</v>
      </c>
      <c r="E13" s="5" t="s">
        <v>905</v>
      </c>
      <c r="F13" s="5" t="s">
        <v>919</v>
      </c>
      <c r="G13" s="5" t="s">
        <v>920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zoomScaleNormal="100" workbookViewId="0">
      <pane xSplit="2" ySplit="1" topLeftCell="C2" activePane="bottomRight" state="frozen"/>
      <selection pane="bottomLeft" activeCell="A2" sqref="A2"/>
      <selection pane="topRight" activeCell="C1" sqref="C1"/>
      <selection pane="bottomRight"/>
    </sheetView>
  </sheetViews>
  <sheetFormatPr defaultColWidth="8.7421875" defaultRowHeight="15" x14ac:dyDescent="0.2"/>
  <cols>
    <col min="1" max="1" width="13.046875" customWidth="1"/>
    <col min="2" max="2" width="9.953125" customWidth="1"/>
    <col min="3" max="3" width="29.99609375" customWidth="1"/>
    <col min="4" max="4" width="9.953125" customWidth="1"/>
    <col min="5" max="5" width="57.9765625" customWidth="1"/>
    <col min="6" max="7" width="18.0234375" customWidth="1"/>
    <col min="8" max="8" width="25.9609375" customWidth="1"/>
    <col min="9" max="9" width="16.0078125" customWidth="1"/>
    <col min="10" max="10" width="59.99609375" customWidth="1"/>
  </cols>
  <sheetData>
    <row r="1" spans="1:10" ht="33.75" customHeight="1" x14ac:dyDescent="0.2">
      <c r="A1" s="6" t="s">
        <v>156</v>
      </c>
      <c r="B1" s="6" t="s">
        <v>921</v>
      </c>
      <c r="C1" s="6" t="s">
        <v>922</v>
      </c>
      <c r="D1" s="6" t="s">
        <v>923</v>
      </c>
      <c r="E1" s="6" t="s">
        <v>924</v>
      </c>
      <c r="F1" s="6" t="s">
        <v>925</v>
      </c>
      <c r="G1" s="6" t="s">
        <v>926</v>
      </c>
      <c r="H1" s="6" t="s">
        <v>927</v>
      </c>
      <c r="I1" s="6" t="s">
        <v>928</v>
      </c>
      <c r="J1" s="6" t="s">
        <v>929</v>
      </c>
    </row>
    <row r="2" spans="1:10" ht="24.75" x14ac:dyDescent="0.2">
      <c r="A2" s="8" t="s">
        <v>390</v>
      </c>
      <c r="B2" s="8" t="s">
        <v>203</v>
      </c>
      <c r="C2" s="5" t="s">
        <v>930</v>
      </c>
      <c r="D2" s="8" t="s">
        <v>931</v>
      </c>
      <c r="E2" s="5" t="s">
        <v>932</v>
      </c>
      <c r="F2" s="8" t="s">
        <v>933</v>
      </c>
      <c r="G2" s="8" t="s">
        <v>934</v>
      </c>
      <c r="H2" s="8" t="s">
        <v>935</v>
      </c>
      <c r="I2" s="8" t="s">
        <v>815</v>
      </c>
      <c r="J2" s="5"/>
    </row>
    <row r="3" spans="1:10" ht="24.75" x14ac:dyDescent="0.2">
      <c r="A3" s="8" t="s">
        <v>390</v>
      </c>
      <c r="B3" s="8" t="s">
        <v>203</v>
      </c>
      <c r="C3" s="5" t="s">
        <v>936</v>
      </c>
      <c r="D3" s="8" t="s">
        <v>931</v>
      </c>
      <c r="E3" s="5" t="s">
        <v>937</v>
      </c>
      <c r="F3" s="8" t="s">
        <v>938</v>
      </c>
      <c r="G3" s="8" t="s">
        <v>939</v>
      </c>
      <c r="H3" s="8" t="s">
        <v>940</v>
      </c>
      <c r="I3" s="8" t="s">
        <v>815</v>
      </c>
      <c r="J3" s="5" t="s">
        <v>941</v>
      </c>
    </row>
    <row r="4" spans="1:10" x14ac:dyDescent="0.2">
      <c r="A4" s="8" t="s">
        <v>390</v>
      </c>
      <c r="B4" s="8" t="s">
        <v>203</v>
      </c>
      <c r="C4" s="5" t="s">
        <v>936</v>
      </c>
      <c r="D4" s="8" t="s">
        <v>931</v>
      </c>
      <c r="E4" s="5" t="s">
        <v>942</v>
      </c>
      <c r="F4" s="8" t="s">
        <v>943</v>
      </c>
      <c r="G4" s="8" t="s">
        <v>944</v>
      </c>
      <c r="H4" s="8" t="s">
        <v>945</v>
      </c>
      <c r="I4" s="8" t="s">
        <v>815</v>
      </c>
      <c r="J4" s="5" t="s">
        <v>946</v>
      </c>
    </row>
    <row r="5" spans="1:10" x14ac:dyDescent="0.2">
      <c r="A5" s="8" t="s">
        <v>390</v>
      </c>
      <c r="B5" s="8" t="s">
        <v>203</v>
      </c>
      <c r="C5" s="5" t="s">
        <v>947</v>
      </c>
      <c r="D5" s="8" t="s">
        <v>931</v>
      </c>
      <c r="E5" s="5" t="s">
        <v>948</v>
      </c>
      <c r="F5" s="8" t="s">
        <v>949</v>
      </c>
      <c r="G5" s="8" t="s">
        <v>950</v>
      </c>
      <c r="H5" s="8" t="s">
        <v>951</v>
      </c>
      <c r="I5" s="8" t="s">
        <v>951</v>
      </c>
      <c r="J5" s="5" t="s">
        <v>952</v>
      </c>
    </row>
    <row r="6" spans="1:10" x14ac:dyDescent="0.2">
      <c r="A6" s="8" t="s">
        <v>390</v>
      </c>
      <c r="B6" s="8" t="s">
        <v>210</v>
      </c>
      <c r="C6" s="5" t="s">
        <v>936</v>
      </c>
      <c r="D6" s="8" t="s">
        <v>931</v>
      </c>
      <c r="E6" s="5" t="s">
        <v>953</v>
      </c>
      <c r="F6" s="8" t="s">
        <v>954</v>
      </c>
      <c r="G6" s="8" t="s">
        <v>955</v>
      </c>
      <c r="H6" s="8" t="s">
        <v>956</v>
      </c>
      <c r="I6" s="8" t="s">
        <v>815</v>
      </c>
      <c r="J6" s="5"/>
    </row>
    <row r="7" spans="1:10" ht="24.75" x14ac:dyDescent="0.2">
      <c r="A7" s="8" t="s">
        <v>390</v>
      </c>
      <c r="B7" s="8" t="s">
        <v>210</v>
      </c>
      <c r="C7" s="5" t="s">
        <v>936</v>
      </c>
      <c r="D7" s="8" t="s">
        <v>931</v>
      </c>
      <c r="E7" s="5" t="s">
        <v>957</v>
      </c>
      <c r="F7" s="8" t="s">
        <v>958</v>
      </c>
      <c r="G7" s="8" t="s">
        <v>959</v>
      </c>
      <c r="H7" s="8" t="s">
        <v>960</v>
      </c>
      <c r="I7" s="8" t="s">
        <v>815</v>
      </c>
      <c r="J7" s="5" t="s">
        <v>961</v>
      </c>
    </row>
    <row r="8" spans="1:10" ht="24.75" x14ac:dyDescent="0.2">
      <c r="A8" s="8" t="s">
        <v>390</v>
      </c>
      <c r="B8" s="8" t="s">
        <v>210</v>
      </c>
      <c r="C8" s="5" t="s">
        <v>947</v>
      </c>
      <c r="D8" s="8" t="s">
        <v>931</v>
      </c>
      <c r="E8" s="5" t="s">
        <v>948</v>
      </c>
      <c r="F8" s="8" t="s">
        <v>962</v>
      </c>
      <c r="G8" s="8" t="s">
        <v>963</v>
      </c>
      <c r="H8" s="8" t="s">
        <v>951</v>
      </c>
      <c r="I8" s="8" t="s">
        <v>951</v>
      </c>
      <c r="J8" s="5" t="s">
        <v>964</v>
      </c>
    </row>
    <row r="9" spans="1:10" ht="24.75" x14ac:dyDescent="0.2">
      <c r="A9" s="8" t="s">
        <v>469</v>
      </c>
      <c r="B9" s="8" t="s">
        <v>205</v>
      </c>
      <c r="C9" s="5" t="s">
        <v>965</v>
      </c>
      <c r="D9" s="8" t="s">
        <v>931</v>
      </c>
      <c r="E9" s="5" t="s">
        <v>966</v>
      </c>
      <c r="F9" s="8" t="s">
        <v>967</v>
      </c>
      <c r="G9" s="8" t="s">
        <v>968</v>
      </c>
      <c r="H9" s="8" t="s">
        <v>969</v>
      </c>
      <c r="I9" s="8" t="s">
        <v>815</v>
      </c>
      <c r="J9" s="5"/>
    </row>
    <row r="10" spans="1:10" ht="24.75" x14ac:dyDescent="0.2">
      <c r="A10" s="8" t="s">
        <v>469</v>
      </c>
      <c r="B10" s="8" t="s">
        <v>215</v>
      </c>
      <c r="C10" s="5" t="s">
        <v>970</v>
      </c>
      <c r="D10" s="8" t="s">
        <v>931</v>
      </c>
      <c r="E10" s="5" t="s">
        <v>966</v>
      </c>
      <c r="F10" s="8" t="s">
        <v>971</v>
      </c>
      <c r="G10" s="8" t="s">
        <v>972</v>
      </c>
      <c r="H10" s="8" t="s">
        <v>973</v>
      </c>
      <c r="I10" s="8" t="s">
        <v>815</v>
      </c>
      <c r="J10" s="5" t="s">
        <v>974</v>
      </c>
    </row>
    <row r="11" spans="1:10" ht="24.75" x14ac:dyDescent="0.2">
      <c r="A11" s="8" t="s">
        <v>469</v>
      </c>
      <c r="B11" s="8" t="s">
        <v>290</v>
      </c>
      <c r="C11" s="5" t="s">
        <v>975</v>
      </c>
      <c r="D11" s="8" t="s">
        <v>931</v>
      </c>
      <c r="E11" s="5" t="s">
        <v>976</v>
      </c>
      <c r="F11" s="8" t="s">
        <v>977</v>
      </c>
      <c r="G11" s="8" t="s">
        <v>978</v>
      </c>
      <c r="H11" s="8" t="s">
        <v>979</v>
      </c>
      <c r="I11" s="8" t="s">
        <v>815</v>
      </c>
      <c r="J11" s="5" t="s">
        <v>980</v>
      </c>
    </row>
    <row r="12" spans="1:10" ht="24.75" x14ac:dyDescent="0.2">
      <c r="A12" s="8" t="s">
        <v>469</v>
      </c>
      <c r="B12" s="8" t="s">
        <v>210</v>
      </c>
      <c r="C12" s="5" t="s">
        <v>981</v>
      </c>
      <c r="D12" s="8" t="s">
        <v>931</v>
      </c>
      <c r="E12" s="5" t="s">
        <v>966</v>
      </c>
      <c r="F12" s="8" t="s">
        <v>982</v>
      </c>
      <c r="G12" s="8" t="s">
        <v>983</v>
      </c>
      <c r="H12" s="8" t="s">
        <v>984</v>
      </c>
      <c r="I12" s="8" t="s">
        <v>815</v>
      </c>
      <c r="J12" s="5"/>
    </row>
    <row r="13" spans="1:10" ht="24.75" x14ac:dyDescent="0.2">
      <c r="A13" s="8" t="s">
        <v>438</v>
      </c>
      <c r="B13" s="8" t="s">
        <v>290</v>
      </c>
      <c r="C13" s="5" t="s">
        <v>985</v>
      </c>
      <c r="D13" s="8" t="s">
        <v>986</v>
      </c>
      <c r="E13" s="5" t="s">
        <v>987</v>
      </c>
      <c r="F13" s="8" t="s">
        <v>988</v>
      </c>
      <c r="G13" s="8" t="s">
        <v>989</v>
      </c>
      <c r="H13" s="8" t="s">
        <v>990</v>
      </c>
      <c r="I13" s="8" t="s">
        <v>815</v>
      </c>
      <c r="J13" s="5" t="s">
        <v>991</v>
      </c>
    </row>
    <row r="14" spans="1:10" ht="24.75" x14ac:dyDescent="0.2">
      <c r="A14" s="8" t="s">
        <v>438</v>
      </c>
      <c r="B14" s="8" t="s">
        <v>210</v>
      </c>
      <c r="C14" s="5" t="s">
        <v>992</v>
      </c>
      <c r="D14" s="8" t="s">
        <v>986</v>
      </c>
      <c r="E14" s="5" t="s">
        <v>987</v>
      </c>
      <c r="F14" s="8" t="s">
        <v>993</v>
      </c>
      <c r="G14" s="8" t="s">
        <v>994</v>
      </c>
      <c r="H14" s="8" t="s">
        <v>995</v>
      </c>
      <c r="I14" s="8" t="s">
        <v>815</v>
      </c>
      <c r="J14" s="5" t="s">
        <v>996</v>
      </c>
    </row>
    <row r="15" spans="1:10" ht="24.75" x14ac:dyDescent="0.2">
      <c r="A15" s="8" t="s">
        <v>634</v>
      </c>
      <c r="B15" s="8" t="s">
        <v>290</v>
      </c>
      <c r="C15" s="5" t="s">
        <v>997</v>
      </c>
      <c r="D15" s="8" t="s">
        <v>986</v>
      </c>
      <c r="E15" s="5" t="s">
        <v>998</v>
      </c>
      <c r="F15" s="8" t="s">
        <v>999</v>
      </c>
      <c r="G15" s="8" t="s">
        <v>1000</v>
      </c>
      <c r="H15" s="8" t="s">
        <v>1001</v>
      </c>
      <c r="I15" s="8" t="s">
        <v>815</v>
      </c>
      <c r="J15" s="5"/>
    </row>
    <row r="16" spans="1:10" ht="24.75" x14ac:dyDescent="0.2">
      <c r="A16" s="8" t="s">
        <v>634</v>
      </c>
      <c r="B16" s="8" t="s">
        <v>210</v>
      </c>
      <c r="C16" s="5" t="s">
        <v>1002</v>
      </c>
      <c r="D16" s="8" t="s">
        <v>986</v>
      </c>
      <c r="E16" s="5" t="s">
        <v>998</v>
      </c>
      <c r="F16" s="8" t="s">
        <v>1003</v>
      </c>
      <c r="G16" s="8" t="s">
        <v>1004</v>
      </c>
      <c r="H16" s="8" t="s">
        <v>1005</v>
      </c>
      <c r="I16" s="8" t="s">
        <v>815</v>
      </c>
      <c r="J16" s="5"/>
    </row>
    <row r="17" spans="1:10" ht="24.75" x14ac:dyDescent="0.2">
      <c r="A17" s="8" t="s">
        <v>374</v>
      </c>
      <c r="B17" s="8" t="s">
        <v>1006</v>
      </c>
      <c r="C17" s="5" t="s">
        <v>1007</v>
      </c>
      <c r="D17" s="8" t="s">
        <v>986</v>
      </c>
      <c r="E17" s="5" t="s">
        <v>987</v>
      </c>
      <c r="F17" s="8" t="s">
        <v>1008</v>
      </c>
      <c r="G17" s="8" t="s">
        <v>1009</v>
      </c>
      <c r="H17" s="8" t="s">
        <v>1010</v>
      </c>
      <c r="I17" s="8" t="s">
        <v>815</v>
      </c>
      <c r="J17" s="5"/>
    </row>
    <row r="18" spans="1:10" ht="24.75" x14ac:dyDescent="0.2">
      <c r="A18" s="8" t="s">
        <v>374</v>
      </c>
      <c r="B18" s="8" t="s">
        <v>215</v>
      </c>
      <c r="C18" s="5" t="s">
        <v>1011</v>
      </c>
      <c r="D18" s="8" t="s">
        <v>986</v>
      </c>
      <c r="E18" s="5" t="s">
        <v>987</v>
      </c>
      <c r="F18" s="8" t="s">
        <v>1012</v>
      </c>
      <c r="G18" s="8" t="s">
        <v>1013</v>
      </c>
      <c r="H18" s="8" t="s">
        <v>1014</v>
      </c>
      <c r="I18" s="8" t="s">
        <v>815</v>
      </c>
      <c r="J18" s="5"/>
    </row>
    <row r="19" spans="1:10" ht="24.75" x14ac:dyDescent="0.2">
      <c r="A19" s="8" t="s">
        <v>520</v>
      </c>
      <c r="B19" s="8" t="s">
        <v>1006</v>
      </c>
      <c r="C19" s="5" t="s">
        <v>1015</v>
      </c>
      <c r="D19" s="8" t="s">
        <v>931</v>
      </c>
      <c r="E19" s="5" t="s">
        <v>1016</v>
      </c>
      <c r="F19" s="8" t="s">
        <v>1017</v>
      </c>
      <c r="G19" s="8" t="s">
        <v>1018</v>
      </c>
      <c r="H19" s="8" t="s">
        <v>1019</v>
      </c>
      <c r="I19" s="8" t="s">
        <v>815</v>
      </c>
      <c r="J19" s="5"/>
    </row>
    <row r="20" spans="1:10" ht="24.75" x14ac:dyDescent="0.2">
      <c r="A20" s="8" t="s">
        <v>520</v>
      </c>
      <c r="B20" s="8" t="s">
        <v>205</v>
      </c>
      <c r="C20" s="5" t="s">
        <v>1020</v>
      </c>
      <c r="D20" s="8" t="s">
        <v>931</v>
      </c>
      <c r="E20" s="5" t="s">
        <v>1016</v>
      </c>
      <c r="F20" s="8" t="s">
        <v>1021</v>
      </c>
      <c r="G20" s="8" t="s">
        <v>1022</v>
      </c>
      <c r="H20" s="8" t="s">
        <v>1023</v>
      </c>
      <c r="I20" s="8" t="s">
        <v>815</v>
      </c>
      <c r="J20" s="5"/>
    </row>
    <row r="21" spans="1:10" ht="24.75" x14ac:dyDescent="0.2">
      <c r="A21" s="8" t="s">
        <v>223</v>
      </c>
      <c r="B21" s="8" t="s">
        <v>205</v>
      </c>
      <c r="C21" s="5" t="s">
        <v>1024</v>
      </c>
      <c r="D21" s="8" t="s">
        <v>931</v>
      </c>
      <c r="E21" s="5" t="s">
        <v>1025</v>
      </c>
      <c r="F21" s="8" t="s">
        <v>1026</v>
      </c>
      <c r="G21" s="8" t="s">
        <v>1027</v>
      </c>
      <c r="H21" s="8" t="s">
        <v>1028</v>
      </c>
      <c r="I21" s="8" t="s">
        <v>1029</v>
      </c>
      <c r="J21" s="5" t="s">
        <v>1030</v>
      </c>
    </row>
    <row r="22" spans="1:10" ht="24.75" x14ac:dyDescent="0.2">
      <c r="A22" s="8" t="s">
        <v>223</v>
      </c>
      <c r="B22" s="8" t="s">
        <v>290</v>
      </c>
      <c r="C22" s="5" t="s">
        <v>1031</v>
      </c>
      <c r="D22" s="8" t="s">
        <v>931</v>
      </c>
      <c r="E22" s="5" t="s">
        <v>1032</v>
      </c>
      <c r="F22" s="8" t="s">
        <v>1033</v>
      </c>
      <c r="G22" s="8" t="s">
        <v>1034</v>
      </c>
      <c r="H22" s="8" t="s">
        <v>1035</v>
      </c>
      <c r="I22" s="8" t="s">
        <v>815</v>
      </c>
      <c r="J22" s="5" t="s">
        <v>1036</v>
      </c>
    </row>
    <row r="23" spans="1:10" ht="36" x14ac:dyDescent="0.2">
      <c r="A23" s="8" t="s">
        <v>223</v>
      </c>
      <c r="B23" s="8" t="s">
        <v>210</v>
      </c>
      <c r="C23" s="5" t="s">
        <v>1037</v>
      </c>
      <c r="D23" s="8" t="s">
        <v>931</v>
      </c>
      <c r="E23" s="5" t="s">
        <v>1038</v>
      </c>
      <c r="F23" s="8" t="s">
        <v>1039</v>
      </c>
      <c r="G23" s="8" t="s">
        <v>1040</v>
      </c>
      <c r="H23" s="8" t="s">
        <v>1041</v>
      </c>
      <c r="I23" s="8" t="s">
        <v>1029</v>
      </c>
      <c r="J23" s="5" t="s">
        <v>1042</v>
      </c>
    </row>
    <row r="24" spans="1:10" ht="24.75" x14ac:dyDescent="0.2">
      <c r="A24" s="8" t="s">
        <v>549</v>
      </c>
      <c r="B24" s="8" t="s">
        <v>203</v>
      </c>
      <c r="C24" s="5" t="s">
        <v>930</v>
      </c>
      <c r="D24" s="8" t="s">
        <v>986</v>
      </c>
      <c r="E24" s="5" t="s">
        <v>1043</v>
      </c>
      <c r="F24" s="8" t="s">
        <v>1044</v>
      </c>
      <c r="G24" s="8" t="s">
        <v>1045</v>
      </c>
      <c r="H24" s="8" t="s">
        <v>1046</v>
      </c>
      <c r="I24" s="8" t="s">
        <v>815</v>
      </c>
      <c r="J24" s="5" t="s">
        <v>1047</v>
      </c>
    </row>
    <row r="25" spans="1:10" ht="24.75" x14ac:dyDescent="0.2">
      <c r="A25" s="8" t="s">
        <v>260</v>
      </c>
      <c r="B25" s="8" t="s">
        <v>203</v>
      </c>
      <c r="C25" s="5" t="s">
        <v>1048</v>
      </c>
      <c r="D25" s="8" t="s">
        <v>931</v>
      </c>
      <c r="E25" s="5" t="s">
        <v>1049</v>
      </c>
      <c r="F25" s="8" t="s">
        <v>1050</v>
      </c>
      <c r="G25" s="8" t="s">
        <v>1051</v>
      </c>
      <c r="H25" s="8" t="s">
        <v>1052</v>
      </c>
      <c r="I25" s="8" t="s">
        <v>1053</v>
      </c>
      <c r="J25" s="5" t="s">
        <v>1054</v>
      </c>
    </row>
    <row r="26" spans="1:10" x14ac:dyDescent="0.2">
      <c r="A26" s="8" t="s">
        <v>326</v>
      </c>
      <c r="B26" s="8" t="s">
        <v>203</v>
      </c>
      <c r="C26" s="5" t="s">
        <v>1055</v>
      </c>
      <c r="D26" s="8" t="s">
        <v>931</v>
      </c>
      <c r="E26" s="5" t="s">
        <v>1056</v>
      </c>
      <c r="F26" s="8" t="s">
        <v>1057</v>
      </c>
      <c r="G26" s="8" t="s">
        <v>1058</v>
      </c>
      <c r="H26" s="8" t="s">
        <v>1059</v>
      </c>
      <c r="I26" s="8" t="s">
        <v>815</v>
      </c>
      <c r="J26" s="5" t="s">
        <v>1060</v>
      </c>
    </row>
    <row r="27" spans="1:10" x14ac:dyDescent="0.2">
      <c r="A27" s="8" t="s">
        <v>523</v>
      </c>
      <c r="B27" s="8" t="s">
        <v>1006</v>
      </c>
      <c r="C27" s="5" t="s">
        <v>1061</v>
      </c>
      <c r="D27" s="8" t="s">
        <v>986</v>
      </c>
      <c r="E27" s="5" t="s">
        <v>1062</v>
      </c>
      <c r="F27" s="8" t="s">
        <v>1063</v>
      </c>
      <c r="G27" s="8" t="s">
        <v>1064</v>
      </c>
      <c r="H27" s="8" t="s">
        <v>1065</v>
      </c>
      <c r="I27" s="8" t="s">
        <v>815</v>
      </c>
      <c r="J27" s="5"/>
    </row>
    <row r="28" spans="1:10" x14ac:dyDescent="0.2">
      <c r="A28" s="8" t="s">
        <v>523</v>
      </c>
      <c r="B28" s="8" t="s">
        <v>205</v>
      </c>
      <c r="C28" s="5" t="s">
        <v>1066</v>
      </c>
      <c r="D28" s="8" t="s">
        <v>986</v>
      </c>
      <c r="E28" s="5" t="s">
        <v>1062</v>
      </c>
      <c r="F28" s="8" t="s">
        <v>955</v>
      </c>
      <c r="G28" s="8" t="s">
        <v>1067</v>
      </c>
      <c r="H28" s="8" t="s">
        <v>1068</v>
      </c>
      <c r="I28" s="8" t="s">
        <v>815</v>
      </c>
      <c r="J28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26"/>
  <sheetViews>
    <sheetView zoomScaleNormal="100" workbookViewId="0">
      <pane ySplit="3" topLeftCell="A4" activePane="bottomLeft" state="frozen"/>
      <selection pane="bottomLeft"/>
    </sheetView>
  </sheetViews>
  <sheetFormatPr defaultColWidth="8.7421875" defaultRowHeight="15" x14ac:dyDescent="0.2"/>
  <cols>
    <col min="1" max="8" width="13.98828125" customWidth="1"/>
    <col min="11" max="21" width="13.98828125" customWidth="1"/>
  </cols>
  <sheetData>
    <row r="1" spans="1:21" x14ac:dyDescent="0.2">
      <c r="A1" s="1" t="s">
        <v>1069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1" x14ac:dyDescent="0.2">
      <c r="A2" s="7" t="s">
        <v>1070</v>
      </c>
      <c r="K2" s="7" t="s">
        <v>1071</v>
      </c>
    </row>
    <row r="3" spans="1:21" ht="43.5" customHeight="1" x14ac:dyDescent="0.2">
      <c r="A3" s="6" t="s">
        <v>156</v>
      </c>
      <c r="B3" s="6" t="s">
        <v>1072</v>
      </c>
      <c r="C3" s="6" t="s">
        <v>1073</v>
      </c>
      <c r="D3" s="6" t="s">
        <v>1074</v>
      </c>
      <c r="E3" s="6" t="s">
        <v>1075</v>
      </c>
      <c r="F3" s="6" t="s">
        <v>1076</v>
      </c>
      <c r="G3" s="6" t="s">
        <v>1077</v>
      </c>
      <c r="H3" s="6" t="s">
        <v>1078</v>
      </c>
      <c r="K3" s="6" t="s">
        <v>156</v>
      </c>
      <c r="L3" s="6" t="s">
        <v>1072</v>
      </c>
      <c r="M3" s="6" t="s">
        <v>1073</v>
      </c>
      <c r="N3" s="6" t="s">
        <v>1079</v>
      </c>
      <c r="O3" s="6" t="s">
        <v>1075</v>
      </c>
      <c r="P3" s="6" t="s">
        <v>1080</v>
      </c>
      <c r="Q3" s="6" t="s">
        <v>1081</v>
      </c>
      <c r="R3" s="6" t="s">
        <v>1082</v>
      </c>
      <c r="S3" s="6" t="s">
        <v>1077</v>
      </c>
      <c r="T3" s="6" t="s">
        <v>1083</v>
      </c>
      <c r="U3" s="6" t="s">
        <v>1084</v>
      </c>
    </row>
    <row r="4" spans="1:21" x14ac:dyDescent="0.2">
      <c r="A4" s="8" t="s">
        <v>213</v>
      </c>
      <c r="B4" s="8">
        <v>2025</v>
      </c>
      <c r="C4" s="8">
        <v>3</v>
      </c>
      <c r="D4" s="10">
        <v>-835.98400000000004</v>
      </c>
      <c r="E4" s="10">
        <v>57.896999999999998</v>
      </c>
      <c r="F4" s="10">
        <v>4.9390000000000001</v>
      </c>
      <c r="G4" s="8">
        <f>IF(ABS(D4-E4)&lt;=0.002,1,0)</f>
        <v>0</v>
      </c>
      <c r="H4" s="8">
        <f>IF(ABS(D4-F4)&lt;=0.002,1,0)</f>
        <v>0</v>
      </c>
      <c r="K4" s="8" t="s">
        <v>217</v>
      </c>
      <c r="L4" s="8">
        <v>2025</v>
      </c>
      <c r="M4" s="8">
        <v>12</v>
      </c>
      <c r="N4" s="10">
        <v>2049.5749999999998</v>
      </c>
      <c r="O4" s="10">
        <v>2049.5749999999998</v>
      </c>
      <c r="P4" s="10">
        <v>2152.23</v>
      </c>
      <c r="Q4" s="10"/>
      <c r="R4" s="10"/>
      <c r="S4" s="8">
        <f>IF(ABS(N4-O4)&lt;=0.002,1,0)</f>
        <v>1</v>
      </c>
      <c r="T4" s="8">
        <f>IF(ISNUMBER(P4),IF(ABS(N4-P4)&lt;=0.002,1,0),0)</f>
        <v>0</v>
      </c>
      <c r="U4" s="8">
        <f>IF(AND(ISNUMBER(P4),ISNUMBER(R4)),IF(AND(P4&gt;0,R4&lt;0),1,0),0)</f>
        <v>0</v>
      </c>
    </row>
    <row r="5" spans="1:21" x14ac:dyDescent="0.2">
      <c r="A5" s="8" t="s">
        <v>217</v>
      </c>
      <c r="B5" s="8">
        <v>2026</v>
      </c>
      <c r="C5" s="8">
        <v>6</v>
      </c>
      <c r="D5" s="10">
        <v>752.553</v>
      </c>
      <c r="E5" s="10">
        <v>752.553</v>
      </c>
      <c r="F5" s="10">
        <v>110.611</v>
      </c>
      <c r="G5" s="8">
        <f>IF(ABS(D5-E5)&lt;=0.002,1,0)</f>
        <v>1</v>
      </c>
      <c r="H5" s="8">
        <f>IF(ABS(D5-F5)&lt;=0.002,1,0)</f>
        <v>0</v>
      </c>
      <c r="K5" s="8" t="s">
        <v>217</v>
      </c>
      <c r="L5" s="8">
        <v>2026</v>
      </c>
      <c r="M5" s="8">
        <v>3</v>
      </c>
      <c r="N5" s="10">
        <v>2181.8510000000001</v>
      </c>
      <c r="O5" s="10">
        <v>2181.8519999999999</v>
      </c>
      <c r="P5" s="10">
        <v>2284.5050000000001</v>
      </c>
      <c r="Q5" s="10"/>
      <c r="R5" s="10"/>
      <c r="S5" s="8">
        <f>IF(ABS(N5-O5)&lt;=0.002,1,0)</f>
        <v>1</v>
      </c>
      <c r="T5" s="8">
        <f>IF(ISNUMBER(P5),IF(ABS(N5-P5)&lt;=0.002,1,0),0)</f>
        <v>0</v>
      </c>
      <c r="U5" s="8">
        <f>IF(AND(ISNUMBER(P5),ISNUMBER(R5)),IF(AND(P5&gt;0,R5&lt;0),1,0),0)</f>
        <v>0</v>
      </c>
    </row>
    <row r="6" spans="1:21" x14ac:dyDescent="0.2">
      <c r="A6" s="8" t="s">
        <v>226</v>
      </c>
      <c r="B6" s="8">
        <v>2025</v>
      </c>
      <c r="C6" s="8">
        <v>3</v>
      </c>
      <c r="D6" s="10">
        <v>239.018</v>
      </c>
      <c r="E6" s="10">
        <v>239.018</v>
      </c>
      <c r="F6" s="10">
        <v>1.216</v>
      </c>
      <c r="G6" s="8">
        <f>IF(ABS(D6-E6)&lt;=0.002,1,0)</f>
        <v>1</v>
      </c>
      <c r="H6" s="8">
        <f>IF(ABS(D6-F6)&lt;=0.002,1,0)</f>
        <v>0</v>
      </c>
      <c r="K6" s="8" t="s">
        <v>223</v>
      </c>
      <c r="L6" s="8">
        <v>2025</v>
      </c>
      <c r="M6" s="8">
        <v>6</v>
      </c>
      <c r="N6" s="10">
        <v>1357.15</v>
      </c>
      <c r="O6" s="10">
        <v>1357.1510000000001</v>
      </c>
      <c r="P6" s="10">
        <v>1357.15</v>
      </c>
      <c r="Q6" s="10"/>
      <c r="R6" s="10">
        <v>0</v>
      </c>
      <c r="S6" s="8">
        <f>IF(ABS(N6-O6)&lt;=0.002,1,0)</f>
        <v>1</v>
      </c>
      <c r="T6" s="8">
        <f>IF(ISNUMBER(P6),IF(ABS(N6-P6)&lt;=0.002,1,0),0)</f>
        <v>1</v>
      </c>
      <c r="U6" s="8">
        <f>IF(AND(ISNUMBER(P6),ISNUMBER(R6)),IF(AND(P6&gt;0,R6&lt;0),1,0),0)</f>
        <v>0</v>
      </c>
    </row>
    <row r="7" spans="1:21" x14ac:dyDescent="0.2">
      <c r="A7" s="8" t="s">
        <v>230</v>
      </c>
      <c r="B7" s="8">
        <v>2026</v>
      </c>
      <c r="C7" s="8">
        <v>3</v>
      </c>
      <c r="D7" s="10">
        <v>127.434</v>
      </c>
      <c r="E7" s="10">
        <v>127.435</v>
      </c>
      <c r="F7" s="10">
        <v>23.396000000000001</v>
      </c>
      <c r="G7" s="8">
        <f>IF(ABS(D7-E7)&lt;=0.002,1,0)</f>
        <v>1</v>
      </c>
      <c r="H7" s="8">
        <f>IF(ABS(D7-F7)&lt;=0.002,1,0)</f>
        <v>0</v>
      </c>
      <c r="K7" s="8" t="s">
        <v>230</v>
      </c>
      <c r="L7" s="8">
        <v>2024</v>
      </c>
      <c r="M7" s="8">
        <v>3</v>
      </c>
      <c r="N7" s="10">
        <v>1.296</v>
      </c>
      <c r="O7" s="10">
        <v>1.296</v>
      </c>
      <c r="P7" s="10">
        <v>13.459</v>
      </c>
      <c r="Q7" s="10"/>
      <c r="R7" s="10"/>
      <c r="S7" s="8">
        <f>IF(ABS(N7-O7)&lt;=0.002,1,0)</f>
        <v>1</v>
      </c>
      <c r="T7" s="8">
        <f>IF(ISNUMBER(P7),IF(ABS(N7-P7)&lt;=0.002,1,0),0)</f>
        <v>0</v>
      </c>
      <c r="U7" s="8">
        <f>IF(AND(ISNUMBER(P7),ISNUMBER(R7)),IF(AND(P7&gt;0,R7&lt;0),1,0),0)</f>
        <v>0</v>
      </c>
    </row>
    <row r="8" spans="1:21" x14ac:dyDescent="0.2">
      <c r="A8" s="8" t="s">
        <v>238</v>
      </c>
      <c r="B8" s="8">
        <v>2024</v>
      </c>
      <c r="C8" s="8">
        <v>9</v>
      </c>
      <c r="D8" s="10">
        <v>-367.214</v>
      </c>
      <c r="E8" s="10">
        <v>-367.21499999999997</v>
      </c>
      <c r="F8" s="10">
        <v>16.623999999999999</v>
      </c>
      <c r="G8" s="8">
        <f>IF(ABS(D8-E8)&lt;=0.002,1,0)</f>
        <v>1</v>
      </c>
      <c r="H8" s="8">
        <f>IF(ABS(D8-F8)&lt;=0.002,1,0)</f>
        <v>0</v>
      </c>
      <c r="K8" s="8" t="s">
        <v>230</v>
      </c>
      <c r="L8" s="8">
        <v>2024</v>
      </c>
      <c r="M8" s="8">
        <v>9</v>
      </c>
      <c r="N8" s="10">
        <v>17.795000000000002</v>
      </c>
      <c r="O8" s="10">
        <v>17.795000000000002</v>
      </c>
      <c r="P8" s="10">
        <v>7.07</v>
      </c>
      <c r="Q8" s="10"/>
      <c r="R8" s="10"/>
      <c r="S8" s="8">
        <f>IF(ABS(N8-O8)&lt;=0.002,1,0)</f>
        <v>1</v>
      </c>
      <c r="T8" s="8">
        <f>IF(ISNUMBER(P8),IF(ABS(N8-P8)&lt;=0.002,1,0),0)</f>
        <v>0</v>
      </c>
      <c r="U8" s="8">
        <f>IF(AND(ISNUMBER(P8),ISNUMBER(R8)),IF(AND(P8&gt;0,R8&lt;0),1,0),0)</f>
        <v>0</v>
      </c>
    </row>
    <row r="9" spans="1:21" x14ac:dyDescent="0.2">
      <c r="A9" s="8" t="s">
        <v>240</v>
      </c>
      <c r="B9" s="8">
        <v>2024</v>
      </c>
      <c r="C9" s="8">
        <v>3</v>
      </c>
      <c r="D9" s="10">
        <v>15.499000000000001</v>
      </c>
      <c r="E9" s="10">
        <v>15.5</v>
      </c>
      <c r="F9" s="10">
        <v>15.499000000000001</v>
      </c>
      <c r="G9" s="8">
        <f>IF(ABS(D9-E9)&lt;=0.002,1,0)</f>
        <v>1</v>
      </c>
      <c r="H9" s="8">
        <f>IF(ABS(D9-F9)&lt;=0.002,1,0)</f>
        <v>1</v>
      </c>
      <c r="K9" s="8" t="s">
        <v>234</v>
      </c>
      <c r="L9" s="8">
        <v>2024</v>
      </c>
      <c r="M9" s="8">
        <v>9</v>
      </c>
      <c r="N9" s="10">
        <v>5.3659999999999997</v>
      </c>
      <c r="O9" s="10">
        <v>83.549000000000007</v>
      </c>
      <c r="P9" s="10">
        <v>5.3659999999999997</v>
      </c>
      <c r="Q9" s="10"/>
      <c r="R9" s="10"/>
      <c r="S9" s="8">
        <f>IF(ABS(N9-O9)&lt;=0.002,1,0)</f>
        <v>0</v>
      </c>
      <c r="T9" s="8">
        <f>IF(ISNUMBER(P9),IF(ABS(N9-P9)&lt;=0.002,1,0),0)</f>
        <v>1</v>
      </c>
      <c r="U9" s="8">
        <f>IF(AND(ISNUMBER(P9),ISNUMBER(R9)),IF(AND(P9&gt;0,R9&lt;0),1,0),0)</f>
        <v>0</v>
      </c>
    </row>
    <row r="10" spans="1:21" x14ac:dyDescent="0.2">
      <c r="A10" s="8" t="s">
        <v>240</v>
      </c>
      <c r="B10" s="8">
        <v>2024</v>
      </c>
      <c r="C10" s="8">
        <v>6</v>
      </c>
      <c r="D10" s="10">
        <v>28.536999999999999</v>
      </c>
      <c r="E10" s="10">
        <v>28.536999999999999</v>
      </c>
      <c r="F10" s="10">
        <v>28.536999999999999</v>
      </c>
      <c r="G10" s="8">
        <f>IF(ABS(D10-E10)&lt;=0.002,1,0)</f>
        <v>1</v>
      </c>
      <c r="H10" s="8">
        <f>IF(ABS(D10-F10)&lt;=0.002,1,0)</f>
        <v>1</v>
      </c>
      <c r="K10" s="8" t="s">
        <v>651</v>
      </c>
      <c r="L10" s="8">
        <v>2025</v>
      </c>
      <c r="M10" s="8">
        <v>3</v>
      </c>
      <c r="N10" s="10">
        <v>29.338000000000001</v>
      </c>
      <c r="O10" s="10">
        <v>29.338999999999999</v>
      </c>
      <c r="P10" s="10">
        <v>0.1</v>
      </c>
      <c r="Q10" s="10"/>
      <c r="R10" s="10"/>
      <c r="S10" s="8">
        <f>IF(ABS(N10-O10)&lt;=0.002,1,0)</f>
        <v>1</v>
      </c>
      <c r="T10" s="8">
        <f>IF(ISNUMBER(P10),IF(ABS(N10-P10)&lt;=0.002,1,0),0)</f>
        <v>0</v>
      </c>
      <c r="U10" s="8">
        <f>IF(AND(ISNUMBER(P10),ISNUMBER(R10)),IF(AND(P10&gt;0,R10&lt;0),1,0),0)</f>
        <v>0</v>
      </c>
    </row>
    <row r="11" spans="1:21" x14ac:dyDescent="0.2">
      <c r="A11" s="8" t="s">
        <v>243</v>
      </c>
      <c r="B11" s="8">
        <v>2024</v>
      </c>
      <c r="C11" s="8">
        <v>9</v>
      </c>
      <c r="D11" s="10">
        <v>-261.26900000000001</v>
      </c>
      <c r="E11" s="10">
        <v>-261.27</v>
      </c>
      <c r="F11" s="10">
        <v>30.396999999999998</v>
      </c>
      <c r="G11" s="8">
        <f>IF(ABS(D11-E11)&lt;=0.002,1,0)</f>
        <v>1</v>
      </c>
      <c r="H11" s="8">
        <f>IF(ABS(D11-F11)&lt;=0.002,1,0)</f>
        <v>0</v>
      </c>
      <c r="K11" s="8" t="s">
        <v>246</v>
      </c>
      <c r="L11" s="8">
        <v>2026</v>
      </c>
      <c r="M11" s="8">
        <v>3</v>
      </c>
      <c r="N11" s="10">
        <v>1.8939999999999999</v>
      </c>
      <c r="O11" s="10">
        <v>1.8939999999999999</v>
      </c>
      <c r="P11" s="10">
        <v>1.8939999999999999</v>
      </c>
      <c r="Q11" s="10"/>
      <c r="R11" s="10"/>
      <c r="S11" s="8">
        <f>IF(ABS(N11-O11)&lt;=0.002,1,0)</f>
        <v>1</v>
      </c>
      <c r="T11" s="8">
        <f>IF(ISNUMBER(P11),IF(ABS(N11-P11)&lt;=0.002,1,0),0)</f>
        <v>1</v>
      </c>
      <c r="U11" s="8">
        <f>IF(AND(ISNUMBER(P11),ISNUMBER(R11)),IF(AND(P11&gt;0,R11&lt;0),1,0),0)</f>
        <v>0</v>
      </c>
    </row>
    <row r="12" spans="1:21" x14ac:dyDescent="0.2">
      <c r="A12" s="8" t="s">
        <v>244</v>
      </c>
      <c r="B12" s="8">
        <v>2024</v>
      </c>
      <c r="C12" s="8">
        <v>3</v>
      </c>
      <c r="D12" s="10">
        <v>0.83599999999999997</v>
      </c>
      <c r="E12" s="10">
        <v>0.83699999999999997</v>
      </c>
      <c r="F12" s="10">
        <v>0.83599999999999997</v>
      </c>
      <c r="G12" s="8">
        <f>IF(ABS(D12-E12)&lt;=0.002,1,0)</f>
        <v>1</v>
      </c>
      <c r="H12" s="8">
        <f>IF(ABS(D12-F12)&lt;=0.002,1,0)</f>
        <v>1</v>
      </c>
      <c r="K12" s="8" t="s">
        <v>246</v>
      </c>
      <c r="L12" s="8">
        <v>2026</v>
      </c>
      <c r="M12" s="8">
        <v>6</v>
      </c>
      <c r="N12" s="10">
        <v>67.561999999999998</v>
      </c>
      <c r="O12" s="10">
        <v>67.561999999999998</v>
      </c>
      <c r="P12" s="10">
        <v>8.7420000000000009</v>
      </c>
      <c r="Q12" s="10"/>
      <c r="R12" s="10"/>
      <c r="S12" s="8">
        <f>IF(ABS(N12-O12)&lt;=0.002,1,0)</f>
        <v>1</v>
      </c>
      <c r="T12" s="8">
        <f>IF(ISNUMBER(P12),IF(ABS(N12-P12)&lt;=0.002,1,0),0)</f>
        <v>0</v>
      </c>
      <c r="U12" s="8">
        <f>IF(AND(ISNUMBER(P12),ISNUMBER(R12)),IF(AND(P12&gt;0,R12&lt;0),1,0),0)</f>
        <v>0</v>
      </c>
    </row>
    <row r="13" spans="1:21" x14ac:dyDescent="0.2">
      <c r="A13" s="8" t="s">
        <v>249</v>
      </c>
      <c r="B13" s="8">
        <v>2025</v>
      </c>
      <c r="C13" s="8">
        <v>3</v>
      </c>
      <c r="D13" s="10">
        <v>1.508</v>
      </c>
      <c r="E13" s="10">
        <v>1.5089999999999999</v>
      </c>
      <c r="F13" s="10">
        <v>5.2229999999999999</v>
      </c>
      <c r="G13" s="8">
        <f>IF(ABS(D13-E13)&lt;=0.002,1,0)</f>
        <v>1</v>
      </c>
      <c r="H13" s="8">
        <f>IF(ABS(D13-F13)&lt;=0.002,1,0)</f>
        <v>0</v>
      </c>
      <c r="K13" s="8" t="s">
        <v>258</v>
      </c>
      <c r="L13" s="8">
        <v>2024</v>
      </c>
      <c r="M13" s="8">
        <v>3</v>
      </c>
      <c r="N13" s="10">
        <v>97.366</v>
      </c>
      <c r="O13" s="10">
        <v>97.367000000000004</v>
      </c>
      <c r="P13" s="10">
        <v>107.45399999999999</v>
      </c>
      <c r="Q13" s="10"/>
      <c r="R13" s="10">
        <v>-8.125</v>
      </c>
      <c r="S13" s="8">
        <f>IF(ABS(N13-O13)&lt;=0.002,1,0)</f>
        <v>1</v>
      </c>
      <c r="T13" s="8">
        <f>IF(ISNUMBER(P13),IF(ABS(N13-P13)&lt;=0.002,1,0),0)</f>
        <v>0</v>
      </c>
      <c r="U13" s="8">
        <f>IF(AND(ISNUMBER(P13),ISNUMBER(R13)),IF(AND(P13&gt;0,R13&lt;0),1,0),0)</f>
        <v>1</v>
      </c>
    </row>
    <row r="14" spans="1:21" x14ac:dyDescent="0.2">
      <c r="A14" s="8" t="s">
        <v>249</v>
      </c>
      <c r="B14" s="8">
        <v>2026</v>
      </c>
      <c r="C14" s="8">
        <v>3</v>
      </c>
      <c r="D14" s="10">
        <v>-3.4790000000000001</v>
      </c>
      <c r="E14" s="10">
        <v>-3.48</v>
      </c>
      <c r="F14" s="10">
        <v>0.53</v>
      </c>
      <c r="G14" s="8">
        <f>IF(ABS(D14-E14)&lt;=0.002,1,0)</f>
        <v>1</v>
      </c>
      <c r="H14" s="8">
        <f>IF(ABS(D14-F14)&lt;=0.002,1,0)</f>
        <v>0</v>
      </c>
      <c r="K14" s="8" t="s">
        <v>258</v>
      </c>
      <c r="L14" s="8">
        <v>2025</v>
      </c>
      <c r="M14" s="8">
        <v>3</v>
      </c>
      <c r="N14" s="10">
        <v>431.661</v>
      </c>
      <c r="O14" s="10">
        <v>431.661</v>
      </c>
      <c r="P14" s="10">
        <v>782.48800000000006</v>
      </c>
      <c r="Q14" s="10"/>
      <c r="R14" s="10">
        <v>-0.98099999999999998</v>
      </c>
      <c r="S14" s="8">
        <f>IF(ABS(N14-O14)&lt;=0.002,1,0)</f>
        <v>1</v>
      </c>
      <c r="T14" s="8">
        <f>IF(ISNUMBER(P14),IF(ABS(N14-P14)&lt;=0.002,1,0),0)</f>
        <v>0</v>
      </c>
      <c r="U14" s="8">
        <f>IF(AND(ISNUMBER(P14),ISNUMBER(R14)),IF(AND(P14&gt;0,R14&lt;0),1,0),0)</f>
        <v>1</v>
      </c>
    </row>
    <row r="15" spans="1:21" x14ac:dyDescent="0.2">
      <c r="A15" s="8" t="s">
        <v>254</v>
      </c>
      <c r="B15" s="8">
        <v>2024</v>
      </c>
      <c r="C15" s="8">
        <v>3</v>
      </c>
      <c r="D15" s="10">
        <v>87.400999999999996</v>
      </c>
      <c r="E15" s="10">
        <v>87.402000000000001</v>
      </c>
      <c r="F15" s="10">
        <v>5.944</v>
      </c>
      <c r="G15" s="8">
        <f>IF(ABS(D15-E15)&lt;=0.002,1,0)</f>
        <v>1</v>
      </c>
      <c r="H15" s="8">
        <f>IF(ABS(D15-F15)&lt;=0.002,1,0)</f>
        <v>0</v>
      </c>
      <c r="K15" s="8" t="s">
        <v>272</v>
      </c>
      <c r="L15" s="8">
        <v>2026</v>
      </c>
      <c r="M15" s="8">
        <v>3</v>
      </c>
      <c r="N15" s="10">
        <v>41.048999999999999</v>
      </c>
      <c r="O15" s="10">
        <v>41.05</v>
      </c>
      <c r="P15" s="10">
        <v>4.2670000000000003</v>
      </c>
      <c r="Q15" s="10"/>
      <c r="R15" s="10">
        <v>17.63</v>
      </c>
      <c r="S15" s="8">
        <f>IF(ABS(N15-O15)&lt;=0.002,1,0)</f>
        <v>1</v>
      </c>
      <c r="T15" s="8">
        <f>IF(ISNUMBER(P15),IF(ABS(N15-P15)&lt;=0.002,1,0),0)</f>
        <v>0</v>
      </c>
      <c r="U15" s="8">
        <f>IF(AND(ISNUMBER(P15),ISNUMBER(R15)),IF(AND(P15&gt;0,R15&lt;0),1,0),0)</f>
        <v>0</v>
      </c>
    </row>
    <row r="16" spans="1:21" x14ac:dyDescent="0.2">
      <c r="A16" s="8" t="s">
        <v>254</v>
      </c>
      <c r="B16" s="8">
        <v>2024</v>
      </c>
      <c r="C16" s="8">
        <v>9</v>
      </c>
      <c r="D16" s="10">
        <v>-158.79499999999999</v>
      </c>
      <c r="E16" s="10">
        <v>-158.79499999999999</v>
      </c>
      <c r="F16" s="10">
        <v>12.935</v>
      </c>
      <c r="G16" s="8">
        <f>IF(ABS(D16-E16)&lt;=0.002,1,0)</f>
        <v>1</v>
      </c>
      <c r="H16" s="8">
        <f>IF(ABS(D16-F16)&lt;=0.002,1,0)</f>
        <v>0</v>
      </c>
      <c r="K16" s="8" t="s">
        <v>273</v>
      </c>
      <c r="L16" s="8">
        <v>2024</v>
      </c>
      <c r="M16" s="8">
        <v>3</v>
      </c>
      <c r="N16" s="10">
        <v>1.256</v>
      </c>
      <c r="O16" s="10">
        <v>1.2569999999999999</v>
      </c>
      <c r="P16" s="10">
        <v>1.256</v>
      </c>
      <c r="Q16" s="10"/>
      <c r="R16" s="10">
        <v>0</v>
      </c>
      <c r="S16" s="8">
        <f>IF(ABS(N16-O16)&lt;=0.002,1,0)</f>
        <v>1</v>
      </c>
      <c r="T16" s="8">
        <f>IF(ISNUMBER(P16),IF(ABS(N16-P16)&lt;=0.002,1,0),0)</f>
        <v>1</v>
      </c>
      <c r="U16" s="8">
        <f>IF(AND(ISNUMBER(P16),ISNUMBER(R16)),IF(AND(P16&gt;0,R16&lt;0),1,0),0)</f>
        <v>0</v>
      </c>
    </row>
    <row r="17" spans="1:21" x14ac:dyDescent="0.2">
      <c r="A17" s="8" t="s">
        <v>254</v>
      </c>
      <c r="B17" s="8">
        <v>2025</v>
      </c>
      <c r="C17" s="8">
        <v>3</v>
      </c>
      <c r="D17" s="10">
        <v>107.176</v>
      </c>
      <c r="E17" s="10">
        <v>107.17700000000001</v>
      </c>
      <c r="F17" s="10">
        <v>4.8090000000000002</v>
      </c>
      <c r="G17" s="8">
        <f>IF(ABS(D17-E17)&lt;=0.002,1,0)</f>
        <v>1</v>
      </c>
      <c r="H17" s="8">
        <f>IF(ABS(D17-F17)&lt;=0.002,1,0)</f>
        <v>0</v>
      </c>
      <c r="K17" s="8" t="s">
        <v>273</v>
      </c>
      <c r="L17" s="8">
        <v>2024</v>
      </c>
      <c r="M17" s="8">
        <v>6</v>
      </c>
      <c r="N17" s="10">
        <v>4.6120000000000001</v>
      </c>
      <c r="O17" s="10">
        <v>4.6130000000000004</v>
      </c>
      <c r="P17" s="10">
        <v>0.75800000000000001</v>
      </c>
      <c r="Q17" s="10"/>
      <c r="R17" s="10">
        <v>3.8540000000000001</v>
      </c>
      <c r="S17" s="8">
        <f>IF(ABS(N17-O17)&lt;=0.002,1,0)</f>
        <v>1</v>
      </c>
      <c r="T17" s="8">
        <f>IF(ISNUMBER(P17),IF(ABS(N17-P17)&lt;=0.002,1,0),0)</f>
        <v>0</v>
      </c>
      <c r="U17" s="8">
        <f>IF(AND(ISNUMBER(P17),ISNUMBER(R17)),IF(AND(P17&gt;0,R17&lt;0),1,0),0)</f>
        <v>0</v>
      </c>
    </row>
    <row r="18" spans="1:21" x14ac:dyDescent="0.2">
      <c r="A18" s="8" t="s">
        <v>254</v>
      </c>
      <c r="B18" s="8">
        <v>2025</v>
      </c>
      <c r="C18" s="8">
        <v>9</v>
      </c>
      <c r="D18" s="10">
        <v>320.69299999999998</v>
      </c>
      <c r="E18" s="10">
        <v>320.69299999999998</v>
      </c>
      <c r="F18" s="10">
        <v>5.6429999999999998</v>
      </c>
      <c r="G18" s="8">
        <f>IF(ABS(D18-E18)&lt;=0.002,1,0)</f>
        <v>1</v>
      </c>
      <c r="H18" s="8">
        <f>IF(ABS(D18-F18)&lt;=0.002,1,0)</f>
        <v>0</v>
      </c>
      <c r="K18" s="8" t="s">
        <v>292</v>
      </c>
      <c r="L18" s="8">
        <v>2025</v>
      </c>
      <c r="M18" s="8">
        <v>6</v>
      </c>
      <c r="N18" s="10">
        <v>295.279</v>
      </c>
      <c r="O18" s="10">
        <v>295.27999999999997</v>
      </c>
      <c r="P18" s="10">
        <v>267.33699999999999</v>
      </c>
      <c r="Q18" s="10"/>
      <c r="R18" s="10">
        <v>27.940999999999999</v>
      </c>
      <c r="S18" s="8">
        <f>IF(ABS(N18-O18)&lt;=0.002,1,0)</f>
        <v>1</v>
      </c>
      <c r="T18" s="8">
        <f>IF(ISNUMBER(P18),IF(ABS(N18-P18)&lt;=0.002,1,0),0)</f>
        <v>0</v>
      </c>
      <c r="U18" s="8">
        <f>IF(AND(ISNUMBER(P18),ISNUMBER(R18)),IF(AND(P18&gt;0,R18&lt;0),1,0),0)</f>
        <v>0</v>
      </c>
    </row>
    <row r="19" spans="1:21" x14ac:dyDescent="0.2">
      <c r="A19" s="8" t="s">
        <v>254</v>
      </c>
      <c r="B19" s="8">
        <v>2026</v>
      </c>
      <c r="C19" s="8">
        <v>3</v>
      </c>
      <c r="D19" s="10">
        <v>113.431</v>
      </c>
      <c r="E19" s="10">
        <v>113.432</v>
      </c>
      <c r="F19" s="10">
        <v>5.6740000000000004</v>
      </c>
      <c r="G19" s="8">
        <f>IF(ABS(D19-E19)&lt;=0.002,1,0)</f>
        <v>1</v>
      </c>
      <c r="H19" s="8">
        <f>IF(ABS(D19-F19)&lt;=0.002,1,0)</f>
        <v>0</v>
      </c>
      <c r="K19" s="8" t="s">
        <v>292</v>
      </c>
      <c r="L19" s="8">
        <v>2025</v>
      </c>
      <c r="M19" s="8">
        <v>9</v>
      </c>
      <c r="N19" s="10">
        <v>1424.249</v>
      </c>
      <c r="O19" s="10">
        <v>1424.249</v>
      </c>
      <c r="P19" s="10">
        <v>1390.8820000000001</v>
      </c>
      <c r="Q19" s="10"/>
      <c r="R19" s="10">
        <v>33.366999999999997</v>
      </c>
      <c r="S19" s="8">
        <f>IF(ABS(N19-O19)&lt;=0.002,1,0)</f>
        <v>1</v>
      </c>
      <c r="T19" s="8">
        <f>IF(ISNUMBER(P19),IF(ABS(N19-P19)&lt;=0.002,1,0),0)</f>
        <v>0</v>
      </c>
      <c r="U19" s="8">
        <f>IF(AND(ISNUMBER(P19),ISNUMBER(R19)),IF(AND(P19&gt;0,R19&lt;0),1,0),0)</f>
        <v>0</v>
      </c>
    </row>
    <row r="20" spans="1:21" x14ac:dyDescent="0.2">
      <c r="A20" s="8" t="s">
        <v>260</v>
      </c>
      <c r="B20" s="8">
        <v>2024</v>
      </c>
      <c r="C20" s="8">
        <v>3</v>
      </c>
      <c r="D20" s="10">
        <v>-706.803</v>
      </c>
      <c r="E20" s="10">
        <v>-706.80399999999997</v>
      </c>
      <c r="F20" s="10">
        <v>354.31</v>
      </c>
      <c r="G20" s="8">
        <f>IF(ABS(D20-E20)&lt;=0.002,1,0)</f>
        <v>1</v>
      </c>
      <c r="H20" s="8">
        <f>IF(ABS(D20-F20)&lt;=0.002,1,0)</f>
        <v>0</v>
      </c>
      <c r="K20" s="8" t="s">
        <v>292</v>
      </c>
      <c r="L20" s="8">
        <v>2025</v>
      </c>
      <c r="M20" s="8">
        <v>12</v>
      </c>
      <c r="N20" s="10">
        <v>2946.1669999999999</v>
      </c>
      <c r="O20" s="10">
        <v>2946.1680000000001</v>
      </c>
      <c r="P20" s="10">
        <v>2904.857</v>
      </c>
      <c r="Q20" s="10"/>
      <c r="R20" s="10">
        <v>41.31</v>
      </c>
      <c r="S20" s="8">
        <f>IF(ABS(N20-O20)&lt;=0.002,1,0)</f>
        <v>1</v>
      </c>
      <c r="T20" s="8">
        <f>IF(ISNUMBER(P20),IF(ABS(N20-P20)&lt;=0.002,1,0),0)</f>
        <v>0</v>
      </c>
      <c r="U20" s="8">
        <f>IF(AND(ISNUMBER(P20),ISNUMBER(R20)),IF(AND(P20&gt;0,R20&lt;0),1,0),0)</f>
        <v>0</v>
      </c>
    </row>
    <row r="21" spans="1:21" x14ac:dyDescent="0.2">
      <c r="A21" s="8" t="s">
        <v>264</v>
      </c>
      <c r="B21" s="8">
        <v>2025</v>
      </c>
      <c r="C21" s="8">
        <v>3</v>
      </c>
      <c r="D21" s="10">
        <v>-22.715</v>
      </c>
      <c r="E21" s="10">
        <v>-22.716000000000001</v>
      </c>
      <c r="F21" s="10">
        <v>3.6480000000000001</v>
      </c>
      <c r="G21" s="8">
        <f>IF(ABS(D21-E21)&lt;=0.002,1,0)</f>
        <v>1</v>
      </c>
      <c r="H21" s="8">
        <f>IF(ABS(D21-F21)&lt;=0.002,1,0)</f>
        <v>0</v>
      </c>
      <c r="K21" s="8" t="s">
        <v>292</v>
      </c>
      <c r="L21" s="8">
        <v>2026</v>
      </c>
      <c r="M21" s="8">
        <v>3</v>
      </c>
      <c r="N21" s="10">
        <v>1037.1610000000001</v>
      </c>
      <c r="O21" s="10">
        <v>1037.162</v>
      </c>
      <c r="P21" s="10">
        <v>1035.402</v>
      </c>
      <c r="Q21" s="10"/>
      <c r="R21" s="10">
        <v>1.7589999999999999</v>
      </c>
      <c r="S21" s="8">
        <f>IF(ABS(N21-O21)&lt;=0.002,1,0)</f>
        <v>1</v>
      </c>
      <c r="T21" s="8">
        <f>IF(ISNUMBER(P21),IF(ABS(N21-P21)&lt;=0.002,1,0),0)</f>
        <v>0</v>
      </c>
      <c r="U21" s="8">
        <f>IF(AND(ISNUMBER(P21),ISNUMBER(R21)),IF(AND(P21&gt;0,R21&lt;0),1,0),0)</f>
        <v>0</v>
      </c>
    </row>
    <row r="22" spans="1:21" x14ac:dyDescent="0.2">
      <c r="A22" s="8" t="s">
        <v>264</v>
      </c>
      <c r="B22" s="8">
        <v>2025</v>
      </c>
      <c r="C22" s="8">
        <v>6</v>
      </c>
      <c r="D22" s="10">
        <v>-78.430000000000007</v>
      </c>
      <c r="E22" s="10">
        <v>-78.430999999999997</v>
      </c>
      <c r="F22" s="10">
        <v>18.949000000000002</v>
      </c>
      <c r="G22" s="8">
        <f>IF(ABS(D22-E22)&lt;=0.002,1,0)</f>
        <v>1</v>
      </c>
      <c r="H22" s="8">
        <f>IF(ABS(D22-F22)&lt;=0.002,1,0)</f>
        <v>0</v>
      </c>
      <c r="K22" s="8" t="s">
        <v>304</v>
      </c>
      <c r="L22" s="8">
        <v>2024</v>
      </c>
      <c r="M22" s="8">
        <v>3</v>
      </c>
      <c r="N22" s="10">
        <v>288.68799999999999</v>
      </c>
      <c r="O22" s="10">
        <v>288.68900000000002</v>
      </c>
      <c r="P22" s="10">
        <v>244.49100000000001</v>
      </c>
      <c r="Q22" s="10"/>
      <c r="R22" s="10"/>
      <c r="S22" s="8">
        <f>IF(ABS(N22-O22)&lt;=0.002,1,0)</f>
        <v>1</v>
      </c>
      <c r="T22" s="8">
        <f>IF(ISNUMBER(P22),IF(ABS(N22-P22)&lt;=0.002,1,0),0)</f>
        <v>0</v>
      </c>
      <c r="U22" s="8">
        <f>IF(AND(ISNUMBER(P22),ISNUMBER(R22)),IF(AND(P22&gt;0,R22&lt;0),1,0),0)</f>
        <v>0</v>
      </c>
    </row>
    <row r="23" spans="1:21" x14ac:dyDescent="0.2">
      <c r="A23" s="8" t="s">
        <v>276</v>
      </c>
      <c r="B23" s="8">
        <v>2024</v>
      </c>
      <c r="C23" s="8">
        <v>6</v>
      </c>
      <c r="D23" s="10">
        <v>-1029.981</v>
      </c>
      <c r="E23" s="10">
        <v>-1029.982</v>
      </c>
      <c r="F23" s="10">
        <v>12.879</v>
      </c>
      <c r="G23" s="8">
        <f>IF(ABS(D23-E23)&lt;=0.002,1,0)</f>
        <v>1</v>
      </c>
      <c r="H23" s="8">
        <f>IF(ABS(D23-F23)&lt;=0.002,1,0)</f>
        <v>0</v>
      </c>
      <c r="K23" s="8" t="s">
        <v>311</v>
      </c>
      <c r="L23" s="8">
        <v>2025</v>
      </c>
      <c r="M23" s="8">
        <v>3</v>
      </c>
      <c r="N23" s="10">
        <v>29.573</v>
      </c>
      <c r="O23" s="10">
        <v>29.574000000000002</v>
      </c>
      <c r="P23" s="10">
        <v>29.58</v>
      </c>
      <c r="Q23" s="10">
        <v>-6.0000000000000001E-3</v>
      </c>
      <c r="R23" s="10"/>
      <c r="S23" s="8">
        <f>IF(ABS(N23-O23)&lt;=0.002,1,0)</f>
        <v>1</v>
      </c>
      <c r="T23" s="8">
        <f>IF(ISNUMBER(P23),IF(ABS(N23-P23)&lt;=0.002,1,0),0)</f>
        <v>0</v>
      </c>
      <c r="U23" s="8">
        <f>IF(AND(ISNUMBER(P23),ISNUMBER(R23)),IF(AND(P23&gt;0,R23&lt;0),1,0),0)</f>
        <v>0</v>
      </c>
    </row>
    <row r="24" spans="1:21" x14ac:dyDescent="0.2">
      <c r="A24" s="8" t="s">
        <v>276</v>
      </c>
      <c r="B24" s="8">
        <v>2024</v>
      </c>
      <c r="C24" s="8">
        <v>9</v>
      </c>
      <c r="D24" s="10">
        <v>-1687.635</v>
      </c>
      <c r="E24" s="10">
        <v>-1687.636</v>
      </c>
      <c r="F24" s="10">
        <v>25.062000000000001</v>
      </c>
      <c r="G24" s="8">
        <f>IF(ABS(D24-E24)&lt;=0.002,1,0)</f>
        <v>1</v>
      </c>
      <c r="H24" s="8">
        <f>IF(ABS(D24-F24)&lt;=0.002,1,0)</f>
        <v>0</v>
      </c>
      <c r="K24" s="8" t="s">
        <v>311</v>
      </c>
      <c r="L24" s="8">
        <v>2026</v>
      </c>
      <c r="M24" s="8">
        <v>3</v>
      </c>
      <c r="N24" s="10">
        <v>53.755000000000003</v>
      </c>
      <c r="O24" s="10">
        <v>53.756</v>
      </c>
      <c r="P24" s="10">
        <v>53.755000000000003</v>
      </c>
      <c r="Q24" s="10">
        <v>0</v>
      </c>
      <c r="R24" s="10"/>
      <c r="S24" s="8">
        <f>IF(ABS(N24-O24)&lt;=0.002,1,0)</f>
        <v>1</v>
      </c>
      <c r="T24" s="8">
        <f>IF(ISNUMBER(P24),IF(ABS(N24-P24)&lt;=0.002,1,0),0)</f>
        <v>1</v>
      </c>
      <c r="U24" s="8">
        <f>IF(AND(ISNUMBER(P24),ISNUMBER(R24)),IF(AND(P24&gt;0,R24&lt;0),1,0),0)</f>
        <v>0</v>
      </c>
    </row>
    <row r="25" spans="1:21" x14ac:dyDescent="0.2">
      <c r="A25" s="8" t="s">
        <v>276</v>
      </c>
      <c r="B25" s="8">
        <v>2024</v>
      </c>
      <c r="C25" s="8">
        <v>12</v>
      </c>
      <c r="D25" s="10">
        <v>-2454.2240000000002</v>
      </c>
      <c r="E25" s="10">
        <v>-2454.2249999999999</v>
      </c>
      <c r="F25" s="10">
        <v>44.429000000000002</v>
      </c>
      <c r="G25" s="8">
        <f>IF(ABS(D25-E25)&lt;=0.002,1,0)</f>
        <v>1</v>
      </c>
      <c r="H25" s="8">
        <f>IF(ABS(D25-F25)&lt;=0.002,1,0)</f>
        <v>0</v>
      </c>
      <c r="K25" s="8" t="s">
        <v>317</v>
      </c>
      <c r="L25" s="8">
        <v>2025</v>
      </c>
      <c r="M25" s="8">
        <v>6</v>
      </c>
      <c r="N25" s="10">
        <v>109.048</v>
      </c>
      <c r="O25" s="10">
        <v>109.04900000000001</v>
      </c>
      <c r="P25" s="10">
        <v>416.61099999999999</v>
      </c>
      <c r="Q25" s="10"/>
      <c r="R25" s="10">
        <v>-307.79199999999997</v>
      </c>
      <c r="S25" s="8">
        <f>IF(ABS(N25-O25)&lt;=0.002,1,0)</f>
        <v>1</v>
      </c>
      <c r="T25" s="8">
        <f>IF(ISNUMBER(P25),IF(ABS(N25-P25)&lt;=0.002,1,0),0)</f>
        <v>0</v>
      </c>
      <c r="U25" s="8">
        <f>IF(AND(ISNUMBER(P25),ISNUMBER(R25)),IF(AND(P25&gt;0,R25&lt;0),1,0),0)</f>
        <v>1</v>
      </c>
    </row>
    <row r="26" spans="1:21" x14ac:dyDescent="0.2">
      <c r="A26" s="8" t="s">
        <v>655</v>
      </c>
      <c r="B26" s="8">
        <v>2024</v>
      </c>
      <c r="C26" s="8">
        <v>6</v>
      </c>
      <c r="D26" s="10">
        <v>219.452</v>
      </c>
      <c r="E26" s="10">
        <v>219.453</v>
      </c>
      <c r="F26" s="10">
        <v>8.141</v>
      </c>
      <c r="G26" s="8">
        <f>IF(ABS(D26-E26)&lt;=0.002,1,0)</f>
        <v>1</v>
      </c>
      <c r="H26" s="8">
        <f>IF(ABS(D26-F26)&lt;=0.002,1,0)</f>
        <v>0</v>
      </c>
      <c r="K26" s="8" t="s">
        <v>584</v>
      </c>
      <c r="L26" s="8">
        <v>2024</v>
      </c>
      <c r="M26" s="8">
        <v>12</v>
      </c>
      <c r="N26" s="10">
        <v>-297.02199999999999</v>
      </c>
      <c r="O26" s="10">
        <v>-297.02300000000002</v>
      </c>
      <c r="P26" s="10">
        <v>-0.59799999999999998</v>
      </c>
      <c r="Q26" s="10">
        <v>77.222999999999999</v>
      </c>
      <c r="R26" s="10"/>
      <c r="S26" s="8">
        <f>IF(ABS(N26-O26)&lt;=0.002,1,0)</f>
        <v>1</v>
      </c>
      <c r="T26" s="8">
        <f>IF(ISNUMBER(P26),IF(ABS(N26-P26)&lt;=0.002,1,0),0)</f>
        <v>0</v>
      </c>
      <c r="U26" s="8">
        <f>IF(AND(ISNUMBER(P26),ISNUMBER(R26)),IF(AND(P26&gt;0,R26&lt;0),1,0),0)</f>
        <v>0</v>
      </c>
    </row>
    <row r="27" spans="1:21" x14ac:dyDescent="0.2">
      <c r="A27" s="8" t="s">
        <v>655</v>
      </c>
      <c r="B27" s="8">
        <v>2024</v>
      </c>
      <c r="C27" s="8">
        <v>9</v>
      </c>
      <c r="D27" s="10">
        <v>210.57</v>
      </c>
      <c r="E27" s="10">
        <v>210.57</v>
      </c>
      <c r="F27" s="10">
        <v>13.991</v>
      </c>
      <c r="G27" s="8">
        <f>IF(ABS(D27-E27)&lt;=0.002,1,0)</f>
        <v>1</v>
      </c>
      <c r="H27" s="8">
        <f>IF(ABS(D27-F27)&lt;=0.002,1,0)</f>
        <v>0</v>
      </c>
      <c r="K27" s="8" t="s">
        <v>336</v>
      </c>
      <c r="L27" s="8">
        <v>2025</v>
      </c>
      <c r="M27" s="8">
        <v>3</v>
      </c>
      <c r="N27" s="10">
        <v>-193.49700000000001</v>
      </c>
      <c r="O27" s="10">
        <v>2715.1869999999999</v>
      </c>
      <c r="P27" s="10">
        <v>1501.326</v>
      </c>
      <c r="Q27" s="10"/>
      <c r="R27" s="10">
        <v>1213.8599999999999</v>
      </c>
      <c r="S27" s="8">
        <f>IF(ABS(N27-O27)&lt;=0.002,1,0)</f>
        <v>0</v>
      </c>
      <c r="T27" s="8">
        <f>IF(ISNUMBER(P27),IF(ABS(N27-P27)&lt;=0.002,1,0),0)</f>
        <v>0</v>
      </c>
      <c r="U27" s="8">
        <f>IF(AND(ISNUMBER(P27),ISNUMBER(R27)),IF(AND(P27&gt;0,R27&lt;0),1,0),0)</f>
        <v>0</v>
      </c>
    </row>
    <row r="28" spans="1:21" x14ac:dyDescent="0.2">
      <c r="A28" s="8" t="s">
        <v>655</v>
      </c>
      <c r="B28" s="8">
        <v>2024</v>
      </c>
      <c r="C28" s="8">
        <v>12</v>
      </c>
      <c r="D28" s="10">
        <v>-190.84200000000001</v>
      </c>
      <c r="E28" s="10">
        <v>-190.84200000000001</v>
      </c>
      <c r="F28" s="10">
        <v>12.263</v>
      </c>
      <c r="G28" s="8">
        <f>IF(ABS(D28-E28)&lt;=0.002,1,0)</f>
        <v>1</v>
      </c>
      <c r="H28" s="8">
        <f>IF(ABS(D28-F28)&lt;=0.002,1,0)</f>
        <v>0</v>
      </c>
      <c r="K28" s="8" t="s">
        <v>345</v>
      </c>
      <c r="L28" s="8">
        <v>2024</v>
      </c>
      <c r="M28" s="8">
        <v>3</v>
      </c>
      <c r="N28" s="10">
        <v>22.452000000000002</v>
      </c>
      <c r="O28" s="10">
        <v>22.452000000000002</v>
      </c>
      <c r="P28" s="10">
        <v>-10.521000000000001</v>
      </c>
      <c r="Q28" s="10">
        <v>31.332000000000001</v>
      </c>
      <c r="R28" s="10">
        <v>1.64</v>
      </c>
      <c r="S28" s="8">
        <f>IF(ABS(N28-O28)&lt;=0.002,1,0)</f>
        <v>1</v>
      </c>
      <c r="T28" s="8">
        <f>IF(ISNUMBER(P28),IF(ABS(N28-P28)&lt;=0.002,1,0),0)</f>
        <v>0</v>
      </c>
      <c r="U28" s="8">
        <f>IF(AND(ISNUMBER(P28),ISNUMBER(R28)),IF(AND(P28&gt;0,R28&lt;0),1,0),0)</f>
        <v>0</v>
      </c>
    </row>
    <row r="29" spans="1:21" x14ac:dyDescent="0.2">
      <c r="A29" s="8" t="s">
        <v>577</v>
      </c>
      <c r="B29" s="8">
        <v>2024</v>
      </c>
      <c r="C29" s="8">
        <v>12</v>
      </c>
      <c r="D29" s="10">
        <v>-44.253999999999998</v>
      </c>
      <c r="E29" s="10">
        <v>-44.253999999999998</v>
      </c>
      <c r="F29" s="10">
        <v>1.9E-2</v>
      </c>
      <c r="G29" s="8">
        <f>IF(ABS(D29-E29)&lt;=0.002,1,0)</f>
        <v>1</v>
      </c>
      <c r="H29" s="8">
        <f>IF(ABS(D29-F29)&lt;=0.002,1,0)</f>
        <v>0</v>
      </c>
      <c r="K29" s="8" t="s">
        <v>345</v>
      </c>
      <c r="L29" s="8">
        <v>2024</v>
      </c>
      <c r="M29" s="8">
        <v>6</v>
      </c>
      <c r="N29" s="10">
        <v>15.933999999999999</v>
      </c>
      <c r="O29" s="10">
        <v>15.933999999999999</v>
      </c>
      <c r="P29" s="10">
        <v>-15.815</v>
      </c>
      <c r="Q29" s="10">
        <v>29.343</v>
      </c>
      <c r="R29" s="10">
        <v>2.4049999999999998</v>
      </c>
      <c r="S29" s="8">
        <f>IF(ABS(N29-O29)&lt;=0.002,1,0)</f>
        <v>1</v>
      </c>
      <c r="T29" s="8">
        <f>IF(ISNUMBER(P29),IF(ABS(N29-P29)&lt;=0.002,1,0),0)</f>
        <v>0</v>
      </c>
      <c r="U29" s="8">
        <f>IF(AND(ISNUMBER(P29),ISNUMBER(R29)),IF(AND(P29&gt;0,R29&lt;0),1,0),0)</f>
        <v>0</v>
      </c>
    </row>
    <row r="30" spans="1:21" x14ac:dyDescent="0.2">
      <c r="A30" s="8" t="s">
        <v>288</v>
      </c>
      <c r="B30" s="8">
        <v>2024</v>
      </c>
      <c r="C30" s="8">
        <v>12</v>
      </c>
      <c r="D30" s="10">
        <v>139.69800000000001</v>
      </c>
      <c r="E30" s="10">
        <v>139.69900000000001</v>
      </c>
      <c r="F30" s="10">
        <v>311.83300000000003</v>
      </c>
      <c r="G30" s="8">
        <f>IF(ABS(D30-E30)&lt;=0.002,1,0)</f>
        <v>1</v>
      </c>
      <c r="H30" s="8">
        <f>IF(ABS(D30-F30)&lt;=0.002,1,0)</f>
        <v>0</v>
      </c>
      <c r="K30" s="8" t="s">
        <v>345</v>
      </c>
      <c r="L30" s="8">
        <v>2024</v>
      </c>
      <c r="M30" s="8">
        <v>9</v>
      </c>
      <c r="N30" s="10">
        <v>15.39</v>
      </c>
      <c r="O30" s="10">
        <v>15.39</v>
      </c>
      <c r="P30" s="10">
        <v>-17.271000000000001</v>
      </c>
      <c r="Q30" s="10">
        <v>29.67</v>
      </c>
      <c r="R30" s="10">
        <v>2.9910000000000001</v>
      </c>
      <c r="S30" s="8">
        <f>IF(ABS(N30-O30)&lt;=0.002,1,0)</f>
        <v>1</v>
      </c>
      <c r="T30" s="8">
        <f>IF(ISNUMBER(P30),IF(ABS(N30-P30)&lt;=0.002,1,0),0)</f>
        <v>0</v>
      </c>
      <c r="U30" s="8">
        <f>IF(AND(ISNUMBER(P30),ISNUMBER(R30)),IF(AND(P30&gt;0,R30&lt;0),1,0),0)</f>
        <v>0</v>
      </c>
    </row>
    <row r="31" spans="1:21" x14ac:dyDescent="0.2">
      <c r="A31" s="8" t="s">
        <v>288</v>
      </c>
      <c r="B31" s="8">
        <v>2025</v>
      </c>
      <c r="C31" s="8">
        <v>12</v>
      </c>
      <c r="D31" s="10">
        <v>-200.316</v>
      </c>
      <c r="E31" s="10">
        <v>-200.316</v>
      </c>
      <c r="F31" s="10">
        <v>86.308000000000007</v>
      </c>
      <c r="G31" s="8">
        <f>IF(ABS(D31-E31)&lt;=0.002,1,0)</f>
        <v>1</v>
      </c>
      <c r="H31" s="8">
        <f>IF(ABS(D31-F31)&lt;=0.002,1,0)</f>
        <v>0</v>
      </c>
      <c r="K31" s="8" t="s">
        <v>345</v>
      </c>
      <c r="L31" s="8">
        <v>2025</v>
      </c>
      <c r="M31" s="8">
        <v>3</v>
      </c>
      <c r="N31" s="10">
        <v>6.05</v>
      </c>
      <c r="O31" s="10">
        <v>6.0510000000000002</v>
      </c>
      <c r="P31" s="10"/>
      <c r="Q31" s="10">
        <v>7.84</v>
      </c>
      <c r="R31" s="10">
        <v>-1.7889999999999999</v>
      </c>
      <c r="S31" s="8">
        <f>IF(ABS(N31-O31)&lt;=0.002,1,0)</f>
        <v>1</v>
      </c>
      <c r="T31" s="8">
        <f>IF(ISNUMBER(P31),IF(ABS(N31-P31)&lt;=0.002,1,0),0)</f>
        <v>0</v>
      </c>
      <c r="U31" s="8">
        <f>IF(AND(ISNUMBER(P31),ISNUMBER(R31)),IF(AND(P31&gt;0,R31&lt;0),1,0),0)</f>
        <v>0</v>
      </c>
    </row>
    <row r="32" spans="1:21" x14ac:dyDescent="0.2">
      <c r="A32" s="8" t="s">
        <v>292</v>
      </c>
      <c r="B32" s="8">
        <v>2024</v>
      </c>
      <c r="C32" s="8">
        <v>3</v>
      </c>
      <c r="D32" s="10">
        <v>16.478999999999999</v>
      </c>
      <c r="E32" s="10">
        <v>16.478999999999999</v>
      </c>
      <c r="F32" s="10">
        <v>4.9470000000000001</v>
      </c>
      <c r="G32" s="8">
        <f>IF(ABS(D32-E32)&lt;=0.002,1,0)</f>
        <v>1</v>
      </c>
      <c r="H32" s="8">
        <f>IF(ABS(D32-F32)&lt;=0.002,1,0)</f>
        <v>0</v>
      </c>
      <c r="K32" s="8" t="s">
        <v>345</v>
      </c>
      <c r="L32" s="8">
        <v>2025</v>
      </c>
      <c r="M32" s="8">
        <v>6</v>
      </c>
      <c r="N32" s="10">
        <v>44.5</v>
      </c>
      <c r="O32" s="10">
        <v>44.5</v>
      </c>
      <c r="P32" s="10">
        <v>-1.857</v>
      </c>
      <c r="Q32" s="10">
        <v>40.075000000000003</v>
      </c>
      <c r="R32" s="10">
        <v>6.282</v>
      </c>
      <c r="S32" s="8">
        <f>IF(ABS(N32-O32)&lt;=0.002,1,0)</f>
        <v>1</v>
      </c>
      <c r="T32" s="8">
        <f>IF(ISNUMBER(P32),IF(ABS(N32-P32)&lt;=0.002,1,0),0)</f>
        <v>0</v>
      </c>
      <c r="U32" s="8">
        <f>IF(AND(ISNUMBER(P32),ISNUMBER(R32)),IF(AND(P32&gt;0,R32&lt;0),1,0),0)</f>
        <v>0</v>
      </c>
    </row>
    <row r="33" spans="1:21" x14ac:dyDescent="0.2">
      <c r="A33" s="8" t="s">
        <v>292</v>
      </c>
      <c r="B33" s="8">
        <v>2025</v>
      </c>
      <c r="C33" s="8">
        <v>6</v>
      </c>
      <c r="D33" s="10">
        <v>709.64099999999996</v>
      </c>
      <c r="E33" s="10">
        <v>709.64200000000005</v>
      </c>
      <c r="F33" s="10">
        <v>35.067</v>
      </c>
      <c r="G33" s="8">
        <f>IF(ABS(D33-E33)&lt;=0.002,1,0)</f>
        <v>1</v>
      </c>
      <c r="H33" s="8">
        <f>IF(ABS(D33-F33)&lt;=0.002,1,0)</f>
        <v>0</v>
      </c>
      <c r="K33" s="8" t="s">
        <v>345</v>
      </c>
      <c r="L33" s="8">
        <v>2025</v>
      </c>
      <c r="M33" s="8">
        <v>9</v>
      </c>
      <c r="N33" s="10">
        <v>43.756999999999998</v>
      </c>
      <c r="O33" s="10">
        <v>43.758000000000003</v>
      </c>
      <c r="P33" s="10">
        <v>-4.468</v>
      </c>
      <c r="Q33" s="10">
        <v>40.076000000000001</v>
      </c>
      <c r="R33" s="10">
        <v>8.15</v>
      </c>
      <c r="S33" s="8">
        <f>IF(ABS(N33-O33)&lt;=0.002,1,0)</f>
        <v>1</v>
      </c>
      <c r="T33" s="8">
        <f>IF(ISNUMBER(P33),IF(ABS(N33-P33)&lt;=0.002,1,0),0)</f>
        <v>0</v>
      </c>
      <c r="U33" s="8">
        <f>IF(AND(ISNUMBER(P33),ISNUMBER(R33)),IF(AND(P33&gt;0,R33&lt;0),1,0),0)</f>
        <v>0</v>
      </c>
    </row>
    <row r="34" spans="1:21" x14ac:dyDescent="0.2">
      <c r="A34" s="8" t="s">
        <v>292</v>
      </c>
      <c r="B34" s="8">
        <v>2025</v>
      </c>
      <c r="C34" s="8">
        <v>9</v>
      </c>
      <c r="D34" s="10">
        <v>394.71600000000001</v>
      </c>
      <c r="E34" s="10">
        <v>394.71699999999998</v>
      </c>
      <c r="F34" s="10">
        <v>3.4249999999999998</v>
      </c>
      <c r="G34" s="8">
        <f>IF(ABS(D34-E34)&lt;=0.002,1,0)</f>
        <v>1</v>
      </c>
      <c r="H34" s="8">
        <f>IF(ABS(D34-F34)&lt;=0.002,1,0)</f>
        <v>0</v>
      </c>
      <c r="K34" s="8" t="s">
        <v>350</v>
      </c>
      <c r="L34" s="8">
        <v>2025</v>
      </c>
      <c r="M34" s="8">
        <v>12</v>
      </c>
      <c r="N34" s="10">
        <v>271.47699999999998</v>
      </c>
      <c r="O34" s="10">
        <v>271.47800000000001</v>
      </c>
      <c r="P34" s="10">
        <v>0</v>
      </c>
      <c r="Q34" s="10">
        <v>44.814</v>
      </c>
      <c r="R34" s="10"/>
      <c r="S34" s="8">
        <f>IF(ABS(N34-O34)&lt;=0.002,1,0)</f>
        <v>1</v>
      </c>
      <c r="T34" s="8">
        <f>IF(ISNUMBER(P34),IF(ABS(N34-P34)&lt;=0.002,1,0),0)</f>
        <v>0</v>
      </c>
      <c r="U34" s="8">
        <f>IF(AND(ISNUMBER(P34),ISNUMBER(R34)),IF(AND(P34&gt;0,R34&lt;0),1,0),0)</f>
        <v>0</v>
      </c>
    </row>
    <row r="35" spans="1:21" x14ac:dyDescent="0.2">
      <c r="A35" s="8" t="s">
        <v>292</v>
      </c>
      <c r="B35" s="8">
        <v>2025</v>
      </c>
      <c r="C35" s="8">
        <v>12</v>
      </c>
      <c r="D35" s="10">
        <v>720.84900000000005</v>
      </c>
      <c r="E35" s="10">
        <v>720.84900000000005</v>
      </c>
      <c r="F35" s="10">
        <v>55.354999999999997</v>
      </c>
      <c r="G35" s="8">
        <f>IF(ABS(D35-E35)&lt;=0.002,1,0)</f>
        <v>1</v>
      </c>
      <c r="H35" s="8">
        <f>IF(ABS(D35-F35)&lt;=0.002,1,0)</f>
        <v>0</v>
      </c>
      <c r="K35" s="8" t="s">
        <v>359</v>
      </c>
      <c r="L35" s="8">
        <v>2025</v>
      </c>
      <c r="M35" s="8">
        <v>9</v>
      </c>
      <c r="N35" s="10">
        <v>-106.321</v>
      </c>
      <c r="O35" s="10">
        <v>-103.759</v>
      </c>
      <c r="P35" s="10">
        <v>1.0660000000000001</v>
      </c>
      <c r="Q35" s="10"/>
      <c r="R35" s="10">
        <v>-104.825</v>
      </c>
      <c r="S35" s="8">
        <f>IF(ABS(N35-O35)&lt;=0.002,1,0)</f>
        <v>0</v>
      </c>
      <c r="T35" s="8">
        <f>IF(ISNUMBER(P35),IF(ABS(N35-P35)&lt;=0.002,1,0),0)</f>
        <v>0</v>
      </c>
      <c r="U35" s="8">
        <f>IF(AND(ISNUMBER(P35),ISNUMBER(R35)),IF(AND(P35&gt;0,R35&lt;0),1,0),0)</f>
        <v>1</v>
      </c>
    </row>
    <row r="36" spans="1:21" x14ac:dyDescent="0.2">
      <c r="A36" s="8" t="s">
        <v>317</v>
      </c>
      <c r="B36" s="8">
        <v>2026</v>
      </c>
      <c r="C36" s="8">
        <v>3</v>
      </c>
      <c r="D36" s="10">
        <v>611.34900000000005</v>
      </c>
      <c r="E36" s="10">
        <v>611.35</v>
      </c>
      <c r="F36" s="10">
        <v>34.475999999999999</v>
      </c>
      <c r="G36" s="8">
        <f>IF(ABS(D36-E36)&lt;=0.002,1,0)</f>
        <v>1</v>
      </c>
      <c r="H36" s="8">
        <f>IF(ABS(D36-F36)&lt;=0.002,1,0)</f>
        <v>0</v>
      </c>
      <c r="K36" s="8" t="s">
        <v>376</v>
      </c>
      <c r="L36" s="8">
        <v>2024</v>
      </c>
      <c r="M36" s="8">
        <v>9</v>
      </c>
      <c r="N36" s="10">
        <v>1176.0350000000001</v>
      </c>
      <c r="O36" s="10">
        <v>1176.0360000000001</v>
      </c>
      <c r="P36" s="10">
        <v>1809.1030000000001</v>
      </c>
      <c r="Q36" s="10"/>
      <c r="R36" s="10">
        <v>-633.06700000000001</v>
      </c>
      <c r="S36" s="8">
        <f>IF(ABS(N36-O36)&lt;=0.002,1,0)</f>
        <v>1</v>
      </c>
      <c r="T36" s="8">
        <f>IF(ISNUMBER(P36),IF(ABS(N36-P36)&lt;=0.002,1,0),0)</f>
        <v>0</v>
      </c>
      <c r="U36" s="8">
        <f>IF(AND(ISNUMBER(P36),ISNUMBER(R36)),IF(AND(P36&gt;0,R36&lt;0),1,0),0)</f>
        <v>1</v>
      </c>
    </row>
    <row r="37" spans="1:21" x14ac:dyDescent="0.2">
      <c r="A37" s="8" t="s">
        <v>317</v>
      </c>
      <c r="B37" s="8">
        <v>2026</v>
      </c>
      <c r="C37" s="8">
        <v>6</v>
      </c>
      <c r="D37" s="10">
        <v>529.43600000000004</v>
      </c>
      <c r="E37" s="10">
        <v>529.43700000000001</v>
      </c>
      <c r="F37" s="10">
        <v>53.67</v>
      </c>
      <c r="G37" s="8">
        <f>IF(ABS(D37-E37)&lt;=0.002,1,0)</f>
        <v>1</v>
      </c>
      <c r="H37" s="8">
        <f>IF(ABS(D37-F37)&lt;=0.002,1,0)</f>
        <v>0</v>
      </c>
      <c r="K37" s="8" t="s">
        <v>376</v>
      </c>
      <c r="L37" s="8">
        <v>2025</v>
      </c>
      <c r="M37" s="8">
        <v>9</v>
      </c>
      <c r="N37" s="10">
        <v>-4282.1549999999997</v>
      </c>
      <c r="O37" s="10">
        <v>-4282.1549999999997</v>
      </c>
      <c r="P37" s="10">
        <v>591.95699999999999</v>
      </c>
      <c r="Q37" s="10"/>
      <c r="R37" s="10">
        <v>-4874.1120000000001</v>
      </c>
      <c r="S37" s="8">
        <f>IF(ABS(N37-O37)&lt;=0.002,1,0)</f>
        <v>1</v>
      </c>
      <c r="T37" s="8">
        <f>IF(ISNUMBER(P37),IF(ABS(N37-P37)&lt;=0.002,1,0),0)</f>
        <v>0</v>
      </c>
      <c r="U37" s="8">
        <f>IF(AND(ISNUMBER(P37),ISNUMBER(R37)),IF(AND(P37&gt;0,R37&lt;0),1,0),0)</f>
        <v>1</v>
      </c>
    </row>
    <row r="38" spans="1:21" x14ac:dyDescent="0.2">
      <c r="A38" s="8" t="s">
        <v>326</v>
      </c>
      <c r="B38" s="8">
        <v>2025</v>
      </c>
      <c r="C38" s="8">
        <v>3</v>
      </c>
      <c r="D38" s="10">
        <v>-702.91499999999996</v>
      </c>
      <c r="E38" s="10">
        <v>-702.91600000000005</v>
      </c>
      <c r="F38" s="10">
        <v>26.288</v>
      </c>
      <c r="G38" s="8">
        <f>IF(ABS(D38-E38)&lt;=0.002,1,0)</f>
        <v>1</v>
      </c>
      <c r="H38" s="8">
        <f>IF(ABS(D38-F38)&lt;=0.002,1,0)</f>
        <v>0</v>
      </c>
      <c r="K38" s="8" t="s">
        <v>715</v>
      </c>
      <c r="L38" s="8">
        <v>2024</v>
      </c>
      <c r="M38" s="8">
        <v>3</v>
      </c>
      <c r="N38" s="10">
        <v>2.395</v>
      </c>
      <c r="O38" s="10">
        <v>2.1669999999999998</v>
      </c>
      <c r="P38" s="10">
        <v>-0.496</v>
      </c>
      <c r="Q38" s="10">
        <v>2.496</v>
      </c>
      <c r="R38" s="10">
        <v>0.16600000000000001</v>
      </c>
      <c r="S38" s="8">
        <f>IF(ABS(N38-O38)&lt;=0.002,1,0)</f>
        <v>0</v>
      </c>
      <c r="T38" s="8">
        <f>IF(ISNUMBER(P38),IF(ABS(N38-P38)&lt;=0.002,1,0),0)</f>
        <v>0</v>
      </c>
      <c r="U38" s="8">
        <f>IF(AND(ISNUMBER(P38),ISNUMBER(R38)),IF(AND(P38&gt;0,R38&lt;0),1,0),0)</f>
        <v>0</v>
      </c>
    </row>
    <row r="39" spans="1:21" x14ac:dyDescent="0.2">
      <c r="A39" s="8" t="s">
        <v>333</v>
      </c>
      <c r="B39" s="8">
        <v>2024</v>
      </c>
      <c r="C39" s="8">
        <v>3</v>
      </c>
      <c r="D39" s="10">
        <v>490.089</v>
      </c>
      <c r="E39" s="10">
        <v>490.09</v>
      </c>
      <c r="F39" s="10">
        <v>94.233000000000004</v>
      </c>
      <c r="G39" s="8">
        <f>IF(ABS(D39-E39)&lt;=0.002,1,0)</f>
        <v>1</v>
      </c>
      <c r="H39" s="8">
        <f>IF(ABS(D39-F39)&lt;=0.002,1,0)</f>
        <v>0</v>
      </c>
      <c r="K39" s="8" t="s">
        <v>720</v>
      </c>
      <c r="L39" s="8">
        <v>2024</v>
      </c>
      <c r="M39" s="8">
        <v>12</v>
      </c>
      <c r="N39" s="10">
        <v>-326.58600000000001</v>
      </c>
      <c r="O39" s="10">
        <v>-326.58699999999999</v>
      </c>
      <c r="P39" s="10">
        <v>9.1999999999999998E-2</v>
      </c>
      <c r="Q39" s="10"/>
      <c r="R39" s="10">
        <v>-0.13400000000000001</v>
      </c>
      <c r="S39" s="8">
        <f>IF(ABS(N39-O39)&lt;=0.002,1,0)</f>
        <v>1</v>
      </c>
      <c r="T39" s="8">
        <f>IF(ISNUMBER(P39),IF(ABS(N39-P39)&lt;=0.002,1,0),0)</f>
        <v>0</v>
      </c>
      <c r="U39" s="8">
        <f>IF(AND(ISNUMBER(P39),ISNUMBER(R39)),IF(AND(P39&gt;0,R39&lt;0),1,0),0)</f>
        <v>1</v>
      </c>
    </row>
    <row r="40" spans="1:21" x14ac:dyDescent="0.2">
      <c r="A40" s="8" t="s">
        <v>338</v>
      </c>
      <c r="B40" s="8">
        <v>2026</v>
      </c>
      <c r="C40" s="8">
        <v>3</v>
      </c>
      <c r="D40" s="10">
        <v>103.378</v>
      </c>
      <c r="E40" s="10">
        <v>103.378</v>
      </c>
      <c r="F40" s="10">
        <v>6.0419999999999998</v>
      </c>
      <c r="G40" s="8">
        <f>IF(ABS(D40-E40)&lt;=0.002,1,0)</f>
        <v>1</v>
      </c>
      <c r="H40" s="8">
        <f>IF(ABS(D40-F40)&lt;=0.002,1,0)</f>
        <v>0</v>
      </c>
      <c r="K40" s="8" t="s">
        <v>668</v>
      </c>
      <c r="L40" s="8">
        <v>2025</v>
      </c>
      <c r="M40" s="8">
        <v>12</v>
      </c>
      <c r="N40" s="10">
        <v>-167.477</v>
      </c>
      <c r="O40" s="10">
        <v>-167.477</v>
      </c>
      <c r="P40" s="10">
        <v>0.435</v>
      </c>
      <c r="Q40" s="10">
        <v>-168.91800000000001</v>
      </c>
      <c r="R40" s="10">
        <v>1.0049999999999999</v>
      </c>
      <c r="S40" s="8">
        <f>IF(ABS(N40-O40)&lt;=0.002,1,0)</f>
        <v>1</v>
      </c>
      <c r="T40" s="8">
        <f>IF(ISNUMBER(P40),IF(ABS(N40-P40)&lt;=0.002,1,0),0)</f>
        <v>0</v>
      </c>
      <c r="U40" s="8">
        <f>IF(AND(ISNUMBER(P40),ISNUMBER(R40)),IF(AND(P40&gt;0,R40&lt;0),1,0),0)</f>
        <v>0</v>
      </c>
    </row>
    <row r="41" spans="1:21" x14ac:dyDescent="0.2">
      <c r="A41" s="8" t="s">
        <v>341</v>
      </c>
      <c r="B41" s="8">
        <v>2026</v>
      </c>
      <c r="C41" s="8">
        <v>6</v>
      </c>
      <c r="D41" s="10">
        <v>593.33500000000004</v>
      </c>
      <c r="E41" s="10">
        <v>593.33600000000001</v>
      </c>
      <c r="F41" s="10">
        <v>3.4039999999999999</v>
      </c>
      <c r="G41" s="8">
        <f>IF(ABS(D41-E41)&lt;=0.002,1,0)</f>
        <v>1</v>
      </c>
      <c r="H41" s="8">
        <f>IF(ABS(D41-F41)&lt;=0.002,1,0)</f>
        <v>0</v>
      </c>
      <c r="K41" s="8" t="s">
        <v>404</v>
      </c>
      <c r="L41" s="8">
        <v>2026</v>
      </c>
      <c r="M41" s="8">
        <v>3</v>
      </c>
      <c r="N41" s="10">
        <v>25.814</v>
      </c>
      <c r="O41" s="10">
        <v>25.814</v>
      </c>
      <c r="P41" s="10">
        <v>25.814</v>
      </c>
      <c r="Q41" s="10"/>
      <c r="R41" s="10"/>
      <c r="S41" s="8">
        <f>IF(ABS(N41-O41)&lt;=0.002,1,0)</f>
        <v>1</v>
      </c>
      <c r="T41" s="8">
        <f>IF(ISNUMBER(P41),IF(ABS(N41-P41)&lt;=0.002,1,0),0)</f>
        <v>1</v>
      </c>
      <c r="U41" s="8">
        <f>IF(AND(ISNUMBER(P41),ISNUMBER(R41)),IF(AND(P41&gt;0,R41&lt;0),1,0),0)</f>
        <v>0</v>
      </c>
    </row>
    <row r="42" spans="1:21" x14ac:dyDescent="0.2">
      <c r="A42" s="8" t="s">
        <v>355</v>
      </c>
      <c r="B42" s="8">
        <v>2025</v>
      </c>
      <c r="C42" s="8">
        <v>12</v>
      </c>
      <c r="D42" s="10">
        <v>346.68200000000002</v>
      </c>
      <c r="E42" s="10">
        <v>346.68299999999999</v>
      </c>
      <c r="F42" s="10">
        <v>0.79500000000000004</v>
      </c>
      <c r="G42" s="8">
        <f>IF(ABS(D42-E42)&lt;=0.002,1,0)</f>
        <v>1</v>
      </c>
      <c r="H42" s="8">
        <f>IF(ABS(D42-F42)&lt;=0.002,1,0)</f>
        <v>0</v>
      </c>
      <c r="K42" s="8" t="s">
        <v>677</v>
      </c>
      <c r="L42" s="8">
        <v>2025</v>
      </c>
      <c r="M42" s="8">
        <v>6</v>
      </c>
      <c r="N42" s="10">
        <v>45.265000000000001</v>
      </c>
      <c r="O42" s="10">
        <v>45.265999999999998</v>
      </c>
      <c r="P42" s="10">
        <v>45.265000000000001</v>
      </c>
      <c r="Q42" s="10"/>
      <c r="R42" s="10"/>
      <c r="S42" s="8">
        <f>IF(ABS(N42-O42)&lt;=0.002,1,0)</f>
        <v>1</v>
      </c>
      <c r="T42" s="8">
        <f>IF(ISNUMBER(P42),IF(ABS(N42-P42)&lt;=0.002,1,0),0)</f>
        <v>1</v>
      </c>
      <c r="U42" s="8">
        <f>IF(AND(ISNUMBER(P42),ISNUMBER(R42)),IF(AND(P42&gt;0,R42&lt;0),1,0),0)</f>
        <v>0</v>
      </c>
    </row>
    <row r="43" spans="1:21" x14ac:dyDescent="0.2">
      <c r="A43" s="8" t="s">
        <v>360</v>
      </c>
      <c r="B43" s="8">
        <v>2024</v>
      </c>
      <c r="C43" s="8">
        <v>3</v>
      </c>
      <c r="D43" s="10">
        <v>208.66399999999999</v>
      </c>
      <c r="E43" s="10">
        <v>208.66399999999999</v>
      </c>
      <c r="F43" s="10">
        <v>4.71</v>
      </c>
      <c r="G43" s="8">
        <f>IF(ABS(D43-E43)&lt;=0.002,1,0)</f>
        <v>1</v>
      </c>
      <c r="H43" s="8">
        <f>IF(ABS(D43-F43)&lt;=0.002,1,0)</f>
        <v>0</v>
      </c>
      <c r="K43" s="8" t="s">
        <v>420</v>
      </c>
      <c r="L43" s="8">
        <v>2025</v>
      </c>
      <c r="M43" s="8">
        <v>12</v>
      </c>
      <c r="N43" s="10">
        <v>859.09100000000001</v>
      </c>
      <c r="O43" s="10">
        <v>859.09199999999998</v>
      </c>
      <c r="P43" s="10">
        <v>859.09100000000001</v>
      </c>
      <c r="Q43" s="10"/>
      <c r="R43" s="10">
        <v>0</v>
      </c>
      <c r="S43" s="8">
        <f>IF(ABS(N43-O43)&lt;=0.002,1,0)</f>
        <v>1</v>
      </c>
      <c r="T43" s="8">
        <f>IF(ISNUMBER(P43),IF(ABS(N43-P43)&lt;=0.002,1,0),0)</f>
        <v>1</v>
      </c>
      <c r="U43" s="8">
        <f>IF(AND(ISNUMBER(P43),ISNUMBER(R43)),IF(AND(P43&gt;0,R43&lt;0),1,0),0)</f>
        <v>0</v>
      </c>
    </row>
    <row r="44" spans="1:21" x14ac:dyDescent="0.2">
      <c r="A44" s="8" t="s">
        <v>360</v>
      </c>
      <c r="B44" s="8">
        <v>2024</v>
      </c>
      <c r="C44" s="8">
        <v>6</v>
      </c>
      <c r="D44" s="10">
        <v>4.4169999999999998</v>
      </c>
      <c r="E44" s="10">
        <v>4.4180000000000001</v>
      </c>
      <c r="F44" s="10">
        <v>2.0099999999999998</v>
      </c>
      <c r="G44" s="8">
        <f>IF(ABS(D44-E44)&lt;=0.002,1,0)</f>
        <v>1</v>
      </c>
      <c r="H44" s="8">
        <f>IF(ABS(D44-F44)&lt;=0.002,1,0)</f>
        <v>0</v>
      </c>
      <c r="K44" s="8" t="s">
        <v>427</v>
      </c>
      <c r="L44" s="8">
        <v>2025</v>
      </c>
      <c r="M44" s="8">
        <v>9</v>
      </c>
      <c r="N44" s="10">
        <v>-139.42500000000001</v>
      </c>
      <c r="O44" s="10">
        <v>-139.42500000000001</v>
      </c>
      <c r="P44" s="10">
        <v>-278.12200000000001</v>
      </c>
      <c r="Q44" s="10">
        <v>61.444000000000003</v>
      </c>
      <c r="R44" s="10">
        <v>0</v>
      </c>
      <c r="S44" s="8">
        <f>IF(ABS(N44-O44)&lt;=0.002,1,0)</f>
        <v>1</v>
      </c>
      <c r="T44" s="8">
        <f>IF(ISNUMBER(P44),IF(ABS(N44-P44)&lt;=0.002,1,0),0)</f>
        <v>0</v>
      </c>
      <c r="U44" s="8">
        <f>IF(AND(ISNUMBER(P44),ISNUMBER(R44)),IF(AND(P44&gt;0,R44&lt;0),1,0),0)</f>
        <v>0</v>
      </c>
    </row>
    <row r="45" spans="1:21" x14ac:dyDescent="0.2">
      <c r="A45" s="8" t="s">
        <v>363</v>
      </c>
      <c r="B45" s="8">
        <v>2024</v>
      </c>
      <c r="C45" s="8">
        <v>6</v>
      </c>
      <c r="D45" s="10">
        <v>802.67</v>
      </c>
      <c r="E45" s="10">
        <v>802.67100000000005</v>
      </c>
      <c r="F45" s="10">
        <v>7.2789999999999999</v>
      </c>
      <c r="G45" s="8">
        <f>IF(ABS(D45-E45)&lt;=0.002,1,0)</f>
        <v>1</v>
      </c>
      <c r="H45" s="8">
        <f>IF(ABS(D45-F45)&lt;=0.002,1,0)</f>
        <v>0</v>
      </c>
      <c r="K45" s="8" t="s">
        <v>427</v>
      </c>
      <c r="L45" s="8">
        <v>2025</v>
      </c>
      <c r="M45" s="8">
        <v>12</v>
      </c>
      <c r="N45" s="10">
        <v>54.573999999999998</v>
      </c>
      <c r="O45" s="10">
        <v>54.575000000000003</v>
      </c>
      <c r="P45" s="10">
        <v>-145.095</v>
      </c>
      <c r="Q45" s="10">
        <v>58.878999999999998</v>
      </c>
      <c r="R45" s="10">
        <v>0</v>
      </c>
      <c r="S45" s="8">
        <f>IF(ABS(N45-O45)&lt;=0.002,1,0)</f>
        <v>1</v>
      </c>
      <c r="T45" s="8">
        <f>IF(ISNUMBER(P45),IF(ABS(N45-P45)&lt;=0.002,1,0),0)</f>
        <v>0</v>
      </c>
      <c r="U45" s="8">
        <f>IF(AND(ISNUMBER(P45),ISNUMBER(R45)),IF(AND(P45&gt;0,R45&lt;0),1,0),0)</f>
        <v>0</v>
      </c>
    </row>
    <row r="46" spans="1:21" x14ac:dyDescent="0.2">
      <c r="A46" s="8" t="s">
        <v>363</v>
      </c>
      <c r="B46" s="8">
        <v>2024</v>
      </c>
      <c r="C46" s="8">
        <v>9</v>
      </c>
      <c r="D46" s="10">
        <v>1005.657</v>
      </c>
      <c r="E46" s="10">
        <v>1005.658</v>
      </c>
      <c r="F46" s="10">
        <v>8.3059999999999992</v>
      </c>
      <c r="G46" s="8">
        <f>IF(ABS(D46-E46)&lt;=0.002,1,0)</f>
        <v>1</v>
      </c>
      <c r="H46" s="8">
        <f>IF(ABS(D46-F46)&lt;=0.002,1,0)</f>
        <v>0</v>
      </c>
      <c r="K46" s="8" t="s">
        <v>435</v>
      </c>
      <c r="L46" s="8">
        <v>2024</v>
      </c>
      <c r="M46" s="8">
        <v>9</v>
      </c>
      <c r="N46" s="10">
        <v>-280.71300000000002</v>
      </c>
      <c r="O46" s="10">
        <v>-280.71300000000002</v>
      </c>
      <c r="P46" s="10">
        <v>0.35799999999999998</v>
      </c>
      <c r="Q46" s="10"/>
      <c r="R46" s="10">
        <v>-294.899</v>
      </c>
      <c r="S46" s="8">
        <f>IF(ABS(N46-O46)&lt;=0.002,1,0)</f>
        <v>1</v>
      </c>
      <c r="T46" s="8">
        <f>IF(ISNUMBER(P46),IF(ABS(N46-P46)&lt;=0.002,1,0),0)</f>
        <v>0</v>
      </c>
      <c r="U46" s="8">
        <f>IF(AND(ISNUMBER(P46),ISNUMBER(R46)),IF(AND(P46&gt;0,R46&lt;0),1,0),0)</f>
        <v>1</v>
      </c>
    </row>
    <row r="47" spans="1:21" x14ac:dyDescent="0.2">
      <c r="A47" s="8" t="s">
        <v>363</v>
      </c>
      <c r="B47" s="8">
        <v>2024</v>
      </c>
      <c r="C47" s="8">
        <v>12</v>
      </c>
      <c r="D47" s="10">
        <v>-102.765</v>
      </c>
      <c r="E47" s="10">
        <v>-102.765</v>
      </c>
      <c r="F47" s="10">
        <v>7.8129999999999997</v>
      </c>
      <c r="G47" s="8">
        <f>IF(ABS(D47-E47)&lt;=0.002,1,0)</f>
        <v>1</v>
      </c>
      <c r="H47" s="8">
        <f>IF(ABS(D47-F47)&lt;=0.002,1,0)</f>
        <v>0</v>
      </c>
      <c r="K47" s="8" t="s">
        <v>435</v>
      </c>
      <c r="L47" s="8">
        <v>2025</v>
      </c>
      <c r="M47" s="8">
        <v>9</v>
      </c>
      <c r="N47" s="10">
        <v>-583.54899999999998</v>
      </c>
      <c r="O47" s="10">
        <v>-583.54999999999995</v>
      </c>
      <c r="P47" s="10">
        <v>0.31900000000000001</v>
      </c>
      <c r="Q47" s="10"/>
      <c r="R47" s="10">
        <v>-376.49200000000002</v>
      </c>
      <c r="S47" s="8">
        <f>IF(ABS(N47-O47)&lt;=0.002,1,0)</f>
        <v>1</v>
      </c>
      <c r="T47" s="8">
        <f>IF(ISNUMBER(P47),IF(ABS(N47-P47)&lt;=0.002,1,0),0)</f>
        <v>0</v>
      </c>
      <c r="U47" s="8">
        <f>IF(AND(ISNUMBER(P47),ISNUMBER(R47)),IF(AND(P47&gt;0,R47&lt;0),1,0),0)</f>
        <v>1</v>
      </c>
    </row>
    <row r="48" spans="1:21" x14ac:dyDescent="0.2">
      <c r="A48" s="8" t="s">
        <v>363</v>
      </c>
      <c r="B48" s="8">
        <v>2025</v>
      </c>
      <c r="C48" s="8">
        <v>6</v>
      </c>
      <c r="D48" s="10">
        <v>351.40300000000002</v>
      </c>
      <c r="E48" s="10">
        <v>351.404</v>
      </c>
      <c r="F48" s="10">
        <v>17.863</v>
      </c>
      <c r="G48" s="8">
        <f>IF(ABS(D48-E48)&lt;=0.002,1,0)</f>
        <v>1</v>
      </c>
      <c r="H48" s="8">
        <f>IF(ABS(D48-F48)&lt;=0.002,1,0)</f>
        <v>0</v>
      </c>
      <c r="K48" s="8" t="s">
        <v>443</v>
      </c>
      <c r="L48" s="8">
        <v>2025</v>
      </c>
      <c r="M48" s="8">
        <v>6</v>
      </c>
      <c r="N48" s="10">
        <v>463.25700000000001</v>
      </c>
      <c r="O48" s="10">
        <v>463.25700000000001</v>
      </c>
      <c r="P48" s="10">
        <v>435.26499999999999</v>
      </c>
      <c r="Q48" s="10"/>
      <c r="R48" s="10">
        <v>27.991</v>
      </c>
      <c r="S48" s="8">
        <f>IF(ABS(N48-O48)&lt;=0.002,1,0)</f>
        <v>1</v>
      </c>
      <c r="T48" s="8">
        <f>IF(ISNUMBER(P48),IF(ABS(N48-P48)&lt;=0.002,1,0),0)</f>
        <v>0</v>
      </c>
      <c r="U48" s="8">
        <f>IF(AND(ISNUMBER(P48),ISNUMBER(R48)),IF(AND(P48&gt;0,R48&lt;0),1,0),0)</f>
        <v>0</v>
      </c>
    </row>
    <row r="49" spans="1:21" x14ac:dyDescent="0.2">
      <c r="A49" s="8" t="s">
        <v>363</v>
      </c>
      <c r="B49" s="8">
        <v>2025</v>
      </c>
      <c r="C49" s="8">
        <v>9</v>
      </c>
      <c r="D49" s="10">
        <v>1664.79</v>
      </c>
      <c r="E49" s="10">
        <v>1664.79</v>
      </c>
      <c r="F49" s="10">
        <v>17.094000000000001</v>
      </c>
      <c r="G49" s="8">
        <f>IF(ABS(D49-E49)&lt;=0.002,1,0)</f>
        <v>1</v>
      </c>
      <c r="H49" s="8">
        <f>IF(ABS(D49-F49)&lt;=0.002,1,0)</f>
        <v>0</v>
      </c>
      <c r="K49" s="8" t="s">
        <v>443</v>
      </c>
      <c r="L49" s="8">
        <v>2025</v>
      </c>
      <c r="M49" s="8">
        <v>9</v>
      </c>
      <c r="N49" s="10">
        <v>1488.9269999999999</v>
      </c>
      <c r="O49" s="10">
        <v>1488.9280000000001</v>
      </c>
      <c r="P49" s="10">
        <v>1155.5150000000001</v>
      </c>
      <c r="Q49" s="10"/>
      <c r="R49" s="10">
        <v>333.41199999999998</v>
      </c>
      <c r="S49" s="8">
        <f>IF(ABS(N49-O49)&lt;=0.002,1,0)</f>
        <v>1</v>
      </c>
      <c r="T49" s="8">
        <f>IF(ISNUMBER(P49),IF(ABS(N49-P49)&lt;=0.002,1,0),0)</f>
        <v>0</v>
      </c>
      <c r="U49" s="8">
        <f>IF(AND(ISNUMBER(P49),ISNUMBER(R49)),IF(AND(P49&gt;0,R49&lt;0),1,0),0)</f>
        <v>0</v>
      </c>
    </row>
    <row r="50" spans="1:21" x14ac:dyDescent="0.2">
      <c r="A50" s="8" t="s">
        <v>363</v>
      </c>
      <c r="B50" s="8">
        <v>2025</v>
      </c>
      <c r="C50" s="8">
        <v>12</v>
      </c>
      <c r="D50" s="10">
        <v>2084.5639999999999</v>
      </c>
      <c r="E50" s="10">
        <v>2084.5650000000001</v>
      </c>
      <c r="F50" s="10">
        <v>42.972999999999999</v>
      </c>
      <c r="G50" s="8">
        <f>IF(ABS(D50-E50)&lt;=0.002,1,0)</f>
        <v>1</v>
      </c>
      <c r="H50" s="8">
        <f>IF(ABS(D50-F50)&lt;=0.002,1,0)</f>
        <v>0</v>
      </c>
      <c r="K50" s="8" t="s">
        <v>443</v>
      </c>
      <c r="L50" s="8">
        <v>2025</v>
      </c>
      <c r="M50" s="8">
        <v>12</v>
      </c>
      <c r="N50" s="10">
        <v>3103.4090000000001</v>
      </c>
      <c r="O50" s="10">
        <v>3103.4090000000001</v>
      </c>
      <c r="P50" s="10">
        <v>2722.0459999999998</v>
      </c>
      <c r="Q50" s="10"/>
      <c r="R50" s="10">
        <v>381.363</v>
      </c>
      <c r="S50" s="8">
        <f>IF(ABS(N50-O50)&lt;=0.002,1,0)</f>
        <v>1</v>
      </c>
      <c r="T50" s="8">
        <f>IF(ISNUMBER(P50),IF(ABS(N50-P50)&lt;=0.002,1,0),0)</f>
        <v>0</v>
      </c>
      <c r="U50" s="8">
        <f>IF(AND(ISNUMBER(P50),ISNUMBER(R50)),IF(AND(P50&gt;0,R50&lt;0),1,0),0)</f>
        <v>0</v>
      </c>
    </row>
    <row r="51" spans="1:21" x14ac:dyDescent="0.2">
      <c r="A51" s="8" t="s">
        <v>376</v>
      </c>
      <c r="B51" s="8">
        <v>2024</v>
      </c>
      <c r="C51" s="8">
        <v>9</v>
      </c>
      <c r="D51" s="10">
        <v>3549.808</v>
      </c>
      <c r="E51" s="10">
        <v>3549.8090000000002</v>
      </c>
      <c r="F51" s="10">
        <v>19.809000000000001</v>
      </c>
      <c r="G51" s="8">
        <f>IF(ABS(D51-E51)&lt;=0.002,1,0)</f>
        <v>1</v>
      </c>
      <c r="H51" s="8">
        <f>IF(ABS(D51-F51)&lt;=0.002,1,0)</f>
        <v>0</v>
      </c>
      <c r="K51" s="8" t="s">
        <v>443</v>
      </c>
      <c r="L51" s="8">
        <v>2026</v>
      </c>
      <c r="M51" s="8">
        <v>3</v>
      </c>
      <c r="N51" s="10">
        <v>1627.4690000000001</v>
      </c>
      <c r="O51" s="10">
        <v>1627.4690000000001</v>
      </c>
      <c r="P51" s="10">
        <v>1616.809</v>
      </c>
      <c r="Q51" s="10"/>
      <c r="R51" s="10">
        <v>10.659000000000001</v>
      </c>
      <c r="S51" s="8">
        <f>IF(ABS(N51-O51)&lt;=0.002,1,0)</f>
        <v>1</v>
      </c>
      <c r="T51" s="8">
        <f>IF(ISNUMBER(P51),IF(ABS(N51-P51)&lt;=0.002,1,0),0)</f>
        <v>0</v>
      </c>
      <c r="U51" s="8">
        <f>IF(AND(ISNUMBER(P51),ISNUMBER(R51)),IF(AND(P51&gt;0,R51&lt;0),1,0),0)</f>
        <v>0</v>
      </c>
    </row>
    <row r="52" spans="1:21" x14ac:dyDescent="0.2">
      <c r="A52" s="8" t="s">
        <v>382</v>
      </c>
      <c r="B52" s="8">
        <v>2024</v>
      </c>
      <c r="C52" s="8">
        <v>9</v>
      </c>
      <c r="D52" s="10">
        <v>119.129</v>
      </c>
      <c r="E52" s="10">
        <v>119.13</v>
      </c>
      <c r="F52" s="10">
        <v>2.161</v>
      </c>
      <c r="G52" s="8">
        <f>IF(ABS(D52-E52)&lt;=0.002,1,0)</f>
        <v>1</v>
      </c>
      <c r="H52" s="8">
        <f>IF(ABS(D52-F52)&lt;=0.002,1,0)</f>
        <v>0</v>
      </c>
      <c r="K52" s="8" t="s">
        <v>682</v>
      </c>
      <c r="L52" s="8">
        <v>2024</v>
      </c>
      <c r="M52" s="8">
        <v>3</v>
      </c>
      <c r="N52" s="10">
        <v>1610.886</v>
      </c>
      <c r="O52" s="10">
        <v>1610.8869999999999</v>
      </c>
      <c r="P52" s="10">
        <v>25.753</v>
      </c>
      <c r="Q52" s="10"/>
      <c r="R52" s="10"/>
      <c r="S52" s="8">
        <f>IF(ABS(N52-O52)&lt;=0.002,1,0)</f>
        <v>1</v>
      </c>
      <c r="T52" s="8">
        <f>IF(ISNUMBER(P52),IF(ABS(N52-P52)&lt;=0.002,1,0),0)</f>
        <v>0</v>
      </c>
      <c r="U52" s="8">
        <f>IF(AND(ISNUMBER(P52),ISNUMBER(R52)),IF(AND(P52&gt;0,R52&lt;0),1,0),0)</f>
        <v>0</v>
      </c>
    </row>
    <row r="53" spans="1:21" x14ac:dyDescent="0.2">
      <c r="A53" s="8" t="s">
        <v>717</v>
      </c>
      <c r="B53" s="8">
        <v>2025</v>
      </c>
      <c r="C53" s="8">
        <v>3</v>
      </c>
      <c r="D53" s="10">
        <v>-5.0000000000000001E-3</v>
      </c>
      <c r="E53" s="10">
        <v>-0.28999999999999998</v>
      </c>
      <c r="F53" s="10">
        <v>0.23400000000000001</v>
      </c>
      <c r="G53" s="8">
        <f>IF(ABS(D53-E53)&lt;=0.002,1,0)</f>
        <v>0</v>
      </c>
      <c r="H53" s="8">
        <f>IF(ABS(D53-F53)&lt;=0.002,1,0)</f>
        <v>0</v>
      </c>
      <c r="K53" s="8" t="s">
        <v>686</v>
      </c>
      <c r="L53" s="8">
        <v>2025</v>
      </c>
      <c r="M53" s="8">
        <v>6</v>
      </c>
      <c r="N53" s="10">
        <v>338.97899999999998</v>
      </c>
      <c r="O53" s="10">
        <v>338.97899999999998</v>
      </c>
      <c r="P53" s="10">
        <v>-1.0920000000000001</v>
      </c>
      <c r="Q53" s="10">
        <v>15.651</v>
      </c>
      <c r="R53" s="10">
        <v>0</v>
      </c>
      <c r="S53" s="8">
        <f>IF(ABS(N53-O53)&lt;=0.002,1,0)</f>
        <v>1</v>
      </c>
      <c r="T53" s="8">
        <f>IF(ISNUMBER(P53),IF(ABS(N53-P53)&lt;=0.002,1,0),0)</f>
        <v>0</v>
      </c>
      <c r="U53" s="8">
        <f>IF(AND(ISNUMBER(P53),ISNUMBER(R53)),IF(AND(P53&gt;0,R53&lt;0),1,0),0)</f>
        <v>0</v>
      </c>
    </row>
    <row r="54" spans="1:21" x14ac:dyDescent="0.2">
      <c r="A54" s="8" t="s">
        <v>670</v>
      </c>
      <c r="B54" s="8">
        <v>2024</v>
      </c>
      <c r="C54" s="8">
        <v>12</v>
      </c>
      <c r="D54" s="10">
        <v>-1883.06</v>
      </c>
      <c r="E54" s="10">
        <v>-1883.06</v>
      </c>
      <c r="F54" s="10">
        <v>107.53700000000001</v>
      </c>
      <c r="G54" s="8">
        <f>IF(ABS(D54-E54)&lt;=0.002,1,0)</f>
        <v>1</v>
      </c>
      <c r="H54" s="8">
        <f>IF(ABS(D54-F54)&lt;=0.002,1,0)</f>
        <v>0</v>
      </c>
      <c r="K54" s="8" t="s">
        <v>475</v>
      </c>
      <c r="L54" s="8">
        <v>2024</v>
      </c>
      <c r="M54" s="8">
        <v>3</v>
      </c>
      <c r="N54" s="10">
        <v>7073.6530000000002</v>
      </c>
      <c r="O54" s="10">
        <v>7073.6530000000002</v>
      </c>
      <c r="P54" s="10">
        <v>1524.069</v>
      </c>
      <c r="Q54" s="10"/>
      <c r="R54" s="10"/>
      <c r="S54" s="8">
        <f>IF(ABS(N54-O54)&lt;=0.002,1,0)</f>
        <v>1</v>
      </c>
      <c r="T54" s="8">
        <f>IF(ISNUMBER(P54),IF(ABS(N54-P54)&lt;=0.002,1,0),0)</f>
        <v>0</v>
      </c>
      <c r="U54" s="8">
        <f>IF(AND(ISNUMBER(P54),ISNUMBER(R54)),IF(AND(P54&gt;0,R54&lt;0),1,0),0)</f>
        <v>0</v>
      </c>
    </row>
    <row r="55" spans="1:21" x14ac:dyDescent="0.2">
      <c r="A55" s="8" t="s">
        <v>390</v>
      </c>
      <c r="B55" s="8">
        <v>2025</v>
      </c>
      <c r="C55" s="8">
        <v>3</v>
      </c>
      <c r="D55" s="10">
        <v>83.117000000000004</v>
      </c>
      <c r="E55" s="10">
        <v>83.117000000000004</v>
      </c>
      <c r="F55" s="10">
        <v>60.944000000000003</v>
      </c>
      <c r="G55" s="8">
        <f>IF(ABS(D55-E55)&lt;=0.002,1,0)</f>
        <v>1</v>
      </c>
      <c r="H55" s="8">
        <f>IF(ABS(D55-F55)&lt;=0.002,1,0)</f>
        <v>0</v>
      </c>
      <c r="K55" s="8" t="s">
        <v>475</v>
      </c>
      <c r="L55" s="8">
        <v>2024</v>
      </c>
      <c r="M55" s="8">
        <v>6</v>
      </c>
      <c r="N55" s="10">
        <v>5424.2579999999998</v>
      </c>
      <c r="O55" s="10">
        <v>5424.259</v>
      </c>
      <c r="P55" s="10">
        <v>1238.1479999999999</v>
      </c>
      <c r="Q55" s="10"/>
      <c r="R55" s="10"/>
      <c r="S55" s="8">
        <f>IF(ABS(N55-O55)&lt;=0.002,1,0)</f>
        <v>1</v>
      </c>
      <c r="T55" s="8">
        <f>IF(ISNUMBER(P55),IF(ABS(N55-P55)&lt;=0.002,1,0),0)</f>
        <v>0</v>
      </c>
      <c r="U55" s="8">
        <f>IF(AND(ISNUMBER(P55),ISNUMBER(R55)),IF(AND(P55&gt;0,R55&lt;0),1,0),0)</f>
        <v>0</v>
      </c>
    </row>
    <row r="56" spans="1:21" x14ac:dyDescent="0.2">
      <c r="A56" s="8" t="s">
        <v>390</v>
      </c>
      <c r="B56" s="8">
        <v>2025</v>
      </c>
      <c r="C56" s="8">
        <v>6</v>
      </c>
      <c r="D56" s="10">
        <v>316.291</v>
      </c>
      <c r="E56" s="10">
        <v>316.291</v>
      </c>
      <c r="F56" s="10">
        <v>94.757000000000005</v>
      </c>
      <c r="G56" s="8">
        <f>IF(ABS(D56-E56)&lt;=0.002,1,0)</f>
        <v>1</v>
      </c>
      <c r="H56" s="8">
        <f>IF(ABS(D56-F56)&lt;=0.002,1,0)</f>
        <v>0</v>
      </c>
      <c r="K56" s="8" t="s">
        <v>475</v>
      </c>
      <c r="L56" s="8">
        <v>2024</v>
      </c>
      <c r="M56" s="8">
        <v>9</v>
      </c>
      <c r="N56" s="10">
        <v>7411.0559999999996</v>
      </c>
      <c r="O56" s="10">
        <v>7411.0569999999998</v>
      </c>
      <c r="P56" s="10">
        <v>2395.415</v>
      </c>
      <c r="Q56" s="10"/>
      <c r="R56" s="10"/>
      <c r="S56" s="8">
        <f>IF(ABS(N56-O56)&lt;=0.002,1,0)</f>
        <v>1</v>
      </c>
      <c r="T56" s="8">
        <f>IF(ISNUMBER(P56),IF(ABS(N56-P56)&lt;=0.002,1,0),0)</f>
        <v>0</v>
      </c>
      <c r="U56" s="8">
        <f>IF(AND(ISNUMBER(P56),ISNUMBER(R56)),IF(AND(P56&gt;0,R56&lt;0),1,0),0)</f>
        <v>0</v>
      </c>
    </row>
    <row r="57" spans="1:21" x14ac:dyDescent="0.2">
      <c r="A57" s="8" t="s">
        <v>390</v>
      </c>
      <c r="B57" s="8">
        <v>2025</v>
      </c>
      <c r="C57" s="8">
        <v>9</v>
      </c>
      <c r="D57" s="10">
        <v>573.76599999999996</v>
      </c>
      <c r="E57" s="10">
        <v>573.76700000000005</v>
      </c>
      <c r="F57" s="10">
        <v>136.137</v>
      </c>
      <c r="G57" s="8">
        <f>IF(ABS(D57-E57)&lt;=0.002,1,0)</f>
        <v>1</v>
      </c>
      <c r="H57" s="8">
        <f>IF(ABS(D57-F57)&lt;=0.002,1,0)</f>
        <v>0</v>
      </c>
      <c r="K57" s="8" t="s">
        <v>475</v>
      </c>
      <c r="L57" s="8">
        <v>2024</v>
      </c>
      <c r="M57" s="8">
        <v>12</v>
      </c>
      <c r="N57" s="10">
        <v>6698.0550000000003</v>
      </c>
      <c r="O57" s="10">
        <v>6698.0559999999996</v>
      </c>
      <c r="P57" s="10">
        <v>2568.0030000000002</v>
      </c>
      <c r="Q57" s="10"/>
      <c r="R57" s="10"/>
      <c r="S57" s="8">
        <f>IF(ABS(N57-O57)&lt;=0.002,1,0)</f>
        <v>1</v>
      </c>
      <c r="T57" s="8">
        <f>IF(ISNUMBER(P57),IF(ABS(N57-P57)&lt;=0.002,1,0),0)</f>
        <v>0</v>
      </c>
      <c r="U57" s="8">
        <f>IF(AND(ISNUMBER(P57),ISNUMBER(R57)),IF(AND(P57&gt;0,R57&lt;0),1,0),0)</f>
        <v>0</v>
      </c>
    </row>
    <row r="58" spans="1:21" x14ac:dyDescent="0.2">
      <c r="A58" s="8" t="s">
        <v>390</v>
      </c>
      <c r="B58" s="8">
        <v>2025</v>
      </c>
      <c r="C58" s="8">
        <v>12</v>
      </c>
      <c r="D58" s="10">
        <v>663.51400000000001</v>
      </c>
      <c r="E58" s="10">
        <v>663.51400000000001</v>
      </c>
      <c r="F58" s="10">
        <v>158.059</v>
      </c>
      <c r="G58" s="8">
        <f>IF(ABS(D58-E58)&lt;=0.002,1,0)</f>
        <v>1</v>
      </c>
      <c r="H58" s="8">
        <f>IF(ABS(D58-F58)&lt;=0.002,1,0)</f>
        <v>0</v>
      </c>
      <c r="K58" s="8" t="s">
        <v>475</v>
      </c>
      <c r="L58" s="8">
        <v>2025</v>
      </c>
      <c r="M58" s="8">
        <v>3</v>
      </c>
      <c r="N58" s="10">
        <v>-14022.623</v>
      </c>
      <c r="O58" s="10">
        <v>-14022.623</v>
      </c>
      <c r="P58" s="10">
        <v>462.69600000000003</v>
      </c>
      <c r="Q58" s="10"/>
      <c r="R58" s="10"/>
      <c r="S58" s="8">
        <f>IF(ABS(N58-O58)&lt;=0.002,1,0)</f>
        <v>1</v>
      </c>
      <c r="T58" s="8">
        <f>IF(ISNUMBER(P58),IF(ABS(N58-P58)&lt;=0.002,1,0),0)</f>
        <v>0</v>
      </c>
      <c r="U58" s="8">
        <f>IF(AND(ISNUMBER(P58),ISNUMBER(R58)),IF(AND(P58&gt;0,R58&lt;0),1,0),0)</f>
        <v>0</v>
      </c>
    </row>
    <row r="59" spans="1:21" x14ac:dyDescent="0.2">
      <c r="A59" s="8" t="s">
        <v>390</v>
      </c>
      <c r="B59" s="8">
        <v>2026</v>
      </c>
      <c r="C59" s="8">
        <v>3</v>
      </c>
      <c r="D59" s="10">
        <v>32.164999999999999</v>
      </c>
      <c r="E59" s="10">
        <v>32.165999999999997</v>
      </c>
      <c r="F59" s="10">
        <v>51.347999999999999</v>
      </c>
      <c r="G59" s="8">
        <f>IF(ABS(D59-E59)&lt;=0.002,1,0)</f>
        <v>1</v>
      </c>
      <c r="H59" s="8">
        <f>IF(ABS(D59-F59)&lt;=0.002,1,0)</f>
        <v>0</v>
      </c>
      <c r="K59" s="8" t="s">
        <v>487</v>
      </c>
      <c r="L59" s="8">
        <v>2024</v>
      </c>
      <c r="M59" s="8">
        <v>3</v>
      </c>
      <c r="N59" s="10">
        <v>62.771000000000001</v>
      </c>
      <c r="O59" s="10">
        <v>62.771000000000001</v>
      </c>
      <c r="P59" s="10">
        <v>62.771000000000001</v>
      </c>
      <c r="Q59" s="10"/>
      <c r="R59" s="10">
        <v>0</v>
      </c>
      <c r="S59" s="8">
        <f>IF(ABS(N59-O59)&lt;=0.002,1,0)</f>
        <v>1</v>
      </c>
      <c r="T59" s="8">
        <f>IF(ISNUMBER(P59),IF(ABS(N59-P59)&lt;=0.002,1,0),0)</f>
        <v>1</v>
      </c>
      <c r="U59" s="8">
        <f>IF(AND(ISNUMBER(P59),ISNUMBER(R59)),IF(AND(P59&gt;0,R59&lt;0),1,0),0)</f>
        <v>0</v>
      </c>
    </row>
    <row r="60" spans="1:21" x14ac:dyDescent="0.2">
      <c r="A60" s="8" t="s">
        <v>390</v>
      </c>
      <c r="B60" s="8">
        <v>2026</v>
      </c>
      <c r="C60" s="8">
        <v>6</v>
      </c>
      <c r="D60" s="10">
        <v>-328.26400000000001</v>
      </c>
      <c r="E60" s="10">
        <v>-328.26499999999999</v>
      </c>
      <c r="F60" s="10">
        <v>84.900999999999996</v>
      </c>
      <c r="G60" s="8">
        <f>IF(ABS(D60-E60)&lt;=0.002,1,0)</f>
        <v>1</v>
      </c>
      <c r="H60" s="8">
        <f>IF(ABS(D60-F60)&lt;=0.002,1,0)</f>
        <v>0</v>
      </c>
      <c r="K60" s="8" t="s">
        <v>688</v>
      </c>
      <c r="L60" s="8">
        <v>2024</v>
      </c>
      <c r="M60" s="8">
        <v>6</v>
      </c>
      <c r="N60" s="10">
        <v>2484.46</v>
      </c>
      <c r="O60" s="10">
        <v>2484.4609999999998</v>
      </c>
      <c r="P60" s="10">
        <v>2469.9070000000002</v>
      </c>
      <c r="Q60" s="10"/>
      <c r="R60" s="10">
        <v>14.553000000000001</v>
      </c>
      <c r="S60" s="8">
        <f>IF(ABS(N60-O60)&lt;=0.002,1,0)</f>
        <v>1</v>
      </c>
      <c r="T60" s="8">
        <f>IF(ISNUMBER(P60),IF(ABS(N60-P60)&lt;=0.002,1,0),0)</f>
        <v>0</v>
      </c>
      <c r="U60" s="8">
        <f>IF(AND(ISNUMBER(P60),ISNUMBER(R60)),IF(AND(P60&gt;0,R60&lt;0),1,0),0)</f>
        <v>0</v>
      </c>
    </row>
    <row r="61" spans="1:21" x14ac:dyDescent="0.2">
      <c r="A61" s="8" t="s">
        <v>398</v>
      </c>
      <c r="B61" s="8">
        <v>2025</v>
      </c>
      <c r="C61" s="8">
        <v>9</v>
      </c>
      <c r="D61" s="10">
        <v>641.11699999999996</v>
      </c>
      <c r="E61" s="10">
        <v>641.11800000000005</v>
      </c>
      <c r="F61" s="10">
        <v>111.577</v>
      </c>
      <c r="G61" s="8">
        <f>IF(ABS(D61-E61)&lt;=0.002,1,0)</f>
        <v>1</v>
      </c>
      <c r="H61" s="8">
        <f>IF(ABS(D61-F61)&lt;=0.002,1,0)</f>
        <v>0</v>
      </c>
      <c r="K61" s="8" t="s">
        <v>690</v>
      </c>
      <c r="L61" s="8">
        <v>2024</v>
      </c>
      <c r="M61" s="8">
        <v>9</v>
      </c>
      <c r="N61" s="10">
        <v>578.22500000000002</v>
      </c>
      <c r="O61" s="10">
        <v>578.22500000000002</v>
      </c>
      <c r="P61" s="10">
        <v>-4.2709999999999999</v>
      </c>
      <c r="Q61" s="10">
        <v>291.11200000000002</v>
      </c>
      <c r="R61" s="10"/>
      <c r="S61" s="8">
        <f>IF(ABS(N61-O61)&lt;=0.002,1,0)</f>
        <v>1</v>
      </c>
      <c r="T61" s="8">
        <f>IF(ISNUMBER(P61),IF(ABS(N61-P61)&lt;=0.002,1,0),0)</f>
        <v>0</v>
      </c>
      <c r="U61" s="8">
        <f>IF(AND(ISNUMBER(P61),ISNUMBER(R61)),IF(AND(P61&gt;0,R61&lt;0),1,0),0)</f>
        <v>0</v>
      </c>
    </row>
    <row r="62" spans="1:21" x14ac:dyDescent="0.2">
      <c r="A62" s="8" t="s">
        <v>674</v>
      </c>
      <c r="B62" s="8">
        <v>2024</v>
      </c>
      <c r="C62" s="8">
        <v>3</v>
      </c>
      <c r="D62" s="10">
        <v>-55.258000000000003</v>
      </c>
      <c r="E62" s="10">
        <v>-55.258000000000003</v>
      </c>
      <c r="F62" s="10">
        <v>2.3410000000000002</v>
      </c>
      <c r="G62" s="8">
        <f>IF(ABS(D62-E62)&lt;=0.002,1,0)</f>
        <v>1</v>
      </c>
      <c r="H62" s="8">
        <f>IF(ABS(D62-F62)&lt;=0.002,1,0)</f>
        <v>0</v>
      </c>
      <c r="K62" s="8" t="s">
        <v>690</v>
      </c>
      <c r="L62" s="8">
        <v>2025</v>
      </c>
      <c r="M62" s="8">
        <v>9</v>
      </c>
      <c r="N62" s="10">
        <v>-2642.6480000000001</v>
      </c>
      <c r="O62" s="10">
        <v>-2642.6480000000001</v>
      </c>
      <c r="P62" s="10">
        <v>-34.417000000000002</v>
      </c>
      <c r="Q62" s="10">
        <v>415.02600000000001</v>
      </c>
      <c r="R62" s="10"/>
      <c r="S62" s="8">
        <f>IF(ABS(N62-O62)&lt;=0.002,1,0)</f>
        <v>1</v>
      </c>
      <c r="T62" s="8">
        <f>IF(ISNUMBER(P62),IF(ABS(N62-P62)&lt;=0.002,1,0),0)</f>
        <v>0</v>
      </c>
      <c r="U62" s="8">
        <f>IF(AND(ISNUMBER(P62),ISNUMBER(R62)),IF(AND(P62&gt;0,R62&lt;0),1,0),0)</f>
        <v>0</v>
      </c>
    </row>
    <row r="63" spans="1:21" x14ac:dyDescent="0.2">
      <c r="A63" s="8" t="s">
        <v>674</v>
      </c>
      <c r="B63" s="8">
        <v>2024</v>
      </c>
      <c r="C63" s="8">
        <v>9</v>
      </c>
      <c r="D63" s="10">
        <v>633.53300000000002</v>
      </c>
      <c r="E63" s="10">
        <v>633.53300000000002</v>
      </c>
      <c r="F63" s="10">
        <v>1E-3</v>
      </c>
      <c r="G63" s="8">
        <f>IF(ABS(D63-E63)&lt;=0.002,1,0)</f>
        <v>1</v>
      </c>
      <c r="H63" s="8">
        <f>IF(ABS(D63-F63)&lt;=0.002,1,0)</f>
        <v>0</v>
      </c>
      <c r="K63" s="8" t="s">
        <v>695</v>
      </c>
      <c r="L63" s="8">
        <v>2024</v>
      </c>
      <c r="M63" s="8">
        <v>3</v>
      </c>
      <c r="N63" s="10">
        <v>2.5270000000000001</v>
      </c>
      <c r="O63" s="10">
        <v>2.5270000000000001</v>
      </c>
      <c r="P63" s="10">
        <v>-1.327</v>
      </c>
      <c r="Q63" s="10">
        <v>3.8540000000000001</v>
      </c>
      <c r="R63" s="10"/>
      <c r="S63" s="8">
        <f>IF(ABS(N63-O63)&lt;=0.002,1,0)</f>
        <v>1</v>
      </c>
      <c r="T63" s="8">
        <f>IF(ISNUMBER(P63),IF(ABS(N63-P63)&lt;=0.002,1,0),0)</f>
        <v>0</v>
      </c>
      <c r="U63" s="8">
        <f>IF(AND(ISNUMBER(P63),ISNUMBER(R63)),IF(AND(P63&gt;0,R63&lt;0),1,0),0)</f>
        <v>0</v>
      </c>
    </row>
    <row r="64" spans="1:21" x14ac:dyDescent="0.2">
      <c r="A64" s="8" t="s">
        <v>408</v>
      </c>
      <c r="B64" s="8">
        <v>2026</v>
      </c>
      <c r="C64" s="8">
        <v>3</v>
      </c>
      <c r="D64" s="10">
        <v>2.36</v>
      </c>
      <c r="E64" s="10">
        <v>2.36</v>
      </c>
      <c r="F64" s="10">
        <v>0.48599999999999999</v>
      </c>
      <c r="G64" s="8">
        <f>IF(ABS(D64-E64)&lt;=0.002,1,0)</f>
        <v>1</v>
      </c>
      <c r="H64" s="8">
        <f>IF(ABS(D64-F64)&lt;=0.002,1,0)</f>
        <v>0</v>
      </c>
      <c r="K64" s="8" t="s">
        <v>695</v>
      </c>
      <c r="L64" s="8">
        <v>2026</v>
      </c>
      <c r="M64" s="8">
        <v>6</v>
      </c>
      <c r="N64" s="10">
        <v>-29.609000000000002</v>
      </c>
      <c r="O64" s="10">
        <v>-29.61</v>
      </c>
      <c r="P64" s="10">
        <v>-3.7290000000000001</v>
      </c>
      <c r="Q64" s="10">
        <v>0.36899999999999999</v>
      </c>
      <c r="R64" s="10"/>
      <c r="S64" s="8">
        <f>IF(ABS(N64-O64)&lt;=0.002,1,0)</f>
        <v>1</v>
      </c>
      <c r="T64" s="8">
        <f>IF(ISNUMBER(P64),IF(ABS(N64-P64)&lt;=0.002,1,0),0)</f>
        <v>0</v>
      </c>
      <c r="U64" s="8">
        <f>IF(AND(ISNUMBER(P64),ISNUMBER(R64)),IF(AND(P64&gt;0,R64&lt;0),1,0),0)</f>
        <v>0</v>
      </c>
    </row>
    <row r="65" spans="1:21" x14ac:dyDescent="0.2">
      <c r="A65" s="8" t="s">
        <v>611</v>
      </c>
      <c r="B65" s="8">
        <v>2024</v>
      </c>
      <c r="C65" s="8">
        <v>3</v>
      </c>
      <c r="D65" s="10">
        <v>-51.337000000000003</v>
      </c>
      <c r="E65" s="10">
        <v>-51.337000000000003</v>
      </c>
      <c r="F65" s="10">
        <v>0.38200000000000001</v>
      </c>
      <c r="G65" s="8">
        <f>IF(ABS(D65-E65)&lt;=0.002,1,0)</f>
        <v>1</v>
      </c>
      <c r="H65" s="8">
        <f>IF(ABS(D65-F65)&lt;=0.002,1,0)</f>
        <v>0</v>
      </c>
      <c r="K65" s="8" t="s">
        <v>730</v>
      </c>
      <c r="L65" s="8">
        <v>2025</v>
      </c>
      <c r="M65" s="8">
        <v>9</v>
      </c>
      <c r="N65" s="10">
        <v>0.61499999999999999</v>
      </c>
      <c r="O65" s="10">
        <v>0.42</v>
      </c>
      <c r="P65" s="10">
        <v>0.51800000000000002</v>
      </c>
      <c r="Q65" s="10"/>
      <c r="R65" s="10">
        <v>-9.7000000000000003E-2</v>
      </c>
      <c r="S65" s="8">
        <f>IF(ABS(N65-O65)&lt;=0.002,1,0)</f>
        <v>0</v>
      </c>
      <c r="T65" s="8">
        <f>IF(ISNUMBER(P65),IF(ABS(N65-P65)&lt;=0.002,1,0),0)</f>
        <v>0</v>
      </c>
      <c r="U65" s="8">
        <f>IF(AND(ISNUMBER(P65),ISNUMBER(R65)),IF(AND(P65&gt;0,R65&lt;0),1,0),0)</f>
        <v>1</v>
      </c>
    </row>
    <row r="66" spans="1:21" x14ac:dyDescent="0.2">
      <c r="A66" s="8" t="s">
        <v>611</v>
      </c>
      <c r="B66" s="8">
        <v>2026</v>
      </c>
      <c r="C66" s="8">
        <v>3</v>
      </c>
      <c r="D66" s="10">
        <v>-130.15799999999999</v>
      </c>
      <c r="E66" s="10">
        <v>-130.15899999999999</v>
      </c>
      <c r="F66" s="10">
        <v>1.2170000000000001</v>
      </c>
      <c r="G66" s="8">
        <f>IF(ABS(D66-E66)&lt;=0.002,1,0)</f>
        <v>1</v>
      </c>
      <c r="H66" s="8">
        <f>IF(ABS(D66-F66)&lt;=0.002,1,0)</f>
        <v>0</v>
      </c>
      <c r="K66" s="8" t="s">
        <v>696</v>
      </c>
      <c r="L66" s="8">
        <v>2025</v>
      </c>
      <c r="M66" s="8">
        <v>6</v>
      </c>
      <c r="N66" s="10">
        <v>122.19499999999999</v>
      </c>
      <c r="O66" s="10">
        <v>83.933000000000007</v>
      </c>
      <c r="P66" s="10">
        <v>83.509</v>
      </c>
      <c r="Q66" s="10"/>
      <c r="R66" s="10"/>
      <c r="S66" s="8">
        <f>IF(ABS(N66-O66)&lt;=0.002,1,0)</f>
        <v>0</v>
      </c>
      <c r="T66" s="8">
        <f>IF(ISNUMBER(P66),IF(ABS(N66-P66)&lt;=0.002,1,0),0)</f>
        <v>0</v>
      </c>
      <c r="U66" s="8">
        <f>IF(AND(ISNUMBER(P66),ISNUMBER(R66)),IF(AND(P66&gt;0,R66&lt;0),1,0),0)</f>
        <v>0</v>
      </c>
    </row>
    <row r="67" spans="1:21" x14ac:dyDescent="0.2">
      <c r="A67" s="8" t="s">
        <v>415</v>
      </c>
      <c r="B67" s="8">
        <v>2025</v>
      </c>
      <c r="C67" s="8">
        <v>6</v>
      </c>
      <c r="D67" s="10">
        <v>101.626</v>
      </c>
      <c r="E67" s="10">
        <v>101.626</v>
      </c>
      <c r="F67" s="10">
        <v>2.9350000000000001</v>
      </c>
      <c r="G67" s="8">
        <f>IF(ABS(D67-E67)&lt;=0.002,1,0)</f>
        <v>1</v>
      </c>
      <c r="H67" s="8">
        <f>IF(ABS(D67-F67)&lt;=0.002,1,0)</f>
        <v>0</v>
      </c>
      <c r="K67" s="8" t="s">
        <v>696</v>
      </c>
      <c r="L67" s="8">
        <v>2026</v>
      </c>
      <c r="M67" s="8">
        <v>3</v>
      </c>
      <c r="N67" s="10">
        <v>114.34399999999999</v>
      </c>
      <c r="O67" s="10">
        <v>34.368000000000002</v>
      </c>
      <c r="P67" s="10">
        <v>9.0329999999999995</v>
      </c>
      <c r="Q67" s="10"/>
      <c r="R67" s="10">
        <v>25.334</v>
      </c>
      <c r="S67" s="8">
        <f>IF(ABS(N67-O67)&lt;=0.002,1,0)</f>
        <v>0</v>
      </c>
      <c r="T67" s="8">
        <f>IF(ISNUMBER(P67),IF(ABS(N67-P67)&lt;=0.002,1,0),0)</f>
        <v>0</v>
      </c>
      <c r="U67" s="8">
        <f>IF(AND(ISNUMBER(P67),ISNUMBER(R67)),IF(AND(P67&gt;0,R67&lt;0),1,0),0)</f>
        <v>0</v>
      </c>
    </row>
    <row r="68" spans="1:21" x14ac:dyDescent="0.2">
      <c r="A68" s="8" t="s">
        <v>415</v>
      </c>
      <c r="B68" s="8">
        <v>2025</v>
      </c>
      <c r="C68" s="8">
        <v>9</v>
      </c>
      <c r="D68" s="10">
        <v>158.828</v>
      </c>
      <c r="E68" s="10">
        <v>158.82900000000001</v>
      </c>
      <c r="F68" s="10">
        <v>5.6210000000000004</v>
      </c>
      <c r="G68" s="8">
        <f>IF(ABS(D68-E68)&lt;=0.002,1,0)</f>
        <v>1</v>
      </c>
      <c r="H68" s="8">
        <f>IF(ABS(D68-F68)&lt;=0.002,1,0)</f>
        <v>0</v>
      </c>
      <c r="K68" s="8" t="s">
        <v>696</v>
      </c>
      <c r="L68" s="8">
        <v>2026</v>
      </c>
      <c r="M68" s="8">
        <v>6</v>
      </c>
      <c r="N68" s="10">
        <v>172.39</v>
      </c>
      <c r="O68" s="10">
        <v>38.058999999999997</v>
      </c>
      <c r="P68" s="10">
        <v>0.54</v>
      </c>
      <c r="Q68" s="10"/>
      <c r="R68" s="10">
        <v>37.518000000000001</v>
      </c>
      <c r="S68" s="8">
        <f>IF(ABS(N68-O68)&lt;=0.002,1,0)</f>
        <v>0</v>
      </c>
      <c r="T68" s="8">
        <f>IF(ISNUMBER(P68),IF(ABS(N68-P68)&lt;=0.002,1,0),0)</f>
        <v>0</v>
      </c>
      <c r="U68" s="8">
        <f>IF(AND(ISNUMBER(P68),ISNUMBER(R68)),IF(AND(P68&gt;0,R68&lt;0),1,0),0)</f>
        <v>0</v>
      </c>
    </row>
    <row r="69" spans="1:21" x14ac:dyDescent="0.2">
      <c r="A69" s="8" t="s">
        <v>420</v>
      </c>
      <c r="B69" s="8">
        <v>2024</v>
      </c>
      <c r="C69" s="8">
        <v>3</v>
      </c>
      <c r="D69" s="10">
        <v>-171.02199999999999</v>
      </c>
      <c r="E69" s="10">
        <v>-171.023</v>
      </c>
      <c r="F69" s="10">
        <v>1.877</v>
      </c>
      <c r="G69" s="8">
        <f>IF(ABS(D69-E69)&lt;=0.002,1,0)</f>
        <v>1</v>
      </c>
      <c r="H69" s="8">
        <f>IF(ABS(D69-F69)&lt;=0.002,1,0)</f>
        <v>0</v>
      </c>
      <c r="K69" s="8" t="s">
        <v>531</v>
      </c>
      <c r="L69" s="8">
        <v>2025</v>
      </c>
      <c r="M69" s="8">
        <v>6</v>
      </c>
      <c r="N69" s="10">
        <v>721.93700000000001</v>
      </c>
      <c r="O69" s="10">
        <v>721.93700000000001</v>
      </c>
      <c r="P69" s="10">
        <v>-2307.902</v>
      </c>
      <c r="Q69" s="10">
        <v>2077.0770000000002</v>
      </c>
      <c r="R69" s="10">
        <v>95.888000000000005</v>
      </c>
      <c r="S69" s="8">
        <f>IF(ABS(N69-O69)&lt;=0.002,1,0)</f>
        <v>1</v>
      </c>
      <c r="T69" s="8">
        <f>IF(ISNUMBER(P69),IF(ABS(N69-P69)&lt;=0.002,1,0),0)</f>
        <v>0</v>
      </c>
      <c r="U69" s="8">
        <f>IF(AND(ISNUMBER(P69),ISNUMBER(R69)),IF(AND(P69&gt;0,R69&lt;0),1,0),0)</f>
        <v>0</v>
      </c>
    </row>
    <row r="70" spans="1:21" x14ac:dyDescent="0.2">
      <c r="A70" s="8" t="s">
        <v>420</v>
      </c>
      <c r="B70" s="8">
        <v>2024</v>
      </c>
      <c r="C70" s="8">
        <v>6</v>
      </c>
      <c r="D70" s="10">
        <v>-171.023</v>
      </c>
      <c r="E70" s="10">
        <v>-171.023</v>
      </c>
      <c r="F70" s="10">
        <v>1.877</v>
      </c>
      <c r="G70" s="8">
        <f>IF(ABS(D70-E70)&lt;=0.002,1,0)</f>
        <v>1</v>
      </c>
      <c r="H70" s="8">
        <f>IF(ABS(D70-F70)&lt;=0.002,1,0)</f>
        <v>0</v>
      </c>
      <c r="K70" s="8" t="s">
        <v>700</v>
      </c>
      <c r="L70" s="8">
        <v>2024</v>
      </c>
      <c r="M70" s="8">
        <v>6</v>
      </c>
      <c r="N70" s="10">
        <v>3.01</v>
      </c>
      <c r="O70" s="10">
        <v>3.01</v>
      </c>
      <c r="P70" s="10">
        <v>3.01</v>
      </c>
      <c r="Q70" s="10"/>
      <c r="R70" s="10"/>
      <c r="S70" s="8">
        <f>IF(ABS(N70-O70)&lt;=0.002,1,0)</f>
        <v>1</v>
      </c>
      <c r="T70" s="8">
        <f>IF(ISNUMBER(P70),IF(ABS(N70-P70)&lt;=0.002,1,0),0)</f>
        <v>1</v>
      </c>
      <c r="U70" s="8">
        <f>IF(AND(ISNUMBER(P70),ISNUMBER(R70)),IF(AND(P70&gt;0,R70&lt;0),1,0),0)</f>
        <v>0</v>
      </c>
    </row>
    <row r="71" spans="1:21" x14ac:dyDescent="0.2">
      <c r="A71" s="8" t="s">
        <v>420</v>
      </c>
      <c r="B71" s="8">
        <v>2024</v>
      </c>
      <c r="C71" s="8">
        <v>12</v>
      </c>
      <c r="D71" s="10">
        <v>35.201000000000001</v>
      </c>
      <c r="E71" s="10">
        <v>35.201999999999998</v>
      </c>
      <c r="F71" s="10">
        <v>1.377</v>
      </c>
      <c r="G71" s="8">
        <f>IF(ABS(D71-E71)&lt;=0.002,1,0)</f>
        <v>1</v>
      </c>
      <c r="H71" s="8">
        <f>IF(ABS(D71-F71)&lt;=0.002,1,0)</f>
        <v>0</v>
      </c>
      <c r="K71" s="8" t="s">
        <v>703</v>
      </c>
      <c r="L71" s="8">
        <v>2024</v>
      </c>
      <c r="M71" s="8">
        <v>3</v>
      </c>
      <c r="N71" s="10">
        <v>565.303</v>
      </c>
      <c r="O71" s="10">
        <v>565.303</v>
      </c>
      <c r="P71" s="10"/>
      <c r="Q71" s="10">
        <v>565.303</v>
      </c>
      <c r="R71" s="10"/>
      <c r="S71" s="8">
        <f>IF(ABS(N71-O71)&lt;=0.002,1,0)</f>
        <v>1</v>
      </c>
      <c r="T71" s="8">
        <f>IF(ISNUMBER(P71),IF(ABS(N71-P71)&lt;=0.002,1,0),0)</f>
        <v>0</v>
      </c>
      <c r="U71" s="8">
        <f>IF(AND(ISNUMBER(P71),ISNUMBER(R71)),IF(AND(P71&gt;0,R71&lt;0),1,0),0)</f>
        <v>0</v>
      </c>
    </row>
    <row r="72" spans="1:21" x14ac:dyDescent="0.2">
      <c r="A72" s="8" t="s">
        <v>420</v>
      </c>
      <c r="B72" s="8">
        <v>2025</v>
      </c>
      <c r="C72" s="8">
        <v>3</v>
      </c>
      <c r="D72" s="10">
        <v>2.085</v>
      </c>
      <c r="E72" s="10">
        <v>2.0859999999999999</v>
      </c>
      <c r="F72" s="10">
        <v>2.085</v>
      </c>
      <c r="G72" s="8">
        <f>IF(ABS(D72-E72)&lt;=0.002,1,0)</f>
        <v>1</v>
      </c>
      <c r="H72" s="8">
        <f>IF(ABS(D72-F72)&lt;=0.002,1,0)</f>
        <v>1</v>
      </c>
      <c r="K72" s="8" t="s">
        <v>703</v>
      </c>
      <c r="L72" s="8">
        <v>2025</v>
      </c>
      <c r="M72" s="8">
        <v>3</v>
      </c>
      <c r="N72" s="10">
        <v>144.125</v>
      </c>
      <c r="O72" s="10">
        <v>144.126</v>
      </c>
      <c r="P72" s="10"/>
      <c r="Q72" s="10">
        <v>144.125</v>
      </c>
      <c r="R72" s="10"/>
      <c r="S72" s="8">
        <f>IF(ABS(N72-O72)&lt;=0.002,1,0)</f>
        <v>1</v>
      </c>
      <c r="T72" s="8">
        <f>IF(ISNUMBER(P72),IF(ABS(N72-P72)&lt;=0.002,1,0),0)</f>
        <v>0</v>
      </c>
      <c r="U72" s="8">
        <f>IF(AND(ISNUMBER(P72),ISNUMBER(R72)),IF(AND(P72&gt;0,R72&lt;0),1,0),0)</f>
        <v>0</v>
      </c>
    </row>
    <row r="73" spans="1:21" x14ac:dyDescent="0.2">
      <c r="A73" s="8" t="s">
        <v>420</v>
      </c>
      <c r="B73" s="8">
        <v>2026</v>
      </c>
      <c r="C73" s="8">
        <v>3</v>
      </c>
      <c r="D73" s="10">
        <v>4.0380000000000003</v>
      </c>
      <c r="E73" s="10">
        <v>4.0380000000000003</v>
      </c>
      <c r="F73" s="10">
        <v>4.0380000000000003</v>
      </c>
      <c r="G73" s="8">
        <f>IF(ABS(D73-E73)&lt;=0.002,1,0)</f>
        <v>1</v>
      </c>
      <c r="H73" s="8">
        <f>IF(ABS(D73-F73)&lt;=0.002,1,0)</f>
        <v>1</v>
      </c>
      <c r="K73" s="8" t="s">
        <v>705</v>
      </c>
      <c r="L73" s="8">
        <v>2025</v>
      </c>
      <c r="M73" s="8">
        <v>3</v>
      </c>
      <c r="N73" s="10">
        <v>-548.91</v>
      </c>
      <c r="O73" s="10">
        <v>-548.91099999999994</v>
      </c>
      <c r="P73" s="10">
        <v>2.3319999999999999</v>
      </c>
      <c r="Q73" s="10">
        <v>-845.83100000000002</v>
      </c>
      <c r="R73" s="10">
        <v>6.5220000000000002</v>
      </c>
      <c r="S73" s="8">
        <f>IF(ABS(N73-O73)&lt;=0.002,1,0)</f>
        <v>1</v>
      </c>
      <c r="T73" s="8">
        <f>IF(ISNUMBER(P73),IF(ABS(N73-P73)&lt;=0.002,1,0),0)</f>
        <v>0</v>
      </c>
      <c r="U73" s="8">
        <f>IF(AND(ISNUMBER(P73),ISNUMBER(R73)),IF(AND(P73&gt;0,R73&lt;0),1,0),0)</f>
        <v>0</v>
      </c>
    </row>
    <row r="74" spans="1:21" x14ac:dyDescent="0.2">
      <c r="A74" s="8" t="s">
        <v>427</v>
      </c>
      <c r="B74" s="8">
        <v>2025</v>
      </c>
      <c r="C74" s="8">
        <v>9</v>
      </c>
      <c r="D74" s="10">
        <v>-28.001000000000001</v>
      </c>
      <c r="E74" s="10">
        <v>-28.001999999999999</v>
      </c>
      <c r="F74" s="10">
        <v>5.1539999999999999</v>
      </c>
      <c r="G74" s="8">
        <f>IF(ABS(D74-E74)&lt;=0.002,1,0)</f>
        <v>1</v>
      </c>
      <c r="H74" s="8">
        <f>IF(ABS(D74-F74)&lt;=0.002,1,0)</f>
        <v>0</v>
      </c>
      <c r="K74" s="8" t="s">
        <v>705</v>
      </c>
      <c r="L74" s="8">
        <v>2025</v>
      </c>
      <c r="M74" s="8">
        <v>9</v>
      </c>
      <c r="N74" s="10">
        <v>-2223.9389999999999</v>
      </c>
      <c r="O74" s="10">
        <v>-2223.94</v>
      </c>
      <c r="P74" s="10">
        <v>1.93</v>
      </c>
      <c r="Q74" s="10">
        <v>-2399.2750000000001</v>
      </c>
      <c r="R74" s="10">
        <v>6.5490000000000004</v>
      </c>
      <c r="S74" s="8">
        <f>IF(ABS(N74-O74)&lt;=0.002,1,0)</f>
        <v>1</v>
      </c>
      <c r="T74" s="8">
        <f>IF(ISNUMBER(P74),IF(ABS(N74-P74)&lt;=0.002,1,0),0)</f>
        <v>0</v>
      </c>
      <c r="U74" s="8">
        <f>IF(AND(ISNUMBER(P74),ISNUMBER(R74)),IF(AND(P74&gt;0,R74&lt;0),1,0),0)</f>
        <v>0</v>
      </c>
    </row>
    <row r="75" spans="1:21" x14ac:dyDescent="0.2">
      <c r="A75" s="8" t="s">
        <v>427</v>
      </c>
      <c r="B75" s="8">
        <v>2025</v>
      </c>
      <c r="C75" s="8">
        <v>12</v>
      </c>
      <c r="D75" s="10">
        <v>-63.253</v>
      </c>
      <c r="E75" s="10">
        <v>-63.253</v>
      </c>
      <c r="F75" s="10">
        <v>5.2030000000000003</v>
      </c>
      <c r="G75" s="8">
        <f>IF(ABS(D75-E75)&lt;=0.002,1,0)</f>
        <v>1</v>
      </c>
      <c r="H75" s="8">
        <f>IF(ABS(D75-F75)&lt;=0.002,1,0)</f>
        <v>0</v>
      </c>
      <c r="K75" s="8" t="s">
        <v>705</v>
      </c>
      <c r="L75" s="8">
        <v>2025</v>
      </c>
      <c r="M75" s="8">
        <v>12</v>
      </c>
      <c r="N75" s="10">
        <v>-2478.5160000000001</v>
      </c>
      <c r="O75" s="10">
        <v>-2478.5169999999998</v>
      </c>
      <c r="P75" s="10">
        <v>0.92300000000000004</v>
      </c>
      <c r="Q75" s="10">
        <v>-3357.5239999999999</v>
      </c>
      <c r="R75" s="10">
        <v>6.5720000000000001</v>
      </c>
      <c r="S75" s="8">
        <f>IF(ABS(N75-O75)&lt;=0.002,1,0)</f>
        <v>1</v>
      </c>
      <c r="T75" s="8">
        <f>IF(ISNUMBER(P75),IF(ABS(N75-P75)&lt;=0.002,1,0),0)</f>
        <v>0</v>
      </c>
      <c r="U75" s="8">
        <f>IF(AND(ISNUMBER(P75),ISNUMBER(R75)),IF(AND(P75&gt;0,R75&lt;0),1,0),0)</f>
        <v>0</v>
      </c>
    </row>
    <row r="76" spans="1:21" x14ac:dyDescent="0.2">
      <c r="A76" s="8" t="s">
        <v>619</v>
      </c>
      <c r="B76" s="8">
        <v>2024</v>
      </c>
      <c r="C76" s="8">
        <v>6</v>
      </c>
      <c r="D76" s="10">
        <v>594.82899999999995</v>
      </c>
      <c r="E76" s="10">
        <v>594.83000000000004</v>
      </c>
      <c r="F76" s="10">
        <v>16.771000000000001</v>
      </c>
      <c r="G76" s="8">
        <f>IF(ABS(D76-E76)&lt;=0.002,1,0)</f>
        <v>1</v>
      </c>
      <c r="H76" s="8">
        <f>IF(ABS(D76-F76)&lt;=0.002,1,0)</f>
        <v>0</v>
      </c>
    </row>
    <row r="77" spans="1:21" x14ac:dyDescent="0.2">
      <c r="A77" s="8" t="s">
        <v>619</v>
      </c>
      <c r="B77" s="8">
        <v>2024</v>
      </c>
      <c r="C77" s="8">
        <v>12</v>
      </c>
      <c r="D77" s="10">
        <v>440.995</v>
      </c>
      <c r="E77" s="10">
        <v>440.995</v>
      </c>
      <c r="F77" s="10">
        <v>39.747</v>
      </c>
      <c r="G77" s="8">
        <f>IF(ABS(D77-E77)&lt;=0.002,1,0)</f>
        <v>1</v>
      </c>
      <c r="H77" s="8">
        <f>IF(ABS(D77-F77)&lt;=0.002,1,0)</f>
        <v>0</v>
      </c>
    </row>
    <row r="78" spans="1:21" x14ac:dyDescent="0.2">
      <c r="A78" s="8" t="s">
        <v>619</v>
      </c>
      <c r="B78" s="8">
        <v>2025</v>
      </c>
      <c r="C78" s="8">
        <v>9</v>
      </c>
      <c r="D78" s="10">
        <v>-231.93199999999999</v>
      </c>
      <c r="E78" s="10">
        <v>-231.93199999999999</v>
      </c>
      <c r="F78" s="10">
        <v>23.321000000000002</v>
      </c>
      <c r="G78" s="8">
        <f>IF(ABS(D78-E78)&lt;=0.002,1,0)</f>
        <v>1</v>
      </c>
      <c r="H78" s="8">
        <f>IF(ABS(D78-F78)&lt;=0.002,1,0)</f>
        <v>0</v>
      </c>
    </row>
    <row r="79" spans="1:21" x14ac:dyDescent="0.2">
      <c r="A79" s="8" t="s">
        <v>619</v>
      </c>
      <c r="B79" s="8">
        <v>2025</v>
      </c>
      <c r="C79" s="8">
        <v>12</v>
      </c>
      <c r="D79" s="10">
        <v>-537.88</v>
      </c>
      <c r="E79" s="10">
        <v>-537.88</v>
      </c>
      <c r="F79" s="10">
        <v>18.184000000000001</v>
      </c>
      <c r="G79" s="8">
        <f>IF(ABS(D79-E79)&lt;=0.002,1,0)</f>
        <v>1</v>
      </c>
      <c r="H79" s="8">
        <f>IF(ABS(D79-F79)&lt;=0.002,1,0)</f>
        <v>0</v>
      </c>
    </row>
    <row r="80" spans="1:21" x14ac:dyDescent="0.2">
      <c r="A80" s="8" t="s">
        <v>439</v>
      </c>
      <c r="B80" s="8">
        <v>2024</v>
      </c>
      <c r="C80" s="8">
        <v>12</v>
      </c>
      <c r="D80" s="10">
        <v>-650.346</v>
      </c>
      <c r="E80" s="10">
        <v>-650.34699999999998</v>
      </c>
      <c r="F80" s="10">
        <v>223.78399999999999</v>
      </c>
      <c r="G80" s="8">
        <f>IF(ABS(D80-E80)&lt;=0.002,1,0)</f>
        <v>1</v>
      </c>
      <c r="H80" s="8">
        <f>IF(ABS(D80-F80)&lt;=0.002,1,0)</f>
        <v>0</v>
      </c>
    </row>
    <row r="81" spans="1:8" x14ac:dyDescent="0.2">
      <c r="A81" s="8" t="s">
        <v>439</v>
      </c>
      <c r="B81" s="8">
        <v>2025</v>
      </c>
      <c r="C81" s="8">
        <v>6</v>
      </c>
      <c r="D81" s="10">
        <v>-2721.087</v>
      </c>
      <c r="E81" s="10">
        <v>-2721.087</v>
      </c>
      <c r="F81" s="10">
        <v>14.471</v>
      </c>
      <c r="G81" s="8">
        <f>IF(ABS(D81-E81)&lt;=0.002,1,0)</f>
        <v>1</v>
      </c>
      <c r="H81" s="8">
        <f>IF(ABS(D81-F81)&lt;=0.002,1,0)</f>
        <v>0</v>
      </c>
    </row>
    <row r="82" spans="1:8" x14ac:dyDescent="0.2">
      <c r="A82" s="8" t="s">
        <v>439</v>
      </c>
      <c r="B82" s="8">
        <v>2025</v>
      </c>
      <c r="C82" s="8">
        <v>9</v>
      </c>
      <c r="D82" s="10">
        <v>-2062.5329999999999</v>
      </c>
      <c r="E82" s="10">
        <v>-2062.5329999999999</v>
      </c>
      <c r="F82" s="10">
        <v>17.812999999999999</v>
      </c>
      <c r="G82" s="8">
        <f>IF(ABS(D82-E82)&lt;=0.002,1,0)</f>
        <v>1</v>
      </c>
      <c r="H82" s="8">
        <f>IF(ABS(D82-F82)&lt;=0.002,1,0)</f>
        <v>0</v>
      </c>
    </row>
    <row r="83" spans="1:8" x14ac:dyDescent="0.2">
      <c r="A83" s="8" t="s">
        <v>443</v>
      </c>
      <c r="B83" s="8">
        <v>2024</v>
      </c>
      <c r="C83" s="8">
        <v>3</v>
      </c>
      <c r="D83" s="10">
        <v>40.21</v>
      </c>
      <c r="E83" s="10">
        <v>40.210999999999999</v>
      </c>
      <c r="F83" s="10">
        <v>0.90800000000000003</v>
      </c>
      <c r="G83" s="8">
        <f>IF(ABS(D83-E83)&lt;=0.002,1,0)</f>
        <v>1</v>
      </c>
      <c r="H83" s="8">
        <f>IF(ABS(D83-F83)&lt;=0.002,1,0)</f>
        <v>0</v>
      </c>
    </row>
    <row r="84" spans="1:8" x14ac:dyDescent="0.2">
      <c r="A84" s="8" t="s">
        <v>443</v>
      </c>
      <c r="B84" s="8">
        <v>2024</v>
      </c>
      <c r="C84" s="8">
        <v>6</v>
      </c>
      <c r="D84" s="10">
        <v>4773.415</v>
      </c>
      <c r="E84" s="10">
        <v>4773.415</v>
      </c>
      <c r="F84" s="10">
        <v>494.46100000000001</v>
      </c>
      <c r="G84" s="8">
        <f>IF(ABS(D84-E84)&lt;=0.002,1,0)</f>
        <v>1</v>
      </c>
      <c r="H84" s="8">
        <f>IF(ABS(D84-F84)&lt;=0.002,1,0)</f>
        <v>0</v>
      </c>
    </row>
    <row r="85" spans="1:8" x14ac:dyDescent="0.2">
      <c r="A85" s="8" t="s">
        <v>443</v>
      </c>
      <c r="B85" s="8">
        <v>2024</v>
      </c>
      <c r="C85" s="8">
        <v>9</v>
      </c>
      <c r="D85" s="10">
        <v>4189.1279999999997</v>
      </c>
      <c r="E85" s="10">
        <v>4189.1279999999997</v>
      </c>
      <c r="F85" s="10">
        <v>559.41</v>
      </c>
      <c r="G85" s="8">
        <f>IF(ABS(D85-E85)&lt;=0.002,1,0)</f>
        <v>1</v>
      </c>
      <c r="H85" s="8">
        <f>IF(ABS(D85-F85)&lt;=0.002,1,0)</f>
        <v>0</v>
      </c>
    </row>
    <row r="86" spans="1:8" x14ac:dyDescent="0.2">
      <c r="A86" s="8" t="s">
        <v>443</v>
      </c>
      <c r="B86" s="8">
        <v>2024</v>
      </c>
      <c r="C86" s="8">
        <v>12</v>
      </c>
      <c r="D86" s="10">
        <v>4153.4740000000002</v>
      </c>
      <c r="E86" s="10">
        <v>4153.4740000000002</v>
      </c>
      <c r="F86" s="10">
        <v>140.03700000000001</v>
      </c>
      <c r="G86" s="8">
        <f>IF(ABS(D86-E86)&lt;=0.002,1,0)</f>
        <v>1</v>
      </c>
      <c r="H86" s="8">
        <f>IF(ABS(D86-F86)&lt;=0.002,1,0)</f>
        <v>0</v>
      </c>
    </row>
    <row r="87" spans="1:8" x14ac:dyDescent="0.2">
      <c r="A87" s="8" t="s">
        <v>443</v>
      </c>
      <c r="B87" s="8">
        <v>2025</v>
      </c>
      <c r="C87" s="8">
        <v>6</v>
      </c>
      <c r="D87" s="10">
        <v>1080.2940000000001</v>
      </c>
      <c r="E87" s="10">
        <v>1080.2950000000001</v>
      </c>
      <c r="F87" s="10">
        <v>106.568</v>
      </c>
      <c r="G87" s="8">
        <f>IF(ABS(D87-E87)&lt;=0.002,1,0)</f>
        <v>1</v>
      </c>
      <c r="H87" s="8">
        <f>IF(ABS(D87-F87)&lt;=0.002,1,0)</f>
        <v>0</v>
      </c>
    </row>
    <row r="88" spans="1:8" x14ac:dyDescent="0.2">
      <c r="A88" s="8" t="s">
        <v>443</v>
      </c>
      <c r="B88" s="8">
        <v>2025</v>
      </c>
      <c r="C88" s="8">
        <v>9</v>
      </c>
      <c r="D88" s="10">
        <v>439.35700000000003</v>
      </c>
      <c r="E88" s="10">
        <v>439.358</v>
      </c>
      <c r="F88" s="10">
        <v>51.594000000000001</v>
      </c>
      <c r="G88" s="8">
        <f>IF(ABS(D88-E88)&lt;=0.002,1,0)</f>
        <v>1</v>
      </c>
      <c r="H88" s="8">
        <f>IF(ABS(D88-F88)&lt;=0.002,1,0)</f>
        <v>0</v>
      </c>
    </row>
    <row r="89" spans="1:8" x14ac:dyDescent="0.2">
      <c r="A89" s="8" t="s">
        <v>443</v>
      </c>
      <c r="B89" s="8">
        <v>2025</v>
      </c>
      <c r="C89" s="8">
        <v>12</v>
      </c>
      <c r="D89" s="10">
        <v>1402.729</v>
      </c>
      <c r="E89" s="10">
        <v>1402.729</v>
      </c>
      <c r="F89" s="10">
        <v>31.172999999999998</v>
      </c>
      <c r="G89" s="8">
        <f>IF(ABS(D89-E89)&lt;=0.002,1,0)</f>
        <v>1</v>
      </c>
      <c r="H89" s="8">
        <f>IF(ABS(D89-F89)&lt;=0.002,1,0)</f>
        <v>0</v>
      </c>
    </row>
    <row r="90" spans="1:8" x14ac:dyDescent="0.2">
      <c r="A90" s="8" t="s">
        <v>455</v>
      </c>
      <c r="B90" s="8">
        <v>2025</v>
      </c>
      <c r="C90" s="8">
        <v>12</v>
      </c>
      <c r="D90" s="10">
        <v>-4.3620000000000001</v>
      </c>
      <c r="E90" s="10">
        <v>-4.3630000000000004</v>
      </c>
      <c r="F90" s="10">
        <v>1.9450000000000001</v>
      </c>
      <c r="G90" s="8">
        <f>IF(ABS(D90-E90)&lt;=0.002,1,0)</f>
        <v>1</v>
      </c>
      <c r="H90" s="8">
        <f>IF(ABS(D90-F90)&lt;=0.002,1,0)</f>
        <v>0</v>
      </c>
    </row>
    <row r="91" spans="1:8" x14ac:dyDescent="0.2">
      <c r="A91" s="8" t="s">
        <v>462</v>
      </c>
      <c r="B91" s="8">
        <v>2024</v>
      </c>
      <c r="C91" s="8">
        <v>6</v>
      </c>
      <c r="D91" s="10">
        <v>588.64599999999996</v>
      </c>
      <c r="E91" s="10">
        <v>588.64599999999996</v>
      </c>
      <c r="F91" s="10">
        <v>0.46700000000000003</v>
      </c>
      <c r="G91" s="8">
        <f>IF(ABS(D91-E91)&lt;=0.002,1,0)</f>
        <v>1</v>
      </c>
      <c r="H91" s="8">
        <f>IF(ABS(D91-F91)&lt;=0.002,1,0)</f>
        <v>0</v>
      </c>
    </row>
    <row r="92" spans="1:8" x14ac:dyDescent="0.2">
      <c r="A92" s="8" t="s">
        <v>462</v>
      </c>
      <c r="B92" s="8">
        <v>2024</v>
      </c>
      <c r="C92" s="8">
        <v>12</v>
      </c>
      <c r="D92" s="10">
        <v>592.25099999999998</v>
      </c>
      <c r="E92" s="10">
        <v>592.25199999999995</v>
      </c>
      <c r="F92" s="10">
        <v>0.38600000000000001</v>
      </c>
      <c r="G92" s="8">
        <f>IF(ABS(D92-E92)&lt;=0.002,1,0)</f>
        <v>1</v>
      </c>
      <c r="H92" s="8">
        <f>IF(ABS(D92-F92)&lt;=0.002,1,0)</f>
        <v>0</v>
      </c>
    </row>
    <row r="93" spans="1:8" x14ac:dyDescent="0.2">
      <c r="A93" s="8" t="s">
        <v>466</v>
      </c>
      <c r="B93" s="8">
        <v>2025</v>
      </c>
      <c r="C93" s="8">
        <v>3</v>
      </c>
      <c r="D93" s="10">
        <v>3.27</v>
      </c>
      <c r="E93" s="10">
        <v>3.27</v>
      </c>
      <c r="F93" s="10">
        <v>2.5470000000000002</v>
      </c>
      <c r="G93" s="8">
        <f>IF(ABS(D93-E93)&lt;=0.002,1,0)</f>
        <v>1</v>
      </c>
      <c r="H93" s="8">
        <f>IF(ABS(D93-F93)&lt;=0.002,1,0)</f>
        <v>0</v>
      </c>
    </row>
    <row r="94" spans="1:8" x14ac:dyDescent="0.2">
      <c r="A94" s="8" t="s">
        <v>469</v>
      </c>
      <c r="B94" s="8">
        <v>2024</v>
      </c>
      <c r="C94" s="8">
        <v>3</v>
      </c>
      <c r="D94" s="10">
        <v>-4.141</v>
      </c>
      <c r="E94" s="10">
        <v>-4.1420000000000003</v>
      </c>
      <c r="F94" s="10">
        <v>2.9790000000000001</v>
      </c>
      <c r="G94" s="8">
        <f>IF(ABS(D94-E94)&lt;=0.002,1,0)</f>
        <v>1</v>
      </c>
      <c r="H94" s="8">
        <f>IF(ABS(D94-F94)&lt;=0.002,1,0)</f>
        <v>0</v>
      </c>
    </row>
    <row r="95" spans="1:8" x14ac:dyDescent="0.2">
      <c r="A95" s="8" t="s">
        <v>472</v>
      </c>
      <c r="B95" s="8">
        <v>2026</v>
      </c>
      <c r="C95" s="8">
        <v>3</v>
      </c>
      <c r="D95" s="10">
        <v>118.649</v>
      </c>
      <c r="E95" s="10">
        <v>118.65</v>
      </c>
      <c r="F95" s="10">
        <v>10.231999999999999</v>
      </c>
      <c r="G95" s="8">
        <f>IF(ABS(D95-E95)&lt;=0.002,1,0)</f>
        <v>1</v>
      </c>
      <c r="H95" s="8">
        <f>IF(ABS(D95-F95)&lt;=0.002,1,0)</f>
        <v>0</v>
      </c>
    </row>
    <row r="96" spans="1:8" x14ac:dyDescent="0.2">
      <c r="A96" s="8" t="s">
        <v>472</v>
      </c>
      <c r="B96" s="8">
        <v>2026</v>
      </c>
      <c r="C96" s="8">
        <v>6</v>
      </c>
      <c r="D96" s="10">
        <v>-431.29199999999997</v>
      </c>
      <c r="E96" s="10">
        <v>-431.29199999999997</v>
      </c>
      <c r="F96" s="10">
        <v>2.6309999999999998</v>
      </c>
      <c r="G96" s="8">
        <f>IF(ABS(D96-E96)&lt;=0.002,1,0)</f>
        <v>1</v>
      </c>
      <c r="H96" s="8">
        <f>IF(ABS(D96-F96)&lt;=0.002,1,0)</f>
        <v>0</v>
      </c>
    </row>
    <row r="97" spans="1:8" x14ac:dyDescent="0.2">
      <c r="A97" s="8" t="s">
        <v>484</v>
      </c>
      <c r="B97" s="8">
        <v>2026</v>
      </c>
      <c r="C97" s="8">
        <v>3</v>
      </c>
      <c r="D97" s="10">
        <v>20.376999999999999</v>
      </c>
      <c r="E97" s="10">
        <v>20.376999999999999</v>
      </c>
      <c r="F97" s="10">
        <v>23.835000000000001</v>
      </c>
      <c r="G97" s="8">
        <f>IF(ABS(D97-E97)&lt;=0.002,1,0)</f>
        <v>1</v>
      </c>
      <c r="H97" s="8">
        <f>IF(ABS(D97-F97)&lt;=0.002,1,0)</f>
        <v>0</v>
      </c>
    </row>
    <row r="98" spans="1:8" x14ac:dyDescent="0.2">
      <c r="A98" s="8" t="s">
        <v>487</v>
      </c>
      <c r="B98" s="8">
        <v>2025</v>
      </c>
      <c r="C98" s="8">
        <v>3</v>
      </c>
      <c r="D98" s="10">
        <v>2892.4780000000001</v>
      </c>
      <c r="E98" s="10">
        <v>2892.4789999999998</v>
      </c>
      <c r="F98" s="10">
        <v>8.7780000000000005</v>
      </c>
      <c r="G98" s="8">
        <f>IF(ABS(D98-E98)&lt;=0.002,1,0)</f>
        <v>1</v>
      </c>
      <c r="H98" s="8">
        <f>IF(ABS(D98-F98)&lt;=0.002,1,0)</f>
        <v>0</v>
      </c>
    </row>
    <row r="99" spans="1:8" x14ac:dyDescent="0.2">
      <c r="A99" s="8" t="s">
        <v>501</v>
      </c>
      <c r="B99" s="8">
        <v>2024</v>
      </c>
      <c r="C99" s="8">
        <v>9</v>
      </c>
      <c r="D99" s="10">
        <v>-39.468000000000004</v>
      </c>
      <c r="E99" s="10">
        <v>-39.469000000000001</v>
      </c>
      <c r="F99" s="10">
        <v>21.207000000000001</v>
      </c>
      <c r="G99" s="8">
        <f>IF(ABS(D99-E99)&lt;=0.002,1,0)</f>
        <v>1</v>
      </c>
      <c r="H99" s="8">
        <f>IF(ABS(D99-F99)&lt;=0.002,1,0)</f>
        <v>0</v>
      </c>
    </row>
    <row r="100" spans="1:8" x14ac:dyDescent="0.2">
      <c r="A100" s="8" t="s">
        <v>501</v>
      </c>
      <c r="B100" s="8">
        <v>2024</v>
      </c>
      <c r="C100" s="8">
        <v>12</v>
      </c>
      <c r="D100" s="10">
        <v>-47.927999999999997</v>
      </c>
      <c r="E100" s="10">
        <v>-47.927999999999997</v>
      </c>
      <c r="F100" s="10">
        <v>17.513000000000002</v>
      </c>
      <c r="G100" s="8">
        <f>IF(ABS(D100-E100)&lt;=0.002,1,0)</f>
        <v>1</v>
      </c>
      <c r="H100" s="8">
        <f>IF(ABS(D100-F100)&lt;=0.002,1,0)</f>
        <v>0</v>
      </c>
    </row>
    <row r="101" spans="1:8" x14ac:dyDescent="0.2">
      <c r="A101" s="8" t="s">
        <v>501</v>
      </c>
      <c r="B101" s="8">
        <v>2025</v>
      </c>
      <c r="C101" s="8">
        <v>6</v>
      </c>
      <c r="D101" s="10">
        <v>-20.308</v>
      </c>
      <c r="E101" s="10">
        <v>-20.308</v>
      </c>
      <c r="F101" s="10">
        <v>7.4580000000000002</v>
      </c>
      <c r="G101" s="8">
        <f>IF(ABS(D101-E101)&lt;=0.002,1,0)</f>
        <v>1</v>
      </c>
      <c r="H101" s="8">
        <f>IF(ABS(D101-F101)&lt;=0.002,1,0)</f>
        <v>0</v>
      </c>
    </row>
    <row r="102" spans="1:8" x14ac:dyDescent="0.2">
      <c r="A102" s="8" t="s">
        <v>501</v>
      </c>
      <c r="B102" s="8">
        <v>2025</v>
      </c>
      <c r="C102" s="8">
        <v>9</v>
      </c>
      <c r="D102" s="10">
        <v>-51.725999999999999</v>
      </c>
      <c r="E102" s="10">
        <v>-51.726999999999997</v>
      </c>
      <c r="F102" s="10">
        <v>3.359</v>
      </c>
      <c r="G102" s="8">
        <f>IF(ABS(D102-E102)&lt;=0.002,1,0)</f>
        <v>1</v>
      </c>
      <c r="H102" s="8">
        <f>IF(ABS(D102-F102)&lt;=0.002,1,0)</f>
        <v>0</v>
      </c>
    </row>
    <row r="103" spans="1:8" x14ac:dyDescent="0.2">
      <c r="A103" s="8" t="s">
        <v>517</v>
      </c>
      <c r="B103" s="8">
        <v>2024</v>
      </c>
      <c r="C103" s="8">
        <v>9</v>
      </c>
      <c r="D103" s="10">
        <v>162.23599999999999</v>
      </c>
      <c r="E103" s="10">
        <v>162.23599999999999</v>
      </c>
      <c r="F103" s="10">
        <v>247.28399999999999</v>
      </c>
      <c r="G103" s="8">
        <f>IF(ABS(D103-E103)&lt;=0.002,1,0)</f>
        <v>1</v>
      </c>
      <c r="H103" s="8">
        <f>IF(ABS(D103-F103)&lt;=0.002,1,0)</f>
        <v>0</v>
      </c>
    </row>
    <row r="104" spans="1:8" x14ac:dyDescent="0.2">
      <c r="A104" s="8" t="s">
        <v>517</v>
      </c>
      <c r="B104" s="8">
        <v>2024</v>
      </c>
      <c r="C104" s="8">
        <v>12</v>
      </c>
      <c r="D104" s="10">
        <v>146.69399999999999</v>
      </c>
      <c r="E104" s="10">
        <v>146.69399999999999</v>
      </c>
      <c r="F104" s="10">
        <v>113.036</v>
      </c>
      <c r="G104" s="8">
        <f>IF(ABS(D104-E104)&lt;=0.002,1,0)</f>
        <v>1</v>
      </c>
      <c r="H104" s="8">
        <f>IF(ABS(D104-F104)&lt;=0.002,1,0)</f>
        <v>0</v>
      </c>
    </row>
    <row r="105" spans="1:8" x14ac:dyDescent="0.2">
      <c r="A105" s="8" t="s">
        <v>696</v>
      </c>
      <c r="B105" s="8">
        <v>2025</v>
      </c>
      <c r="C105" s="8">
        <v>3</v>
      </c>
      <c r="D105" s="10">
        <v>-3595.5590000000002</v>
      </c>
      <c r="E105" s="10">
        <v>-5935.0169999999998</v>
      </c>
      <c r="F105" s="10">
        <v>0.96499999999999997</v>
      </c>
      <c r="G105" s="8">
        <f>IF(ABS(D105-E105)&lt;=0.002,1,0)</f>
        <v>0</v>
      </c>
      <c r="H105" s="8">
        <f>IF(ABS(D105-F105)&lt;=0.002,1,0)</f>
        <v>0</v>
      </c>
    </row>
    <row r="106" spans="1:8" x14ac:dyDescent="0.2">
      <c r="A106" s="8" t="s">
        <v>527</v>
      </c>
      <c r="B106" s="8">
        <v>2025</v>
      </c>
      <c r="C106" s="8">
        <v>6</v>
      </c>
      <c r="D106" s="10">
        <v>-46.07</v>
      </c>
      <c r="E106" s="10">
        <v>-60.573999999999998</v>
      </c>
      <c r="F106" s="10">
        <v>3.048</v>
      </c>
      <c r="G106" s="8">
        <f>IF(ABS(D106-E106)&lt;=0.002,1,0)</f>
        <v>0</v>
      </c>
      <c r="H106" s="8">
        <f>IF(ABS(D106-F106)&lt;=0.002,1,0)</f>
        <v>0</v>
      </c>
    </row>
    <row r="107" spans="1:8" x14ac:dyDescent="0.2">
      <c r="A107" s="8" t="s">
        <v>529</v>
      </c>
      <c r="B107" s="8">
        <v>2026</v>
      </c>
      <c r="C107" s="8">
        <v>3</v>
      </c>
      <c r="D107" s="10">
        <v>367.23</v>
      </c>
      <c r="E107" s="10">
        <v>367.23</v>
      </c>
      <c r="F107" s="10">
        <v>88.804000000000002</v>
      </c>
      <c r="G107" s="8">
        <f>IF(ABS(D107-E107)&lt;=0.002,1,0)</f>
        <v>1</v>
      </c>
      <c r="H107" s="8">
        <f>IF(ABS(D107-F107)&lt;=0.002,1,0)</f>
        <v>0</v>
      </c>
    </row>
    <row r="108" spans="1:8" x14ac:dyDescent="0.2">
      <c r="A108" s="8" t="s">
        <v>642</v>
      </c>
      <c r="B108" s="8">
        <v>2024</v>
      </c>
      <c r="C108" s="8">
        <v>12</v>
      </c>
      <c r="D108" s="10">
        <v>5931.5630000000001</v>
      </c>
      <c r="E108" s="10">
        <v>5931.5630000000001</v>
      </c>
      <c r="F108" s="10">
        <v>37.795000000000002</v>
      </c>
      <c r="G108" s="8">
        <f>IF(ABS(D108-E108)&lt;=0.002,1,0)</f>
        <v>1</v>
      </c>
      <c r="H108" s="8">
        <f>IF(ABS(D108-F108)&lt;=0.002,1,0)</f>
        <v>0</v>
      </c>
    </row>
    <row r="109" spans="1:8" x14ac:dyDescent="0.2">
      <c r="A109" s="8" t="s">
        <v>534</v>
      </c>
      <c r="B109" s="8">
        <v>2024</v>
      </c>
      <c r="C109" s="8">
        <v>12</v>
      </c>
      <c r="D109" s="10">
        <v>14.73</v>
      </c>
      <c r="E109" s="10">
        <v>14.731</v>
      </c>
      <c r="F109" s="10">
        <v>20.178999999999998</v>
      </c>
      <c r="G109" s="8">
        <f>IF(ABS(D109-E109)&lt;=0.002,1,0)</f>
        <v>1</v>
      </c>
      <c r="H109" s="8">
        <f>IF(ABS(D109-F109)&lt;=0.002,1,0)</f>
        <v>0</v>
      </c>
    </row>
    <row r="110" spans="1:8" x14ac:dyDescent="0.2">
      <c r="A110" s="8" t="s">
        <v>534</v>
      </c>
      <c r="B110" s="8">
        <v>2025</v>
      </c>
      <c r="C110" s="8">
        <v>3</v>
      </c>
      <c r="D110" s="10">
        <v>-186.81299999999999</v>
      </c>
      <c r="E110" s="10">
        <v>-186.81299999999999</v>
      </c>
      <c r="F110" s="10">
        <v>32.56</v>
      </c>
      <c r="G110" s="8">
        <f>IF(ABS(D110-E110)&lt;=0.002,1,0)</f>
        <v>1</v>
      </c>
      <c r="H110" s="8">
        <f>IF(ABS(D110-F110)&lt;=0.002,1,0)</f>
        <v>0</v>
      </c>
    </row>
    <row r="111" spans="1:8" x14ac:dyDescent="0.2">
      <c r="A111" s="8" t="s">
        <v>534</v>
      </c>
      <c r="B111" s="8">
        <v>2025</v>
      </c>
      <c r="C111" s="8">
        <v>12</v>
      </c>
      <c r="D111" s="10">
        <v>-606.78099999999995</v>
      </c>
      <c r="E111" s="10">
        <v>-606.78099999999995</v>
      </c>
      <c r="F111" s="10">
        <v>95.224999999999994</v>
      </c>
      <c r="G111" s="8">
        <f>IF(ABS(D111-E111)&lt;=0.002,1,0)</f>
        <v>1</v>
      </c>
      <c r="H111" s="8">
        <f>IF(ABS(D111-F111)&lt;=0.002,1,0)</f>
        <v>0</v>
      </c>
    </row>
    <row r="112" spans="1:8" x14ac:dyDescent="0.2">
      <c r="A112" s="8" t="s">
        <v>1085</v>
      </c>
      <c r="B112" s="8">
        <v>2024</v>
      </c>
      <c r="C112" s="8">
        <v>6</v>
      </c>
      <c r="D112" s="10">
        <v>-6.9000000000000006E-2</v>
      </c>
      <c r="E112" s="10">
        <v>-7.0000000000000007E-2</v>
      </c>
      <c r="F112" s="10">
        <v>0</v>
      </c>
      <c r="G112" s="8">
        <f>IF(ABS(D112-E112)&lt;=0.002,1,0)</f>
        <v>1</v>
      </c>
      <c r="H112" s="8">
        <f>IF(ABS(D112-F112)&lt;=0.002,1,0)</f>
        <v>0</v>
      </c>
    </row>
    <row r="113" spans="1:14" x14ac:dyDescent="0.2">
      <c r="A113" s="8" t="s">
        <v>541</v>
      </c>
      <c r="B113" s="8">
        <v>2025</v>
      </c>
      <c r="C113" s="8">
        <v>3</v>
      </c>
      <c r="D113" s="10">
        <v>-290.50799999999998</v>
      </c>
      <c r="E113" s="10">
        <v>-290.50900000000001</v>
      </c>
      <c r="F113" s="10">
        <v>2.4529999999999998</v>
      </c>
      <c r="G113" s="8">
        <f>IF(ABS(D113-E113)&lt;=0.002,1,0)</f>
        <v>1</v>
      </c>
      <c r="H113" s="8">
        <f>IF(ABS(D113-F113)&lt;=0.002,1,0)</f>
        <v>0</v>
      </c>
    </row>
    <row r="114" spans="1:14" x14ac:dyDescent="0.2">
      <c r="A114" s="8" t="s">
        <v>542</v>
      </c>
      <c r="B114" s="8">
        <v>2025</v>
      </c>
      <c r="C114" s="8">
        <v>6</v>
      </c>
      <c r="D114" s="10">
        <v>-26.411999999999999</v>
      </c>
      <c r="E114" s="10">
        <v>-26.413</v>
      </c>
      <c r="F114" s="10">
        <v>39.039000000000001</v>
      </c>
      <c r="G114" s="8">
        <f>IF(ABS(D114-E114)&lt;=0.002,1,0)</f>
        <v>1</v>
      </c>
      <c r="H114" s="8">
        <f>IF(ABS(D114-F114)&lt;=0.002,1,0)</f>
        <v>0</v>
      </c>
    </row>
    <row r="115" spans="1:14" x14ac:dyDescent="0.2">
      <c r="A115" s="8" t="s">
        <v>542</v>
      </c>
      <c r="B115" s="8">
        <v>2025</v>
      </c>
      <c r="C115" s="8">
        <v>9</v>
      </c>
      <c r="D115" s="10">
        <v>305.68200000000002</v>
      </c>
      <c r="E115" s="10">
        <v>293.93599999999998</v>
      </c>
      <c r="F115" s="10">
        <v>17.402000000000001</v>
      </c>
      <c r="G115" s="8">
        <f>IF(ABS(D115-E115)&lt;=0.002,1,0)</f>
        <v>0</v>
      </c>
      <c r="H115" s="8">
        <f>IF(ABS(D115-F115)&lt;=0.002,1,0)</f>
        <v>0</v>
      </c>
    </row>
    <row r="116" spans="1:14" x14ac:dyDescent="0.2">
      <c r="A116" s="8" t="s">
        <v>549</v>
      </c>
      <c r="B116" s="8">
        <v>2024</v>
      </c>
      <c r="C116" s="8">
        <v>3</v>
      </c>
      <c r="D116" s="10">
        <v>-245.61</v>
      </c>
      <c r="E116" s="10">
        <v>-245.61</v>
      </c>
      <c r="F116" s="10">
        <v>106.479</v>
      </c>
      <c r="G116" s="8">
        <f>IF(ABS(D116-E116)&lt;=0.002,1,0)</f>
        <v>1</v>
      </c>
      <c r="H116" s="8">
        <f>IF(ABS(D116-F116)&lt;=0.002,1,0)</f>
        <v>0</v>
      </c>
    </row>
    <row r="117" spans="1:14" x14ac:dyDescent="0.2">
      <c r="A117" s="8" t="s">
        <v>549</v>
      </c>
      <c r="B117" s="8">
        <v>2024</v>
      </c>
      <c r="C117" s="8">
        <v>6</v>
      </c>
      <c r="D117" s="10">
        <v>-3440.7489999999998</v>
      </c>
      <c r="E117" s="10">
        <v>-3440.7489999999998</v>
      </c>
      <c r="F117" s="10">
        <v>72.290000000000006</v>
      </c>
      <c r="G117" s="8">
        <f>IF(ABS(D117-E117)&lt;=0.002,1,0)</f>
        <v>1</v>
      </c>
      <c r="H117" s="8">
        <f>IF(ABS(D117-F117)&lt;=0.002,1,0)</f>
        <v>0</v>
      </c>
    </row>
    <row r="118" spans="1:14" x14ac:dyDescent="0.2">
      <c r="A118" s="8" t="s">
        <v>552</v>
      </c>
      <c r="B118" s="8">
        <v>2024</v>
      </c>
      <c r="C118" s="8">
        <v>3</v>
      </c>
      <c r="D118" s="10">
        <v>55.121000000000002</v>
      </c>
      <c r="E118" s="10">
        <v>55.122</v>
      </c>
      <c r="F118" s="10">
        <v>2.911</v>
      </c>
      <c r="G118" s="8">
        <f>IF(ABS(D118-E118)&lt;=0.002,1,0)</f>
        <v>1</v>
      </c>
      <c r="H118" s="8">
        <f>IF(ABS(D118-F118)&lt;=0.002,1,0)</f>
        <v>0</v>
      </c>
    </row>
    <row r="119" spans="1:14" x14ac:dyDescent="0.2">
      <c r="A119" s="8" t="s">
        <v>558</v>
      </c>
      <c r="B119" s="8">
        <v>2025</v>
      </c>
      <c r="C119" s="8">
        <v>9</v>
      </c>
      <c r="D119" s="10">
        <v>-3907.5920000000001</v>
      </c>
      <c r="E119" s="10">
        <v>-3907.5920000000001</v>
      </c>
      <c r="F119" s="10">
        <v>69.009</v>
      </c>
      <c r="G119" s="8">
        <f>IF(ABS(D119-E119)&lt;=0.002,1,0)</f>
        <v>1</v>
      </c>
      <c r="H119" s="8">
        <f>IF(ABS(D119-F119)&lt;=0.002,1,0)</f>
        <v>0</v>
      </c>
    </row>
    <row r="120" spans="1:14" x14ac:dyDescent="0.2">
      <c r="A120" s="8" t="s">
        <v>558</v>
      </c>
      <c r="B120" s="8">
        <v>2025</v>
      </c>
      <c r="C120" s="8">
        <v>12</v>
      </c>
      <c r="D120" s="10">
        <v>-7257.1419999999998</v>
      </c>
      <c r="E120" s="10">
        <v>-7257.143</v>
      </c>
      <c r="F120" s="10">
        <v>14.795999999999999</v>
      </c>
      <c r="G120" s="8">
        <f>IF(ABS(D120-E120)&lt;=0.002,1,0)</f>
        <v>1</v>
      </c>
      <c r="H120" s="8">
        <f>IF(ABS(D120-F120)&lt;=0.002,1,0)</f>
        <v>0</v>
      </c>
    </row>
    <row r="122" spans="1:14" x14ac:dyDescent="0.2">
      <c r="A122" s="7" t="s">
        <v>1086</v>
      </c>
      <c r="K122" s="7" t="s">
        <v>1087</v>
      </c>
    </row>
    <row r="123" spans="1:14" x14ac:dyDescent="0.2">
      <c r="A123" s="8" t="s">
        <v>1088</v>
      </c>
      <c r="D123" s="8">
        <f>COUNTA(A4:A120)</f>
        <v>117</v>
      </c>
      <c r="K123" s="8" t="s">
        <v>1088</v>
      </c>
      <c r="N123" s="8">
        <f>COUNTA(K4:K75)</f>
        <v>72</v>
      </c>
    </row>
    <row r="124" spans="1:14" x14ac:dyDescent="0.2">
      <c r="A124" s="8" t="s">
        <v>1089</v>
      </c>
      <c r="D124" s="8">
        <f>SUM(G4:G120)</f>
        <v>112</v>
      </c>
      <c r="K124" s="8" t="s">
        <v>1090</v>
      </c>
      <c r="N124" s="8">
        <f>SUM(S4:S75)</f>
        <v>64</v>
      </c>
    </row>
    <row r="125" spans="1:14" x14ac:dyDescent="0.2">
      <c r="A125" s="8" t="s">
        <v>1091</v>
      </c>
      <c r="D125" s="8">
        <f>SUM(H4:H120)</f>
        <v>5</v>
      </c>
      <c r="K125" s="8" t="s">
        <v>1092</v>
      </c>
      <c r="N125" s="8">
        <f>SUM(T4:T75)</f>
        <v>10</v>
      </c>
    </row>
    <row r="126" spans="1:14" x14ac:dyDescent="0.2">
      <c r="K126" s="8" t="s">
        <v>1093</v>
      </c>
      <c r="N126" s="8">
        <f>SUM(U4:U75)</f>
        <v>10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OKUBENI</vt:lpstr>
      <vt:lpstr>OZET</vt:lpstr>
      <vt:lpstr>RADAR</vt:lpstr>
      <vt:lpstr>FCF_SIM</vt:lpstr>
      <vt:lpstr>ORNEKLEM</vt:lpstr>
      <vt:lpstr>KACIRILAN</vt:lpstr>
      <vt:lpstr>SINIR</vt:lpstr>
      <vt:lpstr>BELGE</vt:lpstr>
      <vt:lpstr>MEKANIZMA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2026-10-05T11:58:56Z</dcterms:created>
  <dcterms:modified xsi:type="dcterms:W3CDTF">2026-10-05T11:58:57Z</dcterms:modified>
  <dc:language>en-US</dc:language>
</cp:coreProperties>
</file>